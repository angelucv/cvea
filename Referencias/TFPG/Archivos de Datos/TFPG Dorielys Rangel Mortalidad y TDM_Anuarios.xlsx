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rielys\Documents\Universidad\Tesis\Proyeccion de la Mortalidad\Bases de Datos\"/>
    </mc:Choice>
  </mc:AlternateContent>
  <bookViews>
    <workbookView xWindow="0" yWindow="0" windowWidth="20490" windowHeight="7650" firstSheet="1" activeTab="1"/>
  </bookViews>
  <sheets>
    <sheet name="Poblacion_Estudio (2)" sheetId="21" state="hidden" r:id="rId1"/>
    <sheet name="TDM_Mujeres" sheetId="12" r:id="rId2"/>
    <sheet name="TDM_Mujeres_Causa" sheetId="17" r:id="rId3"/>
    <sheet name="TDM_Total" sheetId="19" r:id="rId4"/>
    <sheet name="TDM_Total_Causa" sheetId="18" r:id="rId5"/>
    <sheet name="BD_Mujeres" sheetId="10" state="hidden" r:id="rId6"/>
    <sheet name="BD_Total" sheetId="15" state="hidden" r:id="rId7"/>
    <sheet name="Pobl_TOTAL" sheetId="11" state="hidden" r:id="rId8"/>
    <sheet name="Pobl_Fem" sheetId="6" state="hidden" r:id="rId9"/>
    <sheet name="Poblacion_Estudio" sheetId="20" state="hidden" r:id="rId10"/>
    <sheet name="Analisis de la Mortalidad" sheetId="22" state="hidden" r:id="rId11"/>
  </sheets>
  <definedNames>
    <definedName name="_xlnm._FilterDatabase" localSheetId="5" hidden="1">BD_Mujeres!$A$1:$H$1996</definedName>
    <definedName name="_xlnm._FilterDatabase" localSheetId="8" hidden="1">Pobl_Fem!$A$1:$D$1</definedName>
    <definedName name="_xlnm._FilterDatabase" localSheetId="7" hidden="1">Pobl_TOTAL!$B$1:$D$134</definedName>
    <definedName name="_xlnm._FilterDatabase" localSheetId="9" hidden="1">Poblacion_Estudio!$J$4:$K$59</definedName>
    <definedName name="_xlnm._FilterDatabase" localSheetId="0" hidden="1">'Poblacion_Estudio (2)'!$J$4:$K$59</definedName>
    <definedName name="SegmentaciónDeDatos_Año">#N/A</definedName>
    <definedName name="SegmentaciónDeDatos_Año1">#N/A</definedName>
    <definedName name="SegmentaciónDeDatos_Grupo_Etario">#N/A</definedName>
    <definedName name="SegmentaciónDeDatos_Grupo_Etario1">#N/A</definedName>
  </definedNames>
  <calcPr calcId="162913"/>
  <pivotCaches>
    <pivotCache cacheId="0" r:id="rId12"/>
    <pivotCache cacheId="1" r:id="rId13"/>
    <pivotCache cacheId="5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9" i="21" l="1"/>
  <c r="K58" i="21"/>
  <c r="K57" i="21"/>
  <c r="K56" i="21"/>
  <c r="K55" i="21"/>
  <c r="K54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K12" i="21"/>
  <c r="K11" i="21"/>
  <c r="K10" i="21"/>
  <c r="K9" i="21"/>
  <c r="K8" i="21"/>
  <c r="K7" i="21"/>
  <c r="K6" i="21"/>
  <c r="K5" i="21"/>
  <c r="O4" i="21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O4" i="20"/>
  <c r="C14" i="19" l="1"/>
  <c r="B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H14" i="19" s="1"/>
  <c r="G7" i="19"/>
  <c r="F7" i="19"/>
  <c r="E7" i="19"/>
  <c r="K12" i="19" l="1"/>
  <c r="L12" i="19" s="1"/>
  <c r="M10" i="19"/>
  <c r="I11" i="19"/>
  <c r="M9" i="19"/>
  <c r="I10" i="19"/>
  <c r="M11" i="19"/>
  <c r="M13" i="19"/>
  <c r="I13" i="19"/>
  <c r="K11" i="19"/>
  <c r="K7" i="19"/>
  <c r="K8" i="19"/>
  <c r="L8" i="19" s="1"/>
  <c r="K10" i="19"/>
  <c r="L10" i="19" s="1"/>
  <c r="L11" i="19"/>
  <c r="K13" i="19"/>
  <c r="L13" i="19" s="1"/>
  <c r="I7" i="19"/>
  <c r="D3" i="22" s="1"/>
  <c r="M7" i="19"/>
  <c r="I8" i="19"/>
  <c r="M8" i="19"/>
  <c r="I12" i="19"/>
  <c r="M12" i="19"/>
  <c r="G14" i="19"/>
  <c r="N10" i="19" s="1"/>
  <c r="O10" i="19" s="1"/>
  <c r="L7" i="19"/>
  <c r="K9" i="19"/>
  <c r="L9" i="19" s="1"/>
  <c r="I9" i="19"/>
  <c r="N12" i="19"/>
  <c r="O12" i="19" s="1"/>
  <c r="J12" i="19" l="1"/>
  <c r="D8" i="22"/>
  <c r="J11" i="19"/>
  <c r="D7" i="22"/>
  <c r="J9" i="19"/>
  <c r="D5" i="22"/>
  <c r="J13" i="19"/>
  <c r="D9" i="22"/>
  <c r="J8" i="19"/>
  <c r="D4" i="22"/>
  <c r="J10" i="19"/>
  <c r="D6" i="22"/>
  <c r="N9" i="19"/>
  <c r="O9" i="19" s="1"/>
  <c r="N8" i="19"/>
  <c r="O8" i="19" s="1"/>
  <c r="N7" i="19"/>
  <c r="O7" i="19" s="1"/>
  <c r="I14" i="19"/>
  <c r="N13" i="19"/>
  <c r="O13" i="19" s="1"/>
  <c r="N11" i="19"/>
  <c r="O11" i="19" s="1"/>
  <c r="J7" i="19"/>
  <c r="Q7" i="19"/>
  <c r="P8" i="19" s="1"/>
  <c r="Q8" i="19" l="1"/>
  <c r="P9" i="19" s="1"/>
  <c r="Q9" i="19" l="1"/>
  <c r="P10" i="19" s="1"/>
  <c r="Q10" i="19" l="1"/>
  <c r="P11" i="19" s="1"/>
  <c r="Q11" i="19" l="1"/>
  <c r="P12" i="19" s="1"/>
  <c r="Q12" i="19" l="1"/>
  <c r="P13" i="19" s="1"/>
  <c r="Q13" i="19" s="1"/>
  <c r="AJ263" i="18" l="1"/>
  <c r="AI263" i="18"/>
  <c r="AH263" i="18"/>
  <c r="AG263" i="18"/>
  <c r="AF263" i="18"/>
  <c r="AE263" i="18"/>
  <c r="AD263" i="18"/>
  <c r="AC263" i="18"/>
  <c r="AB263" i="18"/>
  <c r="AA263" i="18"/>
  <c r="Z263" i="18"/>
  <c r="Y263" i="18"/>
  <c r="X263" i="18"/>
  <c r="W263" i="18"/>
  <c r="V263" i="18"/>
  <c r="U263" i="18"/>
  <c r="T263" i="18"/>
  <c r="S263" i="18"/>
  <c r="AJ262" i="18"/>
  <c r="AI262" i="18"/>
  <c r="AH262" i="18"/>
  <c r="AG262" i="18"/>
  <c r="AF262" i="18"/>
  <c r="AE262" i="18"/>
  <c r="AD262" i="18"/>
  <c r="AC262" i="18"/>
  <c r="AB262" i="18"/>
  <c r="AA262" i="18"/>
  <c r="Z262" i="18"/>
  <c r="Y262" i="18"/>
  <c r="X262" i="18"/>
  <c r="W262" i="18"/>
  <c r="V262" i="18"/>
  <c r="U262" i="18"/>
  <c r="T262" i="18"/>
  <c r="S262" i="18"/>
  <c r="AJ261" i="18"/>
  <c r="AI261" i="18"/>
  <c r="AH261" i="18"/>
  <c r="AG261" i="18"/>
  <c r="AF261" i="18"/>
  <c r="AE261" i="18"/>
  <c r="AD261" i="18"/>
  <c r="AC261" i="18"/>
  <c r="AB261" i="18"/>
  <c r="AA261" i="18"/>
  <c r="Z261" i="18"/>
  <c r="Y261" i="18"/>
  <c r="X261" i="18"/>
  <c r="W261" i="18"/>
  <c r="V261" i="18"/>
  <c r="U261" i="18"/>
  <c r="T261" i="18"/>
  <c r="S261" i="18"/>
  <c r="AJ260" i="18"/>
  <c r="AI260" i="18"/>
  <c r="AH260" i="18"/>
  <c r="AG260" i="18"/>
  <c r="AF260" i="18"/>
  <c r="AE260" i="18"/>
  <c r="AD260" i="18"/>
  <c r="AT260" i="18" s="1"/>
  <c r="AC260" i="18"/>
  <c r="AB260" i="18"/>
  <c r="AA260" i="18"/>
  <c r="Z260" i="18"/>
  <c r="AP260" i="18" s="1"/>
  <c r="Y260" i="18"/>
  <c r="X260" i="18"/>
  <c r="W260" i="18"/>
  <c r="V260" i="18"/>
  <c r="AL260" i="18" s="1"/>
  <c r="U260" i="18"/>
  <c r="T260" i="18"/>
  <c r="S260" i="18"/>
  <c r="AJ259" i="18"/>
  <c r="AI259" i="18"/>
  <c r="AH259" i="18"/>
  <c r="AG259" i="18"/>
  <c r="AF259" i="18"/>
  <c r="AE259" i="18"/>
  <c r="AD259" i="18"/>
  <c r="AC259" i="18"/>
  <c r="AB259" i="18"/>
  <c r="AA259" i="18"/>
  <c r="Z259" i="18"/>
  <c r="Y259" i="18"/>
  <c r="X259" i="18"/>
  <c r="W259" i="18"/>
  <c r="V259" i="18"/>
  <c r="U259" i="18"/>
  <c r="T259" i="18"/>
  <c r="S259" i="18"/>
  <c r="AJ258" i="18"/>
  <c r="AI258" i="18"/>
  <c r="AH258" i="18"/>
  <c r="AG258" i="18"/>
  <c r="AF258" i="18"/>
  <c r="AE258" i="18"/>
  <c r="CA259" i="18" s="1"/>
  <c r="AD258" i="18"/>
  <c r="AC258" i="18"/>
  <c r="AB258" i="18"/>
  <c r="AA258" i="18"/>
  <c r="Z258" i="18"/>
  <c r="Y258" i="18"/>
  <c r="X258" i="18"/>
  <c r="W258" i="18"/>
  <c r="V258" i="18"/>
  <c r="U258" i="18"/>
  <c r="T258" i="18"/>
  <c r="S258" i="18"/>
  <c r="AJ257" i="18"/>
  <c r="AI257" i="18"/>
  <c r="AH257" i="18"/>
  <c r="AG257" i="18"/>
  <c r="AF257" i="18"/>
  <c r="AE257" i="18"/>
  <c r="AD257" i="18"/>
  <c r="AC257" i="18"/>
  <c r="AB257" i="18"/>
  <c r="AA257" i="18"/>
  <c r="Z257" i="18"/>
  <c r="Y257" i="18"/>
  <c r="X257" i="18"/>
  <c r="W257" i="18"/>
  <c r="V257" i="18"/>
  <c r="U257" i="18"/>
  <c r="T257" i="18"/>
  <c r="S257" i="18"/>
  <c r="CF256" i="18"/>
  <c r="CE256" i="18"/>
  <c r="CD256" i="18"/>
  <c r="CC256" i="18"/>
  <c r="CB256" i="18"/>
  <c r="CA256" i="18"/>
  <c r="BZ256" i="18"/>
  <c r="BY256" i="18"/>
  <c r="BX256" i="18"/>
  <c r="BW256" i="18"/>
  <c r="BV256" i="18"/>
  <c r="BU256" i="18"/>
  <c r="BT256" i="18"/>
  <c r="BS256" i="18"/>
  <c r="BR256" i="18"/>
  <c r="BQ256" i="18"/>
  <c r="BP256" i="18"/>
  <c r="BO256" i="18"/>
  <c r="BN256" i="18"/>
  <c r="BM256" i="18"/>
  <c r="BL256" i="18"/>
  <c r="BK256" i="18"/>
  <c r="BJ256" i="18"/>
  <c r="BI256" i="18"/>
  <c r="BH256" i="18"/>
  <c r="BG256" i="18"/>
  <c r="BF256" i="18"/>
  <c r="BE256" i="18"/>
  <c r="BD256" i="18"/>
  <c r="BC256" i="18"/>
  <c r="BA256" i="18"/>
  <c r="AZ256" i="18"/>
  <c r="AY256" i="18"/>
  <c r="AX256" i="18"/>
  <c r="AW256" i="18"/>
  <c r="AV256" i="18"/>
  <c r="AU256" i="18"/>
  <c r="AT256" i="18"/>
  <c r="AS256" i="18"/>
  <c r="AR256" i="18"/>
  <c r="AQ256" i="18"/>
  <c r="AP256" i="18"/>
  <c r="AO256" i="18"/>
  <c r="AN256" i="18"/>
  <c r="AM256" i="18"/>
  <c r="AL256" i="18"/>
  <c r="AJ256" i="18"/>
  <c r="AI256" i="18"/>
  <c r="AH256" i="18"/>
  <c r="AG256" i="18"/>
  <c r="AF256" i="18"/>
  <c r="AE256" i="18"/>
  <c r="AD256" i="18"/>
  <c r="AC256" i="18"/>
  <c r="AB256" i="18"/>
  <c r="AA256" i="18"/>
  <c r="Z256" i="18"/>
  <c r="Y256" i="18"/>
  <c r="X256" i="18"/>
  <c r="W256" i="18"/>
  <c r="V256" i="18"/>
  <c r="AJ250" i="18"/>
  <c r="AI250" i="18"/>
  <c r="AH250" i="18"/>
  <c r="AG250" i="18"/>
  <c r="AF250" i="18"/>
  <c r="AV250" i="18" s="1"/>
  <c r="AE250" i="18"/>
  <c r="AD250" i="18"/>
  <c r="AC250" i="18"/>
  <c r="AB250" i="18"/>
  <c r="AR250" i="18" s="1"/>
  <c r="AA250" i="18"/>
  <c r="Z250" i="18"/>
  <c r="Y250" i="18"/>
  <c r="X250" i="18"/>
  <c r="AN250" i="18" s="1"/>
  <c r="W250" i="18"/>
  <c r="V250" i="18"/>
  <c r="U250" i="18"/>
  <c r="T250" i="18"/>
  <c r="S250" i="18"/>
  <c r="AJ249" i="18"/>
  <c r="AI249" i="18"/>
  <c r="AH249" i="18"/>
  <c r="CD250" i="18" s="1"/>
  <c r="AG249" i="18"/>
  <c r="AF249" i="18"/>
  <c r="AE249" i="18"/>
  <c r="AD249" i="18"/>
  <c r="BZ250" i="18" s="1"/>
  <c r="AC249" i="18"/>
  <c r="AB249" i="18"/>
  <c r="AA249" i="18"/>
  <c r="Z249" i="18"/>
  <c r="BV250" i="18" s="1"/>
  <c r="Y249" i="18"/>
  <c r="X249" i="18"/>
  <c r="W249" i="18"/>
  <c r="V249" i="18"/>
  <c r="BR250" i="18" s="1"/>
  <c r="U249" i="18"/>
  <c r="T249" i="18"/>
  <c r="S249" i="18"/>
  <c r="AJ248" i="18"/>
  <c r="CF249" i="18" s="1"/>
  <c r="AI248" i="18"/>
  <c r="AH248" i="18"/>
  <c r="AG248" i="18"/>
  <c r="AF248" i="18"/>
  <c r="CB249" i="18" s="1"/>
  <c r="AE248" i="18"/>
  <c r="AD248" i="18"/>
  <c r="AC248" i="18"/>
  <c r="AB248" i="18"/>
  <c r="BX249" i="18" s="1"/>
  <c r="AA248" i="18"/>
  <c r="Z248" i="18"/>
  <c r="Y248" i="18"/>
  <c r="BU249" i="18" s="1"/>
  <c r="X248" i="18"/>
  <c r="BT249" i="18" s="1"/>
  <c r="W248" i="18"/>
  <c r="V248" i="18"/>
  <c r="U248" i="18"/>
  <c r="T248" i="18"/>
  <c r="S248" i="18"/>
  <c r="AJ247" i="18"/>
  <c r="AI247" i="18"/>
  <c r="AH247" i="18"/>
  <c r="AG247" i="18"/>
  <c r="AF247" i="18"/>
  <c r="AE247" i="18"/>
  <c r="AD247" i="18"/>
  <c r="AC247" i="18"/>
  <c r="AB247" i="18"/>
  <c r="AA247" i="18"/>
  <c r="BW248" i="18" s="1"/>
  <c r="Z247" i="18"/>
  <c r="Y247" i="18"/>
  <c r="X247" i="18"/>
  <c r="W247" i="18"/>
  <c r="AM247" i="18" s="1"/>
  <c r="V247" i="18"/>
  <c r="U247" i="18"/>
  <c r="T247" i="18"/>
  <c r="S247" i="18"/>
  <c r="AJ246" i="18"/>
  <c r="CF247" i="18" s="1"/>
  <c r="AI246" i="18"/>
  <c r="AH246" i="18"/>
  <c r="AG246" i="18"/>
  <c r="AF246" i="18"/>
  <c r="CB247" i="18" s="1"/>
  <c r="AE246" i="18"/>
  <c r="AD246" i="18"/>
  <c r="AC246" i="18"/>
  <c r="BY247" i="18" s="1"/>
  <c r="AB246" i="18"/>
  <c r="BX247" i="18" s="1"/>
  <c r="AA246" i="18"/>
  <c r="Z246" i="18"/>
  <c r="Y246" i="18"/>
  <c r="BU247" i="18" s="1"/>
  <c r="X246" i="18"/>
  <c r="BT247" i="18" s="1"/>
  <c r="W246" i="18"/>
  <c r="V246" i="18"/>
  <c r="U246" i="18"/>
  <c r="T246" i="18"/>
  <c r="S246" i="18"/>
  <c r="AJ245" i="18"/>
  <c r="AI245" i="18"/>
  <c r="CE246" i="18" s="1"/>
  <c r="AH245" i="18"/>
  <c r="AG245" i="18"/>
  <c r="AF245" i="18"/>
  <c r="AE245" i="18"/>
  <c r="CA246" i="18" s="1"/>
  <c r="AD245" i="18"/>
  <c r="AC245" i="18"/>
  <c r="AB245" i="18"/>
  <c r="AA245" i="18"/>
  <c r="BW246" i="18" s="1"/>
  <c r="Z245" i="18"/>
  <c r="BV245" i="18" s="1"/>
  <c r="Y245" i="18"/>
  <c r="X245" i="18"/>
  <c r="W245" i="18"/>
  <c r="BS246" i="18" s="1"/>
  <c r="V245" i="18"/>
  <c r="BR245" i="18" s="1"/>
  <c r="U245" i="18"/>
  <c r="T245" i="18"/>
  <c r="S245" i="18"/>
  <c r="AJ244" i="18"/>
  <c r="AI244" i="18"/>
  <c r="AH244" i="18"/>
  <c r="AG244" i="18"/>
  <c r="CC245" i="18" s="1"/>
  <c r="AF244" i="18"/>
  <c r="AE244" i="18"/>
  <c r="AD244" i="18"/>
  <c r="AC244" i="18"/>
  <c r="BY245" i="18" s="1"/>
  <c r="AB244" i="18"/>
  <c r="AA244" i="18"/>
  <c r="Z244" i="18"/>
  <c r="Y244" i="18"/>
  <c r="BU245" i="18" s="1"/>
  <c r="X244" i="18"/>
  <c r="W244" i="18"/>
  <c r="V244" i="18"/>
  <c r="U244" i="18"/>
  <c r="T244" i="18"/>
  <c r="S244" i="18"/>
  <c r="CF243" i="18"/>
  <c r="CE243" i="18"/>
  <c r="CD243" i="18"/>
  <c r="CC243" i="18"/>
  <c r="CB243" i="18"/>
  <c r="CA243" i="18"/>
  <c r="BZ243" i="18"/>
  <c r="BY243" i="18"/>
  <c r="BX243" i="18"/>
  <c r="BW243" i="18"/>
  <c r="BV243" i="18"/>
  <c r="BU243" i="18"/>
  <c r="BT243" i="18"/>
  <c r="BS243" i="18"/>
  <c r="BR243" i="18"/>
  <c r="BQ243" i="18"/>
  <c r="BP243" i="18"/>
  <c r="BO243" i="18"/>
  <c r="BN243" i="18"/>
  <c r="BM243" i="18"/>
  <c r="BL243" i="18"/>
  <c r="BK243" i="18"/>
  <c r="BJ243" i="18"/>
  <c r="BI243" i="18"/>
  <c r="BH243" i="18"/>
  <c r="BG243" i="18"/>
  <c r="BF243" i="18"/>
  <c r="BE243" i="18"/>
  <c r="BD243" i="18"/>
  <c r="BC243" i="18"/>
  <c r="BA243" i="18"/>
  <c r="AZ243" i="18"/>
  <c r="AY243" i="18"/>
  <c r="AX243" i="18"/>
  <c r="AW243" i="18"/>
  <c r="AV243" i="18"/>
  <c r="AU243" i="18"/>
  <c r="AT243" i="18"/>
  <c r="AS243" i="18"/>
  <c r="AR243" i="18"/>
  <c r="AQ243" i="18"/>
  <c r="AP243" i="18"/>
  <c r="AO243" i="18"/>
  <c r="AN243" i="18"/>
  <c r="AM243" i="18"/>
  <c r="AL243" i="18"/>
  <c r="AJ243" i="18"/>
  <c r="AI243" i="18"/>
  <c r="AH243" i="18"/>
  <c r="AG243" i="18"/>
  <c r="AF243" i="18"/>
  <c r="AE243" i="18"/>
  <c r="AD243" i="18"/>
  <c r="AC243" i="18"/>
  <c r="AB243" i="18"/>
  <c r="AA243" i="18"/>
  <c r="Z243" i="18"/>
  <c r="Y243" i="18"/>
  <c r="X243" i="18"/>
  <c r="W243" i="18"/>
  <c r="V243" i="18"/>
  <c r="AJ237" i="18"/>
  <c r="AI237" i="18"/>
  <c r="AH237" i="18"/>
  <c r="AG237" i="18"/>
  <c r="AF237" i="18"/>
  <c r="AE237" i="18"/>
  <c r="AD237" i="18"/>
  <c r="AC237" i="18"/>
  <c r="AB237" i="18"/>
  <c r="AA237" i="18"/>
  <c r="Z237" i="18"/>
  <c r="Y237" i="18"/>
  <c r="X237" i="18"/>
  <c r="W237" i="18"/>
  <c r="AM237" i="18" s="1"/>
  <c r="V237" i="18"/>
  <c r="U237" i="18"/>
  <c r="T237" i="18"/>
  <c r="S237" i="18"/>
  <c r="AJ236" i="18"/>
  <c r="AI236" i="18"/>
  <c r="AH236" i="18"/>
  <c r="AG236" i="18"/>
  <c r="CC237" i="18" s="1"/>
  <c r="AF236" i="18"/>
  <c r="AE236" i="18"/>
  <c r="AD236" i="18"/>
  <c r="AC236" i="18"/>
  <c r="BY237" i="18" s="1"/>
  <c r="AB236" i="18"/>
  <c r="AA236" i="18"/>
  <c r="Z236" i="18"/>
  <c r="Y236" i="18"/>
  <c r="BU237" i="18" s="1"/>
  <c r="X236" i="18"/>
  <c r="W236" i="18"/>
  <c r="V236" i="18"/>
  <c r="U236" i="18"/>
  <c r="T236" i="18"/>
  <c r="S236" i="18"/>
  <c r="AJ235" i="18"/>
  <c r="AI235" i="18"/>
  <c r="CE236" i="18" s="1"/>
  <c r="AH235" i="18"/>
  <c r="AG235" i="18"/>
  <c r="AF235" i="18"/>
  <c r="AE235" i="18"/>
  <c r="CA236" i="18" s="1"/>
  <c r="AD235" i="18"/>
  <c r="AC235" i="18"/>
  <c r="AB235" i="18"/>
  <c r="AA235" i="18"/>
  <c r="BW236" i="18" s="1"/>
  <c r="Z235" i="18"/>
  <c r="Y235" i="18"/>
  <c r="X235" i="18"/>
  <c r="W235" i="18"/>
  <c r="BS236" i="18" s="1"/>
  <c r="V235" i="18"/>
  <c r="U235" i="18"/>
  <c r="T235" i="18"/>
  <c r="S235" i="18"/>
  <c r="AJ234" i="18"/>
  <c r="AI234" i="18"/>
  <c r="AH234" i="18"/>
  <c r="AG234" i="18"/>
  <c r="AF234" i="18"/>
  <c r="AE234" i="18"/>
  <c r="AD234" i="18"/>
  <c r="AC234" i="18"/>
  <c r="AB234" i="18"/>
  <c r="AA234" i="18"/>
  <c r="Z234" i="18"/>
  <c r="Y234" i="18"/>
  <c r="X234" i="18"/>
  <c r="W234" i="18"/>
  <c r="V234" i="18"/>
  <c r="U234" i="18"/>
  <c r="T234" i="18"/>
  <c r="S234" i="18"/>
  <c r="AJ233" i="18"/>
  <c r="AI233" i="18"/>
  <c r="AH233" i="18"/>
  <c r="AG233" i="18"/>
  <c r="AF233" i="18"/>
  <c r="AE233" i="18"/>
  <c r="AD233" i="18"/>
  <c r="AC233" i="18"/>
  <c r="AB233" i="18"/>
  <c r="AA233" i="18"/>
  <c r="AQ233" i="18" s="1"/>
  <c r="Z233" i="18"/>
  <c r="Y233" i="18"/>
  <c r="X233" i="18"/>
  <c r="W233" i="18"/>
  <c r="AM233" i="18" s="1"/>
  <c r="V233" i="18"/>
  <c r="U233" i="18"/>
  <c r="T233" i="18"/>
  <c r="S233" i="18"/>
  <c r="AJ232" i="18"/>
  <c r="AI232" i="18"/>
  <c r="AH232" i="18"/>
  <c r="AG232" i="18"/>
  <c r="AF232" i="18"/>
  <c r="AE232" i="18"/>
  <c r="AD232" i="18"/>
  <c r="AC232" i="18"/>
  <c r="AB232" i="18"/>
  <c r="AA232" i="18"/>
  <c r="Z232" i="18"/>
  <c r="Y232" i="18"/>
  <c r="X232" i="18"/>
  <c r="W232" i="18"/>
  <c r="V232" i="18"/>
  <c r="U232" i="18"/>
  <c r="T232" i="18"/>
  <c r="S232" i="18"/>
  <c r="AJ231" i="18"/>
  <c r="AI231" i="18"/>
  <c r="AH231" i="18"/>
  <c r="AG231" i="18"/>
  <c r="AF231" i="18"/>
  <c r="AE231" i="18"/>
  <c r="AD231" i="18"/>
  <c r="AC231" i="18"/>
  <c r="AB231" i="18"/>
  <c r="AA231" i="18"/>
  <c r="Z231" i="18"/>
  <c r="Y231" i="18"/>
  <c r="X231" i="18"/>
  <c r="W231" i="18"/>
  <c r="BS231" i="18" s="1"/>
  <c r="V231" i="18"/>
  <c r="U231" i="18"/>
  <c r="T231" i="18"/>
  <c r="S231" i="18"/>
  <c r="CF230" i="18"/>
  <c r="CE230" i="18"/>
  <c r="CD230" i="18"/>
  <c r="CC230" i="18"/>
  <c r="CB230" i="18"/>
  <c r="CA230" i="18"/>
  <c r="BZ230" i="18"/>
  <c r="BY230" i="18"/>
  <c r="BX230" i="18"/>
  <c r="BW230" i="18"/>
  <c r="BV230" i="18"/>
  <c r="BU230" i="18"/>
  <c r="BT230" i="18"/>
  <c r="BS230" i="18"/>
  <c r="BR230" i="18"/>
  <c r="BQ230" i="18"/>
  <c r="BP230" i="18"/>
  <c r="BO230" i="18"/>
  <c r="BN230" i="18"/>
  <c r="BM230" i="18"/>
  <c r="BL230" i="18"/>
  <c r="BK230" i="18"/>
  <c r="BJ230" i="18"/>
  <c r="BI230" i="18"/>
  <c r="BH230" i="18"/>
  <c r="BG230" i="18"/>
  <c r="BF230" i="18"/>
  <c r="BE230" i="18"/>
  <c r="BD230" i="18"/>
  <c r="BC230" i="18"/>
  <c r="BA230" i="18"/>
  <c r="AZ230" i="18"/>
  <c r="AY230" i="18"/>
  <c r="AX230" i="18"/>
  <c r="AW230" i="18"/>
  <c r="AV230" i="18"/>
  <c r="AU230" i="18"/>
  <c r="AT230" i="18"/>
  <c r="AS230" i="18"/>
  <c r="AR230" i="18"/>
  <c r="AQ230" i="18"/>
  <c r="AP230" i="18"/>
  <c r="AO230" i="18"/>
  <c r="AN230" i="18"/>
  <c r="AM230" i="18"/>
  <c r="AL230" i="18"/>
  <c r="AJ230" i="18"/>
  <c r="AI230" i="18"/>
  <c r="AH230" i="18"/>
  <c r="AG230" i="18"/>
  <c r="AF230" i="18"/>
  <c r="AE230" i="18"/>
  <c r="AD230" i="18"/>
  <c r="AC230" i="18"/>
  <c r="AB230" i="18"/>
  <c r="AA230" i="18"/>
  <c r="Z230" i="18"/>
  <c r="Y230" i="18"/>
  <c r="X230" i="18"/>
  <c r="W230" i="18"/>
  <c r="V230" i="18"/>
  <c r="AJ224" i="18"/>
  <c r="AI224" i="18"/>
  <c r="AH224" i="18"/>
  <c r="AG224" i="18"/>
  <c r="AF224" i="18"/>
  <c r="AE224" i="18"/>
  <c r="AD224" i="18"/>
  <c r="AC224" i="18"/>
  <c r="AB224" i="18"/>
  <c r="AA224" i="18"/>
  <c r="Z224" i="18"/>
  <c r="Y224" i="18"/>
  <c r="X224" i="18"/>
  <c r="W224" i="18"/>
  <c r="V224" i="18"/>
  <c r="AL224" i="18" s="1"/>
  <c r="U224" i="18"/>
  <c r="T224" i="18"/>
  <c r="S224" i="18"/>
  <c r="AJ223" i="18"/>
  <c r="AI223" i="18"/>
  <c r="AH223" i="18"/>
  <c r="AG223" i="18"/>
  <c r="AF223" i="18"/>
  <c r="AE223" i="18"/>
  <c r="AD223" i="18"/>
  <c r="AC223" i="18"/>
  <c r="AB223" i="18"/>
  <c r="AA223" i="18"/>
  <c r="Z223" i="18"/>
  <c r="Y223" i="18"/>
  <c r="X223" i="18"/>
  <c r="AN223" i="18" s="1"/>
  <c r="W223" i="18"/>
  <c r="V223" i="18"/>
  <c r="U223" i="18"/>
  <c r="T223" i="18"/>
  <c r="S223" i="18"/>
  <c r="AJ222" i="18"/>
  <c r="AI222" i="18"/>
  <c r="AH222" i="18"/>
  <c r="AG222" i="18"/>
  <c r="AF222" i="18"/>
  <c r="AE222" i="18"/>
  <c r="AD222" i="18"/>
  <c r="AC222" i="18"/>
  <c r="AB222" i="18"/>
  <c r="AA222" i="18"/>
  <c r="Z222" i="18"/>
  <c r="Y222" i="18"/>
  <c r="X222" i="18"/>
  <c r="W222" i="18"/>
  <c r="AM222" i="18" s="1"/>
  <c r="V222" i="18"/>
  <c r="AL222" i="18" s="1"/>
  <c r="U222" i="18"/>
  <c r="T222" i="18"/>
  <c r="S222" i="18"/>
  <c r="AJ221" i="18"/>
  <c r="AZ221" i="18" s="1"/>
  <c r="AI221" i="18"/>
  <c r="AH221" i="18"/>
  <c r="AG221" i="18"/>
  <c r="AF221" i="18"/>
  <c r="AV221" i="18" s="1"/>
  <c r="AE221" i="18"/>
  <c r="AD221" i="18"/>
  <c r="AC221" i="18"/>
  <c r="AB221" i="18"/>
  <c r="AR221" i="18" s="1"/>
  <c r="AA221" i="18"/>
  <c r="Z221" i="18"/>
  <c r="Y221" i="18"/>
  <c r="X221" i="18"/>
  <c r="AN221" i="18" s="1"/>
  <c r="W221" i="18"/>
  <c r="V221" i="18"/>
  <c r="U221" i="18"/>
  <c r="T221" i="18"/>
  <c r="S221" i="18"/>
  <c r="AJ220" i="18"/>
  <c r="AI220" i="18"/>
  <c r="AH220" i="18"/>
  <c r="AG220" i="18"/>
  <c r="AF220" i="18"/>
  <c r="AE220" i="18"/>
  <c r="AD220" i="18"/>
  <c r="AC220" i="18"/>
  <c r="AB220" i="18"/>
  <c r="AA220" i="18"/>
  <c r="AQ220" i="18" s="1"/>
  <c r="Z220" i="18"/>
  <c r="Y220" i="18"/>
  <c r="X220" i="18"/>
  <c r="AN220" i="18" s="1"/>
  <c r="W220" i="18"/>
  <c r="AM220" i="18" s="1"/>
  <c r="V220" i="18"/>
  <c r="AL220" i="18" s="1"/>
  <c r="U220" i="18"/>
  <c r="T220" i="18"/>
  <c r="S220" i="18"/>
  <c r="AJ219" i="18"/>
  <c r="AZ219" i="18" s="1"/>
  <c r="AI219" i="18"/>
  <c r="AH219" i="18"/>
  <c r="AG219" i="18"/>
  <c r="AF219" i="18"/>
  <c r="AV219" i="18" s="1"/>
  <c r="AE219" i="18"/>
  <c r="AD219" i="18"/>
  <c r="AC219" i="18"/>
  <c r="AB219" i="18"/>
  <c r="AR219" i="18" s="1"/>
  <c r="AA219" i="18"/>
  <c r="Z219" i="18"/>
  <c r="Y219" i="18"/>
  <c r="X219" i="18"/>
  <c r="AN219" i="18" s="1"/>
  <c r="W219" i="18"/>
  <c r="V219" i="18"/>
  <c r="U219" i="18"/>
  <c r="T219" i="18"/>
  <c r="S219" i="18"/>
  <c r="AJ218" i="18"/>
  <c r="AI218" i="18"/>
  <c r="AH218" i="18"/>
  <c r="AG218" i="18"/>
  <c r="AF218" i="18"/>
  <c r="AE218" i="18"/>
  <c r="AD218" i="18"/>
  <c r="AC218" i="18"/>
  <c r="AB218" i="18"/>
  <c r="AA218" i="18"/>
  <c r="BW218" i="18" s="1"/>
  <c r="Z218" i="18"/>
  <c r="Y218" i="18"/>
  <c r="X218" i="18"/>
  <c r="BT218" i="18" s="1"/>
  <c r="W218" i="18"/>
  <c r="BS218" i="18" s="1"/>
  <c r="V218" i="18"/>
  <c r="BR218" i="18" s="1"/>
  <c r="U218" i="18"/>
  <c r="T218" i="18"/>
  <c r="S218" i="18"/>
  <c r="CF217" i="18"/>
  <c r="CE217" i="18"/>
  <c r="CD217" i="18"/>
  <c r="CC217" i="18"/>
  <c r="CB217" i="18"/>
  <c r="CA217" i="18"/>
  <c r="BZ217" i="18"/>
  <c r="BY217" i="18"/>
  <c r="BX217" i="18"/>
  <c r="BW217" i="18"/>
  <c r="BV217" i="18"/>
  <c r="BU217" i="18"/>
  <c r="BT217" i="18"/>
  <c r="BS217" i="18"/>
  <c r="BR217" i="18"/>
  <c r="BQ217" i="18"/>
  <c r="BP217" i="18"/>
  <c r="BO217" i="18"/>
  <c r="BN217" i="18"/>
  <c r="BM217" i="18"/>
  <c r="BL217" i="18"/>
  <c r="BK217" i="18"/>
  <c r="BJ217" i="18"/>
  <c r="BI217" i="18"/>
  <c r="BH217" i="18"/>
  <c r="BG217" i="18"/>
  <c r="BF217" i="18"/>
  <c r="BE217" i="18"/>
  <c r="BD217" i="18"/>
  <c r="BC217" i="18"/>
  <c r="BA217" i="18"/>
  <c r="AZ217" i="18"/>
  <c r="AY217" i="18"/>
  <c r="AX217" i="18"/>
  <c r="AW217" i="18"/>
  <c r="AV217" i="18"/>
  <c r="AU217" i="18"/>
  <c r="AT217" i="18"/>
  <c r="AS217" i="18"/>
  <c r="AR217" i="18"/>
  <c r="AQ217" i="18"/>
  <c r="AP217" i="18"/>
  <c r="AO217" i="18"/>
  <c r="AN217" i="18"/>
  <c r="AM217" i="18"/>
  <c r="AL217" i="18"/>
  <c r="AJ217" i="18"/>
  <c r="AI217" i="18"/>
  <c r="AH217" i="18"/>
  <c r="AG217" i="18"/>
  <c r="AF217" i="18"/>
  <c r="AE217" i="18"/>
  <c r="AD217" i="18"/>
  <c r="AC217" i="18"/>
  <c r="AB217" i="18"/>
  <c r="AA217" i="18"/>
  <c r="Z217" i="18"/>
  <c r="Y217" i="18"/>
  <c r="X217" i="18"/>
  <c r="W217" i="18"/>
  <c r="V217" i="18"/>
  <c r="AJ211" i="18"/>
  <c r="AI211" i="18"/>
  <c r="AH211" i="18"/>
  <c r="AG211" i="18"/>
  <c r="AF211" i="18"/>
  <c r="AE211" i="18"/>
  <c r="AD211" i="18"/>
  <c r="AC211" i="18"/>
  <c r="AB211" i="18"/>
  <c r="AA211" i="18"/>
  <c r="Z211" i="18"/>
  <c r="Y211" i="18"/>
  <c r="X211" i="18"/>
  <c r="W211" i="18"/>
  <c r="V211" i="18"/>
  <c r="U211" i="18"/>
  <c r="T211" i="18"/>
  <c r="S211" i="18"/>
  <c r="AJ210" i="18"/>
  <c r="AI210" i="18"/>
  <c r="AH210" i="18"/>
  <c r="AG210" i="18"/>
  <c r="AF210" i="18"/>
  <c r="AE210" i="18"/>
  <c r="AD210" i="18"/>
  <c r="AC210" i="18"/>
  <c r="AB210" i="18"/>
  <c r="AA210" i="18"/>
  <c r="Z210" i="18"/>
  <c r="Y210" i="18"/>
  <c r="X210" i="18"/>
  <c r="W210" i="18"/>
  <c r="V210" i="18"/>
  <c r="U210" i="18"/>
  <c r="T210" i="18"/>
  <c r="S210" i="18"/>
  <c r="AJ209" i="18"/>
  <c r="AI209" i="18"/>
  <c r="AH209" i="18"/>
  <c r="AG209" i="18"/>
  <c r="AF209" i="18"/>
  <c r="AE209" i="18"/>
  <c r="AD209" i="18"/>
  <c r="AC209" i="18"/>
  <c r="AB209" i="18"/>
  <c r="AA209" i="18"/>
  <c r="Z209" i="18"/>
  <c r="Y209" i="18"/>
  <c r="X209" i="18"/>
  <c r="W209" i="18"/>
  <c r="V209" i="18"/>
  <c r="U209" i="18"/>
  <c r="T209" i="18"/>
  <c r="S209" i="18"/>
  <c r="AJ208" i="18"/>
  <c r="AI208" i="18"/>
  <c r="AH208" i="18"/>
  <c r="AG208" i="18"/>
  <c r="AF208" i="18"/>
  <c r="AE208" i="18"/>
  <c r="AD208" i="18"/>
  <c r="AC208" i="18"/>
  <c r="AB208" i="18"/>
  <c r="AA208" i="18"/>
  <c r="Z208" i="18"/>
  <c r="Y208" i="18"/>
  <c r="X208" i="18"/>
  <c r="W208" i="18"/>
  <c r="V208" i="18"/>
  <c r="U208" i="18"/>
  <c r="T208" i="18"/>
  <c r="S208" i="18"/>
  <c r="AJ207" i="18"/>
  <c r="AI207" i="18"/>
  <c r="AH207" i="18"/>
  <c r="AG207" i="18"/>
  <c r="AF207" i="18"/>
  <c r="AE207" i="18"/>
  <c r="AD207" i="18"/>
  <c r="AC207" i="18"/>
  <c r="AB207" i="18"/>
  <c r="AA207" i="18"/>
  <c r="Z207" i="18"/>
  <c r="Y207" i="18"/>
  <c r="X207" i="18"/>
  <c r="W207" i="18"/>
  <c r="V207" i="18"/>
  <c r="U207" i="18"/>
  <c r="T207" i="18"/>
  <c r="S207" i="18"/>
  <c r="AJ206" i="18"/>
  <c r="AI206" i="18"/>
  <c r="AH206" i="18"/>
  <c r="AG206" i="18"/>
  <c r="AF206" i="18"/>
  <c r="AE206" i="18"/>
  <c r="AD206" i="18"/>
  <c r="AC206" i="18"/>
  <c r="AB206" i="18"/>
  <c r="AA206" i="18"/>
  <c r="Z206" i="18"/>
  <c r="Y206" i="18"/>
  <c r="X206" i="18"/>
  <c r="W206" i="18"/>
  <c r="V206" i="18"/>
  <c r="U206" i="18"/>
  <c r="T206" i="18"/>
  <c r="S206" i="18"/>
  <c r="AJ205" i="18"/>
  <c r="AI205" i="18"/>
  <c r="AH205" i="18"/>
  <c r="AG205" i="18"/>
  <c r="AF205" i="18"/>
  <c r="AE205" i="18"/>
  <c r="AD205" i="18"/>
  <c r="AC205" i="18"/>
  <c r="AB205" i="18"/>
  <c r="AA205" i="18"/>
  <c r="Z205" i="18"/>
  <c r="Y205" i="18"/>
  <c r="X205" i="18"/>
  <c r="W205" i="18"/>
  <c r="V205" i="18"/>
  <c r="U205" i="18"/>
  <c r="T205" i="18"/>
  <c r="S205" i="18"/>
  <c r="CF204" i="18"/>
  <c r="CE204" i="18"/>
  <c r="CD204" i="18"/>
  <c r="CC204" i="18"/>
  <c r="CB204" i="18"/>
  <c r="CA204" i="18"/>
  <c r="BZ204" i="18"/>
  <c r="BY204" i="18"/>
  <c r="BX204" i="18"/>
  <c r="BW204" i="18"/>
  <c r="BV204" i="18"/>
  <c r="BU204" i="18"/>
  <c r="BT204" i="18"/>
  <c r="BS204" i="18"/>
  <c r="BR204" i="18"/>
  <c r="BQ204" i="18"/>
  <c r="BP204" i="18"/>
  <c r="BO204" i="18"/>
  <c r="BN204" i="18"/>
  <c r="BM204" i="18"/>
  <c r="BL204" i="18"/>
  <c r="BK204" i="18"/>
  <c r="BJ204" i="18"/>
  <c r="BI204" i="18"/>
  <c r="BH204" i="18"/>
  <c r="BG204" i="18"/>
  <c r="BF204" i="18"/>
  <c r="BE204" i="18"/>
  <c r="BD204" i="18"/>
  <c r="BC204" i="18"/>
  <c r="BA204" i="18"/>
  <c r="AZ204" i="18"/>
  <c r="AY204" i="18"/>
  <c r="AX204" i="18"/>
  <c r="AW204" i="18"/>
  <c r="AV204" i="18"/>
  <c r="AU204" i="18"/>
  <c r="AT204" i="18"/>
  <c r="AS204" i="18"/>
  <c r="AR204" i="18"/>
  <c r="AQ204" i="18"/>
  <c r="AP204" i="18"/>
  <c r="AO204" i="18"/>
  <c r="AN204" i="18"/>
  <c r="AM204" i="18"/>
  <c r="AL204" i="18"/>
  <c r="AJ204" i="18"/>
  <c r="AI204" i="18"/>
  <c r="AH204" i="18"/>
  <c r="AG204" i="18"/>
  <c r="AF204" i="18"/>
  <c r="AE204" i="18"/>
  <c r="AD204" i="18"/>
  <c r="AC204" i="18"/>
  <c r="AB204" i="18"/>
  <c r="AA204" i="18"/>
  <c r="Z204" i="18"/>
  <c r="Y204" i="18"/>
  <c r="X204" i="18"/>
  <c r="W204" i="18"/>
  <c r="V204" i="18"/>
  <c r="AJ198" i="18"/>
  <c r="AI198" i="18"/>
  <c r="AH198" i="18"/>
  <c r="AG198" i="18"/>
  <c r="AF198" i="18"/>
  <c r="AE198" i="18"/>
  <c r="AD198" i="18"/>
  <c r="AC198" i="18"/>
  <c r="AB198" i="18"/>
  <c r="AA198" i="18"/>
  <c r="Z198" i="18"/>
  <c r="Y198" i="18"/>
  <c r="X198" i="18"/>
  <c r="W198" i="18"/>
  <c r="V198" i="18"/>
  <c r="U198" i="18"/>
  <c r="T198" i="18"/>
  <c r="S198" i="18"/>
  <c r="AJ197" i="18"/>
  <c r="AI197" i="18"/>
  <c r="AH197" i="18"/>
  <c r="AG197" i="18"/>
  <c r="AF197" i="18"/>
  <c r="AE197" i="18"/>
  <c r="AD197" i="18"/>
  <c r="AC197" i="18"/>
  <c r="AB197" i="18"/>
  <c r="AA197" i="18"/>
  <c r="Z197" i="18"/>
  <c r="Y197" i="18"/>
  <c r="X197" i="18"/>
  <c r="W197" i="18"/>
  <c r="V197" i="18"/>
  <c r="U197" i="18"/>
  <c r="T197" i="18"/>
  <c r="S197" i="18"/>
  <c r="AJ196" i="18"/>
  <c r="AI196" i="18"/>
  <c r="AH196" i="18"/>
  <c r="AG196" i="18"/>
  <c r="AF196" i="18"/>
  <c r="AE196" i="18"/>
  <c r="AD196" i="18"/>
  <c r="AC196" i="18"/>
  <c r="AB196" i="18"/>
  <c r="AA196" i="18"/>
  <c r="Z196" i="18"/>
  <c r="Y196" i="18"/>
  <c r="X196" i="18"/>
  <c r="W196" i="18"/>
  <c r="V196" i="18"/>
  <c r="U196" i="18"/>
  <c r="T196" i="18"/>
  <c r="S196" i="18"/>
  <c r="AJ195" i="18"/>
  <c r="AI195" i="18"/>
  <c r="AH195" i="18"/>
  <c r="AG195" i="18"/>
  <c r="AF195" i="18"/>
  <c r="AE195" i="18"/>
  <c r="AD195" i="18"/>
  <c r="AC195" i="18"/>
  <c r="AB195" i="18"/>
  <c r="AA195" i="18"/>
  <c r="Z195" i="18"/>
  <c r="Y195" i="18"/>
  <c r="X195" i="18"/>
  <c r="W195" i="18"/>
  <c r="V195" i="18"/>
  <c r="U195" i="18"/>
  <c r="T195" i="18"/>
  <c r="S195" i="18"/>
  <c r="AJ194" i="18"/>
  <c r="AI194" i="18"/>
  <c r="AH194" i="18"/>
  <c r="AG194" i="18"/>
  <c r="AF194" i="18"/>
  <c r="AE194" i="18"/>
  <c r="AD194" i="18"/>
  <c r="AC194" i="18"/>
  <c r="AB194" i="18"/>
  <c r="AA194" i="18"/>
  <c r="Z194" i="18"/>
  <c r="Y194" i="18"/>
  <c r="X194" i="18"/>
  <c r="W194" i="18"/>
  <c r="V194" i="18"/>
  <c r="U194" i="18"/>
  <c r="T194" i="18"/>
  <c r="S194" i="18"/>
  <c r="AJ193" i="18"/>
  <c r="AI193" i="18"/>
  <c r="AH193" i="18"/>
  <c r="AG193" i="18"/>
  <c r="AF193" i="18"/>
  <c r="AE193" i="18"/>
  <c r="AD193" i="18"/>
  <c r="AC193" i="18"/>
  <c r="AB193" i="18"/>
  <c r="AA193" i="18"/>
  <c r="Z193" i="18"/>
  <c r="Y193" i="18"/>
  <c r="X193" i="18"/>
  <c r="W193" i="18"/>
  <c r="V193" i="18"/>
  <c r="U193" i="18"/>
  <c r="T193" i="18"/>
  <c r="S193" i="18"/>
  <c r="AJ192" i="18"/>
  <c r="AI192" i="18"/>
  <c r="AH192" i="18"/>
  <c r="AG192" i="18"/>
  <c r="AF192" i="18"/>
  <c r="AE192" i="18"/>
  <c r="AD192" i="18"/>
  <c r="AC192" i="18"/>
  <c r="AB192" i="18"/>
  <c r="AA192" i="18"/>
  <c r="Z192" i="18"/>
  <c r="Y192" i="18"/>
  <c r="X192" i="18"/>
  <c r="W192" i="18"/>
  <c r="V192" i="18"/>
  <c r="U192" i="18"/>
  <c r="T192" i="18"/>
  <c r="S192" i="18"/>
  <c r="CF191" i="18"/>
  <c r="CE191" i="18"/>
  <c r="CD191" i="18"/>
  <c r="CC191" i="18"/>
  <c r="CB191" i="18"/>
  <c r="CA191" i="18"/>
  <c r="BZ191" i="18"/>
  <c r="BY191" i="18"/>
  <c r="BX191" i="18"/>
  <c r="BW191" i="18"/>
  <c r="BV191" i="18"/>
  <c r="BU191" i="18"/>
  <c r="BT191" i="18"/>
  <c r="BS191" i="18"/>
  <c r="BR191" i="18"/>
  <c r="BQ191" i="18"/>
  <c r="BP191" i="18"/>
  <c r="BO191" i="18"/>
  <c r="BN191" i="18"/>
  <c r="BM191" i="18"/>
  <c r="BL191" i="18"/>
  <c r="BK191" i="18"/>
  <c r="BJ191" i="18"/>
  <c r="BI191" i="18"/>
  <c r="BH191" i="18"/>
  <c r="BG191" i="18"/>
  <c r="BF191" i="18"/>
  <c r="BE191" i="18"/>
  <c r="BD191" i="18"/>
  <c r="BC191" i="18"/>
  <c r="BA191" i="18"/>
  <c r="AZ191" i="18"/>
  <c r="AY191" i="18"/>
  <c r="AX191" i="18"/>
  <c r="AW191" i="18"/>
  <c r="AV191" i="18"/>
  <c r="AU191" i="18"/>
  <c r="AT191" i="18"/>
  <c r="AS191" i="18"/>
  <c r="AR191" i="18"/>
  <c r="AQ191" i="18"/>
  <c r="AP191" i="18"/>
  <c r="AO191" i="18"/>
  <c r="AN191" i="18"/>
  <c r="AM191" i="18"/>
  <c r="AL191" i="18"/>
  <c r="AJ191" i="18"/>
  <c r="AI191" i="18"/>
  <c r="AH191" i="18"/>
  <c r="AG191" i="18"/>
  <c r="AF191" i="18"/>
  <c r="AE191" i="18"/>
  <c r="AD191" i="18"/>
  <c r="AC191" i="18"/>
  <c r="AB191" i="18"/>
  <c r="AA191" i="18"/>
  <c r="Z191" i="18"/>
  <c r="Y191" i="18"/>
  <c r="X191" i="18"/>
  <c r="W191" i="18"/>
  <c r="V191" i="18"/>
  <c r="S185" i="18"/>
  <c r="S184" i="18"/>
  <c r="S183" i="18"/>
  <c r="S182" i="18"/>
  <c r="S181" i="18"/>
  <c r="S180" i="18"/>
  <c r="S179" i="18"/>
  <c r="AJ185" i="18"/>
  <c r="AI185" i="18"/>
  <c r="AH185" i="18"/>
  <c r="AG185" i="18"/>
  <c r="AF185" i="18"/>
  <c r="AE185" i="18"/>
  <c r="AD185" i="18"/>
  <c r="AC185" i="18"/>
  <c r="AB185" i="18"/>
  <c r="AA185" i="18"/>
  <c r="Z185" i="18"/>
  <c r="Y185" i="18"/>
  <c r="X185" i="18"/>
  <c r="W185" i="18"/>
  <c r="V185" i="18"/>
  <c r="U185" i="18"/>
  <c r="T185" i="18"/>
  <c r="AJ184" i="18"/>
  <c r="AI184" i="18"/>
  <c r="AH184" i="18"/>
  <c r="AG184" i="18"/>
  <c r="AF184" i="18"/>
  <c r="AE184" i="18"/>
  <c r="AD184" i="18"/>
  <c r="AC184" i="18"/>
  <c r="AB184" i="18"/>
  <c r="AA184" i="18"/>
  <c r="Z184" i="18"/>
  <c r="Y184" i="18"/>
  <c r="X184" i="18"/>
  <c r="W184" i="18"/>
  <c r="V184" i="18"/>
  <c r="U184" i="18"/>
  <c r="T184" i="18"/>
  <c r="AJ183" i="18"/>
  <c r="AI183" i="18"/>
  <c r="AH183" i="18"/>
  <c r="AG183" i="18"/>
  <c r="AF183" i="18"/>
  <c r="AE183" i="18"/>
  <c r="AD183" i="18"/>
  <c r="AC183" i="18"/>
  <c r="AB183" i="18"/>
  <c r="AA183" i="18"/>
  <c r="Z183" i="18"/>
  <c r="Y183" i="18"/>
  <c r="X183" i="18"/>
  <c r="W183" i="18"/>
  <c r="V183" i="18"/>
  <c r="U183" i="18"/>
  <c r="T183" i="18"/>
  <c r="AJ182" i="18"/>
  <c r="AI182" i="18"/>
  <c r="AH182" i="18"/>
  <c r="AG182" i="18"/>
  <c r="AF182" i="18"/>
  <c r="AE182" i="18"/>
  <c r="AD182" i="18"/>
  <c r="AC182" i="18"/>
  <c r="AB182" i="18"/>
  <c r="AA182" i="18"/>
  <c r="Z182" i="18"/>
  <c r="Y182" i="18"/>
  <c r="X182" i="18"/>
  <c r="W182" i="18"/>
  <c r="V182" i="18"/>
  <c r="U182" i="18"/>
  <c r="T182" i="18"/>
  <c r="AJ181" i="18"/>
  <c r="AI181" i="18"/>
  <c r="AH181" i="18"/>
  <c r="AG181" i="18"/>
  <c r="AF181" i="18"/>
  <c r="AE181" i="18"/>
  <c r="AD181" i="18"/>
  <c r="AC181" i="18"/>
  <c r="AB181" i="18"/>
  <c r="AA181" i="18"/>
  <c r="Z181" i="18"/>
  <c r="Y181" i="18"/>
  <c r="X181" i="18"/>
  <c r="W181" i="18"/>
  <c r="V181" i="18"/>
  <c r="U181" i="18"/>
  <c r="T181" i="18"/>
  <c r="AJ180" i="18"/>
  <c r="AI180" i="18"/>
  <c r="AH180" i="18"/>
  <c r="AG180" i="18"/>
  <c r="AF180" i="18"/>
  <c r="AE180" i="18"/>
  <c r="AD180" i="18"/>
  <c r="AC180" i="18"/>
  <c r="AB180" i="18"/>
  <c r="AA180" i="18"/>
  <c r="Z180" i="18"/>
  <c r="Y180" i="18"/>
  <c r="X180" i="18"/>
  <c r="W180" i="18"/>
  <c r="V180" i="18"/>
  <c r="U180" i="18"/>
  <c r="T180" i="18"/>
  <c r="AJ179" i="18"/>
  <c r="AI179" i="18"/>
  <c r="AH179" i="18"/>
  <c r="AG179" i="18"/>
  <c r="AF179" i="18"/>
  <c r="AE179" i="18"/>
  <c r="AD179" i="18"/>
  <c r="AC179" i="18"/>
  <c r="AB179" i="18"/>
  <c r="AA179" i="18"/>
  <c r="Z179" i="18"/>
  <c r="BV180" i="18" s="1"/>
  <c r="Y179" i="18"/>
  <c r="X179" i="18"/>
  <c r="W179" i="18"/>
  <c r="V179" i="18"/>
  <c r="BR180" i="18" s="1"/>
  <c r="U179" i="18"/>
  <c r="T179" i="18"/>
  <c r="CF178" i="18"/>
  <c r="CE178" i="18"/>
  <c r="CD178" i="18"/>
  <c r="CC178" i="18"/>
  <c r="CB178" i="18"/>
  <c r="CA178" i="18"/>
  <c r="BZ178" i="18"/>
  <c r="BY178" i="18"/>
  <c r="BX178" i="18"/>
  <c r="BW178" i="18"/>
  <c r="BV178" i="18"/>
  <c r="BU178" i="18"/>
  <c r="BT178" i="18"/>
  <c r="BS178" i="18"/>
  <c r="BR178" i="18"/>
  <c r="BQ178" i="18"/>
  <c r="BP178" i="18"/>
  <c r="BO178" i="18"/>
  <c r="BN178" i="18"/>
  <c r="BM178" i="18"/>
  <c r="BL178" i="18"/>
  <c r="BK178" i="18"/>
  <c r="BJ178" i="18"/>
  <c r="BI178" i="18"/>
  <c r="BH178" i="18"/>
  <c r="BG178" i="18"/>
  <c r="BF178" i="18"/>
  <c r="BE178" i="18"/>
  <c r="BD178" i="18"/>
  <c r="BC178" i="18"/>
  <c r="BA178" i="18"/>
  <c r="AZ178" i="18"/>
  <c r="AY178" i="18"/>
  <c r="AX178" i="18"/>
  <c r="AW178" i="18"/>
  <c r="AV178" i="18"/>
  <c r="AU178" i="18"/>
  <c r="AT178" i="18"/>
  <c r="AS178" i="18"/>
  <c r="AR178" i="18"/>
  <c r="AQ178" i="18"/>
  <c r="AP178" i="18"/>
  <c r="AO178" i="18"/>
  <c r="AN178" i="18"/>
  <c r="AM178" i="18"/>
  <c r="AL178" i="18"/>
  <c r="AJ178" i="18"/>
  <c r="AI178" i="18"/>
  <c r="AH178" i="18"/>
  <c r="AG178" i="18"/>
  <c r="AF178" i="18"/>
  <c r="AE178" i="18"/>
  <c r="AD178" i="18"/>
  <c r="AC178" i="18"/>
  <c r="AB178" i="18"/>
  <c r="AA178" i="18"/>
  <c r="Z178" i="18"/>
  <c r="Y178" i="18"/>
  <c r="X178" i="18"/>
  <c r="W178" i="18"/>
  <c r="V178" i="18"/>
  <c r="S172" i="18"/>
  <c r="S171" i="18"/>
  <c r="S170" i="18"/>
  <c r="S169" i="18"/>
  <c r="S168" i="18"/>
  <c r="S167" i="18"/>
  <c r="S166" i="18"/>
  <c r="S159" i="18"/>
  <c r="S158" i="18"/>
  <c r="S157" i="18"/>
  <c r="S156" i="18"/>
  <c r="S155" i="18"/>
  <c r="S154" i="18"/>
  <c r="S153" i="18"/>
  <c r="S140" i="18"/>
  <c r="AJ172" i="18"/>
  <c r="AI172" i="18"/>
  <c r="AH172" i="18"/>
  <c r="AG172" i="18"/>
  <c r="AF172" i="18"/>
  <c r="AE172" i="18"/>
  <c r="AD172" i="18"/>
  <c r="AC172" i="18"/>
  <c r="AB172" i="18"/>
  <c r="AA172" i="18"/>
  <c r="Z172" i="18"/>
  <c r="Y172" i="18"/>
  <c r="X172" i="18"/>
  <c r="W172" i="18"/>
  <c r="V172" i="18"/>
  <c r="U172" i="18"/>
  <c r="T172" i="18"/>
  <c r="AJ171" i="18"/>
  <c r="AI171" i="18"/>
  <c r="AH171" i="18"/>
  <c r="AG171" i="18"/>
  <c r="AF171" i="18"/>
  <c r="AE171" i="18"/>
  <c r="AD171" i="18"/>
  <c r="AC171" i="18"/>
  <c r="AB171" i="18"/>
  <c r="AA171" i="18"/>
  <c r="Z171" i="18"/>
  <c r="Y171" i="18"/>
  <c r="X171" i="18"/>
  <c r="W171" i="18"/>
  <c r="V171" i="18"/>
  <c r="U171" i="18"/>
  <c r="T171" i="18"/>
  <c r="AJ170" i="18"/>
  <c r="AI170" i="18"/>
  <c r="AH170" i="18"/>
  <c r="AG170" i="18"/>
  <c r="AF170" i="18"/>
  <c r="AE170" i="18"/>
  <c r="AD170" i="18"/>
  <c r="AC170" i="18"/>
  <c r="AB170" i="18"/>
  <c r="AA170" i="18"/>
  <c r="Z170" i="18"/>
  <c r="Y170" i="18"/>
  <c r="X170" i="18"/>
  <c r="W170" i="18"/>
  <c r="V170" i="18"/>
  <c r="U170" i="18"/>
  <c r="T170" i="18"/>
  <c r="AJ169" i="18"/>
  <c r="AI169" i="18"/>
  <c r="AH169" i="18"/>
  <c r="AG169" i="18"/>
  <c r="AF169" i="18"/>
  <c r="AE169" i="18"/>
  <c r="AD169" i="18"/>
  <c r="AC169" i="18"/>
  <c r="AB169" i="18"/>
  <c r="AA169" i="18"/>
  <c r="Z169" i="18"/>
  <c r="Y169" i="18"/>
  <c r="X169" i="18"/>
  <c r="W169" i="18"/>
  <c r="V169" i="18"/>
  <c r="U169" i="18"/>
  <c r="T169" i="18"/>
  <c r="AJ168" i="18"/>
  <c r="AI168" i="18"/>
  <c r="AH168" i="18"/>
  <c r="AG168" i="18"/>
  <c r="AF168" i="18"/>
  <c r="AE168" i="18"/>
  <c r="AD168" i="18"/>
  <c r="AC168" i="18"/>
  <c r="AB168" i="18"/>
  <c r="AA168" i="18"/>
  <c r="Z168" i="18"/>
  <c r="Y168" i="18"/>
  <c r="X168" i="18"/>
  <c r="W168" i="18"/>
  <c r="V168" i="18"/>
  <c r="U168" i="18"/>
  <c r="T168" i="18"/>
  <c r="AJ167" i="18"/>
  <c r="AI167" i="18"/>
  <c r="AH167" i="18"/>
  <c r="AG167" i="18"/>
  <c r="AF167" i="18"/>
  <c r="AE167" i="18"/>
  <c r="AD167" i="18"/>
  <c r="AC167" i="18"/>
  <c r="AB167" i="18"/>
  <c r="AA167" i="18"/>
  <c r="Z167" i="18"/>
  <c r="Y167" i="18"/>
  <c r="X167" i="18"/>
  <c r="W167" i="18"/>
  <c r="V167" i="18"/>
  <c r="U167" i="18"/>
  <c r="T167" i="18"/>
  <c r="AJ166" i="18"/>
  <c r="AI166" i="18"/>
  <c r="AH166" i="18"/>
  <c r="AG166" i="18"/>
  <c r="AF166" i="18"/>
  <c r="AE166" i="18"/>
  <c r="AD166" i="18"/>
  <c r="AC166" i="18"/>
  <c r="AB166" i="18"/>
  <c r="AA166" i="18"/>
  <c r="Z166" i="18"/>
  <c r="Y166" i="18"/>
  <c r="X166" i="18"/>
  <c r="W166" i="18"/>
  <c r="V166" i="18"/>
  <c r="U166" i="18"/>
  <c r="T166" i="18"/>
  <c r="CF165" i="18"/>
  <c r="CE165" i="18"/>
  <c r="CD165" i="18"/>
  <c r="CC165" i="18"/>
  <c r="CB165" i="18"/>
  <c r="CA165" i="18"/>
  <c r="BZ165" i="18"/>
  <c r="BY165" i="18"/>
  <c r="BX165" i="18"/>
  <c r="BW165" i="18"/>
  <c r="BV165" i="18"/>
  <c r="BU165" i="18"/>
  <c r="BT165" i="18"/>
  <c r="BS165" i="18"/>
  <c r="BR165" i="18"/>
  <c r="BQ165" i="18"/>
  <c r="BP165" i="18"/>
  <c r="BO165" i="18"/>
  <c r="BN165" i="18"/>
  <c r="BM165" i="18"/>
  <c r="BL165" i="18"/>
  <c r="BK165" i="18"/>
  <c r="BJ165" i="18"/>
  <c r="BI165" i="18"/>
  <c r="BH165" i="18"/>
  <c r="BG165" i="18"/>
  <c r="BF165" i="18"/>
  <c r="BE165" i="18"/>
  <c r="BD165" i="18"/>
  <c r="BC165" i="18"/>
  <c r="BA165" i="18"/>
  <c r="AZ165" i="18"/>
  <c r="AY165" i="18"/>
  <c r="AX165" i="18"/>
  <c r="AW165" i="18"/>
  <c r="AV165" i="18"/>
  <c r="AU165" i="18"/>
  <c r="AT165" i="18"/>
  <c r="AS165" i="18"/>
  <c r="AR165" i="18"/>
  <c r="AQ165" i="18"/>
  <c r="AP165" i="18"/>
  <c r="AO165" i="18"/>
  <c r="AN165" i="18"/>
  <c r="AM165" i="18"/>
  <c r="AL165" i="18"/>
  <c r="AJ165" i="18"/>
  <c r="AI165" i="18"/>
  <c r="AH165" i="18"/>
  <c r="AG165" i="18"/>
  <c r="AF165" i="18"/>
  <c r="AE165" i="18"/>
  <c r="AD165" i="18"/>
  <c r="AC165" i="18"/>
  <c r="AB165" i="18"/>
  <c r="AA165" i="18"/>
  <c r="Z165" i="18"/>
  <c r="Y165" i="18"/>
  <c r="X165" i="18"/>
  <c r="W165" i="18"/>
  <c r="V165" i="18"/>
  <c r="AJ159" i="18"/>
  <c r="AI159" i="18"/>
  <c r="AH159" i="18"/>
  <c r="AG159" i="18"/>
  <c r="AF159" i="18"/>
  <c r="AE159" i="18"/>
  <c r="AD159" i="18"/>
  <c r="AC159" i="18"/>
  <c r="AB159" i="18"/>
  <c r="AA159" i="18"/>
  <c r="Z159" i="18"/>
  <c r="Y159" i="18"/>
  <c r="X159" i="18"/>
  <c r="W159" i="18"/>
  <c r="V159" i="18"/>
  <c r="U159" i="18"/>
  <c r="T159" i="18"/>
  <c r="AJ158" i="18"/>
  <c r="AI158" i="18"/>
  <c r="AH158" i="18"/>
  <c r="AG158" i="18"/>
  <c r="AF158" i="18"/>
  <c r="AE158" i="18"/>
  <c r="AD158" i="18"/>
  <c r="AC158" i="18"/>
  <c r="AB158" i="18"/>
  <c r="AA158" i="18"/>
  <c r="Z158" i="18"/>
  <c r="Y158" i="18"/>
  <c r="X158" i="18"/>
  <c r="W158" i="18"/>
  <c r="V158" i="18"/>
  <c r="U158" i="18"/>
  <c r="T158" i="18"/>
  <c r="AJ157" i="18"/>
  <c r="AI157" i="18"/>
  <c r="AH157" i="18"/>
  <c r="AG157" i="18"/>
  <c r="AF157" i="18"/>
  <c r="AE157" i="18"/>
  <c r="AD157" i="18"/>
  <c r="AC157" i="18"/>
  <c r="AB157" i="18"/>
  <c r="AA157" i="18"/>
  <c r="Z157" i="18"/>
  <c r="Y157" i="18"/>
  <c r="BU158" i="18" s="1"/>
  <c r="X157" i="18"/>
  <c r="W157" i="18"/>
  <c r="V157" i="18"/>
  <c r="U157" i="18"/>
  <c r="T157" i="18"/>
  <c r="AJ156" i="18"/>
  <c r="AI156" i="18"/>
  <c r="AH156" i="18"/>
  <c r="AG156" i="18"/>
  <c r="AF156" i="18"/>
  <c r="AE156" i="18"/>
  <c r="AD156" i="18"/>
  <c r="AC156" i="18"/>
  <c r="AB156" i="18"/>
  <c r="AA156" i="18"/>
  <c r="Z156" i="18"/>
  <c r="Y156" i="18"/>
  <c r="X156" i="18"/>
  <c r="W156" i="18"/>
  <c r="V156" i="18"/>
  <c r="U156" i="18"/>
  <c r="T156" i="18"/>
  <c r="AJ155" i="18"/>
  <c r="AI155" i="18"/>
  <c r="AH155" i="18"/>
  <c r="AG155" i="18"/>
  <c r="AF155" i="18"/>
  <c r="AE155" i="18"/>
  <c r="AD155" i="18"/>
  <c r="AC155" i="18"/>
  <c r="AB155" i="18"/>
  <c r="AA155" i="18"/>
  <c r="Z155" i="18"/>
  <c r="Y155" i="18"/>
  <c r="X155" i="18"/>
  <c r="W155" i="18"/>
  <c r="V155" i="18"/>
  <c r="U155" i="18"/>
  <c r="T155" i="18"/>
  <c r="AJ154" i="18"/>
  <c r="AI154" i="18"/>
  <c r="AH154" i="18"/>
  <c r="AG154" i="18"/>
  <c r="AF154" i="18"/>
  <c r="AE154" i="18"/>
  <c r="AD154" i="18"/>
  <c r="AC154" i="18"/>
  <c r="AB154" i="18"/>
  <c r="AA154" i="18"/>
  <c r="Z154" i="18"/>
  <c r="Y154" i="18"/>
  <c r="X154" i="18"/>
  <c r="W154" i="18"/>
  <c r="V154" i="18"/>
  <c r="U154" i="18"/>
  <c r="T154" i="18"/>
  <c r="AJ153" i="18"/>
  <c r="AI153" i="18"/>
  <c r="AH153" i="18"/>
  <c r="AG153" i="18"/>
  <c r="CC154" i="18" s="1"/>
  <c r="AF153" i="18"/>
  <c r="AE153" i="18"/>
  <c r="AD153" i="18"/>
  <c r="AC153" i="18"/>
  <c r="BY154" i="18" s="1"/>
  <c r="AB153" i="18"/>
  <c r="AA153" i="18"/>
  <c r="Z153" i="18"/>
  <c r="Y153" i="18"/>
  <c r="BU154" i="18" s="1"/>
  <c r="X153" i="18"/>
  <c r="W153" i="18"/>
  <c r="V153" i="18"/>
  <c r="U153" i="18"/>
  <c r="T153" i="18"/>
  <c r="CF152" i="18"/>
  <c r="CE152" i="18"/>
  <c r="CD152" i="18"/>
  <c r="CC152" i="18"/>
  <c r="CB152" i="18"/>
  <c r="CA152" i="18"/>
  <c r="BZ152" i="18"/>
  <c r="BY152" i="18"/>
  <c r="BX152" i="18"/>
  <c r="BW152" i="18"/>
  <c r="BV152" i="18"/>
  <c r="BU152" i="18"/>
  <c r="BT152" i="18"/>
  <c r="BS152" i="18"/>
  <c r="BR152" i="18"/>
  <c r="BQ152" i="18"/>
  <c r="BP152" i="18"/>
  <c r="BO152" i="18"/>
  <c r="BN152" i="18"/>
  <c r="BM152" i="18"/>
  <c r="BL152" i="18"/>
  <c r="BK152" i="18"/>
  <c r="BJ152" i="18"/>
  <c r="BI152" i="18"/>
  <c r="BH152" i="18"/>
  <c r="BG152" i="18"/>
  <c r="BF152" i="18"/>
  <c r="BE152" i="18"/>
  <c r="BD152" i="18"/>
  <c r="BC152" i="18"/>
  <c r="BA152" i="18"/>
  <c r="AZ152" i="18"/>
  <c r="AY152" i="18"/>
  <c r="AX152" i="18"/>
  <c r="AW152" i="18"/>
  <c r="AV152" i="18"/>
  <c r="AU152" i="18"/>
  <c r="AT152" i="18"/>
  <c r="AS152" i="18"/>
  <c r="AR152" i="18"/>
  <c r="AQ152" i="18"/>
  <c r="AP152" i="18"/>
  <c r="AO152" i="18"/>
  <c r="AN152" i="18"/>
  <c r="AM152" i="18"/>
  <c r="AL152" i="18"/>
  <c r="AJ152" i="18"/>
  <c r="AI152" i="18"/>
  <c r="AH152" i="18"/>
  <c r="AG152" i="18"/>
  <c r="AF152" i="18"/>
  <c r="AE152" i="18"/>
  <c r="AD152" i="18"/>
  <c r="AC152" i="18"/>
  <c r="AB152" i="18"/>
  <c r="AA152" i="18"/>
  <c r="Z152" i="18"/>
  <c r="Y152" i="18"/>
  <c r="X152" i="18"/>
  <c r="W152" i="18"/>
  <c r="V152" i="18"/>
  <c r="S146" i="18"/>
  <c r="S145" i="18"/>
  <c r="S144" i="18"/>
  <c r="S143" i="18"/>
  <c r="S142" i="18"/>
  <c r="S141" i="18"/>
  <c r="AJ146" i="18"/>
  <c r="AI146" i="18"/>
  <c r="AH146" i="18"/>
  <c r="AG146" i="18"/>
  <c r="AF146" i="18"/>
  <c r="AE146" i="18"/>
  <c r="AD146" i="18"/>
  <c r="AC146" i="18"/>
  <c r="AB146" i="18"/>
  <c r="AA146" i="18"/>
  <c r="Z146" i="18"/>
  <c r="Y146" i="18"/>
  <c r="X146" i="18"/>
  <c r="W146" i="18"/>
  <c r="V146" i="18"/>
  <c r="U146" i="18"/>
  <c r="T146" i="18"/>
  <c r="AJ145" i="18"/>
  <c r="AI145" i="18"/>
  <c r="AH145" i="18"/>
  <c r="AG145" i="18"/>
  <c r="AF145" i="18"/>
  <c r="AE145" i="18"/>
  <c r="AD145" i="18"/>
  <c r="AC145" i="18"/>
  <c r="AB145" i="18"/>
  <c r="AA145" i="18"/>
  <c r="Z145" i="18"/>
  <c r="Y145" i="18"/>
  <c r="X145" i="18"/>
  <c r="W145" i="18"/>
  <c r="V145" i="18"/>
  <c r="U145" i="18"/>
  <c r="T145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AJ142" i="18"/>
  <c r="AI142" i="18"/>
  <c r="AH142" i="18"/>
  <c r="AG142" i="18"/>
  <c r="CC143" i="18" s="1"/>
  <c r="AF142" i="18"/>
  <c r="AE142" i="18"/>
  <c r="AD142" i="18"/>
  <c r="AC142" i="18"/>
  <c r="BY143" i="18" s="1"/>
  <c r="AB142" i="18"/>
  <c r="AA142" i="18"/>
  <c r="Z142" i="18"/>
  <c r="Y142" i="18"/>
  <c r="BU143" i="18" s="1"/>
  <c r="X142" i="18"/>
  <c r="W142" i="18"/>
  <c r="V142" i="18"/>
  <c r="U142" i="18"/>
  <c r="T142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CF139" i="18"/>
  <c r="CE139" i="18"/>
  <c r="CD139" i="18"/>
  <c r="CC139" i="18"/>
  <c r="CB139" i="18"/>
  <c r="CA139" i="18"/>
  <c r="BZ139" i="18"/>
  <c r="BY139" i="18"/>
  <c r="BX139" i="18"/>
  <c r="BW139" i="18"/>
  <c r="BV139" i="18"/>
  <c r="BU139" i="18"/>
  <c r="BT139" i="18"/>
  <c r="BS139" i="18"/>
  <c r="BR139" i="18"/>
  <c r="BQ139" i="18"/>
  <c r="BP139" i="18"/>
  <c r="BO139" i="18"/>
  <c r="BN139" i="18"/>
  <c r="BM139" i="18"/>
  <c r="BL139" i="18"/>
  <c r="BK139" i="18"/>
  <c r="BJ139" i="18"/>
  <c r="BI139" i="18"/>
  <c r="BH139" i="18"/>
  <c r="BG139" i="18"/>
  <c r="BF139" i="18"/>
  <c r="BE139" i="18"/>
  <c r="BD139" i="18"/>
  <c r="BC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S133" i="18"/>
  <c r="S132" i="18"/>
  <c r="S131" i="18"/>
  <c r="S130" i="18"/>
  <c r="S129" i="18"/>
  <c r="S128" i="18"/>
  <c r="S127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AJ131" i="18"/>
  <c r="AI131" i="18"/>
  <c r="AH131" i="18"/>
  <c r="CD132" i="18" s="1"/>
  <c r="AG131" i="18"/>
  <c r="AF131" i="18"/>
  <c r="AE131" i="18"/>
  <c r="AD131" i="18"/>
  <c r="BZ132" i="18" s="1"/>
  <c r="AC131" i="18"/>
  <c r="AB131" i="18"/>
  <c r="AA131" i="18"/>
  <c r="Z131" i="18"/>
  <c r="BV132" i="18" s="1"/>
  <c r="Y131" i="18"/>
  <c r="X131" i="18"/>
  <c r="W131" i="18"/>
  <c r="V131" i="18"/>
  <c r="BR132" i="18" s="1"/>
  <c r="U131" i="18"/>
  <c r="T131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AJ127" i="18"/>
  <c r="AI127" i="18"/>
  <c r="AH127" i="18"/>
  <c r="CD128" i="18" s="1"/>
  <c r="AG127" i="18"/>
  <c r="AF127" i="18"/>
  <c r="AE127" i="18"/>
  <c r="AD127" i="18"/>
  <c r="BZ128" i="18" s="1"/>
  <c r="AC127" i="18"/>
  <c r="AB127" i="18"/>
  <c r="AA127" i="18"/>
  <c r="Z127" i="18"/>
  <c r="BV128" i="18" s="1"/>
  <c r="Y127" i="18"/>
  <c r="X127" i="18"/>
  <c r="W127" i="18"/>
  <c r="V127" i="18"/>
  <c r="BR128" i="18" s="1"/>
  <c r="U127" i="18"/>
  <c r="T127" i="18"/>
  <c r="CF126" i="18"/>
  <c r="CE126" i="18"/>
  <c r="CD126" i="18"/>
  <c r="CC126" i="18"/>
  <c r="CB126" i="18"/>
  <c r="CA126" i="18"/>
  <c r="BZ126" i="18"/>
  <c r="BY126" i="18"/>
  <c r="BX126" i="18"/>
  <c r="BW126" i="18"/>
  <c r="BV126" i="18"/>
  <c r="BU126" i="18"/>
  <c r="BT126" i="18"/>
  <c r="BS126" i="18"/>
  <c r="BR126" i="18"/>
  <c r="BQ126" i="18"/>
  <c r="BP126" i="18"/>
  <c r="BO126" i="18"/>
  <c r="BN126" i="18"/>
  <c r="BM126" i="18"/>
  <c r="BL126" i="18"/>
  <c r="BK126" i="18"/>
  <c r="BJ126" i="18"/>
  <c r="BI126" i="18"/>
  <c r="BH126" i="18"/>
  <c r="BG126" i="18"/>
  <c r="BF126" i="18"/>
  <c r="BE126" i="18"/>
  <c r="BD126" i="18"/>
  <c r="BC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S120" i="18"/>
  <c r="S119" i="18"/>
  <c r="S118" i="18"/>
  <c r="S117" i="18"/>
  <c r="S116" i="18"/>
  <c r="S115" i="18"/>
  <c r="S114" i="18"/>
  <c r="S107" i="18"/>
  <c r="S106" i="18"/>
  <c r="S105" i="18"/>
  <c r="S104" i="18"/>
  <c r="S103" i="18"/>
  <c r="S102" i="18"/>
  <c r="S101" i="18"/>
  <c r="S94" i="18"/>
  <c r="S93" i="18"/>
  <c r="S92" i="18"/>
  <c r="S91" i="18"/>
  <c r="S90" i="18"/>
  <c r="S89" i="18"/>
  <c r="S88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AJ114" i="18"/>
  <c r="AI114" i="18"/>
  <c r="AH114" i="18"/>
  <c r="AG114" i="18"/>
  <c r="AF114" i="18"/>
  <c r="AE114" i="18"/>
  <c r="AD114" i="18"/>
  <c r="AC114" i="18"/>
  <c r="AB114" i="18"/>
  <c r="AA114" i="18"/>
  <c r="Z114" i="18"/>
  <c r="Y114" i="18"/>
  <c r="X114" i="18"/>
  <c r="W114" i="18"/>
  <c r="V114" i="18"/>
  <c r="U114" i="18"/>
  <c r="T114" i="18"/>
  <c r="CF113" i="18"/>
  <c r="CE113" i="18"/>
  <c r="CD113" i="18"/>
  <c r="CC113" i="18"/>
  <c r="CB113" i="18"/>
  <c r="CA113" i="18"/>
  <c r="BZ113" i="18"/>
  <c r="BY113" i="18"/>
  <c r="BX113" i="18"/>
  <c r="BW113" i="18"/>
  <c r="BV113" i="18"/>
  <c r="BU113" i="18"/>
  <c r="BT113" i="18"/>
  <c r="BS113" i="18"/>
  <c r="BR113" i="18"/>
  <c r="BQ113" i="18"/>
  <c r="BP113" i="18"/>
  <c r="BO113" i="18"/>
  <c r="BN113" i="18"/>
  <c r="BM113" i="18"/>
  <c r="BL113" i="18"/>
  <c r="BK113" i="18"/>
  <c r="BJ113" i="18"/>
  <c r="BI113" i="18"/>
  <c r="BH113" i="18"/>
  <c r="BG113" i="18"/>
  <c r="BF113" i="18"/>
  <c r="BE113" i="18"/>
  <c r="BD113" i="18"/>
  <c r="BC113" i="18"/>
  <c r="BA113" i="18"/>
  <c r="AZ113" i="18"/>
  <c r="AY113" i="18"/>
  <c r="AX113" i="18"/>
  <c r="AW113" i="18"/>
  <c r="AV113" i="18"/>
  <c r="AU113" i="18"/>
  <c r="AT113" i="18"/>
  <c r="AS113" i="18"/>
  <c r="AR113" i="18"/>
  <c r="AQ113" i="18"/>
  <c r="AP113" i="18"/>
  <c r="AO113" i="18"/>
  <c r="AN113" i="18"/>
  <c r="AM113" i="18"/>
  <c r="AL113" i="18"/>
  <c r="AJ113" i="18"/>
  <c r="AI113" i="18"/>
  <c r="AH113" i="18"/>
  <c r="AG113" i="18"/>
  <c r="AF113" i="18"/>
  <c r="AE113" i="18"/>
  <c r="AD113" i="18"/>
  <c r="AC113" i="18"/>
  <c r="AB113" i="18"/>
  <c r="AA113" i="18"/>
  <c r="Z113" i="18"/>
  <c r="Y113" i="18"/>
  <c r="X113" i="18"/>
  <c r="W113" i="18"/>
  <c r="V113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AJ103" i="18"/>
  <c r="AI103" i="18"/>
  <c r="AH103" i="18"/>
  <c r="AG103" i="18"/>
  <c r="AF103" i="18"/>
  <c r="AE103" i="18"/>
  <c r="AD103" i="18"/>
  <c r="AC103" i="18"/>
  <c r="AB103" i="18"/>
  <c r="AA103" i="18"/>
  <c r="Z103" i="18"/>
  <c r="Y103" i="18"/>
  <c r="X103" i="18"/>
  <c r="W103" i="18"/>
  <c r="V103" i="18"/>
  <c r="U103" i="18"/>
  <c r="T103" i="18"/>
  <c r="AJ102" i="18"/>
  <c r="AI102" i="18"/>
  <c r="AH102" i="18"/>
  <c r="AG102" i="18"/>
  <c r="AF102" i="18"/>
  <c r="AE102" i="18"/>
  <c r="AD102" i="18"/>
  <c r="AC102" i="18"/>
  <c r="AB102" i="18"/>
  <c r="AA102" i="18"/>
  <c r="Z102" i="18"/>
  <c r="Y102" i="18"/>
  <c r="X102" i="18"/>
  <c r="W102" i="18"/>
  <c r="V102" i="18"/>
  <c r="U102" i="18"/>
  <c r="AM102" i="18" s="1"/>
  <c r="T102" i="18"/>
  <c r="AJ101" i="18"/>
  <c r="AI101" i="18"/>
  <c r="AH101" i="18"/>
  <c r="AG101" i="18"/>
  <c r="AF101" i="18"/>
  <c r="AE101" i="18"/>
  <c r="AD101" i="18"/>
  <c r="AC101" i="18"/>
  <c r="AB101" i="18"/>
  <c r="AA101" i="18"/>
  <c r="Z101" i="18"/>
  <c r="Y101" i="18"/>
  <c r="X101" i="18"/>
  <c r="W101" i="18"/>
  <c r="V101" i="18"/>
  <c r="U101" i="18"/>
  <c r="T101" i="18"/>
  <c r="CF100" i="18"/>
  <c r="CE100" i="18"/>
  <c r="CD100" i="18"/>
  <c r="CC100" i="18"/>
  <c r="CB100" i="18"/>
  <c r="CA100" i="18"/>
  <c r="BZ100" i="18"/>
  <c r="BY100" i="18"/>
  <c r="BX100" i="18"/>
  <c r="BW100" i="18"/>
  <c r="BV100" i="18"/>
  <c r="BU100" i="18"/>
  <c r="BT100" i="18"/>
  <c r="BS100" i="18"/>
  <c r="BR100" i="18"/>
  <c r="BQ100" i="18"/>
  <c r="BP100" i="18"/>
  <c r="BO100" i="18"/>
  <c r="BN100" i="18"/>
  <c r="BM100" i="18"/>
  <c r="BL100" i="18"/>
  <c r="BK100" i="18"/>
  <c r="BJ100" i="18"/>
  <c r="BI100" i="18"/>
  <c r="BH100" i="18"/>
  <c r="BG100" i="18"/>
  <c r="BF100" i="18"/>
  <c r="BE100" i="18"/>
  <c r="BD100" i="18"/>
  <c r="BC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AJ92" i="18"/>
  <c r="AI92" i="18"/>
  <c r="AH92" i="18"/>
  <c r="AG92" i="18"/>
  <c r="AF92" i="18"/>
  <c r="AE92" i="18"/>
  <c r="AD92" i="18"/>
  <c r="AC92" i="18"/>
  <c r="AB92" i="18"/>
  <c r="AA92" i="18"/>
  <c r="Z92" i="18"/>
  <c r="Y92" i="18"/>
  <c r="X92" i="18"/>
  <c r="W92" i="18"/>
  <c r="V92" i="18"/>
  <c r="U92" i="18"/>
  <c r="T92" i="18"/>
  <c r="AJ91" i="18"/>
  <c r="AI91" i="18"/>
  <c r="AH91" i="18"/>
  <c r="AG91" i="18"/>
  <c r="AF91" i="18"/>
  <c r="AE91" i="18"/>
  <c r="AD91" i="18"/>
  <c r="AC91" i="18"/>
  <c r="AB91" i="18"/>
  <c r="AA91" i="18"/>
  <c r="Z91" i="18"/>
  <c r="Y91" i="18"/>
  <c r="X91" i="18"/>
  <c r="W91" i="18"/>
  <c r="V91" i="18"/>
  <c r="U91" i="18"/>
  <c r="T91" i="18"/>
  <c r="AJ90" i="18"/>
  <c r="AI90" i="18"/>
  <c r="AH90" i="18"/>
  <c r="AG90" i="18"/>
  <c r="AF90" i="18"/>
  <c r="AE90" i="18"/>
  <c r="AD90" i="18"/>
  <c r="AC90" i="18"/>
  <c r="AB90" i="18"/>
  <c r="AA90" i="18"/>
  <c r="Z90" i="18"/>
  <c r="Y90" i="18"/>
  <c r="X90" i="18"/>
  <c r="W90" i="18"/>
  <c r="V90" i="18"/>
  <c r="U90" i="18"/>
  <c r="T90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CF87" i="18"/>
  <c r="CE87" i="18"/>
  <c r="CD87" i="18"/>
  <c r="CC87" i="18"/>
  <c r="CB87" i="18"/>
  <c r="CA87" i="18"/>
  <c r="BZ87" i="18"/>
  <c r="BY87" i="18"/>
  <c r="BX87" i="18"/>
  <c r="BW87" i="18"/>
  <c r="BV87" i="18"/>
  <c r="BU87" i="18"/>
  <c r="BT87" i="18"/>
  <c r="BS87" i="18"/>
  <c r="BR87" i="18"/>
  <c r="BQ87" i="18"/>
  <c r="BP87" i="18"/>
  <c r="BO87" i="18"/>
  <c r="BN87" i="18"/>
  <c r="BM87" i="18"/>
  <c r="BL87" i="18"/>
  <c r="BK87" i="18"/>
  <c r="BJ87" i="18"/>
  <c r="BI87" i="18"/>
  <c r="BH87" i="18"/>
  <c r="BG87" i="18"/>
  <c r="BF87" i="18"/>
  <c r="BE87" i="18"/>
  <c r="BD87" i="18"/>
  <c r="BC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S81" i="18"/>
  <c r="S80" i="18"/>
  <c r="S79" i="18"/>
  <c r="S78" i="18"/>
  <c r="S77" i="18"/>
  <c r="S76" i="18"/>
  <c r="S75" i="18"/>
  <c r="AJ81" i="18"/>
  <c r="AI81" i="18"/>
  <c r="AH81" i="18"/>
  <c r="AG81" i="18"/>
  <c r="AF81" i="18"/>
  <c r="AE81" i="18"/>
  <c r="AD81" i="18"/>
  <c r="AC81" i="18"/>
  <c r="AB81" i="18"/>
  <c r="AA81" i="18"/>
  <c r="Z81" i="18"/>
  <c r="Y81" i="18"/>
  <c r="X81" i="18"/>
  <c r="W81" i="18"/>
  <c r="V81" i="18"/>
  <c r="U81" i="18"/>
  <c r="T81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CF74" i="18"/>
  <c r="CE74" i="18"/>
  <c r="CD74" i="18"/>
  <c r="CC74" i="18"/>
  <c r="CB74" i="18"/>
  <c r="CA74" i="18"/>
  <c r="BZ74" i="18"/>
  <c r="BY74" i="18"/>
  <c r="BX74" i="18"/>
  <c r="BW74" i="18"/>
  <c r="BV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H74" i="18"/>
  <c r="BG74" i="18"/>
  <c r="BF74" i="18"/>
  <c r="BE74" i="18"/>
  <c r="BD74" i="18"/>
  <c r="BC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S68" i="18"/>
  <c r="S67" i="18"/>
  <c r="S66" i="18"/>
  <c r="S65" i="18"/>
  <c r="S64" i="18"/>
  <c r="S63" i="18"/>
  <c r="S62" i="18"/>
  <c r="AJ68" i="18"/>
  <c r="AI68" i="18"/>
  <c r="AH68" i="18"/>
  <c r="AG68" i="18"/>
  <c r="AF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AJ67" i="18"/>
  <c r="AI67" i="18"/>
  <c r="AH67" i="18"/>
  <c r="AG67" i="18"/>
  <c r="AF67" i="18"/>
  <c r="AE67" i="18"/>
  <c r="AD67" i="18"/>
  <c r="AC67" i="18"/>
  <c r="AB67" i="18"/>
  <c r="AA67" i="18"/>
  <c r="Z67" i="18"/>
  <c r="Y67" i="18"/>
  <c r="X67" i="18"/>
  <c r="W67" i="18"/>
  <c r="V67" i="18"/>
  <c r="U67" i="18"/>
  <c r="T67" i="18"/>
  <c r="AJ66" i="18"/>
  <c r="AI66" i="18"/>
  <c r="AH66" i="18"/>
  <c r="AG66" i="18"/>
  <c r="AF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AJ65" i="18"/>
  <c r="AI65" i="18"/>
  <c r="AH65" i="18"/>
  <c r="AG65" i="18"/>
  <c r="AF65" i="18"/>
  <c r="AE65" i="18"/>
  <c r="AD65" i="18"/>
  <c r="AC65" i="18"/>
  <c r="AB65" i="18"/>
  <c r="AA65" i="18"/>
  <c r="Z65" i="18"/>
  <c r="Y65" i="18"/>
  <c r="X65" i="18"/>
  <c r="W65" i="18"/>
  <c r="V65" i="18"/>
  <c r="U65" i="18"/>
  <c r="AM65" i="18" s="1"/>
  <c r="T65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CF61" i="18"/>
  <c r="CE61" i="18"/>
  <c r="CD61" i="18"/>
  <c r="CC61" i="18"/>
  <c r="CB61" i="18"/>
  <c r="CA61" i="18"/>
  <c r="BZ61" i="18"/>
  <c r="BY61" i="18"/>
  <c r="BX61" i="18"/>
  <c r="BW61" i="18"/>
  <c r="BV61" i="18"/>
  <c r="BU61" i="18"/>
  <c r="BT61" i="18"/>
  <c r="BS61" i="18"/>
  <c r="BR61" i="18"/>
  <c r="BQ61" i="18"/>
  <c r="BP61" i="18"/>
  <c r="BO61" i="18"/>
  <c r="BN61" i="18"/>
  <c r="BM61" i="18"/>
  <c r="BL61" i="18"/>
  <c r="BK61" i="18"/>
  <c r="BJ61" i="18"/>
  <c r="BI61" i="18"/>
  <c r="BH61" i="18"/>
  <c r="BG61" i="18"/>
  <c r="BF61" i="18"/>
  <c r="BE61" i="18"/>
  <c r="BD61" i="18"/>
  <c r="BC61" i="18"/>
  <c r="BA61" i="18"/>
  <c r="AZ61" i="18"/>
  <c r="AY61" i="18"/>
  <c r="AX61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S55" i="18"/>
  <c r="S54" i="18"/>
  <c r="S53" i="18"/>
  <c r="S52" i="18"/>
  <c r="S51" i="18"/>
  <c r="S50" i="18"/>
  <c r="S49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CF48" i="18"/>
  <c r="CE48" i="18"/>
  <c r="CD48" i="18"/>
  <c r="CC48" i="18"/>
  <c r="CB48" i="18"/>
  <c r="CA48" i="18"/>
  <c r="BZ48" i="18"/>
  <c r="BY48" i="18"/>
  <c r="BX48" i="18"/>
  <c r="BW48" i="18"/>
  <c r="BV48" i="18"/>
  <c r="BU48" i="18"/>
  <c r="BT48" i="18"/>
  <c r="BS48" i="18"/>
  <c r="BR48" i="18"/>
  <c r="BQ48" i="18"/>
  <c r="BP48" i="18"/>
  <c r="BO48" i="18"/>
  <c r="BN48" i="18"/>
  <c r="BM48" i="18"/>
  <c r="BL48" i="18"/>
  <c r="BK48" i="18"/>
  <c r="BJ48" i="18"/>
  <c r="BI48" i="18"/>
  <c r="BH48" i="18"/>
  <c r="BG48" i="18"/>
  <c r="BF48" i="18"/>
  <c r="BE48" i="18"/>
  <c r="BD48" i="18"/>
  <c r="BC48" i="18"/>
  <c r="BA48" i="18"/>
  <c r="AZ48" i="18"/>
  <c r="AY48" i="18"/>
  <c r="AX48" i="18"/>
  <c r="AW48" i="18"/>
  <c r="AV48" i="18"/>
  <c r="AU48" i="18"/>
  <c r="AT48" i="18"/>
  <c r="AS48" i="18"/>
  <c r="AR48" i="18"/>
  <c r="AQ48" i="18"/>
  <c r="AP48" i="18"/>
  <c r="AO48" i="18"/>
  <c r="AN48" i="18"/>
  <c r="AM48" i="18"/>
  <c r="AL48" i="18"/>
  <c r="AJ48" i="18"/>
  <c r="AI48" i="18"/>
  <c r="AH48" i="18"/>
  <c r="AG48" i="18"/>
  <c r="AF48" i="18"/>
  <c r="AE48" i="18"/>
  <c r="AD48" i="18"/>
  <c r="AC48" i="18"/>
  <c r="AB48" i="18"/>
  <c r="AA48" i="18"/>
  <c r="Z48" i="18"/>
  <c r="Y48" i="18"/>
  <c r="X48" i="18"/>
  <c r="W48" i="18"/>
  <c r="V48" i="18"/>
  <c r="S42" i="18"/>
  <c r="S41" i="18"/>
  <c r="S40" i="18"/>
  <c r="S39" i="18"/>
  <c r="S38" i="18"/>
  <c r="S37" i="18"/>
  <c r="S36" i="18"/>
  <c r="AJ42" i="18"/>
  <c r="AI42" i="18"/>
  <c r="AH42" i="18"/>
  <c r="AG42" i="18"/>
  <c r="AF42" i="18"/>
  <c r="AE42" i="18"/>
  <c r="AD42" i="18"/>
  <c r="AC42" i="18"/>
  <c r="AB42" i="18"/>
  <c r="AA42" i="18"/>
  <c r="AQ42" i="18" s="1"/>
  <c r="Z42" i="18"/>
  <c r="Y42" i="18"/>
  <c r="X42" i="18"/>
  <c r="W42" i="18"/>
  <c r="AM42" i="18" s="1"/>
  <c r="V42" i="18"/>
  <c r="U42" i="18"/>
  <c r="T42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AM41" i="18" s="1"/>
  <c r="T41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AJ38" i="18"/>
  <c r="AI38" i="18"/>
  <c r="AY38" i="18" s="1"/>
  <c r="AH38" i="18"/>
  <c r="AG38" i="18"/>
  <c r="AF38" i="18"/>
  <c r="AE38" i="18"/>
  <c r="AU38" i="18" s="1"/>
  <c r="AD38" i="18"/>
  <c r="AC38" i="18"/>
  <c r="AB38" i="18"/>
  <c r="AA38" i="18"/>
  <c r="AQ38" i="18" s="1"/>
  <c r="Z38" i="18"/>
  <c r="Y38" i="18"/>
  <c r="X38" i="18"/>
  <c r="W38" i="18"/>
  <c r="AM38" i="18" s="1"/>
  <c r="V38" i="18"/>
  <c r="U38" i="18"/>
  <c r="T38" i="18"/>
  <c r="AJ37" i="18"/>
  <c r="AI37" i="18"/>
  <c r="AH37" i="18"/>
  <c r="AG37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AJ36" i="18"/>
  <c r="AI36" i="18"/>
  <c r="AH36" i="18"/>
  <c r="AG36" i="18"/>
  <c r="AF36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CF35" i="18"/>
  <c r="CE35" i="18"/>
  <c r="CD35" i="18"/>
  <c r="CC35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O35" i="18"/>
  <c r="BN35" i="18"/>
  <c r="BM35" i="18"/>
  <c r="BL35" i="18"/>
  <c r="BK35" i="18"/>
  <c r="BJ35" i="18"/>
  <c r="BI35" i="18"/>
  <c r="BH35" i="18"/>
  <c r="BG35" i="18"/>
  <c r="BF35" i="18"/>
  <c r="BE35" i="18"/>
  <c r="BD35" i="18"/>
  <c r="BC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AJ8" i="18"/>
  <c r="AI8" i="18"/>
  <c r="AH8" i="18"/>
  <c r="AG8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CF4" i="18"/>
  <c r="CE4" i="18"/>
  <c r="CD4" i="18"/>
  <c r="CC4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O4" i="18"/>
  <c r="BN4" i="18"/>
  <c r="BM4" i="18"/>
  <c r="BL4" i="18"/>
  <c r="BK4" i="18"/>
  <c r="BJ4" i="18"/>
  <c r="BI4" i="18"/>
  <c r="BH4" i="18"/>
  <c r="BG4" i="18"/>
  <c r="BF4" i="18"/>
  <c r="BE4" i="18"/>
  <c r="BD4" i="18"/>
  <c r="BC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BS4" i="17"/>
  <c r="BT4" i="17"/>
  <c r="BU4" i="17"/>
  <c r="BV4" i="17"/>
  <c r="BW4" i="17"/>
  <c r="BX4" i="17"/>
  <c r="BY4" i="17"/>
  <c r="BZ4" i="17"/>
  <c r="CA4" i="17"/>
  <c r="CB4" i="17"/>
  <c r="CC4" i="17"/>
  <c r="CD4" i="17"/>
  <c r="CE4" i="17"/>
  <c r="CF4" i="17"/>
  <c r="BR4" i="17"/>
  <c r="BA4" i="17"/>
  <c r="BQ4" i="17"/>
  <c r="BP4" i="17"/>
  <c r="BO4" i="17"/>
  <c r="BN4" i="17"/>
  <c r="BM4" i="17"/>
  <c r="BL4" i="17"/>
  <c r="BK4" i="17"/>
  <c r="BJ4" i="17"/>
  <c r="BI4" i="17"/>
  <c r="BH4" i="17"/>
  <c r="BG4" i="17"/>
  <c r="BF4" i="17"/>
  <c r="BE4" i="17"/>
  <c r="BD4" i="17"/>
  <c r="BC4" i="17"/>
  <c r="AZ4" i="17"/>
  <c r="AY4" i="17"/>
  <c r="AX4" i="17"/>
  <c r="AW4" i="17"/>
  <c r="AV4" i="17"/>
  <c r="AU4" i="17"/>
  <c r="AT4" i="17"/>
  <c r="AS4" i="17"/>
  <c r="AR4" i="17"/>
  <c r="AQ4" i="17"/>
  <c r="AP4" i="17"/>
  <c r="AO4" i="17"/>
  <c r="AN4" i="17"/>
  <c r="AM4" i="17"/>
  <c r="AL4" i="17"/>
  <c r="AJ11" i="17"/>
  <c r="AI11" i="17"/>
  <c r="AJ10" i="17"/>
  <c r="AI10" i="17"/>
  <c r="AJ9" i="17"/>
  <c r="AI9" i="17"/>
  <c r="AJ8" i="17"/>
  <c r="AI8" i="17"/>
  <c r="AJ7" i="17"/>
  <c r="AI7" i="17"/>
  <c r="AJ6" i="17"/>
  <c r="AI6" i="17"/>
  <c r="AJ5" i="17"/>
  <c r="AI5" i="17"/>
  <c r="AJ4" i="17"/>
  <c r="AI4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AH7" i="17"/>
  <c r="AG7" i="17"/>
  <c r="AF7" i="17"/>
  <c r="AE7" i="17"/>
  <c r="AD7" i="17"/>
  <c r="AC7" i="17"/>
  <c r="AB7" i="17"/>
  <c r="AA7" i="17"/>
  <c r="Z7" i="17"/>
  <c r="Y7" i="17"/>
  <c r="X7" i="17"/>
  <c r="W7" i="17"/>
  <c r="V7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AH5" i="17"/>
  <c r="AG5" i="17"/>
  <c r="AF5" i="17"/>
  <c r="AE5" i="17"/>
  <c r="AD5" i="17"/>
  <c r="AC5" i="17"/>
  <c r="AB5" i="17"/>
  <c r="AA5" i="17"/>
  <c r="Z5" i="17"/>
  <c r="Y5" i="17"/>
  <c r="X5" i="17"/>
  <c r="W5" i="17"/>
  <c r="V5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6" i="17"/>
  <c r="U7" i="17"/>
  <c r="U8" i="17"/>
  <c r="U9" i="17"/>
  <c r="U10" i="17"/>
  <c r="U11" i="17"/>
  <c r="U5" i="17"/>
  <c r="T6" i="17"/>
  <c r="T7" i="17"/>
  <c r="T8" i="17"/>
  <c r="T9" i="17"/>
  <c r="T10" i="17"/>
  <c r="T11" i="17"/>
  <c r="T5" i="17"/>
  <c r="S6" i="17"/>
  <c r="S7" i="17"/>
  <c r="S8" i="17"/>
  <c r="S9" i="17"/>
  <c r="S10" i="17"/>
  <c r="S11" i="17"/>
  <c r="S5" i="17"/>
  <c r="H8" i="12"/>
  <c r="H9" i="12"/>
  <c r="H10" i="12"/>
  <c r="H11" i="12"/>
  <c r="H12" i="12"/>
  <c r="H13" i="12"/>
  <c r="H7" i="12"/>
  <c r="G13" i="12"/>
  <c r="G12" i="12"/>
  <c r="K12" i="12" s="1"/>
  <c r="G11" i="12"/>
  <c r="G10" i="12"/>
  <c r="K10" i="12" s="1"/>
  <c r="G9" i="12"/>
  <c r="G8" i="12"/>
  <c r="K8" i="12" s="1"/>
  <c r="G7" i="12"/>
  <c r="F13" i="12"/>
  <c r="B9" i="22" s="1"/>
  <c r="F12" i="12"/>
  <c r="B8" i="22" s="1"/>
  <c r="F11" i="12"/>
  <c r="B7" i="22" s="1"/>
  <c r="F10" i="12"/>
  <c r="B6" i="22" s="1"/>
  <c r="F9" i="12"/>
  <c r="B5" i="22" s="1"/>
  <c r="F8" i="12"/>
  <c r="B4" i="22" s="1"/>
  <c r="F7" i="12"/>
  <c r="B3" i="22" s="1"/>
  <c r="E13" i="12"/>
  <c r="A9" i="22" s="1"/>
  <c r="E12" i="12"/>
  <c r="A8" i="22" s="1"/>
  <c r="E11" i="12"/>
  <c r="A7" i="22" s="1"/>
  <c r="E10" i="12"/>
  <c r="A6" i="22" s="1"/>
  <c r="E9" i="12"/>
  <c r="A5" i="22" s="1"/>
  <c r="E8" i="12"/>
  <c r="A4" i="22" s="1"/>
  <c r="E7" i="12"/>
  <c r="A3" i="22" s="1"/>
  <c r="C14" i="12"/>
  <c r="B14" i="12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2" i="1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2" i="6"/>
  <c r="AU42" i="18" l="1"/>
  <c r="AY42" i="18"/>
  <c r="AM76" i="18"/>
  <c r="AL143" i="18"/>
  <c r="AP143" i="18"/>
  <c r="AL154" i="18"/>
  <c r="AP154" i="18"/>
  <c r="AR223" i="18"/>
  <c r="AV223" i="18"/>
  <c r="AZ223" i="18"/>
  <c r="AZ250" i="18"/>
  <c r="AU262" i="18"/>
  <c r="BY158" i="18"/>
  <c r="AN222" i="18"/>
  <c r="AU247" i="18"/>
  <c r="BU38" i="18"/>
  <c r="AQ222" i="18"/>
  <c r="AM224" i="18"/>
  <c r="CC158" i="18"/>
  <c r="CD36" i="18"/>
  <c r="AN38" i="18"/>
  <c r="AX40" i="18"/>
  <c r="AO41" i="18"/>
  <c r="AL50" i="18"/>
  <c r="AP50" i="18"/>
  <c r="AT50" i="18"/>
  <c r="AX50" i="18"/>
  <c r="BU52" i="18"/>
  <c r="BY52" i="18"/>
  <c r="CC52" i="18"/>
  <c r="AQ63" i="18"/>
  <c r="AQ67" i="18"/>
  <c r="BU76" i="18"/>
  <c r="BY76" i="18"/>
  <c r="CC76" i="18"/>
  <c r="AL78" i="18"/>
  <c r="AP78" i="18"/>
  <c r="AT78" i="18"/>
  <c r="AX78" i="18"/>
  <c r="BU80" i="18"/>
  <c r="BY80" i="18"/>
  <c r="CC80" i="18"/>
  <c r="AM91" i="18"/>
  <c r="BW92" i="18"/>
  <c r="CA92" i="18"/>
  <c r="CE92" i="18"/>
  <c r="BR102" i="18"/>
  <c r="BV102" i="18"/>
  <c r="BZ102" i="18"/>
  <c r="CD102" i="18"/>
  <c r="BY103" i="18"/>
  <c r="BR106" i="18"/>
  <c r="BV106" i="18"/>
  <c r="BZ106" i="18"/>
  <c r="CD106" i="18"/>
  <c r="BS106" i="18"/>
  <c r="BR115" i="18"/>
  <c r="BV115" i="18"/>
  <c r="BZ115" i="18"/>
  <c r="CD115" i="18"/>
  <c r="BU128" i="18"/>
  <c r="BY128" i="18"/>
  <c r="CC128" i="18"/>
  <c r="BU132" i="18"/>
  <c r="BY132" i="18"/>
  <c r="CC132" i="18"/>
  <c r="BR169" i="18"/>
  <c r="BV169" i="18"/>
  <c r="BZ169" i="18"/>
  <c r="CD169" i="18"/>
  <c r="BY170" i="18"/>
  <c r="BU180" i="18"/>
  <c r="BY180" i="18"/>
  <c r="CC180" i="18"/>
  <c r="BU184" i="18"/>
  <c r="BY184" i="18"/>
  <c r="CC184" i="18"/>
  <c r="BT207" i="18"/>
  <c r="BX207" i="18"/>
  <c r="CB207" i="18"/>
  <c r="CF207" i="18"/>
  <c r="BT211" i="18"/>
  <c r="BX211" i="18"/>
  <c r="CB211" i="18"/>
  <c r="CF210" i="18"/>
  <c r="AU222" i="18"/>
  <c r="BX231" i="18"/>
  <c r="AZ231" i="18"/>
  <c r="AR233" i="18"/>
  <c r="BR237" i="18"/>
  <c r="BV237" i="18"/>
  <c r="BZ237" i="18"/>
  <c r="CD237" i="18"/>
  <c r="AN237" i="18"/>
  <c r="BS36" i="18"/>
  <c r="BW36" i="18"/>
  <c r="CA36" i="18"/>
  <c r="CE36" i="18"/>
  <c r="AM64" i="18"/>
  <c r="AQ64" i="18"/>
  <c r="AU64" i="18"/>
  <c r="AM68" i="18"/>
  <c r="AQ68" i="18"/>
  <c r="BU209" i="18"/>
  <c r="BY209" i="18"/>
  <c r="CC209" i="18"/>
  <c r="BS210" i="18"/>
  <c r="BW210" i="18"/>
  <c r="CA210" i="18"/>
  <c r="AX38" i="18"/>
  <c r="BU50" i="18"/>
  <c r="BY50" i="18"/>
  <c r="CC50" i="18"/>
  <c r="AL52" i="18"/>
  <c r="AP52" i="18"/>
  <c r="AT52" i="18"/>
  <c r="BU54" i="18"/>
  <c r="BY54" i="18"/>
  <c r="CC54" i="18"/>
  <c r="AL76" i="18"/>
  <c r="AP76" i="18"/>
  <c r="AT76" i="18"/>
  <c r="AX76" i="18"/>
  <c r="BU78" i="18"/>
  <c r="BY78" i="18"/>
  <c r="CC78" i="18"/>
  <c r="AL80" i="18"/>
  <c r="AP80" i="18"/>
  <c r="AT80" i="18"/>
  <c r="AX80" i="18"/>
  <c r="BS90" i="18"/>
  <c r="BW90" i="18"/>
  <c r="CA90" i="18"/>
  <c r="CE90" i="18"/>
  <c r="BW94" i="18"/>
  <c r="CA94" i="18"/>
  <c r="CE94" i="18"/>
  <c r="BR104" i="18"/>
  <c r="BV104" i="18"/>
  <c r="BZ104" i="18"/>
  <c r="CD104" i="18"/>
  <c r="BY105" i="18"/>
  <c r="BS116" i="18"/>
  <c r="BW116" i="18"/>
  <c r="CA116" i="18"/>
  <c r="CE116" i="18"/>
  <c r="BR117" i="18"/>
  <c r="BV117" i="18"/>
  <c r="BZ117" i="18"/>
  <c r="CD117" i="18"/>
  <c r="BS120" i="18"/>
  <c r="BU130" i="18"/>
  <c r="BY130" i="18"/>
  <c r="CC130" i="18"/>
  <c r="BR167" i="18"/>
  <c r="BV167" i="18"/>
  <c r="BZ167" i="18"/>
  <c r="CD167" i="18"/>
  <c r="BY168" i="18"/>
  <c r="BR171" i="18"/>
  <c r="BV171" i="18"/>
  <c r="BZ171" i="18"/>
  <c r="CD171" i="18"/>
  <c r="BU182" i="18"/>
  <c r="BY182" i="18"/>
  <c r="CC182" i="18"/>
  <c r="AP195" i="18"/>
  <c r="AM250" i="18"/>
  <c r="AV8" i="18"/>
  <c r="BT36" i="18"/>
  <c r="AW38" i="18"/>
  <c r="AM40" i="18"/>
  <c r="AQ40" i="18"/>
  <c r="AU40" i="18"/>
  <c r="AY40" i="18"/>
  <c r="AW42" i="18"/>
  <c r="BS51" i="18"/>
  <c r="AW36" i="18"/>
  <c r="CC36" i="18"/>
  <c r="AM39" i="18"/>
  <c r="AO39" i="18"/>
  <c r="AN40" i="18"/>
  <c r="AR40" i="18"/>
  <c r="AV40" i="18"/>
  <c r="AZ40" i="18"/>
  <c r="AW5" i="18"/>
  <c r="BT38" i="18"/>
  <c r="BX38" i="18"/>
  <c r="CB38" i="18"/>
  <c r="CF38" i="18"/>
  <c r="AW40" i="18"/>
  <c r="BW51" i="18"/>
  <c r="CA51" i="18"/>
  <c r="CE51" i="18"/>
  <c r="BR52" i="18"/>
  <c r="BV52" i="18"/>
  <c r="BZ52" i="18"/>
  <c r="CD52" i="18"/>
  <c r="BS55" i="18"/>
  <c r="BW55" i="18"/>
  <c r="CA55" i="18"/>
  <c r="CE55" i="18"/>
  <c r="BY62" i="18"/>
  <c r="AY64" i="18"/>
  <c r="AU68" i="18"/>
  <c r="AY68" i="18"/>
  <c r="BR76" i="18"/>
  <c r="BV76" i="18"/>
  <c r="BZ76" i="18"/>
  <c r="CD76" i="18"/>
  <c r="AM78" i="18"/>
  <c r="BW79" i="18"/>
  <c r="CA79" i="18"/>
  <c r="CE79" i="18"/>
  <c r="BR80" i="18"/>
  <c r="BV80" i="18"/>
  <c r="BZ80" i="18"/>
  <c r="CD80" i="18"/>
  <c r="AL89" i="18"/>
  <c r="AP89" i="18"/>
  <c r="AT89" i="18"/>
  <c r="AX89" i="18"/>
  <c r="BU91" i="18"/>
  <c r="BY91" i="18"/>
  <c r="CC91" i="18"/>
  <c r="BS93" i="18"/>
  <c r="AL93" i="18"/>
  <c r="AP93" i="18"/>
  <c r="AT93" i="18"/>
  <c r="AX93" i="18"/>
  <c r="BS102" i="18"/>
  <c r="AL115" i="18"/>
  <c r="AP115" i="18"/>
  <c r="AT115" i="18"/>
  <c r="AX115" i="18"/>
  <c r="BU117" i="18"/>
  <c r="BY117" i="18"/>
  <c r="CC117" i="18"/>
  <c r="BT118" i="18"/>
  <c r="BX118" i="18"/>
  <c r="CB118" i="18"/>
  <c r="CF118" i="18"/>
  <c r="CE119" i="18"/>
  <c r="AL119" i="18"/>
  <c r="AP119" i="18"/>
  <c r="AT119" i="18"/>
  <c r="AX119" i="18"/>
  <c r="AL141" i="18"/>
  <c r="AP141" i="18"/>
  <c r="AT141" i="18"/>
  <c r="AX141" i="18"/>
  <c r="AL145" i="18"/>
  <c r="AP145" i="18"/>
  <c r="AT145" i="18"/>
  <c r="AX145" i="18"/>
  <c r="BS156" i="18"/>
  <c r="AL156" i="18"/>
  <c r="AP156" i="18"/>
  <c r="AT156" i="18"/>
  <c r="AX156" i="18"/>
  <c r="BS169" i="18"/>
  <c r="BS183" i="18"/>
  <c r="BW183" i="18"/>
  <c r="CA183" i="18"/>
  <c r="BU211" i="18"/>
  <c r="BY211" i="18"/>
  <c r="CC211" i="18"/>
  <c r="CC210" i="18"/>
  <c r="AL211" i="18"/>
  <c r="AP211" i="18"/>
  <c r="AT211" i="18"/>
  <c r="CD211" i="18"/>
  <c r="AV237" i="18"/>
  <c r="CC249" i="18"/>
  <c r="AM93" i="18"/>
  <c r="BS142" i="18"/>
  <c r="BW142" i="18"/>
  <c r="CA142" i="18"/>
  <c r="CE142" i="18"/>
  <c r="BS146" i="18"/>
  <c r="BW146" i="18"/>
  <c r="CA146" i="18"/>
  <c r="CE146" i="18"/>
  <c r="BS157" i="18"/>
  <c r="BW157" i="18"/>
  <c r="CA157" i="18"/>
  <c r="AM167" i="18"/>
  <c r="BW180" i="18"/>
  <c r="BW184" i="18"/>
  <c r="BU196" i="18"/>
  <c r="BY196" i="18"/>
  <c r="CC196" i="18"/>
  <c r="CB206" i="18"/>
  <c r="BV207" i="18"/>
  <c r="AQ211" i="18"/>
  <c r="BR50" i="18"/>
  <c r="BV50" i="18"/>
  <c r="BZ50" i="18"/>
  <c r="CD50" i="18"/>
  <c r="BS53" i="18"/>
  <c r="BW53" i="18"/>
  <c r="CA53" i="18"/>
  <c r="CE53" i="18"/>
  <c r="BR54" i="18"/>
  <c r="BV54" i="18"/>
  <c r="BZ54" i="18"/>
  <c r="CD54" i="18"/>
  <c r="BW77" i="18"/>
  <c r="CA77" i="18"/>
  <c r="CE77" i="18"/>
  <c r="BR78" i="18"/>
  <c r="BV78" i="18"/>
  <c r="BZ78" i="18"/>
  <c r="CD78" i="18"/>
  <c r="BS81" i="18"/>
  <c r="BW81" i="18"/>
  <c r="CA81" i="18"/>
  <c r="CE81" i="18"/>
  <c r="BU89" i="18"/>
  <c r="BY89" i="18"/>
  <c r="CC89" i="18"/>
  <c r="AL91" i="18"/>
  <c r="AP91" i="18"/>
  <c r="AT91" i="18"/>
  <c r="AX91" i="18"/>
  <c r="BU93" i="18"/>
  <c r="BY93" i="18"/>
  <c r="CC93" i="18"/>
  <c r="BS104" i="18"/>
  <c r="BU115" i="18"/>
  <c r="BY115" i="18"/>
  <c r="CC115" i="18"/>
  <c r="BT116" i="18"/>
  <c r="BX116" i="18"/>
  <c r="CE117" i="18"/>
  <c r="AL117" i="18"/>
  <c r="AP117" i="18"/>
  <c r="AT117" i="18"/>
  <c r="AX117" i="18"/>
  <c r="BU119" i="18"/>
  <c r="BY119" i="18"/>
  <c r="CC119" i="18"/>
  <c r="BS129" i="18"/>
  <c r="BW129" i="18"/>
  <c r="CA129" i="18"/>
  <c r="CE129" i="18"/>
  <c r="BR130" i="18"/>
  <c r="BV130" i="18"/>
  <c r="BZ130" i="18"/>
  <c r="CD130" i="18"/>
  <c r="BS133" i="18"/>
  <c r="BW133" i="18"/>
  <c r="CA133" i="18"/>
  <c r="CE133" i="18"/>
  <c r="BU141" i="18"/>
  <c r="BY141" i="18"/>
  <c r="CC141" i="18"/>
  <c r="AT143" i="18"/>
  <c r="AX143" i="18"/>
  <c r="BU145" i="18"/>
  <c r="BY145" i="18"/>
  <c r="CC145" i="18"/>
  <c r="AT154" i="18"/>
  <c r="AX154" i="18"/>
  <c r="BU156" i="18"/>
  <c r="BY156" i="18"/>
  <c r="CC156" i="18"/>
  <c r="BS158" i="18"/>
  <c r="AL158" i="18"/>
  <c r="AP158" i="18"/>
  <c r="AT158" i="18"/>
  <c r="AX158" i="18"/>
  <c r="BS167" i="18"/>
  <c r="BS171" i="18"/>
  <c r="CC208" i="18"/>
  <c r="AN211" i="18"/>
  <c r="AR211" i="18"/>
  <c r="AV211" i="18"/>
  <c r="AZ211" i="18"/>
  <c r="AY250" i="18"/>
  <c r="AX5" i="18"/>
  <c r="BS5" i="18"/>
  <c r="BW5" i="18"/>
  <c r="CA5" i="18"/>
  <c r="CE5" i="18"/>
  <c r="BT5" i="18"/>
  <c r="BX5" i="18"/>
  <c r="CB5" i="18"/>
  <c r="CF5" i="18"/>
  <c r="AL10" i="17"/>
  <c r="CC9" i="17"/>
  <c r="AV6" i="18"/>
  <c r="AV10" i="18"/>
  <c r="AW7" i="18"/>
  <c r="AX9" i="18"/>
  <c r="AP11" i="18"/>
  <c r="AM6" i="18"/>
  <c r="CC7" i="18"/>
  <c r="AM7" i="18"/>
  <c r="AQ7" i="18"/>
  <c r="AM8" i="18"/>
  <c r="AM10" i="18"/>
  <c r="AM11" i="18"/>
  <c r="AQ11" i="18"/>
  <c r="AU11" i="18"/>
  <c r="AW9" i="18"/>
  <c r="AW11" i="18"/>
  <c r="AX7" i="18"/>
  <c r="AX11" i="18"/>
  <c r="CC5" i="18"/>
  <c r="AN7" i="18"/>
  <c r="AR7" i="18"/>
  <c r="AV7" i="18"/>
  <c r="AZ7" i="18"/>
  <c r="AN9" i="18"/>
  <c r="AR9" i="18"/>
  <c r="AV9" i="18"/>
  <c r="AZ9" i="18"/>
  <c r="AO6" i="18"/>
  <c r="AU7" i="18"/>
  <c r="AY7" i="18"/>
  <c r="AO10" i="18"/>
  <c r="AY11" i="18"/>
  <c r="CD5" i="18"/>
  <c r="AM9" i="18"/>
  <c r="AQ9" i="18"/>
  <c r="AU9" i="18"/>
  <c r="AY9" i="18"/>
  <c r="BY75" i="18"/>
  <c r="BY77" i="18"/>
  <c r="BY79" i="18"/>
  <c r="BU114" i="18"/>
  <c r="BY127" i="18"/>
  <c r="BY144" i="18"/>
  <c r="CC181" i="18"/>
  <c r="AM37" i="18"/>
  <c r="AW37" i="18"/>
  <c r="AR38" i="18"/>
  <c r="AO42" i="18"/>
  <c r="BS49" i="18"/>
  <c r="BW49" i="18"/>
  <c r="BS50" i="18"/>
  <c r="AM51" i="18"/>
  <c r="BS52" i="18"/>
  <c r="AM53" i="18"/>
  <c r="BS54" i="18"/>
  <c r="AM55" i="18"/>
  <c r="BY88" i="18"/>
  <c r="BY90" i="18"/>
  <c r="BY92" i="18"/>
  <c r="AS94" i="18"/>
  <c r="AL106" i="18"/>
  <c r="AP106" i="18"/>
  <c r="AT106" i="18"/>
  <c r="AX106" i="18"/>
  <c r="CB116" i="18"/>
  <c r="CF116" i="18"/>
  <c r="AO120" i="18"/>
  <c r="AS133" i="18"/>
  <c r="BY142" i="18"/>
  <c r="BS144" i="18"/>
  <c r="BW144" i="18"/>
  <c r="CA144" i="18"/>
  <c r="CE144" i="18"/>
  <c r="BS154" i="18"/>
  <c r="BY157" i="18"/>
  <c r="BS159" i="18"/>
  <c r="BW159" i="18"/>
  <c r="CA159" i="18"/>
  <c r="CE159" i="18"/>
  <c r="CC179" i="18"/>
  <c r="BS181" i="18"/>
  <c r="BW181" i="18"/>
  <c r="CA181" i="18"/>
  <c r="CE181" i="18"/>
  <c r="CE210" i="18"/>
  <c r="AY209" i="18"/>
  <c r="CC62" i="18"/>
  <c r="AP42" i="18"/>
  <c r="AX42" i="18"/>
  <c r="AX52" i="18"/>
  <c r="AL54" i="18"/>
  <c r="AP54" i="18"/>
  <c r="AT54" i="18"/>
  <c r="AX54" i="18"/>
  <c r="BS62" i="18"/>
  <c r="BW62" i="18"/>
  <c r="CA62" i="18"/>
  <c r="CE62" i="18"/>
  <c r="AM63" i="18"/>
  <c r="AQ65" i="18"/>
  <c r="AM67" i="18"/>
  <c r="BS75" i="18"/>
  <c r="BW75" i="18"/>
  <c r="CA75" i="18"/>
  <c r="CE75" i="18"/>
  <c r="BS76" i="18"/>
  <c r="AM77" i="18"/>
  <c r="AQ77" i="18"/>
  <c r="AU77" i="18"/>
  <c r="AY77" i="18"/>
  <c r="BS78" i="18"/>
  <c r="AM79" i="18"/>
  <c r="AQ79" i="18"/>
  <c r="AU79" i="18"/>
  <c r="AY79" i="18"/>
  <c r="BS80" i="18"/>
  <c r="AM81" i="18"/>
  <c r="AQ81" i="18"/>
  <c r="AU81" i="18"/>
  <c r="AY81" i="18"/>
  <c r="BR89" i="18"/>
  <c r="BV89" i="18"/>
  <c r="BZ89" i="18"/>
  <c r="CD89" i="18"/>
  <c r="BR91" i="18"/>
  <c r="BV91" i="18"/>
  <c r="BZ91" i="18"/>
  <c r="CD91" i="18"/>
  <c r="BR93" i="18"/>
  <c r="BV93" i="18"/>
  <c r="BZ93" i="18"/>
  <c r="CD93" i="18"/>
  <c r="AL102" i="18"/>
  <c r="AP102" i="18"/>
  <c r="AT102" i="18"/>
  <c r="AX102" i="18"/>
  <c r="AL104" i="18"/>
  <c r="AP104" i="18"/>
  <c r="AT104" i="18"/>
  <c r="AX104" i="18"/>
  <c r="CE115" i="18"/>
  <c r="BU118" i="18"/>
  <c r="BW120" i="18"/>
  <c r="CA120" i="18"/>
  <c r="CE120" i="18"/>
  <c r="BY131" i="18"/>
  <c r="BY140" i="18"/>
  <c r="BY155" i="18"/>
  <c r="BW182" i="18"/>
  <c r="BT40" i="18"/>
  <c r="BX40" i="18"/>
  <c r="CB40" i="18"/>
  <c r="CF40" i="18"/>
  <c r="BT42" i="18"/>
  <c r="BX42" i="18"/>
  <c r="CB42" i="18"/>
  <c r="CF42" i="18"/>
  <c r="BY49" i="18"/>
  <c r="BY51" i="18"/>
  <c r="BY53" i="18"/>
  <c r="AS55" i="18"/>
  <c r="BT62" i="18"/>
  <c r="AM66" i="18"/>
  <c r="AQ66" i="18"/>
  <c r="AU66" i="18"/>
  <c r="AY66" i="18"/>
  <c r="AS68" i="18"/>
  <c r="AW68" i="18"/>
  <c r="BS88" i="18"/>
  <c r="BW88" i="18"/>
  <c r="BS89" i="18"/>
  <c r="AM90" i="18"/>
  <c r="BS91" i="18"/>
  <c r="AM94" i="18"/>
  <c r="AQ94" i="18"/>
  <c r="BU102" i="18"/>
  <c r="BY102" i="18"/>
  <c r="CC102" i="18"/>
  <c r="BY101" i="18"/>
  <c r="BU104" i="18"/>
  <c r="BY104" i="18"/>
  <c r="CC104" i="18"/>
  <c r="AM104" i="18"/>
  <c r="BW105" i="18"/>
  <c r="BU116" i="18"/>
  <c r="BS118" i="18"/>
  <c r="BW118" i="18"/>
  <c r="CA118" i="18"/>
  <c r="BY129" i="18"/>
  <c r="BS131" i="18"/>
  <c r="BW131" i="18"/>
  <c r="CA131" i="18"/>
  <c r="CE131" i="18"/>
  <c r="AS146" i="18"/>
  <c r="BY153" i="18"/>
  <c r="BS155" i="18"/>
  <c r="BW155" i="18"/>
  <c r="CC183" i="18"/>
  <c r="BS185" i="18"/>
  <c r="BW185" i="18"/>
  <c r="CA185" i="18"/>
  <c r="CE185" i="18"/>
  <c r="AP234" i="18"/>
  <c r="AX234" i="18"/>
  <c r="BR119" i="18"/>
  <c r="BV119" i="18"/>
  <c r="BZ119" i="18"/>
  <c r="CD119" i="18"/>
  <c r="BT120" i="18"/>
  <c r="BX120" i="18"/>
  <c r="CB120" i="18"/>
  <c r="CF120" i="18"/>
  <c r="AL120" i="18"/>
  <c r="AP120" i="18"/>
  <c r="AT120" i="18"/>
  <c r="AX120" i="18"/>
  <c r="BS127" i="18"/>
  <c r="BW127" i="18"/>
  <c r="CA127" i="18"/>
  <c r="CE127" i="18"/>
  <c r="BS128" i="18"/>
  <c r="AM129" i="18"/>
  <c r="AQ129" i="18"/>
  <c r="AU129" i="18"/>
  <c r="AY129" i="18"/>
  <c r="BS130" i="18"/>
  <c r="AM131" i="18"/>
  <c r="AQ131" i="18"/>
  <c r="AU131" i="18"/>
  <c r="AY131" i="18"/>
  <c r="BS132" i="18"/>
  <c r="AM133" i="18"/>
  <c r="AQ133" i="18"/>
  <c r="AU133" i="18"/>
  <c r="AY133" i="18"/>
  <c r="BR141" i="18"/>
  <c r="BV141" i="18"/>
  <c r="BZ141" i="18"/>
  <c r="CD141" i="18"/>
  <c r="BR143" i="18"/>
  <c r="BV143" i="18"/>
  <c r="BZ143" i="18"/>
  <c r="CD143" i="18"/>
  <c r="BR145" i="18"/>
  <c r="BV145" i="18"/>
  <c r="BZ145" i="18"/>
  <c r="CD145" i="18"/>
  <c r="BR154" i="18"/>
  <c r="BV154" i="18"/>
  <c r="BZ154" i="18"/>
  <c r="CD154" i="18"/>
  <c r="BR156" i="18"/>
  <c r="BV156" i="18"/>
  <c r="BZ156" i="18"/>
  <c r="CD156" i="18"/>
  <c r="BR158" i="18"/>
  <c r="BV158" i="18"/>
  <c r="BZ158" i="18"/>
  <c r="CD158" i="18"/>
  <c r="AL167" i="18"/>
  <c r="AP167" i="18"/>
  <c r="AT167" i="18"/>
  <c r="AX167" i="18"/>
  <c r="AL169" i="18"/>
  <c r="AP169" i="18"/>
  <c r="AT169" i="18"/>
  <c r="AX169" i="18"/>
  <c r="AL171" i="18"/>
  <c r="AP171" i="18"/>
  <c r="AT171" i="18"/>
  <c r="AX171" i="18"/>
  <c r="BS194" i="18"/>
  <c r="AQ193" i="18"/>
  <c r="CA194" i="18"/>
  <c r="AO198" i="18"/>
  <c r="AY207" i="18"/>
  <c r="AT207" i="18"/>
  <c r="AW208" i="18"/>
  <c r="BS211" i="18"/>
  <c r="CA211" i="18"/>
  <c r="CE211" i="18"/>
  <c r="AY211" i="18"/>
  <c r="BX219" i="18"/>
  <c r="CB219" i="18"/>
  <c r="CF219" i="18"/>
  <c r="BV220" i="18"/>
  <c r="BZ220" i="18"/>
  <c r="CA105" i="18"/>
  <c r="BU106" i="18"/>
  <c r="BY106" i="18"/>
  <c r="CC106" i="18"/>
  <c r="BS107" i="18"/>
  <c r="BW107" i="18"/>
  <c r="CA107" i="18"/>
  <c r="AS107" i="18"/>
  <c r="AY115" i="18"/>
  <c r="AY117" i="18"/>
  <c r="AY119" i="18"/>
  <c r="AL128" i="18"/>
  <c r="AP128" i="18"/>
  <c r="AT128" i="18"/>
  <c r="AX128" i="18"/>
  <c r="AL130" i="18"/>
  <c r="AP130" i="18"/>
  <c r="AT130" i="18"/>
  <c r="AX130" i="18"/>
  <c r="AL132" i="18"/>
  <c r="AP132" i="18"/>
  <c r="AT132" i="18"/>
  <c r="AX132" i="18"/>
  <c r="BS140" i="18"/>
  <c r="BS141" i="18"/>
  <c r="AM142" i="18"/>
  <c r="BS143" i="18"/>
  <c r="AM144" i="18"/>
  <c r="BS145" i="18"/>
  <c r="AM146" i="18"/>
  <c r="BU167" i="18"/>
  <c r="BY167" i="18"/>
  <c r="CC167" i="18"/>
  <c r="BY166" i="18"/>
  <c r="BS168" i="18"/>
  <c r="BU169" i="18"/>
  <c r="BY169" i="18"/>
  <c r="CC169" i="18"/>
  <c r="BS170" i="18"/>
  <c r="BW170" i="18"/>
  <c r="CA170" i="18"/>
  <c r="BU171" i="18"/>
  <c r="BY171" i="18"/>
  <c r="CC171" i="18"/>
  <c r="BS172" i="18"/>
  <c r="BW172" i="18"/>
  <c r="CA172" i="18"/>
  <c r="CE172" i="18"/>
  <c r="AS172" i="18"/>
  <c r="BT179" i="18"/>
  <c r="BX179" i="18"/>
  <c r="CB179" i="18"/>
  <c r="CF179" i="18"/>
  <c r="AL180" i="18"/>
  <c r="AP180" i="18"/>
  <c r="AT180" i="18"/>
  <c r="AX180" i="18"/>
  <c r="BV193" i="18"/>
  <c r="BX193" i="18"/>
  <c r="AZ193" i="18"/>
  <c r="BV195" i="18"/>
  <c r="AN195" i="18"/>
  <c r="AR195" i="18"/>
  <c r="AV195" i="18"/>
  <c r="AZ195" i="18"/>
  <c r="BU207" i="18"/>
  <c r="BY207" i="18"/>
  <c r="CC207" i="18"/>
  <c r="AW206" i="18"/>
  <c r="AP207" i="18"/>
  <c r="AL209" i="18"/>
  <c r="AP209" i="18"/>
  <c r="AT209" i="18"/>
  <c r="AX209" i="18"/>
  <c r="CD220" i="18"/>
  <c r="BX221" i="18"/>
  <c r="CB221" i="18"/>
  <c r="CF221" i="18"/>
  <c r="BV222" i="18"/>
  <c r="BZ222" i="18"/>
  <c r="CD222" i="18"/>
  <c r="BX223" i="18"/>
  <c r="CB223" i="18"/>
  <c r="CF223" i="18"/>
  <c r="BV224" i="18"/>
  <c r="BZ224" i="18"/>
  <c r="CD224" i="18"/>
  <c r="BX224" i="18"/>
  <c r="BU232" i="18"/>
  <c r="BY232" i="18"/>
  <c r="CC232" i="18"/>
  <c r="BS233" i="18"/>
  <c r="BW233" i="18"/>
  <c r="CA233" i="18"/>
  <c r="CE233" i="18"/>
  <c r="BU234" i="18"/>
  <c r="BY234" i="18"/>
  <c r="BS235" i="18"/>
  <c r="BW235" i="18"/>
  <c r="CA235" i="18"/>
  <c r="CE235" i="18"/>
  <c r="CF250" i="18"/>
  <c r="BR260" i="18"/>
  <c r="BV260" i="18"/>
  <c r="BZ260" i="18"/>
  <c r="CD260" i="18"/>
  <c r="BR262" i="18"/>
  <c r="BV262" i="18"/>
  <c r="BZ262" i="18"/>
  <c r="CD262" i="18"/>
  <c r="BZ180" i="18"/>
  <c r="CD180" i="18"/>
  <c r="AN180" i="18"/>
  <c r="AR180" i="18"/>
  <c r="AV180" i="18"/>
  <c r="AZ180" i="18"/>
  <c r="AN182" i="18"/>
  <c r="AR182" i="18"/>
  <c r="AV182" i="18"/>
  <c r="AZ182" i="18"/>
  <c r="AN184" i="18"/>
  <c r="AR184" i="18"/>
  <c r="AV184" i="18"/>
  <c r="AZ184" i="18"/>
  <c r="AN207" i="18"/>
  <c r="AR207" i="18"/>
  <c r="AV207" i="18"/>
  <c r="AZ207" i="18"/>
  <c r="BT209" i="18"/>
  <c r="BX209" i="18"/>
  <c r="CB209" i="18"/>
  <c r="CF209" i="18"/>
  <c r="AN209" i="18"/>
  <c r="AR209" i="18"/>
  <c r="AV209" i="18"/>
  <c r="AZ209" i="18"/>
  <c r="AW210" i="18"/>
  <c r="BU219" i="18"/>
  <c r="BY219" i="18"/>
  <c r="CC219" i="18"/>
  <c r="BS220" i="18"/>
  <c r="BW220" i="18"/>
  <c r="CA220" i="18"/>
  <c r="CE220" i="18"/>
  <c r="BU221" i="18"/>
  <c r="BY221" i="18"/>
  <c r="CC221" i="18"/>
  <c r="BS222" i="18"/>
  <c r="BW222" i="18"/>
  <c r="CA222" i="18"/>
  <c r="CE222" i="18"/>
  <c r="BU223" i="18"/>
  <c r="BY223" i="18"/>
  <c r="CC223" i="18"/>
  <c r="BS224" i="18"/>
  <c r="BW224" i="18"/>
  <c r="CA224" i="18"/>
  <c r="CE224" i="18"/>
  <c r="BR231" i="18"/>
  <c r="BV231" i="18"/>
  <c r="BZ231" i="18"/>
  <c r="CD231" i="18"/>
  <c r="AN232" i="18"/>
  <c r="AR232" i="18"/>
  <c r="AV232" i="18"/>
  <c r="AZ232" i="18"/>
  <c r="AL233" i="18"/>
  <c r="AP233" i="18"/>
  <c r="AT233" i="18"/>
  <c r="AX233" i="18"/>
  <c r="AN234" i="18"/>
  <c r="AR234" i="18"/>
  <c r="AV234" i="18"/>
  <c r="AZ234" i="18"/>
  <c r="AL235" i="18"/>
  <c r="BV236" i="18"/>
  <c r="AT235" i="18"/>
  <c r="CD236" i="18"/>
  <c r="BT237" i="18"/>
  <c r="AR236" i="18"/>
  <c r="CB237" i="18"/>
  <c r="AZ236" i="18"/>
  <c r="AL237" i="18"/>
  <c r="CA247" i="18"/>
  <c r="BS249" i="18"/>
  <c r="BW249" i="18"/>
  <c r="CA249" i="18"/>
  <c r="CE249" i="18"/>
  <c r="BU250" i="18"/>
  <c r="BY250" i="18"/>
  <c r="CC250" i="18"/>
  <c r="AS249" i="18"/>
  <c r="AL250" i="18"/>
  <c r="AU258" i="18"/>
  <c r="AO258" i="18"/>
  <c r="AW258" i="18"/>
  <c r="AL258" i="18"/>
  <c r="AP258" i="18"/>
  <c r="AT258" i="18"/>
  <c r="AX258" i="18"/>
  <c r="AO260" i="18"/>
  <c r="AS260" i="18"/>
  <c r="AW260" i="18"/>
  <c r="AO262" i="18"/>
  <c r="AS262" i="18"/>
  <c r="AW262" i="18"/>
  <c r="AS258" i="18"/>
  <c r="AX260" i="18"/>
  <c r="AL262" i="18"/>
  <c r="AP262" i="18"/>
  <c r="AT262" i="18"/>
  <c r="AX262" i="18"/>
  <c r="BR258" i="18"/>
  <c r="BV258" i="18"/>
  <c r="BZ258" i="18"/>
  <c r="CD258" i="18"/>
  <c r="CA263" i="18"/>
  <c r="BS247" i="18"/>
  <c r="AS248" i="18"/>
  <c r="AO248" i="18"/>
  <c r="AN245" i="18"/>
  <c r="AR245" i="18"/>
  <c r="AL248" i="18"/>
  <c r="AP248" i="18"/>
  <c r="AT248" i="18"/>
  <c r="AX248" i="18"/>
  <c r="AQ248" i="18"/>
  <c r="AM249" i="18"/>
  <c r="AQ249" i="18"/>
  <c r="AU249" i="18"/>
  <c r="AO250" i="18"/>
  <c r="AS250" i="18"/>
  <c r="AW250" i="18"/>
  <c r="BS250" i="18"/>
  <c r="AO245" i="18"/>
  <c r="AS245" i="18"/>
  <c r="AW245" i="18"/>
  <c r="BW247" i="18"/>
  <c r="CE247" i="18"/>
  <c r="AY247" i="18"/>
  <c r="BU248" i="18"/>
  <c r="AS247" i="18"/>
  <c r="CC248" i="18"/>
  <c r="AW248" i="18"/>
  <c r="BY249" i="18"/>
  <c r="AP250" i="18"/>
  <c r="AT250" i="18"/>
  <c r="AX250" i="18"/>
  <c r="BR248" i="18"/>
  <c r="BV248" i="18"/>
  <c r="BZ248" i="18"/>
  <c r="CD248" i="18"/>
  <c r="AY248" i="18"/>
  <c r="AO249" i="18"/>
  <c r="AK250" i="18"/>
  <c r="BA250" i="18" s="1"/>
  <c r="BK250" i="18" s="1"/>
  <c r="BW250" i="18"/>
  <c r="CA250" i="18"/>
  <c r="BX237" i="18"/>
  <c r="CF237" i="18"/>
  <c r="BW231" i="18"/>
  <c r="CA231" i="18"/>
  <c r="CE231" i="18"/>
  <c r="AO232" i="18"/>
  <c r="AS232" i="18"/>
  <c r="AW232" i="18"/>
  <c r="AU233" i="18"/>
  <c r="AY233" i="18"/>
  <c r="AO234" i="18"/>
  <c r="AS234" i="18"/>
  <c r="AW234" i="18"/>
  <c r="AV236" i="18"/>
  <c r="AO237" i="18"/>
  <c r="AS237" i="18"/>
  <c r="AW237" i="18"/>
  <c r="BT232" i="18"/>
  <c r="CB232" i="18"/>
  <c r="AK232" i="18"/>
  <c r="BA232" i="18" s="1"/>
  <c r="BM232" i="18" s="1"/>
  <c r="BV232" i="18"/>
  <c r="BZ232" i="18"/>
  <c r="CD233" i="18"/>
  <c r="BT233" i="18"/>
  <c r="CB234" i="18"/>
  <c r="CF233" i="18"/>
  <c r="AK234" i="18"/>
  <c r="BB234" i="18" s="1"/>
  <c r="BZ234" i="18"/>
  <c r="BT236" i="18"/>
  <c r="BX236" i="18"/>
  <c r="CB236" i="18"/>
  <c r="CF236" i="18"/>
  <c r="AW236" i="18"/>
  <c r="AP237" i="18"/>
  <c r="AT237" i="18"/>
  <c r="AX237" i="18"/>
  <c r="CC234" i="18"/>
  <c r="BU236" i="18"/>
  <c r="BY236" i="18"/>
  <c r="CC236" i="18"/>
  <c r="BW237" i="18"/>
  <c r="CA237" i="18"/>
  <c r="CE237" i="18"/>
  <c r="AN231" i="18"/>
  <c r="AV231" i="18"/>
  <c r="CB231" i="18"/>
  <c r="AL232" i="18"/>
  <c r="AX232" i="18"/>
  <c r="BR232" i="18"/>
  <c r="CD232" i="18"/>
  <c r="AN233" i="18"/>
  <c r="AZ233" i="18"/>
  <c r="CB233" i="18"/>
  <c r="AL234" i="18"/>
  <c r="AT234" i="18"/>
  <c r="BR234" i="18"/>
  <c r="AV235" i="18"/>
  <c r="BT235" i="18"/>
  <c r="CB235" i="18"/>
  <c r="CF235" i="18"/>
  <c r="AR237" i="18"/>
  <c r="AZ237" i="18"/>
  <c r="AK244" i="18"/>
  <c r="BA244" i="18" s="1"/>
  <c r="AU245" i="18"/>
  <c r="CA245" i="18"/>
  <c r="CC246" i="18"/>
  <c r="CC247" i="18"/>
  <c r="AK246" i="18"/>
  <c r="BA246" i="18" s="1"/>
  <c r="AK231" i="18"/>
  <c r="AO231" i="18"/>
  <c r="AS231" i="18"/>
  <c r="AW231" i="18"/>
  <c r="BU231" i="18"/>
  <c r="BY231" i="18"/>
  <c r="CC231" i="18"/>
  <c r="AM232" i="18"/>
  <c r="AQ232" i="18"/>
  <c r="AU232" i="18"/>
  <c r="AY232" i="18"/>
  <c r="BS232" i="18"/>
  <c r="BW232" i="18"/>
  <c r="CA232" i="18"/>
  <c r="CE232" i="18"/>
  <c r="AK233" i="18"/>
  <c r="AO233" i="18"/>
  <c r="AS233" i="18"/>
  <c r="AW233" i="18"/>
  <c r="BU233" i="18"/>
  <c r="BY233" i="18"/>
  <c r="CC233" i="18"/>
  <c r="AM234" i="18"/>
  <c r="AQ234" i="18"/>
  <c r="AU234" i="18"/>
  <c r="AY234" i="18"/>
  <c r="BS234" i="18"/>
  <c r="BW234" i="18"/>
  <c r="CA234" i="18"/>
  <c r="CE234" i="18"/>
  <c r="AK235" i="18"/>
  <c r="AO235" i="18"/>
  <c r="AS235" i="18"/>
  <c r="AW235" i="18"/>
  <c r="BU235" i="18"/>
  <c r="BY235" i="18"/>
  <c r="CC235" i="18"/>
  <c r="AM236" i="18"/>
  <c r="AQ236" i="18"/>
  <c r="AU236" i="18"/>
  <c r="AY236" i="18"/>
  <c r="AN236" i="18"/>
  <c r="AS236" i="18"/>
  <c r="AX236" i="18"/>
  <c r="AU237" i="18"/>
  <c r="BS237" i="18"/>
  <c r="BR244" i="18"/>
  <c r="BV244" i="18"/>
  <c r="BZ244" i="18"/>
  <c r="CD244" i="18"/>
  <c r="AO244" i="18"/>
  <c r="BF244" i="18" s="1"/>
  <c r="BU244" i="18"/>
  <c r="CB246" i="18"/>
  <c r="AY245" i="18"/>
  <c r="CE245" i="18"/>
  <c r="AO246" i="18"/>
  <c r="BU246" i="18"/>
  <c r="BS261" i="18"/>
  <c r="AK260" i="18"/>
  <c r="BA260" i="18" s="1"/>
  <c r="BS260" i="18"/>
  <c r="AM260" i="18"/>
  <c r="BW261" i="18"/>
  <c r="BW260" i="18"/>
  <c r="AQ260" i="18"/>
  <c r="CA261" i="18"/>
  <c r="AU260" i="18"/>
  <c r="CE261" i="18"/>
  <c r="CE260" i="18"/>
  <c r="AY260" i="18"/>
  <c r="BT231" i="18"/>
  <c r="CF231" i="18"/>
  <c r="AT232" i="18"/>
  <c r="AV233" i="18"/>
  <c r="BX233" i="18"/>
  <c r="BV234" i="18"/>
  <c r="CD234" i="18"/>
  <c r="AN235" i="18"/>
  <c r="AZ235" i="18"/>
  <c r="BX235" i="18"/>
  <c r="BZ236" i="18"/>
  <c r="AL231" i="18"/>
  <c r="AP231" i="18"/>
  <c r="AT231" i="18"/>
  <c r="AX231" i="18"/>
  <c r="BX232" i="18"/>
  <c r="CF232" i="18"/>
  <c r="BR233" i="18"/>
  <c r="BV233" i="18"/>
  <c r="BZ233" i="18"/>
  <c r="BT234" i="18"/>
  <c r="BX234" i="18"/>
  <c r="CF234" i="18"/>
  <c r="AP235" i="18"/>
  <c r="AX235" i="18"/>
  <c r="BR235" i="18"/>
  <c r="BV235" i="18"/>
  <c r="BZ235" i="18"/>
  <c r="CD235" i="18"/>
  <c r="AO236" i="18"/>
  <c r="AT236" i="18"/>
  <c r="BS244" i="18"/>
  <c r="BW244" i="18"/>
  <c r="CA244" i="18"/>
  <c r="CE244" i="18"/>
  <c r="AS244" i="18"/>
  <c r="BY244" i="18"/>
  <c r="AM245" i="18"/>
  <c r="BS245" i="18"/>
  <c r="AM246" i="18"/>
  <c r="AU246" i="18"/>
  <c r="AS246" i="18"/>
  <c r="BY246" i="18"/>
  <c r="AR231" i="18"/>
  <c r="AP232" i="18"/>
  <c r="AR235" i="18"/>
  <c r="AL236" i="18"/>
  <c r="BR236" i="18"/>
  <c r="AM231" i="18"/>
  <c r="AQ231" i="18"/>
  <c r="AU231" i="18"/>
  <c r="AY231" i="18"/>
  <c r="AM235" i="18"/>
  <c r="AQ235" i="18"/>
  <c r="AU235" i="18"/>
  <c r="AY235" i="18"/>
  <c r="AK236" i="18"/>
  <c r="AP236" i="18"/>
  <c r="AQ237" i="18"/>
  <c r="AY237" i="18"/>
  <c r="BT244" i="18"/>
  <c r="BX244" i="18"/>
  <c r="CB244" i="18"/>
  <c r="CF244" i="18"/>
  <c r="AW244" i="18"/>
  <c r="BN244" i="18" s="1"/>
  <c r="CC244" i="18"/>
  <c r="AQ245" i="18"/>
  <c r="BW245" i="18"/>
  <c r="AW246" i="18"/>
  <c r="CA260" i="18"/>
  <c r="AK237" i="18"/>
  <c r="AL244" i="18"/>
  <c r="AP244" i="18"/>
  <c r="BG244" i="18" s="1"/>
  <c r="AT244" i="18"/>
  <c r="AX244" i="18"/>
  <c r="CF246" i="18"/>
  <c r="AV245" i="18"/>
  <c r="AZ245" i="18"/>
  <c r="BT245" i="18"/>
  <c r="BX245" i="18"/>
  <c r="CB245" i="18"/>
  <c r="CF245" i="18"/>
  <c r="BR247" i="18"/>
  <c r="BV247" i="18"/>
  <c r="BZ247" i="18"/>
  <c r="CD247" i="18"/>
  <c r="AL246" i="18"/>
  <c r="AP246" i="18"/>
  <c r="AT246" i="18"/>
  <c r="AX246" i="18"/>
  <c r="BR246" i="18"/>
  <c r="BV246" i="18"/>
  <c r="AO247" i="18"/>
  <c r="AW247" i="18"/>
  <c r="AK248" i="18"/>
  <c r="BA248" i="18" s="1"/>
  <c r="BY248" i="18"/>
  <c r="AN249" i="18"/>
  <c r="AR249" i="18"/>
  <c r="AV249" i="18"/>
  <c r="AZ249" i="18"/>
  <c r="AW249" i="18"/>
  <c r="AQ250" i="18"/>
  <c r="BU260" i="18"/>
  <c r="BU259" i="18"/>
  <c r="AO259" i="18"/>
  <c r="BY260" i="18"/>
  <c r="BY259" i="18"/>
  <c r="AS259" i="18"/>
  <c r="CC260" i="18"/>
  <c r="CC259" i="18"/>
  <c r="AW259" i="18"/>
  <c r="AK259" i="18"/>
  <c r="BA259" i="18" s="1"/>
  <c r="BU263" i="18"/>
  <c r="AO263" i="18"/>
  <c r="BY263" i="18"/>
  <c r="AS263" i="18"/>
  <c r="CC263" i="18"/>
  <c r="AW263" i="18"/>
  <c r="AK263" i="18"/>
  <c r="BA263" i="18" s="1"/>
  <c r="AM244" i="18"/>
  <c r="AQ244" i="18"/>
  <c r="BH244" i="18" s="1"/>
  <c r="AU244" i="18"/>
  <c r="AY244" i="18"/>
  <c r="AK245" i="18"/>
  <c r="AQ246" i="18"/>
  <c r="AY246" i="18"/>
  <c r="AN247" i="18"/>
  <c r="AR247" i="18"/>
  <c r="AV247" i="18"/>
  <c r="AZ247" i="18"/>
  <c r="AQ247" i="18"/>
  <c r="AM248" i="18"/>
  <c r="AU248" i="18"/>
  <c r="BS248" i="18"/>
  <c r="CA248" i="18"/>
  <c r="AK249" i="18"/>
  <c r="BA249" i="18" s="1"/>
  <c r="AU250" i="18"/>
  <c r="BS259" i="18"/>
  <c r="AK258" i="18"/>
  <c r="BA258" i="18" s="1"/>
  <c r="BJ258" i="18" s="1"/>
  <c r="BS258" i="18"/>
  <c r="AM258" i="18"/>
  <c r="BW259" i="18"/>
  <c r="BW258" i="18"/>
  <c r="AQ258" i="18"/>
  <c r="CE259" i="18"/>
  <c r="CE258" i="18"/>
  <c r="AY258" i="18"/>
  <c r="CA258" i="18"/>
  <c r="BS263" i="18"/>
  <c r="BS262" i="18"/>
  <c r="AM262" i="18"/>
  <c r="BW263" i="18"/>
  <c r="BW262" i="18"/>
  <c r="AQ262" i="18"/>
  <c r="CE263" i="18"/>
  <c r="CE262" i="18"/>
  <c r="AY262" i="18"/>
  <c r="CA262" i="18"/>
  <c r="AN244" i="18"/>
  <c r="AR244" i="18"/>
  <c r="AV244" i="18"/>
  <c r="BM244" i="18" s="1"/>
  <c r="AZ244" i="18"/>
  <c r="BZ246" i="18"/>
  <c r="CD246" i="18"/>
  <c r="AL245" i="18"/>
  <c r="AP245" i="18"/>
  <c r="AT245" i="18"/>
  <c r="AX245" i="18"/>
  <c r="BZ245" i="18"/>
  <c r="CD245" i="18"/>
  <c r="AN246" i="18"/>
  <c r="AR246" i="18"/>
  <c r="BI246" i="18" s="1"/>
  <c r="AV246" i="18"/>
  <c r="AZ246" i="18"/>
  <c r="BT246" i="18"/>
  <c r="BX246" i="18"/>
  <c r="AK247" i="18"/>
  <c r="BA247" i="18" s="1"/>
  <c r="BD247" i="18" s="1"/>
  <c r="CE248" i="18"/>
  <c r="BF249" i="18"/>
  <c r="BU258" i="18"/>
  <c r="BU257" i="18"/>
  <c r="AO257" i="18"/>
  <c r="BY258" i="18"/>
  <c r="BY257" i="18"/>
  <c r="AS257" i="18"/>
  <c r="CC258" i="18"/>
  <c r="CC257" i="18"/>
  <c r="AW257" i="18"/>
  <c r="AK257" i="18"/>
  <c r="BA257" i="18" s="1"/>
  <c r="BU262" i="18"/>
  <c r="BU261" i="18"/>
  <c r="AO261" i="18"/>
  <c r="BY262" i="18"/>
  <c r="BY261" i="18"/>
  <c r="AS261" i="18"/>
  <c r="CC262" i="18"/>
  <c r="CC261" i="18"/>
  <c r="AW261" i="18"/>
  <c r="AK261" i="18"/>
  <c r="BA261" i="18" s="1"/>
  <c r="AL247" i="18"/>
  <c r="AP247" i="18"/>
  <c r="AT247" i="18"/>
  <c r="AX247" i="18"/>
  <c r="AN248" i="18"/>
  <c r="AR248" i="18"/>
  <c r="AV248" i="18"/>
  <c r="AZ248" i="18"/>
  <c r="BQ248" i="18" s="1"/>
  <c r="BT248" i="18"/>
  <c r="BX248" i="18"/>
  <c r="CB248" i="18"/>
  <c r="CF248" i="18"/>
  <c r="AL249" i="18"/>
  <c r="AP249" i="18"/>
  <c r="AT249" i="18"/>
  <c r="AX249" i="18"/>
  <c r="BO249" i="18" s="1"/>
  <c r="BR249" i="18"/>
  <c r="BV249" i="18"/>
  <c r="BZ249" i="18"/>
  <c r="CD249" i="18"/>
  <c r="BT250" i="18"/>
  <c r="BX250" i="18"/>
  <c r="CB250" i="18"/>
  <c r="BT259" i="18"/>
  <c r="BX259" i="18"/>
  <c r="CB259" i="18"/>
  <c r="CF259" i="18"/>
  <c r="BT261" i="18"/>
  <c r="BX261" i="18"/>
  <c r="CB261" i="18"/>
  <c r="CF261" i="18"/>
  <c r="BT263" i="18"/>
  <c r="BX263" i="18"/>
  <c r="CB263" i="18"/>
  <c r="CF263" i="18"/>
  <c r="AL263" i="18"/>
  <c r="BC263" i="18" s="1"/>
  <c r="AP263" i="18"/>
  <c r="AT263" i="18"/>
  <c r="AX263" i="18"/>
  <c r="CE250" i="18"/>
  <c r="AY249" i="18"/>
  <c r="BS257" i="18"/>
  <c r="BW257" i="18"/>
  <c r="CA257" i="18"/>
  <c r="CE257" i="18"/>
  <c r="AM259" i="18"/>
  <c r="AQ259" i="18"/>
  <c r="AU259" i="18"/>
  <c r="BL259" i="18" s="1"/>
  <c r="AY259" i="18"/>
  <c r="AM261" i="18"/>
  <c r="AQ261" i="18"/>
  <c r="AU261" i="18"/>
  <c r="AY261" i="18"/>
  <c r="AM263" i="18"/>
  <c r="AQ263" i="18"/>
  <c r="AU263" i="18"/>
  <c r="AY263" i="18"/>
  <c r="BT257" i="18"/>
  <c r="BX257" i="18"/>
  <c r="CB257" i="18"/>
  <c r="CF257" i="18"/>
  <c r="AN259" i="18"/>
  <c r="BE259" i="18" s="1"/>
  <c r="AR259" i="18"/>
  <c r="AV259" i="18"/>
  <c r="AZ259" i="18"/>
  <c r="AN261" i="18"/>
  <c r="AR261" i="18"/>
  <c r="AV261" i="18"/>
  <c r="AZ261" i="18"/>
  <c r="AN263" i="18"/>
  <c r="AR263" i="18"/>
  <c r="AV263" i="18"/>
  <c r="AZ263" i="18"/>
  <c r="AL257" i="18"/>
  <c r="AP257" i="18"/>
  <c r="AT257" i="18"/>
  <c r="AX257" i="18"/>
  <c r="BR257" i="18"/>
  <c r="BV257" i="18"/>
  <c r="BZ257" i="18"/>
  <c r="CD257" i="18"/>
  <c r="AN258" i="18"/>
  <c r="AR258" i="18"/>
  <c r="AV258" i="18"/>
  <c r="AZ258" i="18"/>
  <c r="BT258" i="18"/>
  <c r="BX258" i="18"/>
  <c r="CB258" i="18"/>
  <c r="CF258" i="18"/>
  <c r="AL259" i="18"/>
  <c r="BC259" i="18" s="1"/>
  <c r="AP259" i="18"/>
  <c r="AT259" i="18"/>
  <c r="AX259" i="18"/>
  <c r="BR259" i="18"/>
  <c r="BV259" i="18"/>
  <c r="BZ259" i="18"/>
  <c r="CD259" i="18"/>
  <c r="AN260" i="18"/>
  <c r="AR260" i="18"/>
  <c r="AV260" i="18"/>
  <c r="AZ260" i="18"/>
  <c r="BT260" i="18"/>
  <c r="BX260" i="18"/>
  <c r="CB260" i="18"/>
  <c r="CF260" i="18"/>
  <c r="AL261" i="18"/>
  <c r="AP261" i="18"/>
  <c r="AT261" i="18"/>
  <c r="AX261" i="18"/>
  <c r="BR261" i="18"/>
  <c r="BV261" i="18"/>
  <c r="BZ261" i="18"/>
  <c r="CD261" i="18"/>
  <c r="AN262" i="18"/>
  <c r="AR262" i="18"/>
  <c r="AV262" i="18"/>
  <c r="AZ262" i="18"/>
  <c r="BT262" i="18"/>
  <c r="BX262" i="18"/>
  <c r="CB262" i="18"/>
  <c r="CF262" i="18"/>
  <c r="BR263" i="18"/>
  <c r="BV263" i="18"/>
  <c r="BZ263" i="18"/>
  <c r="CD263" i="18"/>
  <c r="AM257" i="18"/>
  <c r="AQ257" i="18"/>
  <c r="AU257" i="18"/>
  <c r="AY257" i="18"/>
  <c r="AK262" i="18"/>
  <c r="BA262" i="18" s="1"/>
  <c r="BL262" i="18" s="1"/>
  <c r="AN257" i="18"/>
  <c r="AR257" i="18"/>
  <c r="AV257" i="18"/>
  <c r="AZ257" i="18"/>
  <c r="AK224" i="18"/>
  <c r="BA224" i="18" s="1"/>
  <c r="BD224" i="18" s="1"/>
  <c r="CF224" i="18"/>
  <c r="AN218" i="18"/>
  <c r="AO219" i="18"/>
  <c r="AS219" i="18"/>
  <c r="AW219" i="18"/>
  <c r="AT219" i="18"/>
  <c r="AO221" i="18"/>
  <c r="AS221" i="18"/>
  <c r="AW221" i="18"/>
  <c r="AT221" i="18"/>
  <c r="AO223" i="18"/>
  <c r="AS223" i="18"/>
  <c r="AW223" i="18"/>
  <c r="AT223" i="18"/>
  <c r="BU224" i="18"/>
  <c r="BY224" i="18"/>
  <c r="AW224" i="18"/>
  <c r="AN224" i="18"/>
  <c r="CB224" i="18"/>
  <c r="BV218" i="18"/>
  <c r="BZ218" i="18"/>
  <c r="CD218" i="18"/>
  <c r="BR219" i="18"/>
  <c r="BZ219" i="18"/>
  <c r="AP220" i="18"/>
  <c r="AT220" i="18"/>
  <c r="AX220" i="18"/>
  <c r="BT220" i="18"/>
  <c r="BR221" i="18"/>
  <c r="BZ221" i="18"/>
  <c r="AP222" i="18"/>
  <c r="AT222" i="18"/>
  <c r="AX222" i="18"/>
  <c r="BT222" i="18"/>
  <c r="BR223" i="18"/>
  <c r="BZ223" i="18"/>
  <c r="AP224" i="18"/>
  <c r="AT224" i="18"/>
  <c r="AX224" i="18"/>
  <c r="BO224" i="18" s="1"/>
  <c r="CA218" i="18"/>
  <c r="CE218" i="18"/>
  <c r="AU220" i="18"/>
  <c r="AY220" i="18"/>
  <c r="AY222" i="18"/>
  <c r="AQ224" i="18"/>
  <c r="AU224" i="18"/>
  <c r="AY224" i="18"/>
  <c r="BP224" i="18" s="1"/>
  <c r="BT224" i="18"/>
  <c r="BZ209" i="18"/>
  <c r="BZ211" i="18"/>
  <c r="AN206" i="18"/>
  <c r="BT206" i="18"/>
  <c r="AO207" i="18"/>
  <c r="AS207" i="18"/>
  <c r="AW207" i="18"/>
  <c r="AL207" i="18"/>
  <c r="AX207" i="18"/>
  <c r="BZ207" i="18"/>
  <c r="AN208" i="18"/>
  <c r="BT208" i="18"/>
  <c r="AQ209" i="18"/>
  <c r="BR209" i="18"/>
  <c r="CD209" i="18"/>
  <c r="AN210" i="18"/>
  <c r="BT210" i="18"/>
  <c r="BR211" i="18"/>
  <c r="CF211" i="18"/>
  <c r="AL206" i="18"/>
  <c r="AP206" i="18"/>
  <c r="AT206" i="18"/>
  <c r="AX206" i="18"/>
  <c r="AR206" i="18"/>
  <c r="CD207" i="18"/>
  <c r="AL208" i="18"/>
  <c r="AP208" i="18"/>
  <c r="AT208" i="18"/>
  <c r="AX208" i="18"/>
  <c r="AO208" i="18"/>
  <c r="BU208" i="18"/>
  <c r="BV209" i="18"/>
  <c r="CE209" i="18"/>
  <c r="AL210" i="18"/>
  <c r="AP210" i="18"/>
  <c r="AT210" i="18"/>
  <c r="AX210" i="18"/>
  <c r="AO210" i="18"/>
  <c r="BU210" i="18"/>
  <c r="BV211" i="18"/>
  <c r="BU206" i="18"/>
  <c r="CE207" i="18"/>
  <c r="AS206" i="18"/>
  <c r="BS208" i="18"/>
  <c r="BW208" i="18"/>
  <c r="CA208" i="18"/>
  <c r="CE208" i="18"/>
  <c r="AQ207" i="18"/>
  <c r="BR207" i="18"/>
  <c r="AM208" i="18"/>
  <c r="AQ208" i="18"/>
  <c r="AU208" i="18"/>
  <c r="AY208" i="18"/>
  <c r="AV208" i="18"/>
  <c r="CB208" i="18"/>
  <c r="AO209" i="18"/>
  <c r="AS209" i="18"/>
  <c r="AW209" i="18"/>
  <c r="BW209" i="18"/>
  <c r="AM210" i="18"/>
  <c r="AQ210" i="18"/>
  <c r="AU210" i="18"/>
  <c r="AY210" i="18"/>
  <c r="AV210" i="18"/>
  <c r="CB210" i="18"/>
  <c r="AO211" i="18"/>
  <c r="AS211" i="18"/>
  <c r="AW211" i="18"/>
  <c r="AX211" i="18"/>
  <c r="BW211" i="18"/>
  <c r="BS197" i="18"/>
  <c r="BW197" i="18"/>
  <c r="CA197" i="18"/>
  <c r="CE197" i="18"/>
  <c r="AN196" i="18"/>
  <c r="AV196" i="18"/>
  <c r="AP197" i="18"/>
  <c r="AY193" i="18"/>
  <c r="BU195" i="18"/>
  <c r="CC195" i="18"/>
  <c r="BT196" i="18"/>
  <c r="BV197" i="18"/>
  <c r="BU192" i="18"/>
  <c r="CC192" i="18"/>
  <c r="AS198" i="18"/>
  <c r="CD192" i="18"/>
  <c r="BT194" i="18"/>
  <c r="CB194" i="18"/>
  <c r="AT194" i="18"/>
  <c r="AX194" i="18"/>
  <c r="BR198" i="18"/>
  <c r="BZ198" i="18"/>
  <c r="AL198" i="18"/>
  <c r="AT198" i="18"/>
  <c r="BS193" i="18"/>
  <c r="BW193" i="18"/>
  <c r="CA193" i="18"/>
  <c r="CE193" i="18"/>
  <c r="BU194" i="18"/>
  <c r="BY194" i="18"/>
  <c r="CC194" i="18"/>
  <c r="BS195" i="18"/>
  <c r="BW195" i="18"/>
  <c r="CA195" i="18"/>
  <c r="CE195" i="18"/>
  <c r="AO196" i="18"/>
  <c r="AS196" i="18"/>
  <c r="AW196" i="18"/>
  <c r="BS198" i="18"/>
  <c r="BW198" i="18"/>
  <c r="CA198" i="18"/>
  <c r="CE198" i="18"/>
  <c r="BY192" i="18"/>
  <c r="AS194" i="18"/>
  <c r="AW198" i="18"/>
  <c r="AK192" i="18"/>
  <c r="BA192" i="18" s="1"/>
  <c r="AT192" i="18"/>
  <c r="AK194" i="18"/>
  <c r="BB194" i="18" s="1"/>
  <c r="BT197" i="18"/>
  <c r="CB196" i="18"/>
  <c r="BV198" i="18"/>
  <c r="CD198" i="18"/>
  <c r="AP198" i="18"/>
  <c r="AX198" i="18"/>
  <c r="BT192" i="18"/>
  <c r="BX192" i="18"/>
  <c r="CB192" i="18"/>
  <c r="CF192" i="18"/>
  <c r="AK193" i="18"/>
  <c r="BA193" i="18" s="1"/>
  <c r="BT195" i="18"/>
  <c r="BX195" i="18"/>
  <c r="CB195" i="18"/>
  <c r="CF195" i="18"/>
  <c r="BR196" i="18"/>
  <c r="BV196" i="18"/>
  <c r="BZ196" i="18"/>
  <c r="CD196" i="18"/>
  <c r="AX195" i="18"/>
  <c r="AL196" i="18"/>
  <c r="AP196" i="18"/>
  <c r="AT196" i="18"/>
  <c r="AX196" i="18"/>
  <c r="AN197" i="18"/>
  <c r="AR197" i="18"/>
  <c r="AV197" i="18"/>
  <c r="AZ197" i="18"/>
  <c r="BT198" i="18"/>
  <c r="BX198" i="18"/>
  <c r="CB198" i="18"/>
  <c r="CF198" i="18"/>
  <c r="BA194" i="18"/>
  <c r="BO194" i="18" s="1"/>
  <c r="AL192" i="18"/>
  <c r="AV193" i="18"/>
  <c r="CF193" i="18"/>
  <c r="AL194" i="18"/>
  <c r="CD195" i="18"/>
  <c r="CE205" i="18"/>
  <c r="BZ205" i="18"/>
  <c r="AY205" i="18"/>
  <c r="AT205" i="18"/>
  <c r="CD205" i="18"/>
  <c r="AX205" i="18"/>
  <c r="BY206" i="18"/>
  <c r="BY205" i="18"/>
  <c r="AS205" i="18"/>
  <c r="CA205" i="18"/>
  <c r="AM192" i="18"/>
  <c r="AQ192" i="18"/>
  <c r="AU192" i="18"/>
  <c r="AY192" i="18"/>
  <c r="BS192" i="18"/>
  <c r="BW192" i="18"/>
  <c r="CA192" i="18"/>
  <c r="CE192" i="18"/>
  <c r="AO193" i="18"/>
  <c r="AS193" i="18"/>
  <c r="AW193" i="18"/>
  <c r="BU193" i="18"/>
  <c r="BY193" i="18"/>
  <c r="CC193" i="18"/>
  <c r="AM194" i="18"/>
  <c r="AQ194" i="18"/>
  <c r="AU194" i="18"/>
  <c r="AY194" i="18"/>
  <c r="BW194" i="18"/>
  <c r="CE194" i="18"/>
  <c r="AK195" i="18"/>
  <c r="BA195" i="18" s="1"/>
  <c r="AS195" i="18"/>
  <c r="BY195" i="18"/>
  <c r="AQ196" i="18"/>
  <c r="AY196" i="18"/>
  <c r="BW196" i="18"/>
  <c r="CE196" i="18"/>
  <c r="BU197" i="18"/>
  <c r="BU198" i="18"/>
  <c r="BY197" i="18"/>
  <c r="AS197" i="18"/>
  <c r="BY198" i="18"/>
  <c r="CC197" i="18"/>
  <c r="AW197" i="18"/>
  <c r="CC198" i="18"/>
  <c r="AK197" i="18"/>
  <c r="BA197" i="18" s="1"/>
  <c r="AT197" i="18"/>
  <c r="BZ197" i="18"/>
  <c r="AN198" i="18"/>
  <c r="AP205" i="18"/>
  <c r="AM206" i="18"/>
  <c r="AK206" i="18"/>
  <c r="BA206" i="18" s="1"/>
  <c r="BS207" i="18"/>
  <c r="BW207" i="18"/>
  <c r="AQ206" i="18"/>
  <c r="CA207" i="18"/>
  <c r="AU206" i="18"/>
  <c r="AP192" i="18"/>
  <c r="AX192" i="18"/>
  <c r="BV192" i="18"/>
  <c r="BZ192" i="18"/>
  <c r="AR193" i="18"/>
  <c r="BT193" i="18"/>
  <c r="CB193" i="18"/>
  <c r="AP194" i="18"/>
  <c r="AZ198" i="18"/>
  <c r="BU205" i="18"/>
  <c r="AO205" i="18"/>
  <c r="CC205" i="18"/>
  <c r="AW205" i="18"/>
  <c r="AN192" i="18"/>
  <c r="AR192" i="18"/>
  <c r="AV192" i="18"/>
  <c r="AZ192" i="18"/>
  <c r="BR194" i="18"/>
  <c r="BV194" i="18"/>
  <c r="BZ194" i="18"/>
  <c r="CD194" i="18"/>
  <c r="AL193" i="18"/>
  <c r="AP193" i="18"/>
  <c r="AT193" i="18"/>
  <c r="AX193" i="18"/>
  <c r="BR193" i="18"/>
  <c r="BZ193" i="18"/>
  <c r="CD193" i="18"/>
  <c r="AN194" i="18"/>
  <c r="AR194" i="18"/>
  <c r="AV194" i="18"/>
  <c r="AZ194" i="18"/>
  <c r="BX194" i="18"/>
  <c r="CF194" i="18"/>
  <c r="AL195" i="18"/>
  <c r="AT195" i="18"/>
  <c r="BR195" i="18"/>
  <c r="BZ195" i="18"/>
  <c r="BX197" i="18"/>
  <c r="CB197" i="18"/>
  <c r="CF197" i="18"/>
  <c r="AR196" i="18"/>
  <c r="AZ196" i="18"/>
  <c r="BX196" i="18"/>
  <c r="CF196" i="18"/>
  <c r="AL197" i="18"/>
  <c r="AX197" i="18"/>
  <c r="CD197" i="18"/>
  <c r="AR198" i="18"/>
  <c r="BW205" i="18"/>
  <c r="AU205" i="18"/>
  <c r="CC206" i="18"/>
  <c r="BR192" i="18"/>
  <c r="AN193" i="18"/>
  <c r="AK205" i="18"/>
  <c r="BA205" i="18" s="1"/>
  <c r="AO192" i="18"/>
  <c r="AS192" i="18"/>
  <c r="AW192" i="18"/>
  <c r="AM193" i="18"/>
  <c r="AU193" i="18"/>
  <c r="AO194" i="18"/>
  <c r="AW194" i="18"/>
  <c r="AM195" i="18"/>
  <c r="AQ195" i="18"/>
  <c r="AU195" i="18"/>
  <c r="AY195" i="18"/>
  <c r="BP195" i="18" s="1"/>
  <c r="AO195" i="18"/>
  <c r="AW195" i="18"/>
  <c r="AM196" i="18"/>
  <c r="AU196" i="18"/>
  <c r="BS196" i="18"/>
  <c r="CA196" i="18"/>
  <c r="AM197" i="18"/>
  <c r="AQ197" i="18"/>
  <c r="AU197" i="18"/>
  <c r="AY197" i="18"/>
  <c r="AO197" i="18"/>
  <c r="BR197" i="18"/>
  <c r="AV198" i="18"/>
  <c r="BV205" i="18"/>
  <c r="AY206" i="18"/>
  <c r="AK196" i="18"/>
  <c r="BA196" i="18" s="1"/>
  <c r="AK198" i="18"/>
  <c r="BA198" i="18" s="1"/>
  <c r="BF198" i="18" s="1"/>
  <c r="BR206" i="18"/>
  <c r="BV206" i="18"/>
  <c r="BZ206" i="18"/>
  <c r="CD206" i="18"/>
  <c r="AL205" i="18"/>
  <c r="AQ205" i="18"/>
  <c r="BR205" i="18"/>
  <c r="AO206" i="18"/>
  <c r="AZ206" i="18"/>
  <c r="BX206" i="18"/>
  <c r="CF206" i="18"/>
  <c r="AK207" i="18"/>
  <c r="BR208" i="18"/>
  <c r="BV208" i="18"/>
  <c r="BZ208" i="18"/>
  <c r="CD208" i="18"/>
  <c r="AM207" i="18"/>
  <c r="AU207" i="18"/>
  <c r="AR208" i="18"/>
  <c r="AZ208" i="18"/>
  <c r="BX208" i="18"/>
  <c r="CF208" i="18"/>
  <c r="AK209" i="18"/>
  <c r="BR210" i="18"/>
  <c r="BV210" i="18"/>
  <c r="BZ210" i="18"/>
  <c r="CD210" i="18"/>
  <c r="AM209" i="18"/>
  <c r="AU209" i="18"/>
  <c r="BS209" i="18"/>
  <c r="CA209" i="18"/>
  <c r="AR210" i="18"/>
  <c r="AZ210" i="18"/>
  <c r="BX210" i="18"/>
  <c r="AK211" i="18"/>
  <c r="AM211" i="18"/>
  <c r="AU211" i="18"/>
  <c r="BS206" i="18"/>
  <c r="BW206" i="18"/>
  <c r="CA206" i="18"/>
  <c r="CE206" i="18"/>
  <c r="AM205" i="18"/>
  <c r="BS205" i="18"/>
  <c r="AV206" i="18"/>
  <c r="AK208" i="18"/>
  <c r="BA208" i="18" s="1"/>
  <c r="BO208" i="18" s="1"/>
  <c r="AS208" i="18"/>
  <c r="BY208" i="18"/>
  <c r="AK210" i="18"/>
  <c r="BA210" i="18" s="1"/>
  <c r="BO210" i="18" s="1"/>
  <c r="AS210" i="18"/>
  <c r="BY210" i="18"/>
  <c r="AM198" i="18"/>
  <c r="AQ198" i="18"/>
  <c r="AU198" i="18"/>
  <c r="AY198" i="18"/>
  <c r="BT205" i="18"/>
  <c r="BX205" i="18"/>
  <c r="CB205" i="18"/>
  <c r="CF205" i="18"/>
  <c r="AN205" i="18"/>
  <c r="AR205" i="18"/>
  <c r="AV205" i="18"/>
  <c r="AZ205" i="18"/>
  <c r="AR218" i="18"/>
  <c r="BX218" i="18"/>
  <c r="AX219" i="18"/>
  <c r="CD219" i="18"/>
  <c r="AR220" i="18"/>
  <c r="BX220" i="18"/>
  <c r="AX221" i="18"/>
  <c r="CD221" i="18"/>
  <c r="AR222" i="18"/>
  <c r="BX222" i="18"/>
  <c r="AX223" i="18"/>
  <c r="CD223" i="18"/>
  <c r="AR224" i="18"/>
  <c r="AV218" i="18"/>
  <c r="CB218" i="18"/>
  <c r="AL219" i="18"/>
  <c r="AV220" i="18"/>
  <c r="CB220" i="18"/>
  <c r="AL221" i="18"/>
  <c r="AV222" i="18"/>
  <c r="CB222" i="18"/>
  <c r="AL223" i="18"/>
  <c r="AV224" i="18"/>
  <c r="BT219" i="18"/>
  <c r="AK218" i="18"/>
  <c r="BA218" i="18" s="1"/>
  <c r="AZ218" i="18"/>
  <c r="CF218" i="18"/>
  <c r="AK219" i="18"/>
  <c r="BR220" i="18"/>
  <c r="AP219" i="18"/>
  <c r="BV219" i="18"/>
  <c r="BT221" i="18"/>
  <c r="AK220" i="18"/>
  <c r="BA220" i="18" s="1"/>
  <c r="BL220" i="18" s="1"/>
  <c r="AZ220" i="18"/>
  <c r="CF220" i="18"/>
  <c r="AK221" i="18"/>
  <c r="BR222" i="18"/>
  <c r="AP221" i="18"/>
  <c r="BV221" i="18"/>
  <c r="BT223" i="18"/>
  <c r="AK222" i="18"/>
  <c r="BA222" i="18" s="1"/>
  <c r="AZ222" i="18"/>
  <c r="CF222" i="18"/>
  <c r="AK223" i="18"/>
  <c r="BR224" i="18"/>
  <c r="AP223" i="18"/>
  <c r="BV223" i="18"/>
  <c r="AZ224" i="18"/>
  <c r="BQ224" i="18" s="1"/>
  <c r="AO218" i="18"/>
  <c r="BF218" i="18" s="1"/>
  <c r="AS218" i="18"/>
  <c r="AW218" i="18"/>
  <c r="BU218" i="18"/>
  <c r="BY218" i="18"/>
  <c r="CC218" i="18"/>
  <c r="AM219" i="18"/>
  <c r="AQ219" i="18"/>
  <c r="AU219" i="18"/>
  <c r="AY219" i="18"/>
  <c r="BS219" i="18"/>
  <c r="BW219" i="18"/>
  <c r="CA219" i="18"/>
  <c r="CE219" i="18"/>
  <c r="AO220" i="18"/>
  <c r="AS220" i="18"/>
  <c r="AW220" i="18"/>
  <c r="BN220" i="18" s="1"/>
  <c r="BU220" i="18"/>
  <c r="BY220" i="18"/>
  <c r="CC220" i="18"/>
  <c r="AM221" i="18"/>
  <c r="AQ221" i="18"/>
  <c r="AU221" i="18"/>
  <c r="AY221" i="18"/>
  <c r="BS221" i="18"/>
  <c r="BW221" i="18"/>
  <c r="CA221" i="18"/>
  <c r="CE221" i="18"/>
  <c r="AO222" i="18"/>
  <c r="BF222" i="18" s="1"/>
  <c r="AS222" i="18"/>
  <c r="AW222" i="18"/>
  <c r="BU222" i="18"/>
  <c r="BY222" i="18"/>
  <c r="CC222" i="18"/>
  <c r="AM223" i="18"/>
  <c r="AQ223" i="18"/>
  <c r="AU223" i="18"/>
  <c r="AY223" i="18"/>
  <c r="BS223" i="18"/>
  <c r="BW223" i="18"/>
  <c r="CA223" i="18"/>
  <c r="CE223" i="18"/>
  <c r="AO224" i="18"/>
  <c r="AS224" i="18"/>
  <c r="BJ224" i="18" s="1"/>
  <c r="CC224" i="18"/>
  <c r="AL218" i="18"/>
  <c r="AP218" i="18"/>
  <c r="AT218" i="18"/>
  <c r="AX218" i="18"/>
  <c r="BO218" i="18" s="1"/>
  <c r="AM218" i="18"/>
  <c r="AQ218" i="18"/>
  <c r="AU218" i="18"/>
  <c r="AY218" i="18"/>
  <c r="BP218" i="18" s="1"/>
  <c r="BR182" i="18"/>
  <c r="BV182" i="18"/>
  <c r="BZ182" i="18"/>
  <c r="CD182" i="18"/>
  <c r="BR184" i="18"/>
  <c r="BV184" i="18"/>
  <c r="BZ184" i="18"/>
  <c r="CD184" i="18"/>
  <c r="CE183" i="18"/>
  <c r="BT181" i="18"/>
  <c r="BX181" i="18"/>
  <c r="CB181" i="18"/>
  <c r="CF181" i="18"/>
  <c r="BT183" i="18"/>
  <c r="BX183" i="18"/>
  <c r="CB183" i="18"/>
  <c r="CF183" i="18"/>
  <c r="BT185" i="18"/>
  <c r="BX185" i="18"/>
  <c r="CB185" i="18"/>
  <c r="CF185" i="18"/>
  <c r="AW179" i="18"/>
  <c r="AO180" i="18"/>
  <c r="AS180" i="18"/>
  <c r="AW180" i="18"/>
  <c r="AQ180" i="18"/>
  <c r="AW181" i="18"/>
  <c r="AO182" i="18"/>
  <c r="AS182" i="18"/>
  <c r="AW182" i="18"/>
  <c r="AQ182" i="18"/>
  <c r="AW183" i="18"/>
  <c r="AO184" i="18"/>
  <c r="AS184" i="18"/>
  <c r="AW184" i="18"/>
  <c r="AQ184" i="18"/>
  <c r="BU185" i="18"/>
  <c r="CC185" i="18"/>
  <c r="AW185" i="18"/>
  <c r="AK179" i="18"/>
  <c r="BA179" i="18" s="1"/>
  <c r="AU180" i="18"/>
  <c r="CA180" i="18"/>
  <c r="AK181" i="18"/>
  <c r="BA181" i="18" s="1"/>
  <c r="BN181" i="18" s="1"/>
  <c r="AU182" i="18"/>
  <c r="CA182" i="18"/>
  <c r="AK183" i="18"/>
  <c r="BA183" i="18" s="1"/>
  <c r="AU184" i="18"/>
  <c r="CA184" i="18"/>
  <c r="BY185" i="18"/>
  <c r="AK185" i="18"/>
  <c r="BA185" i="18" s="1"/>
  <c r="AO179" i="18"/>
  <c r="BU179" i="18"/>
  <c r="AY180" i="18"/>
  <c r="CE180" i="18"/>
  <c r="AL181" i="18"/>
  <c r="BC181" i="18" s="1"/>
  <c r="AP181" i="18"/>
  <c r="AT181" i="18"/>
  <c r="AX181" i="18"/>
  <c r="AO181" i="18"/>
  <c r="BF181" i="18" s="1"/>
  <c r="BU181" i="18"/>
  <c r="AY182" i="18"/>
  <c r="CE182" i="18"/>
  <c r="AL183" i="18"/>
  <c r="AP183" i="18"/>
  <c r="AT183" i="18"/>
  <c r="AX183" i="18"/>
  <c r="AO183" i="18"/>
  <c r="BU183" i="18"/>
  <c r="AY184" i="18"/>
  <c r="CE184" i="18"/>
  <c r="AL185" i="18"/>
  <c r="AP185" i="18"/>
  <c r="AT185" i="18"/>
  <c r="AX185" i="18"/>
  <c r="AO185" i="18"/>
  <c r="BS179" i="18"/>
  <c r="BW179" i="18"/>
  <c r="CA179" i="18"/>
  <c r="CE179" i="18"/>
  <c r="AS179" i="18"/>
  <c r="BY179" i="18"/>
  <c r="AM180" i="18"/>
  <c r="BS180" i="18"/>
  <c r="AM181" i="18"/>
  <c r="AQ181" i="18"/>
  <c r="AU181" i="18"/>
  <c r="AY181" i="18"/>
  <c r="AS181" i="18"/>
  <c r="BY181" i="18"/>
  <c r="AM182" i="18"/>
  <c r="BS182" i="18"/>
  <c r="AM183" i="18"/>
  <c r="AQ183" i="18"/>
  <c r="AU183" i="18"/>
  <c r="AY183" i="18"/>
  <c r="AS183" i="18"/>
  <c r="BY183" i="18"/>
  <c r="AM184" i="18"/>
  <c r="BS184" i="18"/>
  <c r="AM185" i="18"/>
  <c r="BD185" i="18" s="1"/>
  <c r="AQ185" i="18"/>
  <c r="AU185" i="18"/>
  <c r="AY185" i="18"/>
  <c r="AS185" i="18"/>
  <c r="BJ185" i="18" s="1"/>
  <c r="AL179" i="18"/>
  <c r="AP179" i="18"/>
  <c r="AT179" i="18"/>
  <c r="AX179" i="18"/>
  <c r="BR179" i="18"/>
  <c r="BV179" i="18"/>
  <c r="BZ179" i="18"/>
  <c r="CD179" i="18"/>
  <c r="BT180" i="18"/>
  <c r="BX180" i="18"/>
  <c r="CB180" i="18"/>
  <c r="CF180" i="18"/>
  <c r="BR181" i="18"/>
  <c r="BV181" i="18"/>
  <c r="BZ181" i="18"/>
  <c r="CD181" i="18"/>
  <c r="BT182" i="18"/>
  <c r="BX182" i="18"/>
  <c r="CB182" i="18"/>
  <c r="CF182" i="18"/>
  <c r="BR183" i="18"/>
  <c r="BV183" i="18"/>
  <c r="BZ183" i="18"/>
  <c r="CD183" i="18"/>
  <c r="BT184" i="18"/>
  <c r="BX184" i="18"/>
  <c r="CB184" i="18"/>
  <c r="CF184" i="18"/>
  <c r="BR185" i="18"/>
  <c r="BV185" i="18"/>
  <c r="BZ185" i="18"/>
  <c r="CD185" i="18"/>
  <c r="AM179" i="18"/>
  <c r="AQ179" i="18"/>
  <c r="BH179" i="18" s="1"/>
  <c r="AU179" i="18"/>
  <c r="AY179" i="18"/>
  <c r="AK180" i="18"/>
  <c r="BA180" i="18" s="1"/>
  <c r="BC180" i="18" s="1"/>
  <c r="AK182" i="18"/>
  <c r="BA182" i="18" s="1"/>
  <c r="BM182" i="18" s="1"/>
  <c r="AK184" i="18"/>
  <c r="BA184" i="18" s="1"/>
  <c r="BM184" i="18" s="1"/>
  <c r="AN179" i="18"/>
  <c r="AR179" i="18"/>
  <c r="AV179" i="18"/>
  <c r="BM179" i="18" s="1"/>
  <c r="AZ179" i="18"/>
  <c r="AN181" i="18"/>
  <c r="AR181" i="18"/>
  <c r="AV181" i="18"/>
  <c r="AZ181" i="18"/>
  <c r="AL182" i="18"/>
  <c r="AP182" i="18"/>
  <c r="AT182" i="18"/>
  <c r="BK182" i="18" s="1"/>
  <c r="AX182" i="18"/>
  <c r="AN183" i="18"/>
  <c r="BE183" i="18" s="1"/>
  <c r="AR183" i="18"/>
  <c r="AV183" i="18"/>
  <c r="AZ183" i="18"/>
  <c r="AL184" i="18"/>
  <c r="AP184" i="18"/>
  <c r="AT184" i="18"/>
  <c r="AX184" i="18"/>
  <c r="BO184" i="18" s="1"/>
  <c r="AN185" i="18"/>
  <c r="BE185" i="18" s="1"/>
  <c r="AR185" i="18"/>
  <c r="AV185" i="18"/>
  <c r="AZ185" i="18"/>
  <c r="BS166" i="18"/>
  <c r="BW166" i="18"/>
  <c r="CA166" i="18"/>
  <c r="CE166" i="18"/>
  <c r="BW168" i="18"/>
  <c r="CA168" i="18"/>
  <c r="CE168" i="18"/>
  <c r="AM168" i="18"/>
  <c r="AQ168" i="18"/>
  <c r="AU168" i="18"/>
  <c r="AY168" i="18"/>
  <c r="CE170" i="18"/>
  <c r="AM170" i="18"/>
  <c r="AQ170" i="18"/>
  <c r="AU170" i="18"/>
  <c r="AY170" i="18"/>
  <c r="AM172" i="18"/>
  <c r="AQ172" i="18"/>
  <c r="AU172" i="18"/>
  <c r="AY172" i="18"/>
  <c r="AS166" i="18"/>
  <c r="AO167" i="18"/>
  <c r="AS167" i="18"/>
  <c r="AW167" i="18"/>
  <c r="AS168" i="18"/>
  <c r="AO169" i="18"/>
  <c r="AS169" i="18"/>
  <c r="AW169" i="18"/>
  <c r="AM169" i="18"/>
  <c r="AS170" i="18"/>
  <c r="AO171" i="18"/>
  <c r="AS171" i="18"/>
  <c r="AW171" i="18"/>
  <c r="AM171" i="18"/>
  <c r="BU172" i="18"/>
  <c r="AW172" i="18"/>
  <c r="BT166" i="18"/>
  <c r="BX166" i="18"/>
  <c r="CB166" i="18"/>
  <c r="CF166" i="18"/>
  <c r="AW166" i="18"/>
  <c r="CC166" i="18"/>
  <c r="AQ167" i="18"/>
  <c r="BW167" i="18"/>
  <c r="AN168" i="18"/>
  <c r="AR168" i="18"/>
  <c r="AV168" i="18"/>
  <c r="AZ168" i="18"/>
  <c r="AW168" i="18"/>
  <c r="CC168" i="18"/>
  <c r="AQ169" i="18"/>
  <c r="BW169" i="18"/>
  <c r="AN170" i="18"/>
  <c r="AR170" i="18"/>
  <c r="AV170" i="18"/>
  <c r="AZ170" i="18"/>
  <c r="AW170" i="18"/>
  <c r="CC170" i="18"/>
  <c r="AQ171" i="18"/>
  <c r="BW171" i="18"/>
  <c r="AN172" i="18"/>
  <c r="AR172" i="18"/>
  <c r="AV172" i="18"/>
  <c r="AZ172" i="18"/>
  <c r="AK166" i="18"/>
  <c r="BA166" i="18" s="1"/>
  <c r="BJ166" i="18" s="1"/>
  <c r="AU167" i="18"/>
  <c r="CA167" i="18"/>
  <c r="AK168" i="18"/>
  <c r="BA168" i="18" s="1"/>
  <c r="AU169" i="18"/>
  <c r="CA169" i="18"/>
  <c r="AK170" i="18"/>
  <c r="BA170" i="18" s="1"/>
  <c r="BL170" i="18" s="1"/>
  <c r="AU171" i="18"/>
  <c r="CA171" i="18"/>
  <c r="BY172" i="18"/>
  <c r="CC172" i="18"/>
  <c r="AK172" i="18"/>
  <c r="BA172" i="18" s="1"/>
  <c r="AO166" i="18"/>
  <c r="BF166" i="18" s="1"/>
  <c r="BU166" i="18"/>
  <c r="BT168" i="18"/>
  <c r="BX168" i="18"/>
  <c r="CB168" i="18"/>
  <c r="CF168" i="18"/>
  <c r="AY167" i="18"/>
  <c r="CE167" i="18"/>
  <c r="AO168" i="18"/>
  <c r="BF168" i="18" s="1"/>
  <c r="BU168" i="18"/>
  <c r="BT170" i="18"/>
  <c r="BX170" i="18"/>
  <c r="CB170" i="18"/>
  <c r="CF170" i="18"/>
  <c r="AY169" i="18"/>
  <c r="CE169" i="18"/>
  <c r="AO170" i="18"/>
  <c r="BU170" i="18"/>
  <c r="BT172" i="18"/>
  <c r="BX172" i="18"/>
  <c r="CB172" i="18"/>
  <c r="CF172" i="18"/>
  <c r="AY171" i="18"/>
  <c r="CE171" i="18"/>
  <c r="AL172" i="18"/>
  <c r="BC172" i="18" s="1"/>
  <c r="AP172" i="18"/>
  <c r="AT172" i="18"/>
  <c r="BK172" i="18" s="1"/>
  <c r="AX172" i="18"/>
  <c r="BO172" i="18" s="1"/>
  <c r="AO172" i="18"/>
  <c r="BF172" i="18" s="1"/>
  <c r="AL166" i="18"/>
  <c r="AP166" i="18"/>
  <c r="AT166" i="18"/>
  <c r="AX166" i="18"/>
  <c r="BO166" i="18" s="1"/>
  <c r="BR166" i="18"/>
  <c r="BV166" i="18"/>
  <c r="BZ166" i="18"/>
  <c r="CD166" i="18"/>
  <c r="AN167" i="18"/>
  <c r="AR167" i="18"/>
  <c r="AV167" i="18"/>
  <c r="AZ167" i="18"/>
  <c r="BT167" i="18"/>
  <c r="BX167" i="18"/>
  <c r="CB167" i="18"/>
  <c r="CF167" i="18"/>
  <c r="AL168" i="18"/>
  <c r="AP168" i="18"/>
  <c r="AT168" i="18"/>
  <c r="AX168" i="18"/>
  <c r="BO168" i="18" s="1"/>
  <c r="BR168" i="18"/>
  <c r="BV168" i="18"/>
  <c r="BZ168" i="18"/>
  <c r="CD168" i="18"/>
  <c r="AN169" i="18"/>
  <c r="AR169" i="18"/>
  <c r="AV169" i="18"/>
  <c r="AZ169" i="18"/>
  <c r="BT169" i="18"/>
  <c r="BX169" i="18"/>
  <c r="CB169" i="18"/>
  <c r="CF169" i="18"/>
  <c r="AL170" i="18"/>
  <c r="AP170" i="18"/>
  <c r="AT170" i="18"/>
  <c r="AX170" i="18"/>
  <c r="BR170" i="18"/>
  <c r="BV170" i="18"/>
  <c r="BZ170" i="18"/>
  <c r="CD170" i="18"/>
  <c r="AN171" i="18"/>
  <c r="AR171" i="18"/>
  <c r="AV171" i="18"/>
  <c r="AZ171" i="18"/>
  <c r="BT171" i="18"/>
  <c r="BX171" i="18"/>
  <c r="CB171" i="18"/>
  <c r="CF171" i="18"/>
  <c r="BR172" i="18"/>
  <c r="BV172" i="18"/>
  <c r="BZ172" i="18"/>
  <c r="CD172" i="18"/>
  <c r="AM166" i="18"/>
  <c r="AQ166" i="18"/>
  <c r="AU166" i="18"/>
  <c r="AY166" i="18"/>
  <c r="BP166" i="18" s="1"/>
  <c r="AK167" i="18"/>
  <c r="AK169" i="18"/>
  <c r="BA169" i="18" s="1"/>
  <c r="AK171" i="18"/>
  <c r="BA171" i="18" s="1"/>
  <c r="AN166" i="18"/>
  <c r="BE166" i="18" s="1"/>
  <c r="AR166" i="18"/>
  <c r="AV166" i="18"/>
  <c r="AZ166" i="18"/>
  <c r="BS153" i="18"/>
  <c r="BW153" i="18"/>
  <c r="CA153" i="18"/>
  <c r="CE153" i="18"/>
  <c r="CA155" i="18"/>
  <c r="CE155" i="18"/>
  <c r="AM155" i="18"/>
  <c r="AQ155" i="18"/>
  <c r="AU155" i="18"/>
  <c r="AY155" i="18"/>
  <c r="CE157" i="18"/>
  <c r="AM157" i="18"/>
  <c r="AQ157" i="18"/>
  <c r="AU157" i="18"/>
  <c r="AY157" i="18"/>
  <c r="AM159" i="18"/>
  <c r="AQ159" i="18"/>
  <c r="AU159" i="18"/>
  <c r="AY159" i="18"/>
  <c r="AS153" i="18"/>
  <c r="AO154" i="18"/>
  <c r="AS154" i="18"/>
  <c r="AW154" i="18"/>
  <c r="AM154" i="18"/>
  <c r="AS155" i="18"/>
  <c r="AO156" i="18"/>
  <c r="AS156" i="18"/>
  <c r="AW156" i="18"/>
  <c r="AM156" i="18"/>
  <c r="AS157" i="18"/>
  <c r="AO158" i="18"/>
  <c r="AS158" i="18"/>
  <c r="AW158" i="18"/>
  <c r="AM158" i="18"/>
  <c r="BY159" i="18"/>
  <c r="AW159" i="18"/>
  <c r="AS159" i="18"/>
  <c r="BT153" i="18"/>
  <c r="BX153" i="18"/>
  <c r="CB153" i="18"/>
  <c r="CF153" i="18"/>
  <c r="AW153" i="18"/>
  <c r="CC153" i="18"/>
  <c r="AQ154" i="18"/>
  <c r="BW154" i="18"/>
  <c r="AN155" i="18"/>
  <c r="AR155" i="18"/>
  <c r="AV155" i="18"/>
  <c r="AZ155" i="18"/>
  <c r="AW155" i="18"/>
  <c r="CC155" i="18"/>
  <c r="AQ156" i="18"/>
  <c r="BW156" i="18"/>
  <c r="AN157" i="18"/>
  <c r="AR157" i="18"/>
  <c r="AV157" i="18"/>
  <c r="AZ157" i="18"/>
  <c r="AW157" i="18"/>
  <c r="CC157" i="18"/>
  <c r="AQ158" i="18"/>
  <c r="BW158" i="18"/>
  <c r="AN159" i="18"/>
  <c r="AR159" i="18"/>
  <c r="AV159" i="18"/>
  <c r="AZ159" i="18"/>
  <c r="AK153" i="18"/>
  <c r="BA153" i="18" s="1"/>
  <c r="AU154" i="18"/>
  <c r="CA154" i="18"/>
  <c r="AK155" i="18"/>
  <c r="BA155" i="18" s="1"/>
  <c r="AU156" i="18"/>
  <c r="CA156" i="18"/>
  <c r="AK157" i="18"/>
  <c r="BA157" i="18" s="1"/>
  <c r="AU158" i="18"/>
  <c r="CA158" i="18"/>
  <c r="BU159" i="18"/>
  <c r="CC159" i="18"/>
  <c r="AK159" i="18"/>
  <c r="BA159" i="18" s="1"/>
  <c r="AO153" i="18"/>
  <c r="BU153" i="18"/>
  <c r="BT155" i="18"/>
  <c r="BX155" i="18"/>
  <c r="CB155" i="18"/>
  <c r="CF155" i="18"/>
  <c r="AY154" i="18"/>
  <c r="CE154" i="18"/>
  <c r="AO155" i="18"/>
  <c r="BU155" i="18"/>
  <c r="BT157" i="18"/>
  <c r="BX157" i="18"/>
  <c r="CB157" i="18"/>
  <c r="CF157" i="18"/>
  <c r="AY156" i="18"/>
  <c r="CE156" i="18"/>
  <c r="AO157" i="18"/>
  <c r="BU157" i="18"/>
  <c r="BT159" i="18"/>
  <c r="BX159" i="18"/>
  <c r="CB159" i="18"/>
  <c r="CF159" i="18"/>
  <c r="AY158" i="18"/>
  <c r="CE158" i="18"/>
  <c r="AL159" i="18"/>
  <c r="AP159" i="18"/>
  <c r="AT159" i="18"/>
  <c r="AX159" i="18"/>
  <c r="BO159" i="18" s="1"/>
  <c r="AO159" i="18"/>
  <c r="AL153" i="18"/>
  <c r="AP153" i="18"/>
  <c r="AT153" i="18"/>
  <c r="AX153" i="18"/>
  <c r="BR153" i="18"/>
  <c r="BV153" i="18"/>
  <c r="BZ153" i="18"/>
  <c r="CD153" i="18"/>
  <c r="AN154" i="18"/>
  <c r="AR154" i="18"/>
  <c r="AV154" i="18"/>
  <c r="AZ154" i="18"/>
  <c r="BT154" i="18"/>
  <c r="BX154" i="18"/>
  <c r="CB154" i="18"/>
  <c r="CF154" i="18"/>
  <c r="AL155" i="18"/>
  <c r="AP155" i="18"/>
  <c r="AT155" i="18"/>
  <c r="AX155" i="18"/>
  <c r="BR155" i="18"/>
  <c r="BV155" i="18"/>
  <c r="BZ155" i="18"/>
  <c r="CD155" i="18"/>
  <c r="AN156" i="18"/>
  <c r="AR156" i="18"/>
  <c r="AV156" i="18"/>
  <c r="AZ156" i="18"/>
  <c r="BT156" i="18"/>
  <c r="BX156" i="18"/>
  <c r="CB156" i="18"/>
  <c r="CF156" i="18"/>
  <c r="AL157" i="18"/>
  <c r="AP157" i="18"/>
  <c r="AT157" i="18"/>
  <c r="AX157" i="18"/>
  <c r="BR157" i="18"/>
  <c r="BV157" i="18"/>
  <c r="BZ157" i="18"/>
  <c r="CD157" i="18"/>
  <c r="AN158" i="18"/>
  <c r="AR158" i="18"/>
  <c r="AV158" i="18"/>
  <c r="AZ158" i="18"/>
  <c r="BT158" i="18"/>
  <c r="BX158" i="18"/>
  <c r="CB158" i="18"/>
  <c r="CF158" i="18"/>
  <c r="BR159" i="18"/>
  <c r="BV159" i="18"/>
  <c r="BZ159" i="18"/>
  <c r="CD159" i="18"/>
  <c r="AM153" i="18"/>
  <c r="AQ153" i="18"/>
  <c r="AU153" i="18"/>
  <c r="AY153" i="18"/>
  <c r="AK154" i="18"/>
  <c r="AK156" i="18"/>
  <c r="AK158" i="18"/>
  <c r="BA158" i="18" s="1"/>
  <c r="AN153" i="18"/>
  <c r="AR153" i="18"/>
  <c r="AV153" i="18"/>
  <c r="AZ153" i="18"/>
  <c r="BW140" i="18"/>
  <c r="CA140" i="18"/>
  <c r="CE140" i="18"/>
  <c r="AQ142" i="18"/>
  <c r="AU142" i="18"/>
  <c r="AY142" i="18"/>
  <c r="AQ144" i="18"/>
  <c r="AU144" i="18"/>
  <c r="AY144" i="18"/>
  <c r="AQ146" i="18"/>
  <c r="AU146" i="18"/>
  <c r="AY146" i="18"/>
  <c r="AS140" i="18"/>
  <c r="AO141" i="18"/>
  <c r="AS141" i="18"/>
  <c r="AW141" i="18"/>
  <c r="AM141" i="18"/>
  <c r="AS142" i="18"/>
  <c r="AO143" i="18"/>
  <c r="AS143" i="18"/>
  <c r="AW143" i="18"/>
  <c r="AM143" i="18"/>
  <c r="AS144" i="18"/>
  <c r="AO145" i="18"/>
  <c r="AS145" i="18"/>
  <c r="AW145" i="18"/>
  <c r="AM145" i="18"/>
  <c r="BU146" i="18"/>
  <c r="AW146" i="18"/>
  <c r="BT140" i="18"/>
  <c r="BX140" i="18"/>
  <c r="CB140" i="18"/>
  <c r="CF140" i="18"/>
  <c r="AW140" i="18"/>
  <c r="CC140" i="18"/>
  <c r="AQ141" i="18"/>
  <c r="BW141" i="18"/>
  <c r="AN142" i="18"/>
  <c r="AR142" i="18"/>
  <c r="AV142" i="18"/>
  <c r="AZ142" i="18"/>
  <c r="AW142" i="18"/>
  <c r="CC142" i="18"/>
  <c r="AQ143" i="18"/>
  <c r="BW143" i="18"/>
  <c r="AN144" i="18"/>
  <c r="AR144" i="18"/>
  <c r="AV144" i="18"/>
  <c r="AZ144" i="18"/>
  <c r="AW144" i="18"/>
  <c r="CC144" i="18"/>
  <c r="AQ145" i="18"/>
  <c r="BW145" i="18"/>
  <c r="AN146" i="18"/>
  <c r="AR146" i="18"/>
  <c r="AV146" i="18"/>
  <c r="AZ146" i="18"/>
  <c r="AK140" i="18"/>
  <c r="BA140" i="18" s="1"/>
  <c r="AU141" i="18"/>
  <c r="CA141" i="18"/>
  <c r="AK142" i="18"/>
  <c r="BA142" i="18" s="1"/>
  <c r="AU143" i="18"/>
  <c r="CA143" i="18"/>
  <c r="AK144" i="18"/>
  <c r="BA144" i="18" s="1"/>
  <c r="AU145" i="18"/>
  <c r="CA145" i="18"/>
  <c r="BY146" i="18"/>
  <c r="CC146" i="18"/>
  <c r="AK146" i="18"/>
  <c r="BA146" i="18" s="1"/>
  <c r="AO140" i="18"/>
  <c r="BF140" i="18" s="1"/>
  <c r="BU140" i="18"/>
  <c r="BT142" i="18"/>
  <c r="BX142" i="18"/>
  <c r="CB142" i="18"/>
  <c r="CF142" i="18"/>
  <c r="AY141" i="18"/>
  <c r="CE141" i="18"/>
  <c r="AO142" i="18"/>
  <c r="BU142" i="18"/>
  <c r="BT144" i="18"/>
  <c r="BX144" i="18"/>
  <c r="CB144" i="18"/>
  <c r="CF144" i="18"/>
  <c r="AY143" i="18"/>
  <c r="CE143" i="18"/>
  <c r="AO144" i="18"/>
  <c r="BU144" i="18"/>
  <c r="BT146" i="18"/>
  <c r="BX146" i="18"/>
  <c r="CB146" i="18"/>
  <c r="CF146" i="18"/>
  <c r="AY145" i="18"/>
  <c r="CE145" i="18"/>
  <c r="AL146" i="18"/>
  <c r="AP146" i="18"/>
  <c r="AT146" i="18"/>
  <c r="AX146" i="18"/>
  <c r="BO146" i="18" s="1"/>
  <c r="AO146" i="18"/>
  <c r="AL140" i="18"/>
  <c r="AP140" i="18"/>
  <c r="AT140" i="18"/>
  <c r="AX140" i="18"/>
  <c r="BO140" i="18" s="1"/>
  <c r="BR140" i="18"/>
  <c r="BV140" i="18"/>
  <c r="BZ140" i="18"/>
  <c r="CD140" i="18"/>
  <c r="AN141" i="18"/>
  <c r="AR141" i="18"/>
  <c r="AV141" i="18"/>
  <c r="AZ141" i="18"/>
  <c r="BT141" i="18"/>
  <c r="BX141" i="18"/>
  <c r="CB141" i="18"/>
  <c r="CF141" i="18"/>
  <c r="AL142" i="18"/>
  <c r="AP142" i="18"/>
  <c r="AT142" i="18"/>
  <c r="BK142" i="18" s="1"/>
  <c r="AX142" i="18"/>
  <c r="BR142" i="18"/>
  <c r="BV142" i="18"/>
  <c r="BZ142" i="18"/>
  <c r="CD142" i="18"/>
  <c r="AN143" i="18"/>
  <c r="AR143" i="18"/>
  <c r="AV143" i="18"/>
  <c r="AZ143" i="18"/>
  <c r="BT143" i="18"/>
  <c r="BX143" i="18"/>
  <c r="CB143" i="18"/>
  <c r="CF143" i="18"/>
  <c r="AL144" i="18"/>
  <c r="AP144" i="18"/>
  <c r="BG144" i="18" s="1"/>
  <c r="AT144" i="18"/>
  <c r="AX144" i="18"/>
  <c r="BR144" i="18"/>
  <c r="BV144" i="18"/>
  <c r="BZ144" i="18"/>
  <c r="CD144" i="18"/>
  <c r="AN145" i="18"/>
  <c r="AR145" i="18"/>
  <c r="AV145" i="18"/>
  <c r="AZ145" i="18"/>
  <c r="BT145" i="18"/>
  <c r="BX145" i="18"/>
  <c r="CB145" i="18"/>
  <c r="CF145" i="18"/>
  <c r="BR146" i="18"/>
  <c r="BV146" i="18"/>
  <c r="BZ146" i="18"/>
  <c r="CD146" i="18"/>
  <c r="AM140" i="18"/>
  <c r="AQ140" i="18"/>
  <c r="AU140" i="18"/>
  <c r="AY140" i="18"/>
  <c r="BP140" i="18" s="1"/>
  <c r="AK141" i="18"/>
  <c r="AK143" i="18"/>
  <c r="AK145" i="18"/>
  <c r="BA145" i="18" s="1"/>
  <c r="AN140" i="18"/>
  <c r="BE140" i="18" s="1"/>
  <c r="AR140" i="18"/>
  <c r="AV140" i="18"/>
  <c r="AZ140" i="18"/>
  <c r="AS127" i="18"/>
  <c r="AO128" i="18"/>
  <c r="AS128" i="18"/>
  <c r="AW128" i="18"/>
  <c r="AM128" i="18"/>
  <c r="AS129" i="18"/>
  <c r="AO130" i="18"/>
  <c r="AS130" i="18"/>
  <c r="AW130" i="18"/>
  <c r="AM130" i="18"/>
  <c r="AS131" i="18"/>
  <c r="AO132" i="18"/>
  <c r="AS132" i="18"/>
  <c r="AW132" i="18"/>
  <c r="AM132" i="18"/>
  <c r="BU133" i="18"/>
  <c r="AW133" i="18"/>
  <c r="BT127" i="18"/>
  <c r="BX127" i="18"/>
  <c r="CB127" i="18"/>
  <c r="CF127" i="18"/>
  <c r="AW127" i="18"/>
  <c r="CC127" i="18"/>
  <c r="AQ128" i="18"/>
  <c r="BW128" i="18"/>
  <c r="AN129" i="18"/>
  <c r="AR129" i="18"/>
  <c r="AV129" i="18"/>
  <c r="AZ129" i="18"/>
  <c r="AW129" i="18"/>
  <c r="CC129" i="18"/>
  <c r="AQ130" i="18"/>
  <c r="BW130" i="18"/>
  <c r="AN131" i="18"/>
  <c r="AR131" i="18"/>
  <c r="AV131" i="18"/>
  <c r="AZ131" i="18"/>
  <c r="AW131" i="18"/>
  <c r="CC131" i="18"/>
  <c r="AQ132" i="18"/>
  <c r="BW132" i="18"/>
  <c r="AN133" i="18"/>
  <c r="AR133" i="18"/>
  <c r="AV133" i="18"/>
  <c r="AZ133" i="18"/>
  <c r="AK127" i="18"/>
  <c r="BA127" i="18" s="1"/>
  <c r="AU128" i="18"/>
  <c r="CA128" i="18"/>
  <c r="AK129" i="18"/>
  <c r="BA129" i="18" s="1"/>
  <c r="AU130" i="18"/>
  <c r="CA130" i="18"/>
  <c r="AK131" i="18"/>
  <c r="BA131" i="18" s="1"/>
  <c r="AU132" i="18"/>
  <c r="CA132" i="18"/>
  <c r="BY133" i="18"/>
  <c r="CC133" i="18"/>
  <c r="AK133" i="18"/>
  <c r="BA133" i="18" s="1"/>
  <c r="BN133" i="18" s="1"/>
  <c r="AO127" i="18"/>
  <c r="BF127" i="18" s="1"/>
  <c r="BU127" i="18"/>
  <c r="BT129" i="18"/>
  <c r="BX129" i="18"/>
  <c r="CB129" i="18"/>
  <c r="CF129" i="18"/>
  <c r="AY128" i="18"/>
  <c r="CE128" i="18"/>
  <c r="AO129" i="18"/>
  <c r="BU129" i="18"/>
  <c r="BT131" i="18"/>
  <c r="BX131" i="18"/>
  <c r="CB131" i="18"/>
  <c r="CF131" i="18"/>
  <c r="AY130" i="18"/>
  <c r="CE130" i="18"/>
  <c r="AO131" i="18"/>
  <c r="BF131" i="18" s="1"/>
  <c r="BU131" i="18"/>
  <c r="BT133" i="18"/>
  <c r="BX133" i="18"/>
  <c r="CB133" i="18"/>
  <c r="CF133" i="18"/>
  <c r="AY132" i="18"/>
  <c r="CE132" i="18"/>
  <c r="AL133" i="18"/>
  <c r="AP133" i="18"/>
  <c r="AT133" i="18"/>
  <c r="AX133" i="18"/>
  <c r="AO133" i="18"/>
  <c r="AL127" i="18"/>
  <c r="BC127" i="18" s="1"/>
  <c r="AP127" i="18"/>
  <c r="BG127" i="18" s="1"/>
  <c r="AT127" i="18"/>
  <c r="BK127" i="18" s="1"/>
  <c r="AX127" i="18"/>
  <c r="BO127" i="18" s="1"/>
  <c r="BR127" i="18"/>
  <c r="BV127" i="18"/>
  <c r="BZ127" i="18"/>
  <c r="CD127" i="18"/>
  <c r="AN128" i="18"/>
  <c r="AR128" i="18"/>
  <c r="AV128" i="18"/>
  <c r="AZ128" i="18"/>
  <c r="BT128" i="18"/>
  <c r="BX128" i="18"/>
  <c r="CB128" i="18"/>
  <c r="CF128" i="18"/>
  <c r="AL129" i="18"/>
  <c r="BC129" i="18" s="1"/>
  <c r="AP129" i="18"/>
  <c r="AT129" i="18"/>
  <c r="BK129" i="18" s="1"/>
  <c r="AX129" i="18"/>
  <c r="BR129" i="18"/>
  <c r="BV129" i="18"/>
  <c r="BZ129" i="18"/>
  <c r="CD129" i="18"/>
  <c r="AN130" i="18"/>
  <c r="AR130" i="18"/>
  <c r="AV130" i="18"/>
  <c r="AZ130" i="18"/>
  <c r="BT130" i="18"/>
  <c r="BX130" i="18"/>
  <c r="CB130" i="18"/>
  <c r="CF130" i="18"/>
  <c r="AL131" i="18"/>
  <c r="BC131" i="18" s="1"/>
  <c r="AP131" i="18"/>
  <c r="BG131" i="18" s="1"/>
  <c r="AT131" i="18"/>
  <c r="BK131" i="18" s="1"/>
  <c r="AX131" i="18"/>
  <c r="BO131" i="18" s="1"/>
  <c r="BR131" i="18"/>
  <c r="BV131" i="18"/>
  <c r="BZ131" i="18"/>
  <c r="CD131" i="18"/>
  <c r="AN132" i="18"/>
  <c r="AR132" i="18"/>
  <c r="AV132" i="18"/>
  <c r="AZ132" i="18"/>
  <c r="BT132" i="18"/>
  <c r="BX132" i="18"/>
  <c r="CB132" i="18"/>
  <c r="CF132" i="18"/>
  <c r="BR133" i="18"/>
  <c r="BV133" i="18"/>
  <c r="BZ133" i="18"/>
  <c r="CD133" i="18"/>
  <c r="AM127" i="18"/>
  <c r="BD127" i="18" s="1"/>
  <c r="AQ127" i="18"/>
  <c r="BH127" i="18" s="1"/>
  <c r="AU127" i="18"/>
  <c r="BL127" i="18" s="1"/>
  <c r="AY127" i="18"/>
  <c r="BP127" i="18" s="1"/>
  <c r="AK128" i="18"/>
  <c r="BA128" i="18" s="1"/>
  <c r="BF128" i="18" s="1"/>
  <c r="AK130" i="18"/>
  <c r="BA130" i="18" s="1"/>
  <c r="AK132" i="18"/>
  <c r="BA132" i="18" s="1"/>
  <c r="AN127" i="18"/>
  <c r="BE127" i="18" s="1"/>
  <c r="AR127" i="18"/>
  <c r="BI127" i="18" s="1"/>
  <c r="AV127" i="18"/>
  <c r="BM127" i="18" s="1"/>
  <c r="AZ127" i="18"/>
  <c r="BQ127" i="18" s="1"/>
  <c r="CE118" i="18"/>
  <c r="AO114" i="18"/>
  <c r="AO115" i="18"/>
  <c r="AS115" i="18"/>
  <c r="AW115" i="18"/>
  <c r="AO116" i="18"/>
  <c r="AO117" i="18"/>
  <c r="AS117" i="18"/>
  <c r="AW117" i="18"/>
  <c r="AO118" i="18"/>
  <c r="AO119" i="18"/>
  <c r="AS119" i="18"/>
  <c r="AW119" i="18"/>
  <c r="AS120" i="18"/>
  <c r="AW120" i="18"/>
  <c r="BS114" i="18"/>
  <c r="BW114" i="18"/>
  <c r="CA114" i="18"/>
  <c r="CE114" i="18"/>
  <c r="AS114" i="18"/>
  <c r="BY114" i="18"/>
  <c r="AM115" i="18"/>
  <c r="BS115" i="18"/>
  <c r="AM116" i="18"/>
  <c r="AQ116" i="18"/>
  <c r="AU116" i="18"/>
  <c r="AY116" i="18"/>
  <c r="AS116" i="18"/>
  <c r="BY116" i="18"/>
  <c r="AM117" i="18"/>
  <c r="BS117" i="18"/>
  <c r="AM118" i="18"/>
  <c r="AQ118" i="18"/>
  <c r="AU118" i="18"/>
  <c r="AY118" i="18"/>
  <c r="AS118" i="18"/>
  <c r="BY118" i="18"/>
  <c r="AM119" i="18"/>
  <c r="BS119" i="18"/>
  <c r="AM120" i="18"/>
  <c r="AQ120" i="18"/>
  <c r="AU120" i="18"/>
  <c r="AY120" i="18"/>
  <c r="BT114" i="18"/>
  <c r="BX114" i="18"/>
  <c r="CB114" i="18"/>
  <c r="CF114" i="18"/>
  <c r="AW114" i="18"/>
  <c r="CC114" i="18"/>
  <c r="AQ115" i="18"/>
  <c r="BW115" i="18"/>
  <c r="AN116" i="18"/>
  <c r="AR116" i="18"/>
  <c r="AV116" i="18"/>
  <c r="AZ116" i="18"/>
  <c r="AW116" i="18"/>
  <c r="CC116" i="18"/>
  <c r="AQ117" i="18"/>
  <c r="BW117" i="18"/>
  <c r="AN118" i="18"/>
  <c r="AR118" i="18"/>
  <c r="AV118" i="18"/>
  <c r="AZ118" i="18"/>
  <c r="AW118" i="18"/>
  <c r="CC118" i="18"/>
  <c r="AQ119" i="18"/>
  <c r="BW119" i="18"/>
  <c r="AN120" i="18"/>
  <c r="AR120" i="18"/>
  <c r="AV120" i="18"/>
  <c r="AZ120" i="18"/>
  <c r="AK114" i="18"/>
  <c r="BA114" i="18" s="1"/>
  <c r="AU115" i="18"/>
  <c r="CA115" i="18"/>
  <c r="AK116" i="18"/>
  <c r="BA116" i="18" s="1"/>
  <c r="AU117" i="18"/>
  <c r="CA117" i="18"/>
  <c r="AK118" i="18"/>
  <c r="BA118" i="18" s="1"/>
  <c r="AU119" i="18"/>
  <c r="CA119" i="18"/>
  <c r="BU120" i="18"/>
  <c r="BY120" i="18"/>
  <c r="CC120" i="18"/>
  <c r="AK120" i="18"/>
  <c r="BA120" i="18" s="1"/>
  <c r="AL114" i="18"/>
  <c r="AP114" i="18"/>
  <c r="AT114" i="18"/>
  <c r="AX114" i="18"/>
  <c r="BO114" i="18" s="1"/>
  <c r="BR114" i="18"/>
  <c r="BV114" i="18"/>
  <c r="BZ114" i="18"/>
  <c r="CD114" i="18"/>
  <c r="AN115" i="18"/>
  <c r="AR115" i="18"/>
  <c r="AV115" i="18"/>
  <c r="AZ115" i="18"/>
  <c r="BT115" i="18"/>
  <c r="BX115" i="18"/>
  <c r="CB115" i="18"/>
  <c r="CF115" i="18"/>
  <c r="AL116" i="18"/>
  <c r="AP116" i="18"/>
  <c r="AT116" i="18"/>
  <c r="BK116" i="18" s="1"/>
  <c r="AX116" i="18"/>
  <c r="BO116" i="18" s="1"/>
  <c r="BR116" i="18"/>
  <c r="BV116" i="18"/>
  <c r="BZ116" i="18"/>
  <c r="CD116" i="18"/>
  <c r="AN117" i="18"/>
  <c r="AR117" i="18"/>
  <c r="AV117" i="18"/>
  <c r="AZ117" i="18"/>
  <c r="BT117" i="18"/>
  <c r="BX117" i="18"/>
  <c r="CB117" i="18"/>
  <c r="CF117" i="18"/>
  <c r="AL118" i="18"/>
  <c r="AP118" i="18"/>
  <c r="BG118" i="18" s="1"/>
  <c r="AT118" i="18"/>
  <c r="AX118" i="18"/>
  <c r="BR118" i="18"/>
  <c r="BV118" i="18"/>
  <c r="BZ118" i="18"/>
  <c r="CD118" i="18"/>
  <c r="AN119" i="18"/>
  <c r="AR119" i="18"/>
  <c r="AV119" i="18"/>
  <c r="AZ119" i="18"/>
  <c r="BT119" i="18"/>
  <c r="BX119" i="18"/>
  <c r="CB119" i="18"/>
  <c r="CF119" i="18"/>
  <c r="BR120" i="18"/>
  <c r="BV120" i="18"/>
  <c r="BZ120" i="18"/>
  <c r="CD120" i="18"/>
  <c r="AM114" i="18"/>
  <c r="AQ114" i="18"/>
  <c r="BH114" i="18" s="1"/>
  <c r="AU114" i="18"/>
  <c r="AY114" i="18"/>
  <c r="BP114" i="18" s="1"/>
  <c r="AK115" i="18"/>
  <c r="BA115" i="18" s="1"/>
  <c r="AK117" i="18"/>
  <c r="BA117" i="18" s="1"/>
  <c r="BF117" i="18" s="1"/>
  <c r="AK119" i="18"/>
  <c r="BA119" i="18" s="1"/>
  <c r="AN114" i="18"/>
  <c r="BE114" i="18" s="1"/>
  <c r="AR114" i="18"/>
  <c r="AV114" i="18"/>
  <c r="BM114" i="18" s="1"/>
  <c r="AZ114" i="18"/>
  <c r="BS101" i="18"/>
  <c r="BW101" i="18"/>
  <c r="CA101" i="18"/>
  <c r="CE101" i="18"/>
  <c r="BS103" i="18"/>
  <c r="BW103" i="18"/>
  <c r="CA103" i="18"/>
  <c r="CE103" i="18"/>
  <c r="AM103" i="18"/>
  <c r="AQ103" i="18"/>
  <c r="AU103" i="18"/>
  <c r="AY103" i="18"/>
  <c r="CE105" i="18"/>
  <c r="AM105" i="18"/>
  <c r="AQ105" i="18"/>
  <c r="AU105" i="18"/>
  <c r="AY105" i="18"/>
  <c r="CE107" i="18"/>
  <c r="AM107" i="18"/>
  <c r="AQ107" i="18"/>
  <c r="AU107" i="18"/>
  <c r="AY107" i="18"/>
  <c r="AS101" i="18"/>
  <c r="AO102" i="18"/>
  <c r="AS102" i="18"/>
  <c r="AW102" i="18"/>
  <c r="AS103" i="18"/>
  <c r="AO104" i="18"/>
  <c r="AS104" i="18"/>
  <c r="AW104" i="18"/>
  <c r="AS105" i="18"/>
  <c r="AO106" i="18"/>
  <c r="AS106" i="18"/>
  <c r="AW106" i="18"/>
  <c r="AM106" i="18"/>
  <c r="CC107" i="18"/>
  <c r="BT101" i="18"/>
  <c r="BX101" i="18"/>
  <c r="CB101" i="18"/>
  <c r="CF101" i="18"/>
  <c r="AW101" i="18"/>
  <c r="CC101" i="18"/>
  <c r="AQ102" i="18"/>
  <c r="BW102" i="18"/>
  <c r="AN103" i="18"/>
  <c r="AR103" i="18"/>
  <c r="AV103" i="18"/>
  <c r="AZ103" i="18"/>
  <c r="AW103" i="18"/>
  <c r="CC103" i="18"/>
  <c r="AQ104" i="18"/>
  <c r="BW104" i="18"/>
  <c r="AN105" i="18"/>
  <c r="AR105" i="18"/>
  <c r="AV105" i="18"/>
  <c r="AZ105" i="18"/>
  <c r="AW105" i="18"/>
  <c r="CC105" i="18"/>
  <c r="AQ106" i="18"/>
  <c r="BW106" i="18"/>
  <c r="AN107" i="18"/>
  <c r="AR107" i="18"/>
  <c r="AV107" i="18"/>
  <c r="AZ107" i="18"/>
  <c r="AW107" i="18"/>
  <c r="AK101" i="18"/>
  <c r="BA101" i="18" s="1"/>
  <c r="AU102" i="18"/>
  <c r="CA102" i="18"/>
  <c r="AK103" i="18"/>
  <c r="BA103" i="18" s="1"/>
  <c r="BD103" i="18" s="1"/>
  <c r="BS105" i="18"/>
  <c r="AK104" i="18"/>
  <c r="BA104" i="18" s="1"/>
  <c r="BJ104" i="18" s="1"/>
  <c r="AU104" i="18"/>
  <c r="CA104" i="18"/>
  <c r="AK105" i="18"/>
  <c r="BA105" i="18" s="1"/>
  <c r="AU106" i="18"/>
  <c r="CA106" i="18"/>
  <c r="BU107" i="18"/>
  <c r="BY107" i="18"/>
  <c r="AK107" i="18"/>
  <c r="BA107" i="18" s="1"/>
  <c r="AO101" i="18"/>
  <c r="BU101" i="18"/>
  <c r="BT103" i="18"/>
  <c r="BX103" i="18"/>
  <c r="CB103" i="18"/>
  <c r="CF103" i="18"/>
  <c r="AY102" i="18"/>
  <c r="CE102" i="18"/>
  <c r="AO103" i="18"/>
  <c r="BU103" i="18"/>
  <c r="BT105" i="18"/>
  <c r="BX105" i="18"/>
  <c r="CB105" i="18"/>
  <c r="CF105" i="18"/>
  <c r="AY104" i="18"/>
  <c r="CE104" i="18"/>
  <c r="AO105" i="18"/>
  <c r="BU105" i="18"/>
  <c r="BT107" i="18"/>
  <c r="BX107" i="18"/>
  <c r="CB107" i="18"/>
  <c r="CF107" i="18"/>
  <c r="AY106" i="18"/>
  <c r="CE106" i="18"/>
  <c r="AL107" i="18"/>
  <c r="AP107" i="18"/>
  <c r="AT107" i="18"/>
  <c r="AX107" i="18"/>
  <c r="BO107" i="18" s="1"/>
  <c r="AO107" i="18"/>
  <c r="AL101" i="18"/>
  <c r="AP101" i="18"/>
  <c r="AT101" i="18"/>
  <c r="AX101" i="18"/>
  <c r="BR101" i="18"/>
  <c r="BV101" i="18"/>
  <c r="BZ101" i="18"/>
  <c r="CD101" i="18"/>
  <c r="AN102" i="18"/>
  <c r="AR102" i="18"/>
  <c r="AV102" i="18"/>
  <c r="AZ102" i="18"/>
  <c r="BT102" i="18"/>
  <c r="BX102" i="18"/>
  <c r="CB102" i="18"/>
  <c r="CF102" i="18"/>
  <c r="AL103" i="18"/>
  <c r="AP103" i="18"/>
  <c r="AT103" i="18"/>
  <c r="AX103" i="18"/>
  <c r="BR103" i="18"/>
  <c r="BV103" i="18"/>
  <c r="BZ103" i="18"/>
  <c r="CD103" i="18"/>
  <c r="AN104" i="18"/>
  <c r="AR104" i="18"/>
  <c r="AV104" i="18"/>
  <c r="BM104" i="18" s="1"/>
  <c r="AZ104" i="18"/>
  <c r="BT104" i="18"/>
  <c r="BX104" i="18"/>
  <c r="CB104" i="18"/>
  <c r="CF104" i="18"/>
  <c r="AL105" i="18"/>
  <c r="BC105" i="18" s="1"/>
  <c r="AP105" i="18"/>
  <c r="BG105" i="18" s="1"/>
  <c r="AT105" i="18"/>
  <c r="AX105" i="18"/>
  <c r="BR105" i="18"/>
  <c r="BV105" i="18"/>
  <c r="BZ105" i="18"/>
  <c r="CD105" i="18"/>
  <c r="AN106" i="18"/>
  <c r="AR106" i="18"/>
  <c r="AV106" i="18"/>
  <c r="AZ106" i="18"/>
  <c r="BT106" i="18"/>
  <c r="BX106" i="18"/>
  <c r="CB106" i="18"/>
  <c r="CF106" i="18"/>
  <c r="BR107" i="18"/>
  <c r="BV107" i="18"/>
  <c r="BZ107" i="18"/>
  <c r="CD107" i="18"/>
  <c r="AM101" i="18"/>
  <c r="AQ101" i="18"/>
  <c r="AU101" i="18"/>
  <c r="AY101" i="18"/>
  <c r="AK102" i="18"/>
  <c r="BA102" i="18" s="1"/>
  <c r="BN102" i="18" s="1"/>
  <c r="AK106" i="18"/>
  <c r="BA106" i="18" s="1"/>
  <c r="AN101" i="18"/>
  <c r="AR101" i="18"/>
  <c r="AV101" i="18"/>
  <c r="AZ101" i="18"/>
  <c r="CA88" i="18"/>
  <c r="CE88" i="18"/>
  <c r="AQ90" i="18"/>
  <c r="AU90" i="18"/>
  <c r="AY90" i="18"/>
  <c r="AM92" i="18"/>
  <c r="AQ92" i="18"/>
  <c r="AU92" i="18"/>
  <c r="AY92" i="18"/>
  <c r="AU94" i="18"/>
  <c r="AY94" i="18"/>
  <c r="BP94" i="18" s="1"/>
  <c r="AS88" i="18"/>
  <c r="AO89" i="18"/>
  <c r="AS89" i="18"/>
  <c r="AW89" i="18"/>
  <c r="AM89" i="18"/>
  <c r="AS90" i="18"/>
  <c r="AO91" i="18"/>
  <c r="AS91" i="18"/>
  <c r="AW91" i="18"/>
  <c r="AS92" i="18"/>
  <c r="AO93" i="18"/>
  <c r="AS93" i="18"/>
  <c r="AW93" i="18"/>
  <c r="CC94" i="18"/>
  <c r="BT88" i="18"/>
  <c r="BX88" i="18"/>
  <c r="CB88" i="18"/>
  <c r="CF88" i="18"/>
  <c r="AW88" i="18"/>
  <c r="CC88" i="18"/>
  <c r="AQ89" i="18"/>
  <c r="BW89" i="18"/>
  <c r="AN90" i="18"/>
  <c r="AR90" i="18"/>
  <c r="AV90" i="18"/>
  <c r="AZ90" i="18"/>
  <c r="AW90" i="18"/>
  <c r="CC90" i="18"/>
  <c r="AQ91" i="18"/>
  <c r="BW91" i="18"/>
  <c r="AN92" i="18"/>
  <c r="AR92" i="18"/>
  <c r="AV92" i="18"/>
  <c r="AZ92" i="18"/>
  <c r="AW92" i="18"/>
  <c r="CC92" i="18"/>
  <c r="AQ93" i="18"/>
  <c r="BW93" i="18"/>
  <c r="AN94" i="18"/>
  <c r="AR94" i="18"/>
  <c r="AV94" i="18"/>
  <c r="AZ94" i="18"/>
  <c r="AW94" i="18"/>
  <c r="AK88" i="18"/>
  <c r="BA88" i="18" s="1"/>
  <c r="AU89" i="18"/>
  <c r="CA89" i="18"/>
  <c r="AK90" i="18"/>
  <c r="BA90" i="18" s="1"/>
  <c r="BS92" i="18"/>
  <c r="AK91" i="18"/>
  <c r="BA91" i="18" s="1"/>
  <c r="BO91" i="18" s="1"/>
  <c r="AU91" i="18"/>
  <c r="CA91" i="18"/>
  <c r="AK92" i="18"/>
  <c r="BA92" i="18" s="1"/>
  <c r="BS94" i="18"/>
  <c r="AK93" i="18"/>
  <c r="BA93" i="18" s="1"/>
  <c r="AU93" i="18"/>
  <c r="CA93" i="18"/>
  <c r="BU94" i="18"/>
  <c r="BY94" i="18"/>
  <c r="AK94" i="18"/>
  <c r="BA94" i="18" s="1"/>
  <c r="BD94" i="18" s="1"/>
  <c r="AO88" i="18"/>
  <c r="BU88" i="18"/>
  <c r="BT90" i="18"/>
  <c r="BX90" i="18"/>
  <c r="CB90" i="18"/>
  <c r="CF90" i="18"/>
  <c r="AY89" i="18"/>
  <c r="CE89" i="18"/>
  <c r="AO90" i="18"/>
  <c r="BU90" i="18"/>
  <c r="BT92" i="18"/>
  <c r="BX92" i="18"/>
  <c r="CB92" i="18"/>
  <c r="CF92" i="18"/>
  <c r="AY91" i="18"/>
  <c r="CE91" i="18"/>
  <c r="AO92" i="18"/>
  <c r="BU92" i="18"/>
  <c r="BT94" i="18"/>
  <c r="BX94" i="18"/>
  <c r="CB94" i="18"/>
  <c r="CF94" i="18"/>
  <c r="AY93" i="18"/>
  <c r="CE93" i="18"/>
  <c r="AL94" i="18"/>
  <c r="AP94" i="18"/>
  <c r="AT94" i="18"/>
  <c r="AX94" i="18"/>
  <c r="BO94" i="18" s="1"/>
  <c r="AO94" i="18"/>
  <c r="AL88" i="18"/>
  <c r="AP88" i="18"/>
  <c r="AT88" i="18"/>
  <c r="AX88" i="18"/>
  <c r="BR88" i="18"/>
  <c r="BV88" i="18"/>
  <c r="BZ88" i="18"/>
  <c r="CD88" i="18"/>
  <c r="AN89" i="18"/>
  <c r="AR89" i="18"/>
  <c r="AV89" i="18"/>
  <c r="AZ89" i="18"/>
  <c r="BT89" i="18"/>
  <c r="BX89" i="18"/>
  <c r="CB89" i="18"/>
  <c r="CF89" i="18"/>
  <c r="AL90" i="18"/>
  <c r="AP90" i="18"/>
  <c r="AT90" i="18"/>
  <c r="AX90" i="18"/>
  <c r="BR90" i="18"/>
  <c r="BV90" i="18"/>
  <c r="BZ90" i="18"/>
  <c r="CD90" i="18"/>
  <c r="AN91" i="18"/>
  <c r="BE91" i="18" s="1"/>
  <c r="AR91" i="18"/>
  <c r="AV91" i="18"/>
  <c r="AZ91" i="18"/>
  <c r="BQ91" i="18" s="1"/>
  <c r="BT91" i="18"/>
  <c r="BX91" i="18"/>
  <c r="CB91" i="18"/>
  <c r="CF91" i="18"/>
  <c r="AL92" i="18"/>
  <c r="AP92" i="18"/>
  <c r="AT92" i="18"/>
  <c r="AX92" i="18"/>
  <c r="BO92" i="18" s="1"/>
  <c r="BR92" i="18"/>
  <c r="BV92" i="18"/>
  <c r="BZ92" i="18"/>
  <c r="CD92" i="18"/>
  <c r="AN93" i="18"/>
  <c r="AR93" i="18"/>
  <c r="AV93" i="18"/>
  <c r="AZ93" i="18"/>
  <c r="BT93" i="18"/>
  <c r="BX93" i="18"/>
  <c r="CB93" i="18"/>
  <c r="CF93" i="18"/>
  <c r="BR94" i="18"/>
  <c r="BV94" i="18"/>
  <c r="BZ94" i="18"/>
  <c r="CD94" i="18"/>
  <c r="AM88" i="18"/>
  <c r="AQ88" i="18"/>
  <c r="AU88" i="18"/>
  <c r="AY88" i="18"/>
  <c r="AK89" i="18"/>
  <c r="BA89" i="18" s="1"/>
  <c r="AN88" i="18"/>
  <c r="AR88" i="18"/>
  <c r="AV88" i="18"/>
  <c r="AZ88" i="18"/>
  <c r="AS75" i="18"/>
  <c r="AO76" i="18"/>
  <c r="AS76" i="18"/>
  <c r="AW76" i="18"/>
  <c r="AS77" i="18"/>
  <c r="AO78" i="18"/>
  <c r="AS78" i="18"/>
  <c r="AW78" i="18"/>
  <c r="AS79" i="18"/>
  <c r="AO80" i="18"/>
  <c r="AS80" i="18"/>
  <c r="AW80" i="18"/>
  <c r="AM80" i="18"/>
  <c r="BY81" i="18"/>
  <c r="AW81" i="18"/>
  <c r="AS81" i="18"/>
  <c r="BT75" i="18"/>
  <c r="BX75" i="18"/>
  <c r="CB75" i="18"/>
  <c r="CF75" i="18"/>
  <c r="AW75" i="18"/>
  <c r="CC75" i="18"/>
  <c r="AQ76" i="18"/>
  <c r="BW76" i="18"/>
  <c r="AN77" i="18"/>
  <c r="AR77" i="18"/>
  <c r="AV77" i="18"/>
  <c r="AZ77" i="18"/>
  <c r="AW77" i="18"/>
  <c r="CC77" i="18"/>
  <c r="AQ78" i="18"/>
  <c r="BW78" i="18"/>
  <c r="AN79" i="18"/>
  <c r="AR79" i="18"/>
  <c r="AV79" i="18"/>
  <c r="AZ79" i="18"/>
  <c r="AW79" i="18"/>
  <c r="CC79" i="18"/>
  <c r="AQ80" i="18"/>
  <c r="BW80" i="18"/>
  <c r="AN81" i="18"/>
  <c r="AR81" i="18"/>
  <c r="AV81" i="18"/>
  <c r="AZ81" i="18"/>
  <c r="AK75" i="18"/>
  <c r="BA75" i="18" s="1"/>
  <c r="BJ75" i="18" s="1"/>
  <c r="BS77" i="18"/>
  <c r="AK76" i="18"/>
  <c r="BA76" i="18" s="1"/>
  <c r="AU76" i="18"/>
  <c r="CA76" i="18"/>
  <c r="AK77" i="18"/>
  <c r="BA77" i="18" s="1"/>
  <c r="BS79" i="18"/>
  <c r="AK78" i="18"/>
  <c r="BA78" i="18" s="1"/>
  <c r="AU78" i="18"/>
  <c r="CA78" i="18"/>
  <c r="AK79" i="18"/>
  <c r="BA79" i="18" s="1"/>
  <c r="BP79" i="18" s="1"/>
  <c r="AU80" i="18"/>
  <c r="CA80" i="18"/>
  <c r="BU81" i="18"/>
  <c r="CC81" i="18"/>
  <c r="AK81" i="18"/>
  <c r="BA81" i="18" s="1"/>
  <c r="AO75" i="18"/>
  <c r="BF75" i="18" s="1"/>
  <c r="BU75" i="18"/>
  <c r="BT77" i="18"/>
  <c r="BX77" i="18"/>
  <c r="CB77" i="18"/>
  <c r="CF77" i="18"/>
  <c r="AY76" i="18"/>
  <c r="CE76" i="18"/>
  <c r="AO77" i="18"/>
  <c r="BU77" i="18"/>
  <c r="BT79" i="18"/>
  <c r="BX79" i="18"/>
  <c r="CB79" i="18"/>
  <c r="CF79" i="18"/>
  <c r="AY78" i="18"/>
  <c r="CE78" i="18"/>
  <c r="AO79" i="18"/>
  <c r="BU79" i="18"/>
  <c r="BT81" i="18"/>
  <c r="BX81" i="18"/>
  <c r="CB81" i="18"/>
  <c r="CF81" i="18"/>
  <c r="AY80" i="18"/>
  <c r="CE80" i="18"/>
  <c r="AL81" i="18"/>
  <c r="AP81" i="18"/>
  <c r="AT81" i="18"/>
  <c r="AX81" i="18"/>
  <c r="BO81" i="18" s="1"/>
  <c r="AO81" i="18"/>
  <c r="AL75" i="18"/>
  <c r="AP75" i="18"/>
  <c r="AT75" i="18"/>
  <c r="AX75" i="18"/>
  <c r="BO75" i="18" s="1"/>
  <c r="BR75" i="18"/>
  <c r="BV75" i="18"/>
  <c r="BZ75" i="18"/>
  <c r="CD75" i="18"/>
  <c r="AN76" i="18"/>
  <c r="AR76" i="18"/>
  <c r="AV76" i="18"/>
  <c r="AZ76" i="18"/>
  <c r="BT76" i="18"/>
  <c r="BX76" i="18"/>
  <c r="CB76" i="18"/>
  <c r="CF76" i="18"/>
  <c r="AL77" i="18"/>
  <c r="AP77" i="18"/>
  <c r="AT77" i="18"/>
  <c r="BK77" i="18" s="1"/>
  <c r="AX77" i="18"/>
  <c r="BR77" i="18"/>
  <c r="BV77" i="18"/>
  <c r="BZ77" i="18"/>
  <c r="CD77" i="18"/>
  <c r="AN78" i="18"/>
  <c r="AR78" i="18"/>
  <c r="AV78" i="18"/>
  <c r="BM78" i="18" s="1"/>
  <c r="AZ78" i="18"/>
  <c r="BT78" i="18"/>
  <c r="BX78" i="18"/>
  <c r="CB78" i="18"/>
  <c r="CF78" i="18"/>
  <c r="AL79" i="18"/>
  <c r="AP79" i="18"/>
  <c r="BG79" i="18" s="1"/>
  <c r="AT79" i="18"/>
  <c r="AX79" i="18"/>
  <c r="BR79" i="18"/>
  <c r="BV79" i="18"/>
  <c r="BZ79" i="18"/>
  <c r="CD79" i="18"/>
  <c r="AN80" i="18"/>
  <c r="AR80" i="18"/>
  <c r="AV80" i="18"/>
  <c r="AZ80" i="18"/>
  <c r="BT80" i="18"/>
  <c r="BX80" i="18"/>
  <c r="CB80" i="18"/>
  <c r="CF80" i="18"/>
  <c r="BR81" i="18"/>
  <c r="BV81" i="18"/>
  <c r="BZ81" i="18"/>
  <c r="CD81" i="18"/>
  <c r="AM75" i="18"/>
  <c r="AQ75" i="18"/>
  <c r="AU75" i="18"/>
  <c r="AY75" i="18"/>
  <c r="BP75" i="18" s="1"/>
  <c r="AK80" i="18"/>
  <c r="BA80" i="18" s="1"/>
  <c r="BG80" i="18" s="1"/>
  <c r="AN75" i="18"/>
  <c r="AR75" i="18"/>
  <c r="AV75" i="18"/>
  <c r="BM75" i="18" s="1"/>
  <c r="AZ75" i="18"/>
  <c r="AO63" i="18"/>
  <c r="AS63" i="18"/>
  <c r="AW63" i="18"/>
  <c r="BY64" i="18"/>
  <c r="AO65" i="18"/>
  <c r="AS65" i="18"/>
  <c r="AW65" i="18"/>
  <c r="BY66" i="18"/>
  <c r="AO67" i="18"/>
  <c r="AS67" i="18"/>
  <c r="AW67" i="18"/>
  <c r="BX62" i="18"/>
  <c r="CB62" i="18"/>
  <c r="CF62" i="18"/>
  <c r="AL63" i="18"/>
  <c r="AP63" i="18"/>
  <c r="AT63" i="18"/>
  <c r="AX63" i="18"/>
  <c r="AN64" i="18"/>
  <c r="AR64" i="18"/>
  <c r="AV64" i="18"/>
  <c r="AZ64" i="18"/>
  <c r="CC64" i="18"/>
  <c r="AL65" i="18"/>
  <c r="AP65" i="18"/>
  <c r="AT65" i="18"/>
  <c r="AX65" i="18"/>
  <c r="AN66" i="18"/>
  <c r="AR66" i="18"/>
  <c r="AV66" i="18"/>
  <c r="AZ66" i="18"/>
  <c r="CC66" i="18"/>
  <c r="AL67" i="18"/>
  <c r="AP67" i="18"/>
  <c r="AT67" i="18"/>
  <c r="AX67" i="18"/>
  <c r="AN68" i="18"/>
  <c r="AR68" i="18"/>
  <c r="AV68" i="18"/>
  <c r="AZ68" i="18"/>
  <c r="BU63" i="18"/>
  <c r="BY63" i="18"/>
  <c r="CC63" i="18"/>
  <c r="AS62" i="18"/>
  <c r="BS64" i="18"/>
  <c r="BW64" i="18"/>
  <c r="CA64" i="18"/>
  <c r="CE64" i="18"/>
  <c r="BS63" i="18"/>
  <c r="BU65" i="18"/>
  <c r="BY65" i="18"/>
  <c r="CC65" i="18"/>
  <c r="AS64" i="18"/>
  <c r="BS66" i="18"/>
  <c r="BW66" i="18"/>
  <c r="CA66" i="18"/>
  <c r="CE66" i="18"/>
  <c r="BS65" i="18"/>
  <c r="BU67" i="18"/>
  <c r="BY67" i="18"/>
  <c r="CC67" i="18"/>
  <c r="AS66" i="18"/>
  <c r="BS68" i="18"/>
  <c r="BW68" i="18"/>
  <c r="CA68" i="18"/>
  <c r="CE68" i="18"/>
  <c r="BS67" i="18"/>
  <c r="BU68" i="18"/>
  <c r="BR63" i="18"/>
  <c r="BV63" i="18"/>
  <c r="BZ63" i="18"/>
  <c r="CD63" i="18"/>
  <c r="AW62" i="18"/>
  <c r="BW63" i="18"/>
  <c r="BR65" i="18"/>
  <c r="BV65" i="18"/>
  <c r="BZ65" i="18"/>
  <c r="CD65" i="18"/>
  <c r="AW64" i="18"/>
  <c r="BW65" i="18"/>
  <c r="BR67" i="18"/>
  <c r="BV67" i="18"/>
  <c r="BZ67" i="18"/>
  <c r="CD67" i="18"/>
  <c r="AW66" i="18"/>
  <c r="BW67" i="18"/>
  <c r="AK62" i="18"/>
  <c r="BA62" i="18" s="1"/>
  <c r="AU63" i="18"/>
  <c r="CA63" i="18"/>
  <c r="AK64" i="18"/>
  <c r="BA64" i="18" s="1"/>
  <c r="AU65" i="18"/>
  <c r="CA65" i="18"/>
  <c r="AK66" i="18"/>
  <c r="BA66" i="18" s="1"/>
  <c r="AU67" i="18"/>
  <c r="CA67" i="18"/>
  <c r="BY68" i="18"/>
  <c r="CC68" i="18"/>
  <c r="AK68" i="18"/>
  <c r="BA68" i="18" s="1"/>
  <c r="AO62" i="18"/>
  <c r="BF62" i="18" s="1"/>
  <c r="BU62" i="18"/>
  <c r="BT64" i="18"/>
  <c r="BX64" i="18"/>
  <c r="CB64" i="18"/>
  <c r="CF64" i="18"/>
  <c r="AY63" i="18"/>
  <c r="CE63" i="18"/>
  <c r="AO64" i="18"/>
  <c r="BF64" i="18" s="1"/>
  <c r="BU64" i="18"/>
  <c r="BT66" i="18"/>
  <c r="BX66" i="18"/>
  <c r="CB66" i="18"/>
  <c r="CF66" i="18"/>
  <c r="AY65" i="18"/>
  <c r="CE65" i="18"/>
  <c r="AO66" i="18"/>
  <c r="BU66" i="18"/>
  <c r="BT68" i="18"/>
  <c r="BX68" i="18"/>
  <c r="CB68" i="18"/>
  <c r="CF68" i="18"/>
  <c r="AY67" i="18"/>
  <c r="CE67" i="18"/>
  <c r="AL68" i="18"/>
  <c r="AP68" i="18"/>
  <c r="AT68" i="18"/>
  <c r="AX68" i="18"/>
  <c r="BO68" i="18" s="1"/>
  <c r="AO68" i="18"/>
  <c r="AL62" i="18"/>
  <c r="AP62" i="18"/>
  <c r="AT62" i="18"/>
  <c r="AX62" i="18"/>
  <c r="BO62" i="18" s="1"/>
  <c r="BR62" i="18"/>
  <c r="BV62" i="18"/>
  <c r="BZ62" i="18"/>
  <c r="CD62" i="18"/>
  <c r="AN63" i="18"/>
  <c r="AR63" i="18"/>
  <c r="AV63" i="18"/>
  <c r="AZ63" i="18"/>
  <c r="BT63" i="18"/>
  <c r="BX63" i="18"/>
  <c r="CB63" i="18"/>
  <c r="CF63" i="18"/>
  <c r="AL64" i="18"/>
  <c r="BC64" i="18" s="1"/>
  <c r="AP64" i="18"/>
  <c r="BG64" i="18" s="1"/>
  <c r="AT64" i="18"/>
  <c r="BK64" i="18" s="1"/>
  <c r="AX64" i="18"/>
  <c r="BO64" i="18" s="1"/>
  <c r="BR64" i="18"/>
  <c r="BV64" i="18"/>
  <c r="BZ64" i="18"/>
  <c r="CD64" i="18"/>
  <c r="AN65" i="18"/>
  <c r="AR65" i="18"/>
  <c r="AV65" i="18"/>
  <c r="AZ65" i="18"/>
  <c r="BT65" i="18"/>
  <c r="BX65" i="18"/>
  <c r="CB65" i="18"/>
  <c r="CF65" i="18"/>
  <c r="AL66" i="18"/>
  <c r="AP66" i="18"/>
  <c r="BG66" i="18" s="1"/>
  <c r="AT66" i="18"/>
  <c r="AX66" i="18"/>
  <c r="BR66" i="18"/>
  <c r="BV66" i="18"/>
  <c r="BZ66" i="18"/>
  <c r="CD66" i="18"/>
  <c r="AN67" i="18"/>
  <c r="AR67" i="18"/>
  <c r="AV67" i="18"/>
  <c r="AZ67" i="18"/>
  <c r="BT67" i="18"/>
  <c r="BX67" i="18"/>
  <c r="CB67" i="18"/>
  <c r="CF67" i="18"/>
  <c r="BR68" i="18"/>
  <c r="BV68" i="18"/>
  <c r="BZ68" i="18"/>
  <c r="CD68" i="18"/>
  <c r="AM62" i="18"/>
  <c r="AQ62" i="18"/>
  <c r="AU62" i="18"/>
  <c r="AY62" i="18"/>
  <c r="BP62" i="18" s="1"/>
  <c r="AK63" i="18"/>
  <c r="BA63" i="18" s="1"/>
  <c r="AK65" i="18"/>
  <c r="BA65" i="18" s="1"/>
  <c r="BC65" i="18" s="1"/>
  <c r="AK67" i="18"/>
  <c r="BA67" i="18" s="1"/>
  <c r="AN62" i="18"/>
  <c r="BE62" i="18" s="1"/>
  <c r="AR62" i="18"/>
  <c r="AV62" i="18"/>
  <c r="AZ62" i="18"/>
  <c r="CA49" i="18"/>
  <c r="CE49" i="18"/>
  <c r="AQ51" i="18"/>
  <c r="AU51" i="18"/>
  <c r="AY51" i="18"/>
  <c r="AQ53" i="18"/>
  <c r="AU53" i="18"/>
  <c r="AY53" i="18"/>
  <c r="AQ55" i="18"/>
  <c r="AU55" i="18"/>
  <c r="AY55" i="18"/>
  <c r="AS49" i="18"/>
  <c r="AO50" i="18"/>
  <c r="AS50" i="18"/>
  <c r="AW50" i="18"/>
  <c r="AM50" i="18"/>
  <c r="AS51" i="18"/>
  <c r="AO52" i="18"/>
  <c r="AS52" i="18"/>
  <c r="AW52" i="18"/>
  <c r="AM52" i="18"/>
  <c r="AS53" i="18"/>
  <c r="AO54" i="18"/>
  <c r="AS54" i="18"/>
  <c r="AW54" i="18"/>
  <c r="AM54" i="18"/>
  <c r="BU55" i="18"/>
  <c r="AW55" i="18"/>
  <c r="BT49" i="18"/>
  <c r="BX49" i="18"/>
  <c r="CB49" i="18"/>
  <c r="CF49" i="18"/>
  <c r="AW49" i="18"/>
  <c r="CC49" i="18"/>
  <c r="AQ50" i="18"/>
  <c r="BW50" i="18"/>
  <c r="AN51" i="18"/>
  <c r="AR51" i="18"/>
  <c r="AV51" i="18"/>
  <c r="AZ51" i="18"/>
  <c r="AW51" i="18"/>
  <c r="CC51" i="18"/>
  <c r="AQ52" i="18"/>
  <c r="BW52" i="18"/>
  <c r="AN53" i="18"/>
  <c r="AR53" i="18"/>
  <c r="AV53" i="18"/>
  <c r="AZ53" i="18"/>
  <c r="AW53" i="18"/>
  <c r="CC53" i="18"/>
  <c r="AQ54" i="18"/>
  <c r="BW54" i="18"/>
  <c r="AN55" i="18"/>
  <c r="AR55" i="18"/>
  <c r="AV55" i="18"/>
  <c r="AZ55" i="18"/>
  <c r="AK49" i="18"/>
  <c r="BA49" i="18" s="1"/>
  <c r="AU50" i="18"/>
  <c r="CA50" i="18"/>
  <c r="AK51" i="18"/>
  <c r="BA51" i="18" s="1"/>
  <c r="AU52" i="18"/>
  <c r="CA52" i="18"/>
  <c r="AK53" i="18"/>
  <c r="BA53" i="18" s="1"/>
  <c r="BD53" i="18" s="1"/>
  <c r="AU54" i="18"/>
  <c r="CA54" i="18"/>
  <c r="BY55" i="18"/>
  <c r="CC55" i="18"/>
  <c r="AK55" i="18"/>
  <c r="BA55" i="18" s="1"/>
  <c r="AO49" i="18"/>
  <c r="BU49" i="18"/>
  <c r="BT51" i="18"/>
  <c r="BX51" i="18"/>
  <c r="CB51" i="18"/>
  <c r="CF51" i="18"/>
  <c r="AY50" i="18"/>
  <c r="CE50" i="18"/>
  <c r="AO51" i="18"/>
  <c r="BU51" i="18"/>
  <c r="BT53" i="18"/>
  <c r="BX53" i="18"/>
  <c r="CB53" i="18"/>
  <c r="CF53" i="18"/>
  <c r="AY52" i="18"/>
  <c r="CE52" i="18"/>
  <c r="AO53" i="18"/>
  <c r="BU53" i="18"/>
  <c r="BT55" i="18"/>
  <c r="BX55" i="18"/>
  <c r="CB55" i="18"/>
  <c r="CF55" i="18"/>
  <c r="AY54" i="18"/>
  <c r="CE54" i="18"/>
  <c r="AL55" i="18"/>
  <c r="AP55" i="18"/>
  <c r="AT55" i="18"/>
  <c r="AX55" i="18"/>
  <c r="BO55" i="18" s="1"/>
  <c r="AO55" i="18"/>
  <c r="AL49" i="18"/>
  <c r="AP49" i="18"/>
  <c r="AT49" i="18"/>
  <c r="AX49" i="18"/>
  <c r="BR49" i="18"/>
  <c r="BV49" i="18"/>
  <c r="BZ49" i="18"/>
  <c r="CD49" i="18"/>
  <c r="AN50" i="18"/>
  <c r="AR50" i="18"/>
  <c r="AV50" i="18"/>
  <c r="AZ50" i="18"/>
  <c r="BT50" i="18"/>
  <c r="BX50" i="18"/>
  <c r="CB50" i="18"/>
  <c r="CF50" i="18"/>
  <c r="AL51" i="18"/>
  <c r="AP51" i="18"/>
  <c r="BG51" i="18" s="1"/>
  <c r="AT51" i="18"/>
  <c r="BK51" i="18" s="1"/>
  <c r="AX51" i="18"/>
  <c r="BR51" i="18"/>
  <c r="BV51" i="18"/>
  <c r="BZ51" i="18"/>
  <c r="CD51" i="18"/>
  <c r="AN52" i="18"/>
  <c r="AR52" i="18"/>
  <c r="AV52" i="18"/>
  <c r="AZ52" i="18"/>
  <c r="BT52" i="18"/>
  <c r="BX52" i="18"/>
  <c r="CB52" i="18"/>
  <c r="CF52" i="18"/>
  <c r="AL53" i="18"/>
  <c r="AP53" i="18"/>
  <c r="BG53" i="18" s="1"/>
  <c r="AT53" i="18"/>
  <c r="AX53" i="18"/>
  <c r="BR53" i="18"/>
  <c r="BV53" i="18"/>
  <c r="BZ53" i="18"/>
  <c r="CD53" i="18"/>
  <c r="AN54" i="18"/>
  <c r="AR54" i="18"/>
  <c r="AV54" i="18"/>
  <c r="AZ54" i="18"/>
  <c r="BT54" i="18"/>
  <c r="BX54" i="18"/>
  <c r="CB54" i="18"/>
  <c r="CF54" i="18"/>
  <c r="BR55" i="18"/>
  <c r="BV55" i="18"/>
  <c r="BZ55" i="18"/>
  <c r="CD55" i="18"/>
  <c r="AM49" i="18"/>
  <c r="AQ49" i="18"/>
  <c r="AU49" i="18"/>
  <c r="AY49" i="18"/>
  <c r="AK50" i="18"/>
  <c r="AK52" i="18"/>
  <c r="AK54" i="18"/>
  <c r="BA54" i="18" s="1"/>
  <c r="AN49" i="18"/>
  <c r="AR49" i="18"/>
  <c r="AV49" i="18"/>
  <c r="AZ49" i="18"/>
  <c r="AS37" i="18"/>
  <c r="CC38" i="18"/>
  <c r="AS39" i="18"/>
  <c r="AW41" i="18"/>
  <c r="BS41" i="18"/>
  <c r="BX36" i="18"/>
  <c r="CB36" i="18"/>
  <c r="CF36" i="18"/>
  <c r="AX36" i="18"/>
  <c r="AL37" i="18"/>
  <c r="AP37" i="18"/>
  <c r="AT37" i="18"/>
  <c r="AX37" i="18"/>
  <c r="AN37" i="18"/>
  <c r="BT37" i="18"/>
  <c r="AV38" i="18"/>
  <c r="AZ38" i="18"/>
  <c r="CD38" i="18"/>
  <c r="AL39" i="18"/>
  <c r="AP39" i="18"/>
  <c r="AT39" i="18"/>
  <c r="AX39" i="18"/>
  <c r="AN39" i="18"/>
  <c r="BT39" i="18"/>
  <c r="CD40" i="18"/>
  <c r="AL41" i="18"/>
  <c r="AP41" i="18"/>
  <c r="AT41" i="18"/>
  <c r="AX41" i="18"/>
  <c r="AN41" i="18"/>
  <c r="BT41" i="18"/>
  <c r="AN42" i="18"/>
  <c r="AR42" i="18"/>
  <c r="AV42" i="18"/>
  <c r="AZ42" i="18"/>
  <c r="BU37" i="18"/>
  <c r="BY37" i="18"/>
  <c r="CC37" i="18"/>
  <c r="AO36" i="18"/>
  <c r="BU36" i="18"/>
  <c r="BS38" i="18"/>
  <c r="BW38" i="18"/>
  <c r="CA38" i="18"/>
  <c r="CE38" i="18"/>
  <c r="AU37" i="18"/>
  <c r="CA37" i="18"/>
  <c r="BU39" i="18"/>
  <c r="BY39" i="18"/>
  <c r="CC39" i="18"/>
  <c r="AO38" i="18"/>
  <c r="BS40" i="18"/>
  <c r="BW40" i="18"/>
  <c r="CA40" i="18"/>
  <c r="CE40" i="18"/>
  <c r="AU39" i="18"/>
  <c r="CA39" i="18"/>
  <c r="BU41" i="18"/>
  <c r="BY41" i="18"/>
  <c r="CC41" i="18"/>
  <c r="AO40" i="18"/>
  <c r="BU40" i="18"/>
  <c r="BW42" i="18"/>
  <c r="CA42" i="18"/>
  <c r="CE42" i="18"/>
  <c r="AU41" i="18"/>
  <c r="CA41" i="18"/>
  <c r="BY42" i="18"/>
  <c r="CC42" i="18"/>
  <c r="BU42" i="18"/>
  <c r="AO37" i="18"/>
  <c r="BS37" i="18"/>
  <c r="AW39" i="18"/>
  <c r="BS39" i="18"/>
  <c r="CC40" i="18"/>
  <c r="AS41" i="18"/>
  <c r="BR37" i="18"/>
  <c r="BV37" i="18"/>
  <c r="BZ37" i="18"/>
  <c r="CD37" i="18"/>
  <c r="AP36" i="18"/>
  <c r="BV36" i="18"/>
  <c r="AV37" i="18"/>
  <c r="CB37" i="18"/>
  <c r="BR39" i="18"/>
  <c r="BV39" i="18"/>
  <c r="BZ39" i="18"/>
  <c r="CD39" i="18"/>
  <c r="AP38" i="18"/>
  <c r="BV38" i="18"/>
  <c r="AV39" i="18"/>
  <c r="CB39" i="18"/>
  <c r="BR41" i="18"/>
  <c r="BV41" i="18"/>
  <c r="BZ41" i="18"/>
  <c r="CD41" i="18"/>
  <c r="AP40" i="18"/>
  <c r="BV40" i="18"/>
  <c r="AV41" i="18"/>
  <c r="CB41" i="18"/>
  <c r="BR42" i="18"/>
  <c r="BV42" i="18"/>
  <c r="AK36" i="18"/>
  <c r="BA36" i="18" s="1"/>
  <c r="BN36" i="18" s="1"/>
  <c r="AS36" i="18"/>
  <c r="BY36" i="18"/>
  <c r="AQ37" i="18"/>
  <c r="AY37" i="18"/>
  <c r="BW37" i="18"/>
  <c r="CE37" i="18"/>
  <c r="AK38" i="18"/>
  <c r="BA38" i="18" s="1"/>
  <c r="BH38" i="18" s="1"/>
  <c r="AS38" i="18"/>
  <c r="BY38" i="18"/>
  <c r="AQ39" i="18"/>
  <c r="AY39" i="18"/>
  <c r="BW39" i="18"/>
  <c r="CE39" i="18"/>
  <c r="AK40" i="18"/>
  <c r="BA40" i="18" s="1"/>
  <c r="BO40" i="18" s="1"/>
  <c r="AS40" i="18"/>
  <c r="BY40" i="18"/>
  <c r="BS42" i="18"/>
  <c r="AK41" i="18"/>
  <c r="BA41" i="18" s="1"/>
  <c r="AQ41" i="18"/>
  <c r="AY41" i="18"/>
  <c r="BW41" i="18"/>
  <c r="CE41" i="18"/>
  <c r="AK42" i="18"/>
  <c r="BA42" i="18" s="1"/>
  <c r="BD42" i="18" s="1"/>
  <c r="AS42" i="18"/>
  <c r="BG40" i="18"/>
  <c r="AL36" i="18"/>
  <c r="AT36" i="18"/>
  <c r="BR36" i="18"/>
  <c r="BZ36" i="18"/>
  <c r="AR37" i="18"/>
  <c r="AZ37" i="18"/>
  <c r="BX37" i="18"/>
  <c r="CF37" i="18"/>
  <c r="AL38" i="18"/>
  <c r="AT38" i="18"/>
  <c r="BR38" i="18"/>
  <c r="BZ38" i="18"/>
  <c r="AR39" i="18"/>
  <c r="AZ39" i="18"/>
  <c r="BX39" i="18"/>
  <c r="CF39" i="18"/>
  <c r="AL40" i="18"/>
  <c r="AT40" i="18"/>
  <c r="BR40" i="18"/>
  <c r="BZ40" i="18"/>
  <c r="AR41" i="18"/>
  <c r="AZ41" i="18"/>
  <c r="BX41" i="18"/>
  <c r="CF41" i="18"/>
  <c r="BZ42" i="18"/>
  <c r="CD42" i="18"/>
  <c r="AL42" i="18"/>
  <c r="AT42" i="18"/>
  <c r="AM36" i="18"/>
  <c r="AQ36" i="18"/>
  <c r="AU36" i="18"/>
  <c r="BL36" i="18" s="1"/>
  <c r="AY36" i="18"/>
  <c r="AK37" i="18"/>
  <c r="BA37" i="18" s="1"/>
  <c r="AK39" i="18"/>
  <c r="BA39" i="18" s="1"/>
  <c r="AN36" i="18"/>
  <c r="BE36" i="18" s="1"/>
  <c r="AR36" i="18"/>
  <c r="AV36" i="18"/>
  <c r="AZ36" i="18"/>
  <c r="BS6" i="18"/>
  <c r="AL6" i="18"/>
  <c r="AP6" i="18"/>
  <c r="AT6" i="18"/>
  <c r="AX6" i="18"/>
  <c r="AN6" i="18"/>
  <c r="BT6" i="18"/>
  <c r="CD7" i="18"/>
  <c r="AL8" i="18"/>
  <c r="AP8" i="18"/>
  <c r="AT8" i="18"/>
  <c r="AX8" i="18"/>
  <c r="AN8" i="18"/>
  <c r="BT8" i="18"/>
  <c r="CD9" i="18"/>
  <c r="AL10" i="18"/>
  <c r="AP10" i="18"/>
  <c r="AT10" i="18"/>
  <c r="AX10" i="18"/>
  <c r="AN10" i="18"/>
  <c r="BT10" i="18"/>
  <c r="AN11" i="18"/>
  <c r="AR11" i="18"/>
  <c r="AV11" i="18"/>
  <c r="AZ11" i="18"/>
  <c r="AS6" i="18"/>
  <c r="AO8" i="18"/>
  <c r="AW8" i="18"/>
  <c r="BS8" i="18"/>
  <c r="CC9" i="18"/>
  <c r="AS10" i="18"/>
  <c r="BU6" i="18"/>
  <c r="BY6" i="18"/>
  <c r="CC6" i="18"/>
  <c r="AO5" i="18"/>
  <c r="BU5" i="18"/>
  <c r="BS7" i="18"/>
  <c r="BW7" i="18"/>
  <c r="CA7" i="18"/>
  <c r="CE7" i="18"/>
  <c r="AU6" i="18"/>
  <c r="CA6" i="18"/>
  <c r="BU8" i="18"/>
  <c r="BY8" i="18"/>
  <c r="CC8" i="18"/>
  <c r="AO7" i="18"/>
  <c r="BU7" i="18"/>
  <c r="BS9" i="18"/>
  <c r="BW9" i="18"/>
  <c r="CA9" i="18"/>
  <c r="CE9" i="18"/>
  <c r="AU8" i="18"/>
  <c r="CA8" i="18"/>
  <c r="BU10" i="18"/>
  <c r="BY10" i="18"/>
  <c r="CC10" i="18"/>
  <c r="AO9" i="18"/>
  <c r="BU9" i="18"/>
  <c r="BS11" i="18"/>
  <c r="BW11" i="18"/>
  <c r="CA11" i="18"/>
  <c r="CE11" i="18"/>
  <c r="AU10" i="18"/>
  <c r="CA10" i="18"/>
  <c r="AK11" i="18"/>
  <c r="BA11" i="18" s="1"/>
  <c r="BY11" i="18"/>
  <c r="CC11" i="18"/>
  <c r="AO11" i="18"/>
  <c r="BU11" i="18"/>
  <c r="AW6" i="18"/>
  <c r="AS8" i="18"/>
  <c r="AW10" i="18"/>
  <c r="BS10" i="18"/>
  <c r="BR6" i="18"/>
  <c r="BV6" i="18"/>
  <c r="BZ6" i="18"/>
  <c r="CD6" i="18"/>
  <c r="AP5" i="18"/>
  <c r="BV5" i="18"/>
  <c r="CB6" i="18"/>
  <c r="BR8" i="18"/>
  <c r="BV8" i="18"/>
  <c r="BZ8" i="18"/>
  <c r="CD8" i="18"/>
  <c r="AP7" i="18"/>
  <c r="BV7" i="18"/>
  <c r="CB8" i="18"/>
  <c r="BR10" i="18"/>
  <c r="BV10" i="18"/>
  <c r="BZ10" i="18"/>
  <c r="CD10" i="18"/>
  <c r="AP9" i="18"/>
  <c r="BV9" i="18"/>
  <c r="CB10" i="18"/>
  <c r="BR11" i="18"/>
  <c r="BV11" i="18"/>
  <c r="AK5" i="18"/>
  <c r="BA5" i="18" s="1"/>
  <c r="AS5" i="18"/>
  <c r="BY5" i="18"/>
  <c r="AQ6" i="18"/>
  <c r="AY6" i="18"/>
  <c r="BW6" i="18"/>
  <c r="CE6" i="18"/>
  <c r="AK7" i="18"/>
  <c r="BA7" i="18" s="1"/>
  <c r="AS7" i="18"/>
  <c r="BY7" i="18"/>
  <c r="AQ8" i="18"/>
  <c r="AY8" i="18"/>
  <c r="BW8" i="18"/>
  <c r="CE8" i="18"/>
  <c r="AK9" i="18"/>
  <c r="BA9" i="18" s="1"/>
  <c r="AS9" i="18"/>
  <c r="BY9" i="18"/>
  <c r="AQ10" i="18"/>
  <c r="AY10" i="18"/>
  <c r="BW10" i="18"/>
  <c r="CE10" i="18"/>
  <c r="AS11" i="18"/>
  <c r="AL5" i="18"/>
  <c r="AT5" i="18"/>
  <c r="BR5" i="18"/>
  <c r="BZ5" i="18"/>
  <c r="BT7" i="18"/>
  <c r="BX7" i="18"/>
  <c r="CB7" i="18"/>
  <c r="CF7" i="18"/>
  <c r="AR6" i="18"/>
  <c r="AZ6" i="18"/>
  <c r="BX6" i="18"/>
  <c r="CF6" i="18"/>
  <c r="AL7" i="18"/>
  <c r="AT7" i="18"/>
  <c r="BR7" i="18"/>
  <c r="BZ7" i="18"/>
  <c r="BT9" i="18"/>
  <c r="BX9" i="18"/>
  <c r="CB9" i="18"/>
  <c r="CF9" i="18"/>
  <c r="AR8" i="18"/>
  <c r="AZ8" i="18"/>
  <c r="BX8" i="18"/>
  <c r="CF8" i="18"/>
  <c r="AL9" i="18"/>
  <c r="AT9" i="18"/>
  <c r="BR9" i="18"/>
  <c r="BZ9" i="18"/>
  <c r="BT11" i="18"/>
  <c r="BX11" i="18"/>
  <c r="CB11" i="18"/>
  <c r="CF11" i="18"/>
  <c r="AR10" i="18"/>
  <c r="AZ10" i="18"/>
  <c r="BX10" i="18"/>
  <c r="CF10" i="18"/>
  <c r="BZ11" i="18"/>
  <c r="CD11" i="18"/>
  <c r="AL11" i="18"/>
  <c r="AT11" i="18"/>
  <c r="AM5" i="18"/>
  <c r="AQ5" i="18"/>
  <c r="AU5" i="18"/>
  <c r="AY5" i="18"/>
  <c r="AK6" i="18"/>
  <c r="BA6" i="18" s="1"/>
  <c r="AK8" i="18"/>
  <c r="BA8" i="18" s="1"/>
  <c r="BO8" i="18" s="1"/>
  <c r="AK10" i="18"/>
  <c r="BA10" i="18" s="1"/>
  <c r="AN5" i="18"/>
  <c r="AR5" i="18"/>
  <c r="AV5" i="18"/>
  <c r="AZ5" i="18"/>
  <c r="AU7" i="17"/>
  <c r="AM11" i="17"/>
  <c r="BR6" i="17"/>
  <c r="AO6" i="17"/>
  <c r="AS6" i="17"/>
  <c r="AW6" i="17"/>
  <c r="AO10" i="17"/>
  <c r="AS10" i="17"/>
  <c r="AW10" i="17"/>
  <c r="AN11" i="17"/>
  <c r="AR11" i="17"/>
  <c r="AV11" i="17"/>
  <c r="CF9" i="17"/>
  <c r="BW6" i="17"/>
  <c r="AX6" i="17"/>
  <c r="CE10" i="17"/>
  <c r="CA8" i="17"/>
  <c r="CE8" i="17"/>
  <c r="AK11" i="17"/>
  <c r="BA11" i="17" s="1"/>
  <c r="BE11" i="17" s="1"/>
  <c r="AO5" i="17"/>
  <c r="BY5" i="17"/>
  <c r="CC5" i="17"/>
  <c r="BS8" i="17"/>
  <c r="BW8" i="17"/>
  <c r="AO9" i="17"/>
  <c r="AS9" i="17"/>
  <c r="AQ11" i="17"/>
  <c r="BH11" i="17" s="1"/>
  <c r="AU11" i="17"/>
  <c r="AY7" i="17"/>
  <c r="BV6" i="17"/>
  <c r="BV5" i="17"/>
  <c r="AP5" i="17"/>
  <c r="BT8" i="17"/>
  <c r="AN7" i="17"/>
  <c r="AM8" i="17"/>
  <c r="BS9" i="17"/>
  <c r="AK9" i="17"/>
  <c r="BA9" i="17" s="1"/>
  <c r="BF9" i="17" s="1"/>
  <c r="BR10" i="17"/>
  <c r="AL9" i="17"/>
  <c r="BZ10" i="17"/>
  <c r="AT9" i="17"/>
  <c r="AW5" i="17"/>
  <c r="AZ8" i="17"/>
  <c r="AK7" i="17"/>
  <c r="BA7" i="17" s="1"/>
  <c r="BU5" i="17"/>
  <c r="BY7" i="17"/>
  <c r="BS5" i="17"/>
  <c r="AM5" i="17"/>
  <c r="BW5" i="17"/>
  <c r="AQ5" i="17"/>
  <c r="CA5" i="17"/>
  <c r="AU5" i="17"/>
  <c r="AK6" i="17"/>
  <c r="BA6" i="17" s="1"/>
  <c r="BR7" i="17"/>
  <c r="BV7" i="17"/>
  <c r="BZ7" i="17"/>
  <c r="CD7" i="17"/>
  <c r="BU8" i="17"/>
  <c r="AO7" i="17"/>
  <c r="BY8" i="17"/>
  <c r="AS7" i="17"/>
  <c r="CC8" i="17"/>
  <c r="AW7" i="17"/>
  <c r="BT9" i="17"/>
  <c r="BX9" i="17"/>
  <c r="CB9" i="17"/>
  <c r="AM9" i="17"/>
  <c r="AQ9" i="17"/>
  <c r="AU9" i="17"/>
  <c r="AK10" i="17"/>
  <c r="BA10" i="17" s="1"/>
  <c r="BV11" i="17"/>
  <c r="BZ11" i="17"/>
  <c r="CD11" i="17"/>
  <c r="AO11" i="17"/>
  <c r="AS11" i="17"/>
  <c r="AW11" i="17"/>
  <c r="CE5" i="17"/>
  <c r="AY5" i="17"/>
  <c r="AY9" i="17"/>
  <c r="AL6" i="17"/>
  <c r="AM7" i="17"/>
  <c r="AN8" i="17"/>
  <c r="AP10" i="17"/>
  <c r="CA6" i="17"/>
  <c r="CC7" i="17"/>
  <c r="BS10" i="17"/>
  <c r="BU11" i="17"/>
  <c r="BX8" i="17"/>
  <c r="AR7" i="17"/>
  <c r="BV10" i="17"/>
  <c r="AP9" i="17"/>
  <c r="CF7" i="17"/>
  <c r="AZ6" i="17"/>
  <c r="BT5" i="17"/>
  <c r="AN5" i="17"/>
  <c r="BT6" i="17"/>
  <c r="BX5" i="17"/>
  <c r="AR5" i="17"/>
  <c r="BX6" i="17"/>
  <c r="CB5" i="17"/>
  <c r="AV5" i="17"/>
  <c r="CB6" i="17"/>
  <c r="BS7" i="17"/>
  <c r="AM6" i="17"/>
  <c r="BW7" i="17"/>
  <c r="AQ6" i="17"/>
  <c r="CA7" i="17"/>
  <c r="AU6" i="17"/>
  <c r="AL7" i="17"/>
  <c r="BR8" i="17"/>
  <c r="BV8" i="17"/>
  <c r="AP7" i="17"/>
  <c r="BZ8" i="17"/>
  <c r="AT7" i="17"/>
  <c r="CD8" i="17"/>
  <c r="AX7" i="17"/>
  <c r="AO8" i="17"/>
  <c r="AS8" i="17"/>
  <c r="AW8" i="17"/>
  <c r="AN9" i="17"/>
  <c r="BT10" i="17"/>
  <c r="AR9" i="17"/>
  <c r="BX10" i="17"/>
  <c r="AV9" i="17"/>
  <c r="CB10" i="17"/>
  <c r="BS11" i="17"/>
  <c r="AM10" i="17"/>
  <c r="BW11" i="17"/>
  <c r="AQ10" i="17"/>
  <c r="CA11" i="17"/>
  <c r="AU10" i="17"/>
  <c r="AL11" i="17"/>
  <c r="AP11" i="17"/>
  <c r="AT11" i="17"/>
  <c r="AX11" i="17"/>
  <c r="BO11" i="17" s="1"/>
  <c r="CF5" i="17"/>
  <c r="AZ5" i="17"/>
  <c r="CF6" i="17"/>
  <c r="CF8" i="17"/>
  <c r="AZ7" i="17"/>
  <c r="AZ9" i="17"/>
  <c r="CF10" i="17"/>
  <c r="AZ11" i="17"/>
  <c r="BQ11" i="17" s="1"/>
  <c r="AP6" i="17"/>
  <c r="AQ7" i="17"/>
  <c r="AR8" i="17"/>
  <c r="AT10" i="17"/>
  <c r="BK10" i="17" s="1"/>
  <c r="CE6" i="17"/>
  <c r="BU9" i="17"/>
  <c r="BW10" i="17"/>
  <c r="BY11" i="17"/>
  <c r="BR5" i="17"/>
  <c r="AK5" i="17"/>
  <c r="BA5" i="17" s="1"/>
  <c r="AL5" i="17"/>
  <c r="BZ6" i="17"/>
  <c r="BZ5" i="17"/>
  <c r="AT5" i="17"/>
  <c r="CD6" i="17"/>
  <c r="CD5" i="17"/>
  <c r="AX5" i="17"/>
  <c r="CB8" i="17"/>
  <c r="AV7" i="17"/>
  <c r="AQ8" i="17"/>
  <c r="BW9" i="17"/>
  <c r="AU8" i="17"/>
  <c r="CA9" i="17"/>
  <c r="CD10" i="17"/>
  <c r="AX9" i="17"/>
  <c r="CF11" i="17"/>
  <c r="AZ10" i="17"/>
  <c r="BQ10" i="17" s="1"/>
  <c r="BU6" i="17"/>
  <c r="BY6" i="17"/>
  <c r="CC6" i="17"/>
  <c r="BT7" i="17"/>
  <c r="AN6" i="17"/>
  <c r="BX7" i="17"/>
  <c r="AR6" i="17"/>
  <c r="CB7" i="17"/>
  <c r="AV6" i="17"/>
  <c r="BR9" i="17"/>
  <c r="AL8" i="17"/>
  <c r="AK8" i="17"/>
  <c r="BA8" i="17" s="1"/>
  <c r="AP8" i="17"/>
  <c r="BV9" i="17"/>
  <c r="AT8" i="17"/>
  <c r="BZ9" i="17"/>
  <c r="AX8" i="17"/>
  <c r="CD9" i="17"/>
  <c r="BU10" i="17"/>
  <c r="BY10" i="17"/>
  <c r="CC10" i="17"/>
  <c r="BT11" i="17"/>
  <c r="AN10" i="17"/>
  <c r="BX11" i="17"/>
  <c r="AR10" i="17"/>
  <c r="CB11" i="17"/>
  <c r="AV10" i="17"/>
  <c r="CE7" i="17"/>
  <c r="AY6" i="17"/>
  <c r="AY8" i="17"/>
  <c r="CE9" i="17"/>
  <c r="CE11" i="17"/>
  <c r="AY10" i="17"/>
  <c r="AS5" i="17"/>
  <c r="AT6" i="17"/>
  <c r="BK6" i="17" s="1"/>
  <c r="AV8" i="17"/>
  <c r="AW9" i="17"/>
  <c r="AX10" i="17"/>
  <c r="AY11" i="17"/>
  <c r="BR11" i="17"/>
  <c r="BS6" i="17"/>
  <c r="BU7" i="17"/>
  <c r="BY9" i="17"/>
  <c r="CA10" i="17"/>
  <c r="CC11" i="17"/>
  <c r="K9" i="12"/>
  <c r="L9" i="12" s="1"/>
  <c r="K13" i="12"/>
  <c r="L13" i="12" s="1"/>
  <c r="M12" i="12"/>
  <c r="H14" i="12"/>
  <c r="I11" i="12"/>
  <c r="I7" i="12"/>
  <c r="C3" i="22" s="1"/>
  <c r="M10" i="12"/>
  <c r="M7" i="12"/>
  <c r="L10" i="12"/>
  <c r="L12" i="12"/>
  <c r="L8" i="12"/>
  <c r="K7" i="12"/>
  <c r="L7" i="12" s="1"/>
  <c r="K11" i="12"/>
  <c r="L11" i="12" s="1"/>
  <c r="M11" i="12"/>
  <c r="I10" i="12"/>
  <c r="M8" i="12"/>
  <c r="G14" i="12"/>
  <c r="N8" i="12" s="1"/>
  <c r="O8" i="12" s="1"/>
  <c r="I13" i="12"/>
  <c r="I9" i="12"/>
  <c r="M9" i="12"/>
  <c r="M13" i="12"/>
  <c r="I12" i="12"/>
  <c r="I8" i="12"/>
  <c r="J12" i="12" l="1"/>
  <c r="C8" i="22"/>
  <c r="J11" i="12"/>
  <c r="C7" i="22"/>
  <c r="J13" i="12"/>
  <c r="C9" i="22"/>
  <c r="J8" i="12"/>
  <c r="C4" i="22"/>
  <c r="J9" i="12"/>
  <c r="C5" i="22"/>
  <c r="J10" i="12"/>
  <c r="C6" i="22"/>
  <c r="BJ41" i="18"/>
  <c r="BM172" i="18"/>
  <c r="BH171" i="18"/>
  <c r="BG179" i="18"/>
  <c r="BF179" i="18"/>
  <c r="BI179" i="18"/>
  <c r="BD179" i="18"/>
  <c r="BC179" i="18"/>
  <c r="BH183" i="18"/>
  <c r="BJ182" i="18"/>
  <c r="BD193" i="18"/>
  <c r="BG193" i="18"/>
  <c r="BA234" i="18"/>
  <c r="BF41" i="18"/>
  <c r="BQ49" i="18"/>
  <c r="BL49" i="18"/>
  <c r="BK49" i="18"/>
  <c r="BQ62" i="18"/>
  <c r="BL62" i="18"/>
  <c r="BK62" i="18"/>
  <c r="BM80" i="18"/>
  <c r="BO106" i="18"/>
  <c r="BI104" i="18"/>
  <c r="BP104" i="18"/>
  <c r="BJ101" i="18"/>
  <c r="BI114" i="18"/>
  <c r="BD114" i="18"/>
  <c r="BC116" i="18"/>
  <c r="BO129" i="18"/>
  <c r="BF129" i="18"/>
  <c r="BK159" i="18"/>
  <c r="BH157" i="18"/>
  <c r="BN183" i="18"/>
  <c r="BI244" i="18"/>
  <c r="BH249" i="18"/>
  <c r="BD244" i="18"/>
  <c r="BC244" i="18"/>
  <c r="BJ244" i="18"/>
  <c r="BM49" i="18"/>
  <c r="BH49" i="18"/>
  <c r="BG49" i="18"/>
  <c r="BM62" i="18"/>
  <c r="BH62" i="18"/>
  <c r="BG62" i="18"/>
  <c r="BE104" i="18"/>
  <c r="BC155" i="18"/>
  <c r="BI257" i="18"/>
  <c r="BL257" i="18"/>
  <c r="BM260" i="18"/>
  <c r="BK257" i="18"/>
  <c r="BE244" i="18"/>
  <c r="BP244" i="18"/>
  <c r="BO244" i="18"/>
  <c r="BB244" i="18"/>
  <c r="BL234" i="18"/>
  <c r="BK38" i="18"/>
  <c r="BC53" i="18"/>
  <c r="BI62" i="18"/>
  <c r="BH63" i="18"/>
  <c r="BD62" i="18"/>
  <c r="BC66" i="18"/>
  <c r="BC62" i="18"/>
  <c r="BH77" i="18"/>
  <c r="BD90" i="18"/>
  <c r="BQ114" i="18"/>
  <c r="BL114" i="18"/>
  <c r="BG129" i="18"/>
  <c r="BK133" i="18"/>
  <c r="BH131" i="18"/>
  <c r="BN145" i="18"/>
  <c r="BP142" i="18"/>
  <c r="BD171" i="18"/>
  <c r="BI181" i="18"/>
  <c r="BL181" i="18"/>
  <c r="BC210" i="18"/>
  <c r="BE193" i="18"/>
  <c r="BB193" i="18"/>
  <c r="BQ244" i="18"/>
  <c r="BL244" i="18"/>
  <c r="BK244" i="18"/>
  <c r="BJ260" i="18"/>
  <c r="BQ234" i="18"/>
  <c r="BI182" i="18"/>
  <c r="BD40" i="18"/>
  <c r="BB42" i="18"/>
  <c r="BE250" i="18"/>
  <c r="BG258" i="18"/>
  <c r="BG41" i="18"/>
  <c r="BO53" i="18"/>
  <c r="BF53" i="18"/>
  <c r="BO66" i="18"/>
  <c r="BF66" i="18"/>
  <c r="BF80" i="18"/>
  <c r="BM91" i="18"/>
  <c r="BJ120" i="18"/>
  <c r="BF114" i="18"/>
  <c r="BP129" i="18"/>
  <c r="BJ131" i="18"/>
  <c r="BF130" i="18"/>
  <c r="BO158" i="18"/>
  <c r="BN158" i="18"/>
  <c r="BC182" i="18"/>
  <c r="BE179" i="18"/>
  <c r="BP179" i="18"/>
  <c r="BO179" i="18"/>
  <c r="BN185" i="18"/>
  <c r="BF224" i="18"/>
  <c r="BM224" i="18"/>
  <c r="BK224" i="18"/>
  <c r="BN195" i="18"/>
  <c r="BH195" i="18"/>
  <c r="BK195" i="18"/>
  <c r="BP193" i="18"/>
  <c r="BL224" i="18"/>
  <c r="BE224" i="18"/>
  <c r="BB224" i="18"/>
  <c r="BE258" i="18"/>
  <c r="BE263" i="18"/>
  <c r="BD263" i="18"/>
  <c r="BH250" i="18"/>
  <c r="BB250" i="18"/>
  <c r="BP250" i="18"/>
  <c r="BD38" i="18"/>
  <c r="BN41" i="18"/>
  <c r="BK53" i="18"/>
  <c r="BL55" i="18"/>
  <c r="BH51" i="18"/>
  <c r="BJ54" i="18"/>
  <c r="BP53" i="18"/>
  <c r="BC67" i="18"/>
  <c r="BK66" i="18"/>
  <c r="BE68" i="18"/>
  <c r="BG92" i="18"/>
  <c r="BI91" i="18"/>
  <c r="BE101" i="18"/>
  <c r="BL101" i="18"/>
  <c r="BK105" i="18"/>
  <c r="BK101" i="18"/>
  <c r="BD107" i="18"/>
  <c r="BC119" i="18"/>
  <c r="BG119" i="18"/>
  <c r="BJ119" i="18"/>
  <c r="BJ115" i="18"/>
  <c r="BJ132" i="18"/>
  <c r="BM130" i="18"/>
  <c r="BM128" i="18"/>
  <c r="BO133" i="18"/>
  <c r="BB128" i="18"/>
  <c r="BB133" i="18"/>
  <c r="BB131" i="18"/>
  <c r="BB129" i="18"/>
  <c r="BB127" i="18"/>
  <c r="BH144" i="18"/>
  <c r="BH155" i="18"/>
  <c r="BG171" i="18"/>
  <c r="BP172" i="18"/>
  <c r="BQ181" i="18"/>
  <c r="BQ179" i="18"/>
  <c r="BL179" i="18"/>
  <c r="BK179" i="18"/>
  <c r="BJ181" i="18"/>
  <c r="BD181" i="18"/>
  <c r="BJ179" i="18"/>
  <c r="BK181" i="18"/>
  <c r="BC224" i="18"/>
  <c r="BH193" i="18"/>
  <c r="BH224" i="18"/>
  <c r="BG224" i="18"/>
  <c r="BN224" i="18"/>
  <c r="BL250" i="18"/>
  <c r="BC42" i="18"/>
  <c r="BH42" i="18"/>
  <c r="BI66" i="18"/>
  <c r="BK79" i="18"/>
  <c r="BM76" i="18"/>
  <c r="BN81" i="18"/>
  <c r="BJ78" i="18"/>
  <c r="BQ79" i="18"/>
  <c r="BQ88" i="18"/>
  <c r="BD88" i="18"/>
  <c r="BC92" i="18"/>
  <c r="BC88" i="18"/>
  <c r="BF118" i="18"/>
  <c r="BQ145" i="18"/>
  <c r="BO142" i="18"/>
  <c r="BF146" i="18"/>
  <c r="BC146" i="18"/>
  <c r="BF142" i="18"/>
  <c r="BG169" i="18"/>
  <c r="BG222" i="18"/>
  <c r="BI224" i="18"/>
  <c r="BC196" i="18"/>
  <c r="BE195" i="18"/>
  <c r="BK208" i="18"/>
  <c r="BC206" i="18"/>
  <c r="BO250" i="18"/>
  <c r="BC7" i="18"/>
  <c r="BH11" i="18"/>
  <c r="BK11" i="17"/>
  <c r="BF11" i="17"/>
  <c r="BF10" i="17"/>
  <c r="BP11" i="17"/>
  <c r="BL10" i="17"/>
  <c r="BD10" i="17"/>
  <c r="BM7" i="17"/>
  <c r="BQ9" i="17"/>
  <c r="BJ6" i="17"/>
  <c r="BM11" i="17"/>
  <c r="BO9" i="17"/>
  <c r="BL11" i="17"/>
  <c r="BP7" i="17"/>
  <c r="BI11" i="17"/>
  <c r="BB11" i="17"/>
  <c r="BD11" i="17"/>
  <c r="BJ11" i="18"/>
  <c r="BO10" i="18"/>
  <c r="BD7" i="18"/>
  <c r="BM8" i="18"/>
  <c r="BO9" i="18"/>
  <c r="BD10" i="18"/>
  <c r="BP7" i="18"/>
  <c r="BL11" i="18"/>
  <c r="BE5" i="18"/>
  <c r="BP5" i="18"/>
  <c r="BJ5" i="18"/>
  <c r="BF11" i="18"/>
  <c r="BK11" i="18"/>
  <c r="BJ7" i="18"/>
  <c r="BK7" i="18"/>
  <c r="BH7" i="18"/>
  <c r="BE11" i="18"/>
  <c r="BH9" i="18"/>
  <c r="BP9" i="18"/>
  <c r="BH10" i="18"/>
  <c r="BL9" i="18"/>
  <c r="BN9" i="18"/>
  <c r="BG7" i="18"/>
  <c r="BD9" i="18"/>
  <c r="BQ9" i="18"/>
  <c r="BJ6" i="18"/>
  <c r="BC9" i="18"/>
  <c r="BI8" i="18"/>
  <c r="BM10" i="18"/>
  <c r="BL8" i="18"/>
  <c r="BF8" i="18"/>
  <c r="BI11" i="18"/>
  <c r="BG6" i="18"/>
  <c r="BL40" i="18"/>
  <c r="BN68" i="18"/>
  <c r="BQ41" i="18"/>
  <c r="BG37" i="18"/>
  <c r="BI41" i="18"/>
  <c r="BC40" i="18"/>
  <c r="BP40" i="18"/>
  <c r="BP41" i="18"/>
  <c r="BI40" i="18"/>
  <c r="BI49" i="18"/>
  <c r="BD49" i="18"/>
  <c r="BE54" i="18"/>
  <c r="BC51" i="18"/>
  <c r="BC49" i="18"/>
  <c r="BG55" i="18"/>
  <c r="BB51" i="18"/>
  <c r="BB49" i="18"/>
  <c r="BE55" i="18"/>
  <c r="BC63" i="18"/>
  <c r="BG68" i="18"/>
  <c r="BH68" i="18"/>
  <c r="BE64" i="18"/>
  <c r="BE75" i="18"/>
  <c r="BH75" i="18"/>
  <c r="BG75" i="18"/>
  <c r="BN78" i="18"/>
  <c r="BC90" i="18"/>
  <c r="BG94" i="18"/>
  <c r="BK114" i="18"/>
  <c r="BD120" i="18"/>
  <c r="BF116" i="18"/>
  <c r="BO144" i="18"/>
  <c r="BF144" i="18"/>
  <c r="BJ140" i="18"/>
  <c r="BD145" i="18"/>
  <c r="BG184" i="18"/>
  <c r="BO180" i="18"/>
  <c r="BJ180" i="18"/>
  <c r="BO222" i="18"/>
  <c r="BE196" i="18"/>
  <c r="BC194" i="18"/>
  <c r="BB41" i="18"/>
  <c r="BE41" i="18"/>
  <c r="BH40" i="18"/>
  <c r="BH41" i="18"/>
  <c r="BJ40" i="18"/>
  <c r="BE49" i="18"/>
  <c r="BP49" i="18"/>
  <c r="BQ54" i="18"/>
  <c r="BO51" i="18"/>
  <c r="BO49" i="18"/>
  <c r="BF55" i="18"/>
  <c r="BC55" i="18"/>
  <c r="BF51" i="18"/>
  <c r="BF49" i="18"/>
  <c r="BB55" i="18"/>
  <c r="BQ67" i="18"/>
  <c r="BF68" i="18"/>
  <c r="BC68" i="18"/>
  <c r="BB63" i="18"/>
  <c r="BB68" i="18"/>
  <c r="BB66" i="18"/>
  <c r="BB64" i="18"/>
  <c r="BB62" i="18"/>
  <c r="BQ75" i="18"/>
  <c r="BD75" i="18"/>
  <c r="BC75" i="18"/>
  <c r="BH92" i="18"/>
  <c r="BI119" i="18"/>
  <c r="BG116" i="18"/>
  <c r="BI115" i="18"/>
  <c r="BG114" i="18"/>
  <c r="BM120" i="18"/>
  <c r="BH119" i="18"/>
  <c r="BM116" i="18"/>
  <c r="BH115" i="18"/>
  <c r="BF133" i="18"/>
  <c r="BC133" i="18"/>
  <c r="BJ127" i="18"/>
  <c r="BN128" i="18"/>
  <c r="BK144" i="18"/>
  <c r="BN146" i="18"/>
  <c r="BI153" i="18"/>
  <c r="BD153" i="18"/>
  <c r="BC153" i="18"/>
  <c r="BC184" i="18"/>
  <c r="BE181" i="18"/>
  <c r="BH181" i="18"/>
  <c r="BO181" i="18"/>
  <c r="BL218" i="18"/>
  <c r="BK218" i="18"/>
  <c r="BJ220" i="18"/>
  <c r="BM222" i="18"/>
  <c r="BQ205" i="18"/>
  <c r="BG210" i="18"/>
  <c r="BJ210" i="18"/>
  <c r="BH222" i="18"/>
  <c r="BL195" i="18"/>
  <c r="BG195" i="18"/>
  <c r="BC195" i="18"/>
  <c r="BP210" i="18"/>
  <c r="BI197" i="18"/>
  <c r="BH194" i="18"/>
  <c r="BM197" i="18"/>
  <c r="BE218" i="18"/>
  <c r="BK210" i="18"/>
  <c r="BK234" i="18"/>
  <c r="BK40" i="18"/>
  <c r="BK55" i="18"/>
  <c r="BK68" i="18"/>
  <c r="BJ68" i="18"/>
  <c r="BI75" i="18"/>
  <c r="BL75" i="18"/>
  <c r="BK75" i="18"/>
  <c r="BC144" i="18"/>
  <c r="BP146" i="18"/>
  <c r="BL155" i="18"/>
  <c r="BK184" i="18"/>
  <c r="BM181" i="18"/>
  <c r="BP181" i="18"/>
  <c r="BN179" i="18"/>
  <c r="BG208" i="18"/>
  <c r="BF195" i="18"/>
  <c r="BD195" i="18"/>
  <c r="BK206" i="18"/>
  <c r="BB192" i="18"/>
  <c r="BJ206" i="18"/>
  <c r="BE206" i="18"/>
  <c r="BO247" i="18"/>
  <c r="BL258" i="18"/>
  <c r="BP248" i="18"/>
  <c r="BC246" i="18"/>
  <c r="BJ247" i="18"/>
  <c r="BD246" i="18"/>
  <c r="BI250" i="18"/>
  <c r="BF250" i="18"/>
  <c r="BD249" i="18"/>
  <c r="BM250" i="18"/>
  <c r="N9" i="12"/>
  <c r="O9" i="12" s="1"/>
  <c r="N13" i="12"/>
  <c r="O13" i="12" s="1"/>
  <c r="N10" i="12"/>
  <c r="O10" i="12" s="1"/>
  <c r="N11" i="12"/>
  <c r="O11" i="12" s="1"/>
  <c r="N12" i="12"/>
  <c r="O12" i="12" s="1"/>
  <c r="N7" i="12"/>
  <c r="O7" i="12" s="1"/>
  <c r="BQ262" i="18"/>
  <c r="BO259" i="18"/>
  <c r="BQ258" i="18"/>
  <c r="BQ263" i="18"/>
  <c r="BQ259" i="18"/>
  <c r="BP263" i="18"/>
  <c r="BJ262" i="18"/>
  <c r="BH259" i="18"/>
  <c r="BF258" i="18"/>
  <c r="BO263" i="18"/>
  <c r="BN263" i="18"/>
  <c r="BF263" i="18"/>
  <c r="BM262" i="18"/>
  <c r="BK261" i="18"/>
  <c r="BK259" i="18"/>
  <c r="BM258" i="18"/>
  <c r="BM263" i="18"/>
  <c r="BM261" i="18"/>
  <c r="BM259" i="18"/>
  <c r="BL263" i="18"/>
  <c r="BD259" i="18"/>
  <c r="BB258" i="18"/>
  <c r="BK263" i="18"/>
  <c r="BP262" i="18"/>
  <c r="BD258" i="18"/>
  <c r="BB259" i="18"/>
  <c r="BP258" i="18"/>
  <c r="BG259" i="18"/>
  <c r="BI258" i="18"/>
  <c r="BI263" i="18"/>
  <c r="BI259" i="18"/>
  <c r="BH263" i="18"/>
  <c r="BL261" i="18"/>
  <c r="BP259" i="18"/>
  <c r="BN258" i="18"/>
  <c r="BG263" i="18"/>
  <c r="BH258" i="18"/>
  <c r="BC262" i="18"/>
  <c r="BF259" i="18"/>
  <c r="BM249" i="18"/>
  <c r="BK249" i="18"/>
  <c r="BE246" i="18"/>
  <c r="BO246" i="18"/>
  <c r="BG249" i="18"/>
  <c r="BQ246" i="18"/>
  <c r="BQ247" i="18"/>
  <c r="BP246" i="18"/>
  <c r="BK246" i="18"/>
  <c r="BN246" i="18"/>
  <c r="BJ246" i="18"/>
  <c r="BN250" i="18"/>
  <c r="BD250" i="18"/>
  <c r="BP249" i="18"/>
  <c r="BC249" i="18"/>
  <c r="BC247" i="18"/>
  <c r="BB247" i="18"/>
  <c r="BM246" i="18"/>
  <c r="BH246" i="18"/>
  <c r="BG246" i="18"/>
  <c r="BL246" i="18"/>
  <c r="BF246" i="18"/>
  <c r="BJ249" i="18"/>
  <c r="BB246" i="18"/>
  <c r="BG250" i="18"/>
  <c r="BQ250" i="18"/>
  <c r="BJ250" i="18"/>
  <c r="BC250" i="18"/>
  <c r="BH232" i="18"/>
  <c r="BC232" i="18"/>
  <c r="BJ234" i="18"/>
  <c r="BF234" i="18"/>
  <c r="BH234" i="18"/>
  <c r="BD232" i="18"/>
  <c r="BC234" i="18"/>
  <c r="BI234" i="18"/>
  <c r="BB232" i="18"/>
  <c r="BD234" i="18"/>
  <c r="BP232" i="18"/>
  <c r="BG234" i="18"/>
  <c r="BG232" i="18"/>
  <c r="BK232" i="18"/>
  <c r="BP234" i="18"/>
  <c r="BL232" i="18"/>
  <c r="BO232" i="18"/>
  <c r="BM234" i="18"/>
  <c r="BC260" i="18"/>
  <c r="BO260" i="18"/>
  <c r="BK260" i="18"/>
  <c r="BB233" i="18"/>
  <c r="BA233" i="18"/>
  <c r="BM233" i="18" s="1"/>
  <c r="BE257" i="18"/>
  <c r="BH257" i="18"/>
  <c r="BI262" i="18"/>
  <c r="BG261" i="18"/>
  <c r="BI260" i="18"/>
  <c r="BG257" i="18"/>
  <c r="BI261" i="18"/>
  <c r="BF262" i="18"/>
  <c r="BH261" i="18"/>
  <c r="BF260" i="18"/>
  <c r="BM248" i="18"/>
  <c r="BK247" i="18"/>
  <c r="BN261" i="18"/>
  <c r="BN257" i="18"/>
  <c r="BN248" i="18"/>
  <c r="BL248" i="18"/>
  <c r="BM247" i="18"/>
  <c r="BJ259" i="18"/>
  <c r="BI249" i="18"/>
  <c r="BB248" i="18"/>
  <c r="BB237" i="18"/>
  <c r="BA237" i="18"/>
  <c r="BH237" i="18" s="1"/>
  <c r="BC248" i="18"/>
  <c r="BP247" i="18"/>
  <c r="BL260" i="18"/>
  <c r="BB235" i="18"/>
  <c r="BA235" i="18"/>
  <c r="BQ235" i="18" s="1"/>
  <c r="BN232" i="18"/>
  <c r="BE234" i="18"/>
  <c r="BJ261" i="18"/>
  <c r="BJ257" i="18"/>
  <c r="BO248" i="18"/>
  <c r="BG248" i="18"/>
  <c r="BK248" i="18"/>
  <c r="BQ257" i="18"/>
  <c r="BO262" i="18"/>
  <c r="BK262" i="18"/>
  <c r="BD257" i="18"/>
  <c r="BE262" i="18"/>
  <c r="BC261" i="18"/>
  <c r="BE260" i="18"/>
  <c r="BC257" i="18"/>
  <c r="BE261" i="18"/>
  <c r="BB262" i="18"/>
  <c r="BD261" i="18"/>
  <c r="BB260" i="18"/>
  <c r="BI248" i="18"/>
  <c r="BG247" i="18"/>
  <c r="BB261" i="18"/>
  <c r="BB257" i="18"/>
  <c r="BF248" i="18"/>
  <c r="BD262" i="18"/>
  <c r="BC258" i="18"/>
  <c r="BO258" i="18"/>
  <c r="BK258" i="18"/>
  <c r="BB249" i="18"/>
  <c r="BD248" i="18"/>
  <c r="BI247" i="18"/>
  <c r="BB245" i="18"/>
  <c r="BA245" i="18"/>
  <c r="BO245" i="18" s="1"/>
  <c r="BJ263" i="18"/>
  <c r="BB263" i="18"/>
  <c r="BN259" i="18"/>
  <c r="BN249" i="18"/>
  <c r="BE249" i="18"/>
  <c r="BN247" i="18"/>
  <c r="BL247" i="18"/>
  <c r="BJ248" i="18"/>
  <c r="BP260" i="18"/>
  <c r="BD260" i="18"/>
  <c r="BL249" i="18"/>
  <c r="BL245" i="18"/>
  <c r="BQ233" i="18"/>
  <c r="BQ232" i="18"/>
  <c r="BN234" i="18"/>
  <c r="BJ232" i="18"/>
  <c r="BM257" i="18"/>
  <c r="BP257" i="18"/>
  <c r="BO261" i="18"/>
  <c r="BQ260" i="18"/>
  <c r="BO257" i="18"/>
  <c r="BQ261" i="18"/>
  <c r="BN262" i="18"/>
  <c r="BP261" i="18"/>
  <c r="BN260" i="18"/>
  <c r="BE248" i="18"/>
  <c r="BF261" i="18"/>
  <c r="BG260" i="18"/>
  <c r="BF257" i="18"/>
  <c r="BH262" i="18"/>
  <c r="BH247" i="18"/>
  <c r="BE247" i="18"/>
  <c r="BG262" i="18"/>
  <c r="BQ249" i="18"/>
  <c r="BF247" i="18"/>
  <c r="BH248" i="18"/>
  <c r="BA236" i="18"/>
  <c r="BG236" i="18" s="1"/>
  <c r="BB236" i="18"/>
  <c r="BH260" i="18"/>
  <c r="BB231" i="18"/>
  <c r="BA231" i="18"/>
  <c r="BQ231" i="18" s="1"/>
  <c r="BE232" i="18"/>
  <c r="BO234" i="18"/>
  <c r="BI232" i="18"/>
  <c r="BF232" i="18"/>
  <c r="BH218" i="18"/>
  <c r="BG218" i="18"/>
  <c r="BO220" i="18"/>
  <c r="BD218" i="18"/>
  <c r="BC218" i="18"/>
  <c r="BE222" i="18"/>
  <c r="BC208" i="18"/>
  <c r="BM206" i="18"/>
  <c r="BP206" i="18"/>
  <c r="BN208" i="18"/>
  <c r="BG206" i="18"/>
  <c r="BP208" i="18"/>
  <c r="BH206" i="18"/>
  <c r="BN206" i="18"/>
  <c r="BB206" i="18"/>
  <c r="BQ210" i="18"/>
  <c r="BQ206" i="18"/>
  <c r="BJ208" i="18"/>
  <c r="BI210" i="18"/>
  <c r="BQ208" i="18"/>
  <c r="BF206" i="18"/>
  <c r="BL206" i="18"/>
  <c r="BK194" i="18"/>
  <c r="BC193" i="18"/>
  <c r="BO195" i="18"/>
  <c r="BI193" i="18"/>
  <c r="BD194" i="18"/>
  <c r="BN193" i="18"/>
  <c r="BJ194" i="18"/>
  <c r="BQ193" i="18"/>
  <c r="BK192" i="18"/>
  <c r="BP197" i="18"/>
  <c r="BF196" i="18"/>
  <c r="BF194" i="18"/>
  <c r="BE194" i="18"/>
  <c r="BO193" i="18"/>
  <c r="BJ193" i="18"/>
  <c r="BM193" i="18"/>
  <c r="BQ195" i="18"/>
  <c r="BE197" i="18"/>
  <c r="BL193" i="18"/>
  <c r="BQ194" i="18"/>
  <c r="BK193" i="18"/>
  <c r="BF193" i="18"/>
  <c r="BJ192" i="18"/>
  <c r="BQ192" i="18"/>
  <c r="BO192" i="18"/>
  <c r="BP192" i="18"/>
  <c r="BF192" i="18"/>
  <c r="BG192" i="18"/>
  <c r="BJ197" i="18"/>
  <c r="BH197" i="18"/>
  <c r="BL196" i="18"/>
  <c r="BO197" i="18"/>
  <c r="BM194" i="18"/>
  <c r="BI192" i="18"/>
  <c r="BG197" i="18"/>
  <c r="BG194" i="18"/>
  <c r="BP194" i="18"/>
  <c r="BH192" i="18"/>
  <c r="BB195" i="18"/>
  <c r="BC192" i="18"/>
  <c r="BL197" i="18"/>
  <c r="BM192" i="18"/>
  <c r="BL192" i="18"/>
  <c r="BO196" i="18"/>
  <c r="BD198" i="18"/>
  <c r="BF197" i="18"/>
  <c r="BD197" i="18"/>
  <c r="BN194" i="18"/>
  <c r="BN192" i="18"/>
  <c r="BC197" i="18"/>
  <c r="BI194" i="18"/>
  <c r="BE192" i="18"/>
  <c r="BL194" i="18"/>
  <c r="BD192" i="18"/>
  <c r="BQ197" i="18"/>
  <c r="BA221" i="18"/>
  <c r="BO221" i="18" s="1"/>
  <c r="BB221" i="18"/>
  <c r="BA219" i="18"/>
  <c r="BL219" i="18" s="1"/>
  <c r="BB219" i="18"/>
  <c r="BA207" i="18"/>
  <c r="BL207" i="18" s="1"/>
  <c r="BB207" i="18"/>
  <c r="BE198" i="18"/>
  <c r="BK205" i="18"/>
  <c r="BN222" i="18"/>
  <c r="BF220" i="18"/>
  <c r="BN218" i="18"/>
  <c r="BK222" i="18"/>
  <c r="BK220" i="18"/>
  <c r="BM205" i="18"/>
  <c r="BB222" i="18"/>
  <c r="BB218" i="18"/>
  <c r="BP198" i="18"/>
  <c r="BE210" i="18"/>
  <c r="BM210" i="18"/>
  <c r="BE208" i="18"/>
  <c r="BM208" i="18"/>
  <c r="BE220" i="18"/>
  <c r="BA211" i="18"/>
  <c r="BB211" i="18"/>
  <c r="BA209" i="18"/>
  <c r="BL209" i="18" s="1"/>
  <c r="BB209" i="18"/>
  <c r="BI208" i="18"/>
  <c r="BD196" i="18"/>
  <c r="BB196" i="18"/>
  <c r="BO198" i="18"/>
  <c r="BF210" i="18"/>
  <c r="BN205" i="18"/>
  <c r="BQ198" i="18"/>
  <c r="BL210" i="18"/>
  <c r="BL208" i="18"/>
  <c r="BO206" i="18"/>
  <c r="BI206" i="18"/>
  <c r="BN198" i="18"/>
  <c r="BN197" i="18"/>
  <c r="BJ195" i="18"/>
  <c r="BB205" i="18"/>
  <c r="BP205" i="18"/>
  <c r="BK196" i="18"/>
  <c r="BM195" i="18"/>
  <c r="BA223" i="18"/>
  <c r="BL223" i="18" s="1"/>
  <c r="BB223" i="18"/>
  <c r="BI198" i="18"/>
  <c r="BC198" i="18"/>
  <c r="BB198" i="18"/>
  <c r="BJ222" i="18"/>
  <c r="BJ218" i="18"/>
  <c r="BQ222" i="18"/>
  <c r="BQ220" i="18"/>
  <c r="BQ218" i="18"/>
  <c r="BM218" i="18"/>
  <c r="BG220" i="18"/>
  <c r="BI205" i="18"/>
  <c r="BL198" i="18"/>
  <c r="BB210" i="18"/>
  <c r="BB208" i="18"/>
  <c r="BD205" i="18"/>
  <c r="BB220" i="18"/>
  <c r="BH205" i="18"/>
  <c r="BN196" i="18"/>
  <c r="BN210" i="18"/>
  <c r="BL205" i="18"/>
  <c r="BK198" i="18"/>
  <c r="BQ196" i="18"/>
  <c r="BF208" i="18"/>
  <c r="BH210" i="18"/>
  <c r="BH208" i="18"/>
  <c r="BD206" i="18"/>
  <c r="BJ198" i="18"/>
  <c r="BK197" i="18"/>
  <c r="BP196" i="18"/>
  <c r="BJ205" i="18"/>
  <c r="BO205" i="18"/>
  <c r="BM196" i="18"/>
  <c r="BG196" i="18"/>
  <c r="BB197" i="18"/>
  <c r="BI195" i="18"/>
  <c r="BP222" i="18"/>
  <c r="BD222" i="18"/>
  <c r="BP220" i="18"/>
  <c r="BD220" i="18"/>
  <c r="BM220" i="18"/>
  <c r="BI222" i="18"/>
  <c r="BC222" i="18"/>
  <c r="BI220" i="18"/>
  <c r="BC220" i="18"/>
  <c r="BI218" i="18"/>
  <c r="BE205" i="18"/>
  <c r="BH220" i="18"/>
  <c r="BH198" i="18"/>
  <c r="BL222" i="18"/>
  <c r="BL211" i="18"/>
  <c r="BC205" i="18"/>
  <c r="BM198" i="18"/>
  <c r="BJ196" i="18"/>
  <c r="BG198" i="18"/>
  <c r="BI196" i="18"/>
  <c r="BF205" i="18"/>
  <c r="BD210" i="18"/>
  <c r="BD208" i="18"/>
  <c r="BG205" i="18"/>
  <c r="BH196" i="18"/>
  <c r="BQ183" i="18"/>
  <c r="BO182" i="18"/>
  <c r="BJ183" i="18"/>
  <c r="BD183" i="18"/>
  <c r="BO185" i="18"/>
  <c r="BF183" i="18"/>
  <c r="BC183" i="18"/>
  <c r="BI180" i="18"/>
  <c r="BL180" i="18"/>
  <c r="BM183" i="18"/>
  <c r="BP183" i="18"/>
  <c r="BO183" i="18"/>
  <c r="BL182" i="18"/>
  <c r="BI183" i="18"/>
  <c r="BG182" i="18"/>
  <c r="BJ184" i="18"/>
  <c r="BL183" i="18"/>
  <c r="BI184" i="18"/>
  <c r="BK183" i="18"/>
  <c r="BL184" i="18"/>
  <c r="BQ185" i="18"/>
  <c r="BP185" i="18"/>
  <c r="BF184" i="18"/>
  <c r="BF182" i="18"/>
  <c r="BF180" i="18"/>
  <c r="BH184" i="18"/>
  <c r="BK185" i="18"/>
  <c r="BP184" i="18"/>
  <c r="BE184" i="18"/>
  <c r="BP182" i="18"/>
  <c r="BE182" i="18"/>
  <c r="BP180" i="18"/>
  <c r="BE180" i="18"/>
  <c r="BG180" i="18"/>
  <c r="BM185" i="18"/>
  <c r="BL185" i="18"/>
  <c r="BD184" i="18"/>
  <c r="BB184" i="18"/>
  <c r="BD182" i="18"/>
  <c r="BB182" i="18"/>
  <c r="BD180" i="18"/>
  <c r="BB180" i="18"/>
  <c r="BH182" i="18"/>
  <c r="BG185" i="18"/>
  <c r="BQ184" i="18"/>
  <c r="BG183" i="18"/>
  <c r="BQ182" i="18"/>
  <c r="BG181" i="18"/>
  <c r="BQ180" i="18"/>
  <c r="BB185" i="18"/>
  <c r="BB183" i="18"/>
  <c r="BB181" i="18"/>
  <c r="BB179" i="18"/>
  <c r="BH180" i="18"/>
  <c r="BK180" i="18"/>
  <c r="BI185" i="18"/>
  <c r="BH185" i="18"/>
  <c r="BN184" i="18"/>
  <c r="BN182" i="18"/>
  <c r="BN180" i="18"/>
  <c r="BF185" i="18"/>
  <c r="BC185" i="18"/>
  <c r="BM180" i="18"/>
  <c r="BH169" i="18"/>
  <c r="BG172" i="18"/>
  <c r="BB171" i="18"/>
  <c r="BQ171" i="18"/>
  <c r="BO170" i="18"/>
  <c r="BQ169" i="18"/>
  <c r="BF170" i="18"/>
  <c r="BJ169" i="18"/>
  <c r="BN172" i="18"/>
  <c r="BD168" i="18"/>
  <c r="BQ166" i="18"/>
  <c r="BK171" i="18"/>
  <c r="BC171" i="18"/>
  <c r="BL166" i="18"/>
  <c r="BM171" i="18"/>
  <c r="BK170" i="18"/>
  <c r="BM169" i="18"/>
  <c r="BK168" i="18"/>
  <c r="BK166" i="18"/>
  <c r="BB172" i="18"/>
  <c r="BB170" i="18"/>
  <c r="BB168" i="18"/>
  <c r="BB166" i="18"/>
  <c r="BI172" i="18"/>
  <c r="BI170" i="18"/>
  <c r="BI168" i="18"/>
  <c r="BL172" i="18"/>
  <c r="BN171" i="18"/>
  <c r="BJ170" i="18"/>
  <c r="BD170" i="18"/>
  <c r="BF169" i="18"/>
  <c r="BL168" i="18"/>
  <c r="BM170" i="18"/>
  <c r="BM168" i="18"/>
  <c r="BM166" i="18"/>
  <c r="BO169" i="18"/>
  <c r="BK169" i="18"/>
  <c r="BC169" i="18"/>
  <c r="BH166" i="18"/>
  <c r="BI171" i="18"/>
  <c r="BG170" i="18"/>
  <c r="BI169" i="18"/>
  <c r="BG168" i="18"/>
  <c r="BG166" i="18"/>
  <c r="BP171" i="18"/>
  <c r="BP169" i="18"/>
  <c r="BE172" i="18"/>
  <c r="BN170" i="18"/>
  <c r="BE170" i="18"/>
  <c r="BN168" i="18"/>
  <c r="BE168" i="18"/>
  <c r="BN166" i="18"/>
  <c r="BH172" i="18"/>
  <c r="BJ171" i="18"/>
  <c r="BP170" i="18"/>
  <c r="BD169" i="18"/>
  <c r="BB169" i="18"/>
  <c r="BH168" i="18"/>
  <c r="BO171" i="18"/>
  <c r="BH170" i="18"/>
  <c r="BP168" i="18"/>
  <c r="BI166" i="18"/>
  <c r="BB167" i="18"/>
  <c r="BA167" i="18"/>
  <c r="BQ167" i="18" s="1"/>
  <c r="BD166" i="18"/>
  <c r="BE171" i="18"/>
  <c r="BC170" i="18"/>
  <c r="BE169" i="18"/>
  <c r="BC168" i="18"/>
  <c r="BC166" i="18"/>
  <c r="BL171" i="18"/>
  <c r="BL169" i="18"/>
  <c r="BQ172" i="18"/>
  <c r="BQ170" i="18"/>
  <c r="BQ168" i="18"/>
  <c r="BJ172" i="18"/>
  <c r="BD172" i="18"/>
  <c r="BF171" i="18"/>
  <c r="BN169" i="18"/>
  <c r="BJ168" i="18"/>
  <c r="BE158" i="18"/>
  <c r="BC157" i="18"/>
  <c r="BG159" i="18"/>
  <c r="BI159" i="18"/>
  <c r="BF159" i="18"/>
  <c r="BC159" i="18"/>
  <c r="BJ153" i="18"/>
  <c r="BJ158" i="18"/>
  <c r="BN159" i="18"/>
  <c r="BL159" i="18"/>
  <c r="BI157" i="18"/>
  <c r="BI155" i="18"/>
  <c r="BD157" i="18"/>
  <c r="BE153" i="18"/>
  <c r="BP153" i="18"/>
  <c r="BQ158" i="18"/>
  <c r="BO157" i="18"/>
  <c r="BO155" i="18"/>
  <c r="BO153" i="18"/>
  <c r="BF157" i="18"/>
  <c r="BF155" i="18"/>
  <c r="BF153" i="18"/>
  <c r="BB159" i="18"/>
  <c r="BB157" i="18"/>
  <c r="BB155" i="18"/>
  <c r="BB153" i="18"/>
  <c r="BE159" i="18"/>
  <c r="BN157" i="18"/>
  <c r="BE157" i="18"/>
  <c r="BN155" i="18"/>
  <c r="BE155" i="18"/>
  <c r="BN153" i="18"/>
  <c r="BH159" i="18"/>
  <c r="BP157" i="18"/>
  <c r="BJ155" i="18"/>
  <c r="BD155" i="18"/>
  <c r="BB154" i="18"/>
  <c r="BA154" i="18"/>
  <c r="BE154" i="18" s="1"/>
  <c r="BJ157" i="18"/>
  <c r="BQ153" i="18"/>
  <c r="BK158" i="18"/>
  <c r="BC158" i="18"/>
  <c r="BL153" i="18"/>
  <c r="BM158" i="18"/>
  <c r="BK157" i="18"/>
  <c r="BK155" i="18"/>
  <c r="BK153" i="18"/>
  <c r="BQ159" i="18"/>
  <c r="BQ157" i="18"/>
  <c r="BQ155" i="18"/>
  <c r="BJ159" i="18"/>
  <c r="BD159" i="18"/>
  <c r="BF158" i="18"/>
  <c r="BL157" i="18"/>
  <c r="BP155" i="18"/>
  <c r="BG158" i="18"/>
  <c r="BM153" i="18"/>
  <c r="BB156" i="18"/>
  <c r="BA156" i="18"/>
  <c r="BQ156" i="18" s="1"/>
  <c r="BH153" i="18"/>
  <c r="BI158" i="18"/>
  <c r="BG157" i="18"/>
  <c r="BI156" i="18"/>
  <c r="BG155" i="18"/>
  <c r="BG153" i="18"/>
  <c r="BP158" i="18"/>
  <c r="BP156" i="18"/>
  <c r="BL158" i="18"/>
  <c r="BM159" i="18"/>
  <c r="BH158" i="18"/>
  <c r="BM157" i="18"/>
  <c r="BM155" i="18"/>
  <c r="BP159" i="18"/>
  <c r="BD158" i="18"/>
  <c r="BB158" i="18"/>
  <c r="BL145" i="18"/>
  <c r="BM140" i="18"/>
  <c r="BH140" i="18"/>
  <c r="BG142" i="18"/>
  <c r="BG140" i="18"/>
  <c r="BK146" i="18"/>
  <c r="BL144" i="18"/>
  <c r="BM146" i="18"/>
  <c r="BH145" i="18"/>
  <c r="BM144" i="18"/>
  <c r="BM142" i="18"/>
  <c r="BO145" i="18"/>
  <c r="BQ140" i="18"/>
  <c r="BL140" i="18"/>
  <c r="BK140" i="18"/>
  <c r="BL142" i="18"/>
  <c r="BI140" i="18"/>
  <c r="BD140" i="18"/>
  <c r="BE145" i="18"/>
  <c r="BC142" i="18"/>
  <c r="BC140" i="18"/>
  <c r="BG146" i="18"/>
  <c r="BB145" i="18"/>
  <c r="BI146" i="18"/>
  <c r="BI144" i="18"/>
  <c r="BI142" i="18"/>
  <c r="BL146" i="18"/>
  <c r="BJ144" i="18"/>
  <c r="BD144" i="18"/>
  <c r="BH142" i="18"/>
  <c r="BB141" i="18"/>
  <c r="BA141" i="18"/>
  <c r="BE141" i="18" s="1"/>
  <c r="BK145" i="18"/>
  <c r="BC145" i="18"/>
  <c r="BM145" i="18"/>
  <c r="BB146" i="18"/>
  <c r="BB144" i="18"/>
  <c r="BB142" i="18"/>
  <c r="BB140" i="18"/>
  <c r="BE146" i="18"/>
  <c r="BN144" i="18"/>
  <c r="BE144" i="18"/>
  <c r="BN142" i="18"/>
  <c r="BE142" i="18"/>
  <c r="BN140" i="18"/>
  <c r="BH146" i="18"/>
  <c r="BJ145" i="18"/>
  <c r="BP144" i="18"/>
  <c r="BJ142" i="18"/>
  <c r="BD142" i="18"/>
  <c r="BG145" i="18"/>
  <c r="BB143" i="18"/>
  <c r="BA143" i="18"/>
  <c r="BM143" i="18" s="1"/>
  <c r="BI145" i="18"/>
  <c r="BP145" i="18"/>
  <c r="BP141" i="18"/>
  <c r="BQ146" i="18"/>
  <c r="BQ144" i="18"/>
  <c r="BQ142" i="18"/>
  <c r="BJ146" i="18"/>
  <c r="BD146" i="18"/>
  <c r="BF145" i="18"/>
  <c r="BL133" i="18"/>
  <c r="BL129" i="18"/>
  <c r="BG133" i="18"/>
  <c r="BI133" i="18"/>
  <c r="BI131" i="18"/>
  <c r="BI129" i="18"/>
  <c r="BD131" i="18"/>
  <c r="BM132" i="18"/>
  <c r="BG132" i="18"/>
  <c r="BO130" i="18"/>
  <c r="BK130" i="18"/>
  <c r="BC130" i="18"/>
  <c r="BI132" i="18"/>
  <c r="BI130" i="18"/>
  <c r="BI128" i="18"/>
  <c r="BP132" i="18"/>
  <c r="BP130" i="18"/>
  <c r="BP128" i="18"/>
  <c r="BJ128" i="18"/>
  <c r="BE133" i="18"/>
  <c r="BN131" i="18"/>
  <c r="BE131" i="18"/>
  <c r="BN129" i="18"/>
  <c r="BE129" i="18"/>
  <c r="BN127" i="18"/>
  <c r="BH133" i="18"/>
  <c r="BP131" i="18"/>
  <c r="BD130" i="18"/>
  <c r="BB130" i="18"/>
  <c r="BH129" i="18"/>
  <c r="BG130" i="18"/>
  <c r="BK132" i="18"/>
  <c r="BC132" i="18"/>
  <c r="BN132" i="18"/>
  <c r="BO128" i="18"/>
  <c r="BK128" i="18"/>
  <c r="BC128" i="18"/>
  <c r="BE132" i="18"/>
  <c r="BE130" i="18"/>
  <c r="BE128" i="18"/>
  <c r="BL132" i="18"/>
  <c r="BL130" i="18"/>
  <c r="BL128" i="18"/>
  <c r="BQ133" i="18"/>
  <c r="BQ131" i="18"/>
  <c r="BQ129" i="18"/>
  <c r="BJ133" i="18"/>
  <c r="BD133" i="18"/>
  <c r="BF132" i="18"/>
  <c r="BL131" i="18"/>
  <c r="BN130" i="18"/>
  <c r="BJ129" i="18"/>
  <c r="BD129" i="18"/>
  <c r="BO132" i="18"/>
  <c r="BQ132" i="18"/>
  <c r="BQ130" i="18"/>
  <c r="BQ128" i="18"/>
  <c r="BM133" i="18"/>
  <c r="BH132" i="18"/>
  <c r="BM131" i="18"/>
  <c r="BH130" i="18"/>
  <c r="BM129" i="18"/>
  <c r="BH128" i="18"/>
  <c r="BP133" i="18"/>
  <c r="BD132" i="18"/>
  <c r="BB132" i="18"/>
  <c r="BJ130" i="18"/>
  <c r="BD128" i="18"/>
  <c r="BG128" i="18"/>
  <c r="BM118" i="18"/>
  <c r="BC118" i="18"/>
  <c r="BC114" i="18"/>
  <c r="BL115" i="18"/>
  <c r="BJ118" i="18"/>
  <c r="BD118" i="18"/>
  <c r="BJ116" i="18"/>
  <c r="BD116" i="18"/>
  <c r="BO118" i="18"/>
  <c r="BJ114" i="18"/>
  <c r="BK118" i="18"/>
  <c r="BL119" i="18"/>
  <c r="BK120" i="18"/>
  <c r="BH117" i="18"/>
  <c r="BJ117" i="18"/>
  <c r="BK115" i="18"/>
  <c r="BO115" i="18"/>
  <c r="BC115" i="18"/>
  <c r="BE119" i="18"/>
  <c r="BE117" i="18"/>
  <c r="BE115" i="18"/>
  <c r="BI120" i="18"/>
  <c r="BI118" i="18"/>
  <c r="BI116" i="18"/>
  <c r="BC120" i="18"/>
  <c r="BP120" i="18"/>
  <c r="BF119" i="18"/>
  <c r="BP118" i="18"/>
  <c r="BP116" i="18"/>
  <c r="BF115" i="18"/>
  <c r="BO120" i="18"/>
  <c r="BP115" i="18"/>
  <c r="BG115" i="18"/>
  <c r="BL117" i="18"/>
  <c r="BQ119" i="18"/>
  <c r="BQ117" i="18"/>
  <c r="BQ115" i="18"/>
  <c r="BB120" i="18"/>
  <c r="BB118" i="18"/>
  <c r="BB116" i="18"/>
  <c r="BB114" i="18"/>
  <c r="BE120" i="18"/>
  <c r="BN118" i="18"/>
  <c r="BE118" i="18"/>
  <c r="BN116" i="18"/>
  <c r="BE116" i="18"/>
  <c r="BN114" i="18"/>
  <c r="BP119" i="18"/>
  <c r="BL120" i="18"/>
  <c r="BD119" i="18"/>
  <c r="BB119" i="18"/>
  <c r="BL118" i="18"/>
  <c r="BD117" i="18"/>
  <c r="BB117" i="18"/>
  <c r="BL116" i="18"/>
  <c r="BD115" i="18"/>
  <c r="BB115" i="18"/>
  <c r="BG120" i="18"/>
  <c r="BN120" i="18"/>
  <c r="BK117" i="18"/>
  <c r="BC117" i="18"/>
  <c r="BO117" i="18"/>
  <c r="BI117" i="18"/>
  <c r="BK119" i="18"/>
  <c r="BO119" i="18"/>
  <c r="BM119" i="18"/>
  <c r="BM117" i="18"/>
  <c r="BM115" i="18"/>
  <c r="BQ120" i="18"/>
  <c r="BQ118" i="18"/>
  <c r="BQ116" i="18"/>
  <c r="BF120" i="18"/>
  <c r="BP117" i="18"/>
  <c r="BH120" i="18"/>
  <c r="BN119" i="18"/>
  <c r="BH118" i="18"/>
  <c r="BN117" i="18"/>
  <c r="BH116" i="18"/>
  <c r="BN115" i="18"/>
  <c r="BG117" i="18"/>
  <c r="BO105" i="18"/>
  <c r="BQ104" i="18"/>
  <c r="BF105" i="18"/>
  <c r="BD106" i="18"/>
  <c r="BD102" i="18"/>
  <c r="BM106" i="18"/>
  <c r="BK103" i="18"/>
  <c r="BM102" i="18"/>
  <c r="BF104" i="18"/>
  <c r="BH106" i="18"/>
  <c r="BM105" i="18"/>
  <c r="BH104" i="18"/>
  <c r="BH102" i="18"/>
  <c r="BB106" i="18"/>
  <c r="BB102" i="18"/>
  <c r="BL105" i="18"/>
  <c r="BH105" i="18"/>
  <c r="BM103" i="18"/>
  <c r="BP103" i="18"/>
  <c r="BQ101" i="18"/>
  <c r="BK106" i="18"/>
  <c r="BC106" i="18"/>
  <c r="BH101" i="18"/>
  <c r="BI106" i="18"/>
  <c r="BG103" i="18"/>
  <c r="BI102" i="18"/>
  <c r="BG101" i="18"/>
  <c r="BK107" i="18"/>
  <c r="BP106" i="18"/>
  <c r="BP102" i="18"/>
  <c r="BL106" i="18"/>
  <c r="BL104" i="18"/>
  <c r="BB103" i="18"/>
  <c r="BB101" i="18"/>
  <c r="BI107" i="18"/>
  <c r="BI105" i="18"/>
  <c r="BI103" i="18"/>
  <c r="BL107" i="18"/>
  <c r="BN106" i="18"/>
  <c r="BJ105" i="18"/>
  <c r="BD105" i="18"/>
  <c r="BL103" i="18"/>
  <c r="BG106" i="18"/>
  <c r="BM107" i="18"/>
  <c r="BP107" i="18"/>
  <c r="BM101" i="18"/>
  <c r="BK102" i="18"/>
  <c r="BC102" i="18"/>
  <c r="BD101" i="18"/>
  <c r="BE106" i="18"/>
  <c r="BC103" i="18"/>
  <c r="BE102" i="18"/>
  <c r="BC101" i="18"/>
  <c r="BG107" i="18"/>
  <c r="BK104" i="18"/>
  <c r="BC104" i="18"/>
  <c r="BN107" i="18"/>
  <c r="BE107" i="18"/>
  <c r="BN105" i="18"/>
  <c r="BE105" i="18"/>
  <c r="BN103" i="18"/>
  <c r="BE103" i="18"/>
  <c r="BN101" i="18"/>
  <c r="BH107" i="18"/>
  <c r="BJ106" i="18"/>
  <c r="BP105" i="18"/>
  <c r="BD104" i="18"/>
  <c r="BB104" i="18"/>
  <c r="BH103" i="18"/>
  <c r="BJ102" i="18"/>
  <c r="BO104" i="18"/>
  <c r="BG104" i="18"/>
  <c r="BI101" i="18"/>
  <c r="BP101" i="18"/>
  <c r="BQ106" i="18"/>
  <c r="BO103" i="18"/>
  <c r="BQ102" i="18"/>
  <c r="BO101" i="18"/>
  <c r="BF107" i="18"/>
  <c r="BC107" i="18"/>
  <c r="BF103" i="18"/>
  <c r="BF101" i="18"/>
  <c r="BB107" i="18"/>
  <c r="BB105" i="18"/>
  <c r="BL102" i="18"/>
  <c r="BQ107" i="18"/>
  <c r="BQ105" i="18"/>
  <c r="BQ103" i="18"/>
  <c r="BJ107" i="18"/>
  <c r="BF106" i="18"/>
  <c r="BN104" i="18"/>
  <c r="BJ103" i="18"/>
  <c r="BF102" i="18"/>
  <c r="BG102" i="18"/>
  <c r="BO102" i="18"/>
  <c r="BE93" i="18"/>
  <c r="BM94" i="18"/>
  <c r="BM92" i="18"/>
  <c r="BH91" i="18"/>
  <c r="BL92" i="18"/>
  <c r="BJ88" i="18"/>
  <c r="BJ91" i="18"/>
  <c r="BK92" i="18"/>
  <c r="BK89" i="18"/>
  <c r="BC89" i="18"/>
  <c r="BE89" i="18"/>
  <c r="BK93" i="18"/>
  <c r="BC93" i="18"/>
  <c r="BH93" i="18"/>
  <c r="BM90" i="18"/>
  <c r="BH89" i="18"/>
  <c r="BD93" i="18"/>
  <c r="BB93" i="18"/>
  <c r="BP90" i="18"/>
  <c r="BD89" i="18"/>
  <c r="BB89" i="18"/>
  <c r="BG93" i="18"/>
  <c r="BM88" i="18"/>
  <c r="BP88" i="18"/>
  <c r="BQ93" i="18"/>
  <c r="BO90" i="18"/>
  <c r="BQ89" i="18"/>
  <c r="BO88" i="18"/>
  <c r="BF94" i="18"/>
  <c r="BC94" i="18"/>
  <c r="BF92" i="18"/>
  <c r="BF90" i="18"/>
  <c r="BF88" i="18"/>
  <c r="BB94" i="18"/>
  <c r="BL91" i="18"/>
  <c r="BB90" i="18"/>
  <c r="BB88" i="18"/>
  <c r="BI94" i="18"/>
  <c r="BI92" i="18"/>
  <c r="BI90" i="18"/>
  <c r="BL94" i="18"/>
  <c r="BN93" i="18"/>
  <c r="BJ92" i="18"/>
  <c r="BD92" i="18"/>
  <c r="BF91" i="18"/>
  <c r="BL90" i="18"/>
  <c r="BN89" i="18"/>
  <c r="BM93" i="18"/>
  <c r="BK90" i="18"/>
  <c r="BM89" i="18"/>
  <c r="BK88" i="18"/>
  <c r="BK91" i="18"/>
  <c r="BC91" i="18"/>
  <c r="BN94" i="18"/>
  <c r="BE94" i="18"/>
  <c r="BN92" i="18"/>
  <c r="BE92" i="18"/>
  <c r="BN90" i="18"/>
  <c r="BE90" i="18"/>
  <c r="BN88" i="18"/>
  <c r="BH94" i="18"/>
  <c r="BJ93" i="18"/>
  <c r="BP92" i="18"/>
  <c r="BD91" i="18"/>
  <c r="BB91" i="18"/>
  <c r="BH90" i="18"/>
  <c r="BJ89" i="18"/>
  <c r="BG89" i="18"/>
  <c r="BG91" i="18"/>
  <c r="BI88" i="18"/>
  <c r="BL88" i="18"/>
  <c r="BE88" i="18"/>
  <c r="BH88" i="18"/>
  <c r="BI93" i="18"/>
  <c r="BG90" i="18"/>
  <c r="BI89" i="18"/>
  <c r="BG88" i="18"/>
  <c r="BK94" i="18"/>
  <c r="BP93" i="18"/>
  <c r="BP91" i="18"/>
  <c r="BP89" i="18"/>
  <c r="BL93" i="18"/>
  <c r="BB92" i="18"/>
  <c r="BL89" i="18"/>
  <c r="BQ94" i="18"/>
  <c r="BQ92" i="18"/>
  <c r="BQ90" i="18"/>
  <c r="BJ94" i="18"/>
  <c r="BF93" i="18"/>
  <c r="BN91" i="18"/>
  <c r="BJ90" i="18"/>
  <c r="BF89" i="18"/>
  <c r="BO93" i="18"/>
  <c r="BO89" i="18"/>
  <c r="BI78" i="18"/>
  <c r="BP78" i="18"/>
  <c r="BL79" i="18"/>
  <c r="BC79" i="18"/>
  <c r="BE78" i="18"/>
  <c r="BO79" i="18"/>
  <c r="BQ78" i="18"/>
  <c r="BF79" i="18"/>
  <c r="BO80" i="18"/>
  <c r="BO76" i="18"/>
  <c r="BK76" i="18"/>
  <c r="BC76" i="18"/>
  <c r="BI80" i="18"/>
  <c r="BG77" i="18"/>
  <c r="BI76" i="18"/>
  <c r="BK81" i="18"/>
  <c r="BP80" i="18"/>
  <c r="BP76" i="18"/>
  <c r="BL80" i="18"/>
  <c r="BL78" i="18"/>
  <c r="BB77" i="18"/>
  <c r="BM81" i="18"/>
  <c r="BH80" i="18"/>
  <c r="BM79" i="18"/>
  <c r="BH78" i="18"/>
  <c r="BM77" i="18"/>
  <c r="BH76" i="18"/>
  <c r="BP81" i="18"/>
  <c r="BD80" i="18"/>
  <c r="BB80" i="18"/>
  <c r="BH79" i="18"/>
  <c r="BP77" i="18"/>
  <c r="BD76" i="18"/>
  <c r="BB76" i="18"/>
  <c r="BJ81" i="18"/>
  <c r="BD81" i="18"/>
  <c r="BJ77" i="18"/>
  <c r="BF76" i="18"/>
  <c r="BK80" i="18"/>
  <c r="BC80" i="18"/>
  <c r="BE80" i="18"/>
  <c r="BC77" i="18"/>
  <c r="BE76" i="18"/>
  <c r="BG81" i="18"/>
  <c r="BO78" i="18"/>
  <c r="BK78" i="18"/>
  <c r="BC78" i="18"/>
  <c r="BI81" i="18"/>
  <c r="BI79" i="18"/>
  <c r="BI77" i="18"/>
  <c r="BL81" i="18"/>
  <c r="BN80" i="18"/>
  <c r="BJ79" i="18"/>
  <c r="BD79" i="18"/>
  <c r="BF78" i="18"/>
  <c r="BL77" i="18"/>
  <c r="BN76" i="18"/>
  <c r="BG78" i="18"/>
  <c r="BQ81" i="18"/>
  <c r="BQ77" i="18"/>
  <c r="BD77" i="18"/>
  <c r="BQ80" i="18"/>
  <c r="BO77" i="18"/>
  <c r="BQ76" i="18"/>
  <c r="BF81" i="18"/>
  <c r="BC81" i="18"/>
  <c r="BF77" i="18"/>
  <c r="BB81" i="18"/>
  <c r="BB79" i="18"/>
  <c r="BL76" i="18"/>
  <c r="BB75" i="18"/>
  <c r="BE81" i="18"/>
  <c r="BN79" i="18"/>
  <c r="BE79" i="18"/>
  <c r="BN77" i="18"/>
  <c r="BE77" i="18"/>
  <c r="BN75" i="18"/>
  <c r="BH81" i="18"/>
  <c r="BJ80" i="18"/>
  <c r="BD78" i="18"/>
  <c r="BB78" i="18"/>
  <c r="BJ76" i="18"/>
  <c r="BG76" i="18"/>
  <c r="BE67" i="18"/>
  <c r="BE65" i="18"/>
  <c r="BD68" i="18"/>
  <c r="BN65" i="18"/>
  <c r="BQ65" i="18"/>
  <c r="BQ63" i="18"/>
  <c r="BB67" i="18"/>
  <c r="BH66" i="18"/>
  <c r="BK65" i="18"/>
  <c r="BF65" i="18"/>
  <c r="BI64" i="18"/>
  <c r="BJ62" i="18"/>
  <c r="BD64" i="18"/>
  <c r="BQ66" i="18"/>
  <c r="BM67" i="18"/>
  <c r="BM65" i="18"/>
  <c r="BM63" i="18"/>
  <c r="BL66" i="18"/>
  <c r="BJ64" i="18"/>
  <c r="BM68" i="18"/>
  <c r="BI68" i="18"/>
  <c r="BN66" i="18"/>
  <c r="BN67" i="18"/>
  <c r="BJ65" i="18"/>
  <c r="BD63" i="18"/>
  <c r="BN62" i="18"/>
  <c r="BL64" i="18"/>
  <c r="BO67" i="18"/>
  <c r="BM66" i="18"/>
  <c r="BG65" i="18"/>
  <c r="BO63" i="18"/>
  <c r="BI67" i="18"/>
  <c r="BI65" i="18"/>
  <c r="BI63" i="18"/>
  <c r="BP67" i="18"/>
  <c r="BP65" i="18"/>
  <c r="BP63" i="18"/>
  <c r="BH67" i="18"/>
  <c r="BD67" i="18"/>
  <c r="BD66" i="18"/>
  <c r="BH64" i="18"/>
  <c r="BL67" i="18"/>
  <c r="BL65" i="18"/>
  <c r="BL63" i="18"/>
  <c r="BN64" i="18"/>
  <c r="BF67" i="18"/>
  <c r="BB65" i="18"/>
  <c r="BF63" i="18"/>
  <c r="BP68" i="18"/>
  <c r="BN63" i="18"/>
  <c r="BK67" i="18"/>
  <c r="BE66" i="18"/>
  <c r="BQ64" i="18"/>
  <c r="BK63" i="18"/>
  <c r="BE63" i="18"/>
  <c r="BH65" i="18"/>
  <c r="BJ67" i="18"/>
  <c r="BD65" i="18"/>
  <c r="BJ63" i="18"/>
  <c r="BL68" i="18"/>
  <c r="BJ66" i="18"/>
  <c r="BP64" i="18"/>
  <c r="BP66" i="18"/>
  <c r="BQ68" i="18"/>
  <c r="BG67" i="18"/>
  <c r="BO65" i="18"/>
  <c r="BM64" i="18"/>
  <c r="BG63" i="18"/>
  <c r="BJ49" i="18"/>
  <c r="BB53" i="18"/>
  <c r="BN53" i="18"/>
  <c r="BE53" i="18"/>
  <c r="BN51" i="18"/>
  <c r="BE51" i="18"/>
  <c r="BN49" i="18"/>
  <c r="BJ51" i="18"/>
  <c r="BH55" i="18"/>
  <c r="BD51" i="18"/>
  <c r="BK54" i="18"/>
  <c r="BC54" i="18"/>
  <c r="BM54" i="18"/>
  <c r="BQ55" i="18"/>
  <c r="BQ53" i="18"/>
  <c r="BQ51" i="18"/>
  <c r="BJ55" i="18"/>
  <c r="BD55" i="18"/>
  <c r="BF54" i="18"/>
  <c r="BL53" i="18"/>
  <c r="BP51" i="18"/>
  <c r="BO54" i="18"/>
  <c r="BB52" i="18"/>
  <c r="BA52" i="18"/>
  <c r="BQ52" i="18" s="1"/>
  <c r="BI54" i="18"/>
  <c r="BP54" i="18"/>
  <c r="BL54" i="18"/>
  <c r="BM55" i="18"/>
  <c r="BH54" i="18"/>
  <c r="BM53" i="18"/>
  <c r="BM51" i="18"/>
  <c r="BP55" i="18"/>
  <c r="BD54" i="18"/>
  <c r="BB54" i="18"/>
  <c r="BH53" i="18"/>
  <c r="BL51" i="18"/>
  <c r="BN55" i="18"/>
  <c r="BB50" i="18"/>
  <c r="BA50" i="18"/>
  <c r="BL50" i="18" s="1"/>
  <c r="BI55" i="18"/>
  <c r="BI53" i="18"/>
  <c r="BI51" i="18"/>
  <c r="BN54" i="18"/>
  <c r="BJ53" i="18"/>
  <c r="BG54" i="18"/>
  <c r="BN39" i="18"/>
  <c r="BQ37" i="18"/>
  <c r="BM37" i="18"/>
  <c r="BJ42" i="18"/>
  <c r="BJ38" i="18"/>
  <c r="BP37" i="18"/>
  <c r="BJ37" i="18"/>
  <c r="BL41" i="18"/>
  <c r="BH37" i="18"/>
  <c r="BB37" i="18"/>
  <c r="BL39" i="18"/>
  <c r="BD39" i="18"/>
  <c r="BE39" i="18"/>
  <c r="BO39" i="18"/>
  <c r="BF36" i="18"/>
  <c r="BQ36" i="18"/>
  <c r="BH36" i="18"/>
  <c r="BQ39" i="18"/>
  <c r="BK39" i="18"/>
  <c r="BC39" i="18"/>
  <c r="BK36" i="18"/>
  <c r="BG36" i="18"/>
  <c r="BE42" i="18"/>
  <c r="BM42" i="18"/>
  <c r="BP39" i="18"/>
  <c r="BE38" i="18"/>
  <c r="BM38" i="18"/>
  <c r="BO42" i="18"/>
  <c r="BO38" i="18"/>
  <c r="BJ39" i="18"/>
  <c r="BQ38" i="18"/>
  <c r="BF38" i="18"/>
  <c r="BB36" i="18"/>
  <c r="BN42" i="18"/>
  <c r="BN38" i="18"/>
  <c r="BM36" i="18"/>
  <c r="BK37" i="18"/>
  <c r="BC37" i="18"/>
  <c r="BD36" i="18"/>
  <c r="BI39" i="18"/>
  <c r="BC38" i="18"/>
  <c r="BI37" i="18"/>
  <c r="BC36" i="18"/>
  <c r="BM39" i="18"/>
  <c r="BP42" i="18"/>
  <c r="BF39" i="18"/>
  <c r="BN37" i="18"/>
  <c r="BK41" i="18"/>
  <c r="BC41" i="18"/>
  <c r="BM40" i="18"/>
  <c r="BE40" i="18"/>
  <c r="BH39" i="18"/>
  <c r="BM41" i="18"/>
  <c r="BE37" i="18"/>
  <c r="BB39" i="18"/>
  <c r="BQ42" i="18"/>
  <c r="BO37" i="18"/>
  <c r="BF40" i="18"/>
  <c r="BB38" i="18"/>
  <c r="BI42" i="18"/>
  <c r="BG39" i="18"/>
  <c r="BD41" i="18"/>
  <c r="BD37" i="18"/>
  <c r="BI36" i="18"/>
  <c r="BP36" i="18"/>
  <c r="BK42" i="18"/>
  <c r="BG42" i="18"/>
  <c r="BG38" i="18"/>
  <c r="BL42" i="18"/>
  <c r="BL38" i="18"/>
  <c r="BF37" i="18"/>
  <c r="BJ36" i="18"/>
  <c r="BO36" i="18"/>
  <c r="BP38" i="18"/>
  <c r="BQ40" i="18"/>
  <c r="BF42" i="18"/>
  <c r="BB40" i="18"/>
  <c r="BL37" i="18"/>
  <c r="BO41" i="18"/>
  <c r="BI38" i="18"/>
  <c r="BN40" i="18"/>
  <c r="BG5" i="18"/>
  <c r="BE6" i="18"/>
  <c r="BL6" i="18"/>
  <c r="BQ5" i="18"/>
  <c r="BL10" i="18"/>
  <c r="BL5" i="18"/>
  <c r="BC11" i="18"/>
  <c r="BD11" i="18"/>
  <c r="BO11" i="18"/>
  <c r="BE8" i="18"/>
  <c r="BP11" i="18"/>
  <c r="BL7" i="18"/>
  <c r="BM11" i="18"/>
  <c r="BI9" i="18"/>
  <c r="BB11" i="18"/>
  <c r="BQ11" i="18"/>
  <c r="BN11" i="18"/>
  <c r="BM6" i="18"/>
  <c r="BP6" i="18"/>
  <c r="BH8" i="18"/>
  <c r="BG11" i="18"/>
  <c r="BD8" i="18"/>
  <c r="BB9" i="18"/>
  <c r="BF5" i="18"/>
  <c r="BM5" i="18"/>
  <c r="BK8" i="18"/>
  <c r="BC8" i="18"/>
  <c r="BH5" i="18"/>
  <c r="BQ10" i="18"/>
  <c r="BK9" i="18"/>
  <c r="BQ8" i="18"/>
  <c r="BQ6" i="18"/>
  <c r="BK5" i="18"/>
  <c r="BJ10" i="18"/>
  <c r="BN8" i="18"/>
  <c r="BN6" i="18"/>
  <c r="BJ9" i="18"/>
  <c r="BP8" i="18"/>
  <c r="BM7" i="18"/>
  <c r="BE7" i="18"/>
  <c r="BH6" i="18"/>
  <c r="BO7" i="18"/>
  <c r="BO5" i="18"/>
  <c r="BN10" i="18"/>
  <c r="BJ8" i="18"/>
  <c r="BG8" i="18"/>
  <c r="BN5" i="18"/>
  <c r="BF7" i="18"/>
  <c r="BB5" i="18"/>
  <c r="BQ7" i="18"/>
  <c r="BN7" i="18"/>
  <c r="BC10" i="18"/>
  <c r="BK10" i="18"/>
  <c r="BE10" i="18"/>
  <c r="BI5" i="18"/>
  <c r="BK6" i="18"/>
  <c r="BC6" i="18"/>
  <c r="BD5" i="18"/>
  <c r="BI10" i="18"/>
  <c r="BI6" i="18"/>
  <c r="BC5" i="18"/>
  <c r="BB10" i="18"/>
  <c r="BF6" i="18"/>
  <c r="BP10" i="18"/>
  <c r="BM9" i="18"/>
  <c r="BE9" i="18"/>
  <c r="BG9" i="18"/>
  <c r="BF10" i="18"/>
  <c r="BB8" i="18"/>
  <c r="BB6" i="18"/>
  <c r="BI7" i="18"/>
  <c r="BF9" i="18"/>
  <c r="BB7" i="18"/>
  <c r="BG10" i="18"/>
  <c r="BO6" i="18"/>
  <c r="BD6" i="18"/>
  <c r="BM8" i="17"/>
  <c r="BM10" i="17"/>
  <c r="BC8" i="17"/>
  <c r="BI7" i="17"/>
  <c r="BD7" i="17"/>
  <c r="BJ7" i="17"/>
  <c r="BB7" i="17"/>
  <c r="BK8" i="17"/>
  <c r="BK7" i="17"/>
  <c r="BO10" i="17"/>
  <c r="BP8" i="17"/>
  <c r="BN6" i="17"/>
  <c r="BF5" i="17"/>
  <c r="BH7" i="17"/>
  <c r="BG11" i="17"/>
  <c r="BH10" i="17"/>
  <c r="BF8" i="17"/>
  <c r="BC7" i="17"/>
  <c r="BB6" i="17"/>
  <c r="BN11" i="17"/>
  <c r="BE10" i="17"/>
  <c r="BP10" i="17"/>
  <c r="BP6" i="17"/>
  <c r="BI10" i="17"/>
  <c r="BO8" i="17"/>
  <c r="BM6" i="17"/>
  <c r="BE6" i="17"/>
  <c r="BQ7" i="17"/>
  <c r="BC11" i="17"/>
  <c r="BO7" i="17"/>
  <c r="BG7" i="17"/>
  <c r="BB10" i="17"/>
  <c r="BG10" i="17"/>
  <c r="BJ11" i="17"/>
  <c r="BN7" i="17"/>
  <c r="BF7" i="17"/>
  <c r="BK9" i="17"/>
  <c r="BN9" i="17"/>
  <c r="BG8" i="17"/>
  <c r="BN8" i="17"/>
  <c r="BB8" i="17"/>
  <c r="BL9" i="17"/>
  <c r="BO6" i="17"/>
  <c r="BJ9" i="17"/>
  <c r="BB9" i="17"/>
  <c r="BH8" i="17"/>
  <c r="BO5" i="17"/>
  <c r="BG6" i="17"/>
  <c r="BM9" i="17"/>
  <c r="BE9" i="17"/>
  <c r="BL6" i="17"/>
  <c r="BD6" i="17"/>
  <c r="BG9" i="17"/>
  <c r="BF6" i="17"/>
  <c r="BC6" i="17"/>
  <c r="BH9" i="17"/>
  <c r="BL5" i="17"/>
  <c r="BD5" i="17"/>
  <c r="BC10" i="17"/>
  <c r="BN5" i="17"/>
  <c r="BB5" i="17"/>
  <c r="BN10" i="17"/>
  <c r="BE5" i="17"/>
  <c r="BQ6" i="17"/>
  <c r="BP9" i="17"/>
  <c r="BD9" i="17"/>
  <c r="BQ8" i="17"/>
  <c r="BC9" i="17"/>
  <c r="BD8" i="17"/>
  <c r="BG5" i="17"/>
  <c r="BL7" i="17"/>
  <c r="BJ10" i="17"/>
  <c r="BK5" i="17"/>
  <c r="BQ5" i="17"/>
  <c r="BM5" i="17"/>
  <c r="BI6" i="17"/>
  <c r="BJ5" i="17"/>
  <c r="BL8" i="17"/>
  <c r="BC5" i="17"/>
  <c r="BI8" i="17"/>
  <c r="BI9" i="17"/>
  <c r="BJ8" i="17"/>
  <c r="BH6" i="17"/>
  <c r="BI5" i="17"/>
  <c r="BE8" i="17"/>
  <c r="BP5" i="17"/>
  <c r="BH5" i="17"/>
  <c r="BE7" i="17"/>
  <c r="J7" i="12"/>
  <c r="Q7" i="12"/>
  <c r="P8" i="12" s="1"/>
  <c r="I14" i="12"/>
  <c r="BL237" i="18" l="1"/>
  <c r="BD221" i="18"/>
  <c r="BH154" i="18"/>
  <c r="BP237" i="18"/>
  <c r="BL154" i="18"/>
  <c r="BI237" i="18"/>
  <c r="BP52" i="18"/>
  <c r="BP221" i="18"/>
  <c r="BP219" i="18"/>
  <c r="BC221" i="18"/>
  <c r="BD245" i="18"/>
  <c r="BE52" i="18"/>
  <c r="BI52" i="18"/>
  <c r="BQ50" i="18"/>
  <c r="BL156" i="18"/>
  <c r="BG221" i="18"/>
  <c r="BH221" i="18"/>
  <c r="BL221" i="18"/>
  <c r="BG245" i="18"/>
  <c r="BQ237" i="18"/>
  <c r="BE50" i="18"/>
  <c r="BH156" i="18"/>
  <c r="BL167" i="18"/>
  <c r="BE167" i="18"/>
  <c r="BC223" i="18"/>
  <c r="BF233" i="18"/>
  <c r="BI235" i="18"/>
  <c r="BP235" i="18"/>
  <c r="BP154" i="18"/>
  <c r="BI154" i="18"/>
  <c r="BD235" i="18"/>
  <c r="BM245" i="18"/>
  <c r="BQ245" i="18"/>
  <c r="BK245" i="18"/>
  <c r="BJ235" i="18"/>
  <c r="BJ233" i="18"/>
  <c r="BF235" i="18"/>
  <c r="BO235" i="18"/>
  <c r="BH235" i="18"/>
  <c r="BM235" i="18"/>
  <c r="BE233" i="18"/>
  <c r="BP236" i="18"/>
  <c r="BD231" i="18"/>
  <c r="BN235" i="18"/>
  <c r="BN233" i="18"/>
  <c r="BG231" i="18"/>
  <c r="BE231" i="18"/>
  <c r="BF236" i="18"/>
  <c r="BM231" i="18"/>
  <c r="BJ236" i="18"/>
  <c r="BE235" i="18"/>
  <c r="BC236" i="18"/>
  <c r="BH245" i="18"/>
  <c r="BO236" i="18"/>
  <c r="BC231" i="18"/>
  <c r="BK235" i="18"/>
  <c r="BC235" i="18"/>
  <c r="BP245" i="18"/>
  <c r="BO231" i="18"/>
  <c r="BL231" i="18"/>
  <c r="BN231" i="18"/>
  <c r="BG235" i="18"/>
  <c r="BN236" i="18"/>
  <c r="BM236" i="18"/>
  <c r="BQ236" i="18"/>
  <c r="BI236" i="18"/>
  <c r="BD236" i="18"/>
  <c r="BI245" i="18"/>
  <c r="BF245" i="18"/>
  <c r="BE245" i="18"/>
  <c r="BJ245" i="18"/>
  <c r="BN245" i="18"/>
  <c r="BK236" i="18"/>
  <c r="BL235" i="18"/>
  <c r="BO237" i="18"/>
  <c r="BG237" i="18"/>
  <c r="BE237" i="18"/>
  <c r="BD237" i="18"/>
  <c r="BF237" i="18"/>
  <c r="BJ237" i="18"/>
  <c r="BC237" i="18"/>
  <c r="BN237" i="18"/>
  <c r="BK237" i="18"/>
  <c r="BM237" i="18"/>
  <c r="BH233" i="18"/>
  <c r="BI233" i="18"/>
  <c r="BG233" i="18"/>
  <c r="BL233" i="18"/>
  <c r="BC233" i="18"/>
  <c r="BD233" i="18"/>
  <c r="BP233" i="18"/>
  <c r="BO233" i="18"/>
  <c r="BK233" i="18"/>
  <c r="BI231" i="18"/>
  <c r="BF231" i="18"/>
  <c r="BE236" i="18"/>
  <c r="BK231" i="18"/>
  <c r="BH231" i="18"/>
  <c r="BL236" i="18"/>
  <c r="BC245" i="18"/>
  <c r="BJ231" i="18"/>
  <c r="BH236" i="18"/>
  <c r="BP231" i="18"/>
  <c r="BD207" i="18"/>
  <c r="BD209" i="18"/>
  <c r="BF223" i="18"/>
  <c r="BJ223" i="18"/>
  <c r="BN223" i="18"/>
  <c r="BM223" i="18"/>
  <c r="BI223" i="18"/>
  <c r="BK223" i="18"/>
  <c r="BQ223" i="18"/>
  <c r="BE223" i="18"/>
  <c r="BO211" i="18"/>
  <c r="BG211" i="18"/>
  <c r="BJ211" i="18"/>
  <c r="BN211" i="18"/>
  <c r="BE211" i="18"/>
  <c r="BH211" i="18"/>
  <c r="BC211" i="18"/>
  <c r="BI211" i="18"/>
  <c r="BP211" i="18"/>
  <c r="BK211" i="18"/>
  <c r="BM211" i="18"/>
  <c r="BF211" i="18"/>
  <c r="BQ211" i="18"/>
  <c r="BF219" i="18"/>
  <c r="BJ219" i="18"/>
  <c r="BK219" i="18"/>
  <c r="BM219" i="18"/>
  <c r="BI219" i="18"/>
  <c r="BQ219" i="18"/>
  <c r="BE219" i="18"/>
  <c r="BN219" i="18"/>
  <c r="BG219" i="18"/>
  <c r="BG223" i="18"/>
  <c r="BH219" i="18"/>
  <c r="BD219" i="18"/>
  <c r="BD223" i="18"/>
  <c r="BO207" i="18"/>
  <c r="BG207" i="18"/>
  <c r="BJ207" i="18"/>
  <c r="BK207" i="18"/>
  <c r="BE207" i="18"/>
  <c r="BH207" i="18"/>
  <c r="BQ207" i="18"/>
  <c r="BF207" i="18"/>
  <c r="BI207" i="18"/>
  <c r="BP207" i="18"/>
  <c r="BC207" i="18"/>
  <c r="BN207" i="18"/>
  <c r="BM207" i="18"/>
  <c r="BP223" i="18"/>
  <c r="BD211" i="18"/>
  <c r="BH223" i="18"/>
  <c r="BO209" i="18"/>
  <c r="BG209" i="18"/>
  <c r="BJ209" i="18"/>
  <c r="BK209" i="18"/>
  <c r="BF209" i="18"/>
  <c r="BM209" i="18"/>
  <c r="BP209" i="18"/>
  <c r="BN209" i="18"/>
  <c r="BQ209" i="18"/>
  <c r="BI209" i="18"/>
  <c r="BC209" i="18"/>
  <c r="BE209" i="18"/>
  <c r="BH209" i="18"/>
  <c r="BO219" i="18"/>
  <c r="BO223" i="18"/>
  <c r="BC219" i="18"/>
  <c r="BF221" i="18"/>
  <c r="BJ221" i="18"/>
  <c r="BM221" i="18"/>
  <c r="BN221" i="18"/>
  <c r="BQ221" i="18"/>
  <c r="BK221" i="18"/>
  <c r="BE221" i="18"/>
  <c r="BI221" i="18"/>
  <c r="BP167" i="18"/>
  <c r="BI167" i="18"/>
  <c r="BO167" i="18"/>
  <c r="BK167" i="18"/>
  <c r="BC167" i="18"/>
  <c r="BG167" i="18"/>
  <c r="BN167" i="18"/>
  <c r="BD167" i="18"/>
  <c r="BF167" i="18"/>
  <c r="BJ167" i="18"/>
  <c r="BH167" i="18"/>
  <c r="BM167" i="18"/>
  <c r="BE156" i="18"/>
  <c r="BO156" i="18"/>
  <c r="BK156" i="18"/>
  <c r="BC156" i="18"/>
  <c r="BJ156" i="18"/>
  <c r="BN156" i="18"/>
  <c r="BF156" i="18"/>
  <c r="BG156" i="18"/>
  <c r="BD156" i="18"/>
  <c r="BM156" i="18"/>
  <c r="BO154" i="18"/>
  <c r="BK154" i="18"/>
  <c r="BC154" i="18"/>
  <c r="BG154" i="18"/>
  <c r="BN154" i="18"/>
  <c r="BD154" i="18"/>
  <c r="BJ154" i="18"/>
  <c r="BF154" i="18"/>
  <c r="BQ154" i="18"/>
  <c r="BM154" i="18"/>
  <c r="BI141" i="18"/>
  <c r="BM141" i="18"/>
  <c r="BH141" i="18"/>
  <c r="BO141" i="18"/>
  <c r="BK141" i="18"/>
  <c r="BC141" i="18"/>
  <c r="BN141" i="18"/>
  <c r="BD141" i="18"/>
  <c r="BJ141" i="18"/>
  <c r="BG141" i="18"/>
  <c r="BF141" i="18"/>
  <c r="BO143" i="18"/>
  <c r="BK143" i="18"/>
  <c r="BC143" i="18"/>
  <c r="BG143" i="18"/>
  <c r="BN143" i="18"/>
  <c r="BD143" i="18"/>
  <c r="BJ143" i="18"/>
  <c r="BF143" i="18"/>
  <c r="BI143" i="18"/>
  <c r="BL143" i="18"/>
  <c r="BH143" i="18"/>
  <c r="BQ141" i="18"/>
  <c r="BP143" i="18"/>
  <c r="BE143" i="18"/>
  <c r="BL141" i="18"/>
  <c r="BQ143" i="18"/>
  <c r="BP50" i="18"/>
  <c r="BM52" i="18"/>
  <c r="BH52" i="18"/>
  <c r="BL52" i="18"/>
  <c r="BK52" i="18"/>
  <c r="BC52" i="18"/>
  <c r="BF52" i="18"/>
  <c r="BO52" i="18"/>
  <c r="BJ52" i="18"/>
  <c r="BN52" i="18"/>
  <c r="BG52" i="18"/>
  <c r="BD52" i="18"/>
  <c r="BO50" i="18"/>
  <c r="BK50" i="18"/>
  <c r="BC50" i="18"/>
  <c r="BG50" i="18"/>
  <c r="BJ50" i="18"/>
  <c r="BN50" i="18"/>
  <c r="BF50" i="18"/>
  <c r="BD50" i="18"/>
  <c r="BH50" i="18"/>
  <c r="BI50" i="18"/>
  <c r="BM50" i="18"/>
  <c r="Q8" i="12"/>
  <c r="P9" i="12" s="1"/>
  <c r="Q9" i="12" l="1"/>
  <c r="P10" i="12" s="1"/>
  <c r="Q10" i="12" s="1"/>
  <c r="P11" i="12" s="1"/>
  <c r="Q11" i="12" l="1"/>
  <c r="P12" i="12" s="1"/>
  <c r="Q12" i="12" s="1"/>
  <c r="P13" i="12" s="1"/>
  <c r="Q13" i="12" s="1"/>
</calcChain>
</file>

<file path=xl/sharedStrings.xml><?xml version="1.0" encoding="utf-8"?>
<sst xmlns="http://schemas.openxmlformats.org/spreadsheetml/2006/main" count="16858" uniqueCount="222">
  <si>
    <t>75+</t>
  </si>
  <si>
    <t>65-74</t>
  </si>
  <si>
    <t>45-64</t>
  </si>
  <si>
    <t>25-44</t>
  </si>
  <si>
    <t>15-24</t>
  </si>
  <si>
    <t>5-14</t>
  </si>
  <si>
    <t>0-4</t>
  </si>
  <si>
    <t>Enfermedades del hígado. (K70-K77)</t>
  </si>
  <si>
    <t>Suicidios y Homicidios. (X60-Y09)</t>
  </si>
  <si>
    <t>Otras enfermedades Hipertensivas (I10-I12)</t>
  </si>
  <si>
    <t>Tumores benignos y de comportamiento incierto o desconocido (D10-D48)</t>
  </si>
  <si>
    <t>Nefritis y Nefrosis (N00-N19, N25-N29)</t>
  </si>
  <si>
    <t>Enfermedades infecciosas intestinales(A00-A09)</t>
  </si>
  <si>
    <t>Malformaciones congénitas, deformidades y anomalías cromosómicas (Q00-Q99)</t>
  </si>
  <si>
    <t>Influenza y neumonía (J09-J18)</t>
  </si>
  <si>
    <t>Enfermedades crónicas de las vías respiratorias inferiores (J40-J47)</t>
  </si>
  <si>
    <t>Accidentes de Todo Tipo (V01-X59)</t>
  </si>
  <si>
    <t>Ciertas afecciones originadas en el período perinatal (P00-P96)</t>
  </si>
  <si>
    <t>Diabetes (E10-E14)</t>
  </si>
  <si>
    <t>Enfermedad Cerebrovascular (I60-I69)</t>
  </si>
  <si>
    <t>Cancer (C00-C97)</t>
  </si>
  <si>
    <t>Enfermedades del Corazón (I05-I09, I11, I13, I21-I51)</t>
  </si>
  <si>
    <t>Grupo Etario</t>
  </si>
  <si>
    <t>Año</t>
  </si>
  <si>
    <t>Población</t>
  </si>
  <si>
    <t>Sexo</t>
  </si>
  <si>
    <t>F</t>
  </si>
  <si>
    <t>T</t>
  </si>
  <si>
    <t>Enfermedad por virus de la inmunodeficiencia humana [VIH] (B20-B24)</t>
  </si>
  <si>
    <t>key</t>
  </si>
  <si>
    <t>Fallecimientos Totales</t>
  </si>
  <si>
    <t>Poblacion Estimada</t>
  </si>
  <si>
    <t>Valores</t>
  </si>
  <si>
    <t>Fallecimientos</t>
  </si>
  <si>
    <t>Enfermedad</t>
  </si>
  <si>
    <t>Posicion</t>
  </si>
  <si>
    <t>2</t>
  </si>
  <si>
    <t>3</t>
  </si>
  <si>
    <t>4</t>
  </si>
  <si>
    <t>5</t>
  </si>
  <si>
    <t>6</t>
  </si>
  <si>
    <t>7</t>
  </si>
  <si>
    <t>8</t>
  </si>
  <si>
    <t>9</t>
  </si>
  <si>
    <t>14</t>
  </si>
  <si>
    <t>15</t>
  </si>
  <si>
    <t>Suma de Fallecimientos</t>
  </si>
  <si>
    <t>Máx. de Población</t>
  </si>
  <si>
    <t>19960-4</t>
  </si>
  <si>
    <t>19965-14</t>
  </si>
  <si>
    <t>199615-24</t>
  </si>
  <si>
    <t>199625-44</t>
  </si>
  <si>
    <t>199645-64</t>
  </si>
  <si>
    <t>199665-74</t>
  </si>
  <si>
    <t>199675+</t>
  </si>
  <si>
    <t>19970-4</t>
  </si>
  <si>
    <t>19975-14</t>
  </si>
  <si>
    <t>199715-24</t>
  </si>
  <si>
    <t>199725-44</t>
  </si>
  <si>
    <t>199745-64</t>
  </si>
  <si>
    <t>199765-74</t>
  </si>
  <si>
    <t>199775+</t>
  </si>
  <si>
    <t>19980-4</t>
  </si>
  <si>
    <t>19985-14</t>
  </si>
  <si>
    <t>199815-24</t>
  </si>
  <si>
    <t>199825-44</t>
  </si>
  <si>
    <t>199845-64</t>
  </si>
  <si>
    <t>199865-74</t>
  </si>
  <si>
    <t>199875+</t>
  </si>
  <si>
    <t>19990-4</t>
  </si>
  <si>
    <t>19995-14</t>
  </si>
  <si>
    <t>199915-24</t>
  </si>
  <si>
    <t>199925-44</t>
  </si>
  <si>
    <t>199945-64</t>
  </si>
  <si>
    <t>199965-74</t>
  </si>
  <si>
    <t>199975+</t>
  </si>
  <si>
    <t>20000-4</t>
  </si>
  <si>
    <t>20005-14</t>
  </si>
  <si>
    <t>200015-24</t>
  </si>
  <si>
    <t>200025-44</t>
  </si>
  <si>
    <t>200045-64</t>
  </si>
  <si>
    <t>200065-74</t>
  </si>
  <si>
    <t>200075+</t>
  </si>
  <si>
    <t>20010-4</t>
  </si>
  <si>
    <t>20015-14</t>
  </si>
  <si>
    <t>200115-24</t>
  </si>
  <si>
    <t>200125-44</t>
  </si>
  <si>
    <t>200145-64</t>
  </si>
  <si>
    <t>200165-74</t>
  </si>
  <si>
    <t>200175+</t>
  </si>
  <si>
    <t>20020-4</t>
  </si>
  <si>
    <t>20025-14</t>
  </si>
  <si>
    <t>200215-24</t>
  </si>
  <si>
    <t>200225-44</t>
  </si>
  <si>
    <t>200245-64</t>
  </si>
  <si>
    <t>200265-74</t>
  </si>
  <si>
    <t>200275+</t>
  </si>
  <si>
    <t>20030-4</t>
  </si>
  <si>
    <t>20035-14</t>
  </si>
  <si>
    <t>200315-24</t>
  </si>
  <si>
    <t>200325-44</t>
  </si>
  <si>
    <t>200345-64</t>
  </si>
  <si>
    <t>200365-74</t>
  </si>
  <si>
    <t>200375+</t>
  </si>
  <si>
    <t>20040-4</t>
  </si>
  <si>
    <t>20045-14</t>
  </si>
  <si>
    <t>200415-24</t>
  </si>
  <si>
    <t>200425-44</t>
  </si>
  <si>
    <t>200445-64</t>
  </si>
  <si>
    <t>200465-74</t>
  </si>
  <si>
    <t>200475+</t>
  </si>
  <si>
    <t>20050-4</t>
  </si>
  <si>
    <t>20055-14</t>
  </si>
  <si>
    <t>200515-24</t>
  </si>
  <si>
    <t>200525-44</t>
  </si>
  <si>
    <t>200545-64</t>
  </si>
  <si>
    <t>200565-74</t>
  </si>
  <si>
    <t>200575+</t>
  </si>
  <si>
    <t>20060-4</t>
  </si>
  <si>
    <t>20065-14</t>
  </si>
  <si>
    <t>200615-24</t>
  </si>
  <si>
    <t>200625-44</t>
  </si>
  <si>
    <t>200645-64</t>
  </si>
  <si>
    <t>200665-74</t>
  </si>
  <si>
    <t>200675+</t>
  </si>
  <si>
    <t>20070-4</t>
  </si>
  <si>
    <t>20075-14</t>
  </si>
  <si>
    <t>200715-24</t>
  </si>
  <si>
    <t>200725-44</t>
  </si>
  <si>
    <t>200745-64</t>
  </si>
  <si>
    <t>200765-74</t>
  </si>
  <si>
    <t>200775+</t>
  </si>
  <si>
    <t>20080-4</t>
  </si>
  <si>
    <t>20085-14</t>
  </si>
  <si>
    <t>200815-24</t>
  </si>
  <si>
    <t>200825-44</t>
  </si>
  <si>
    <t>200845-64</t>
  </si>
  <si>
    <t>200865-74</t>
  </si>
  <si>
    <t>200875+</t>
  </si>
  <si>
    <t>20090-4</t>
  </si>
  <si>
    <t>20095-14</t>
  </si>
  <si>
    <t>200915-24</t>
  </si>
  <si>
    <t>200925-44</t>
  </si>
  <si>
    <t>200945-64</t>
  </si>
  <si>
    <t>200965-74</t>
  </si>
  <si>
    <t>200975+</t>
  </si>
  <si>
    <t>20100-4</t>
  </si>
  <si>
    <t>20105-14</t>
  </si>
  <si>
    <t>201015-24</t>
  </si>
  <si>
    <t>201025-44</t>
  </si>
  <si>
    <t>201045-64</t>
  </si>
  <si>
    <t>201065-74</t>
  </si>
  <si>
    <t>201075+</t>
  </si>
  <si>
    <t>20110-4</t>
  </si>
  <si>
    <t>20115-14</t>
  </si>
  <si>
    <t>201115-24</t>
  </si>
  <si>
    <t>201125-44</t>
  </si>
  <si>
    <t>201145-64</t>
  </si>
  <si>
    <t>201165-74</t>
  </si>
  <si>
    <t>201175+</t>
  </si>
  <si>
    <t>20120-4</t>
  </si>
  <si>
    <t>20125-14</t>
  </si>
  <si>
    <t>201215-24</t>
  </si>
  <si>
    <t>201225-44</t>
  </si>
  <si>
    <t>201245-64</t>
  </si>
  <si>
    <t>201265-74</t>
  </si>
  <si>
    <t>201275+</t>
  </si>
  <si>
    <t>20130-4</t>
  </si>
  <si>
    <t>20135-14</t>
  </si>
  <si>
    <t>201315-24</t>
  </si>
  <si>
    <t>201325-44</t>
  </si>
  <si>
    <t>201345-64</t>
  </si>
  <si>
    <t>201365-74</t>
  </si>
  <si>
    <t>201375+</t>
  </si>
  <si>
    <t>20140-4</t>
  </si>
  <si>
    <t>20145-14</t>
  </si>
  <si>
    <t>201415-24</t>
  </si>
  <si>
    <t>201425-44</t>
  </si>
  <si>
    <t>201445-64</t>
  </si>
  <si>
    <t>201465-74</t>
  </si>
  <si>
    <t>201475+</t>
  </si>
  <si>
    <t>lx(T)</t>
  </si>
  <si>
    <t>dx(T)</t>
  </si>
  <si>
    <t>qx(T)</t>
  </si>
  <si>
    <t>Lx(T)</t>
  </si>
  <si>
    <t>mx(T)</t>
  </si>
  <si>
    <t>Tasa Central de Decrecimiento</t>
  </si>
  <si>
    <t>µ(X)</t>
  </si>
  <si>
    <t>Tasa Intantanea de Decrecimiento</t>
  </si>
  <si>
    <t>Px(T)</t>
  </si>
  <si>
    <t>Totales</t>
  </si>
  <si>
    <t>Poblacion en base a 100.000 Personas</t>
  </si>
  <si>
    <t>Proporcion del Grupo Etario Vs Poblacion Total</t>
  </si>
  <si>
    <t>Gráficos</t>
  </si>
  <si>
    <t xml:space="preserve">Tabla de Decrecimiento Multiple Total- Poblacion Femenina </t>
  </si>
  <si>
    <t>Población Total Femenina por cada 100.000 personas</t>
  </si>
  <si>
    <t>Probabilidad de Decrecimiento por Cualquier causa - Sexo Femenino</t>
  </si>
  <si>
    <t>Población y Probabilidad de Decrecimiento Total, por cualquier causa de decrecimiento</t>
  </si>
  <si>
    <t>Comparaciones entre Probabilidades, Tasas Centrales y Tasas Instantáneas, por cualquier causa de decrecimiento</t>
  </si>
  <si>
    <t>Fallecimientos Totales sexo Femenino por cada 100.000 personas</t>
  </si>
  <si>
    <t>Fallecimientos Totales  por cada 100.000 personas</t>
  </si>
  <si>
    <t>Población Total por cada 100.000 personas</t>
  </si>
  <si>
    <t xml:space="preserve">Probabilidad de Decrecimiento por Cualquier causa </t>
  </si>
  <si>
    <t>Población Total</t>
  </si>
  <si>
    <t>Población Femenina</t>
  </si>
  <si>
    <t>Etiquetas de fila</t>
  </si>
  <si>
    <t>Total general</t>
  </si>
  <si>
    <t>Suma de Población Femenina</t>
  </si>
  <si>
    <t>Etiquetas de columna</t>
  </si>
  <si>
    <t>Poblacion Femenina</t>
  </si>
  <si>
    <t>Leyenda</t>
  </si>
  <si>
    <t>Causa</t>
  </si>
  <si>
    <t>Tasa Instantánea de Decrecimiento</t>
  </si>
  <si>
    <t>Tabla de Decrecimiento Multiple Todas las Causas</t>
  </si>
  <si>
    <t xml:space="preserve">Tabla de Decrecimiento Multiple </t>
  </si>
  <si>
    <t>Poblacion General</t>
  </si>
  <si>
    <t>Suma de Población Total</t>
  </si>
  <si>
    <t>Poblacion Total</t>
  </si>
  <si>
    <t>Mujeres</t>
  </si>
  <si>
    <t>Total</t>
  </si>
  <si>
    <t>qx(T) _ Total</t>
  </si>
  <si>
    <t>qx(T)_Mujeres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</si>
</sst>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_ * #,##0.00000_ ;_ * \-#,##0.00000_ ;_ * &quot;-&quot;??_ ;_ @_ "/>
    <numFmt numFmtId="167" formatCode="_ * #,##0.000000_ ;_ * \-#,##0.000000_ ;_ * &quot;-&quot;??_ ;_ @_ "/>
    <numFmt numFmtId="168" formatCode="_ * #,##0.0000000_ ;_ * \-#,##0.0000000_ ;_ * &quot;-&quot;??_ ;_ @_ "/>
    <numFmt numFmtId="169" formatCode="_ * #,##0.0000000_ ;_ * \-#,##0.0000000_ ;_ * &quot;-&quot;???????_ ;_ @_ "/>
    <numFmt numFmtId="170" formatCode="_ * #,##0.000000_ ;_ * \-#,##0.000000_ ;_ * &quot;-&quot;??????_ ;_ @_ "/>
    <numFmt numFmtId="171" formatCode="_ * #,##0_ ;_ * \-#,##0_ ;_ * &quot;-&quot;??????_ ;_ @_ "/>
    <numFmt numFmtId="172" formatCode="_ * #,##0.00000_ ;_ * \-#,##0.00000_ ;_ * &quot;-&quot;???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1" applyNumberFormat="1" applyFont="1" applyFill="1"/>
    <xf numFmtId="43" fontId="0" fillId="0" borderId="0" xfId="1" applyFont="1"/>
    <xf numFmtId="0" fontId="3" fillId="4" borderId="0" xfId="0" applyFont="1" applyFill="1"/>
    <xf numFmtId="0" fontId="5" fillId="0" borderId="0" xfId="0" applyFont="1"/>
    <xf numFmtId="166" fontId="0" fillId="0" borderId="0" xfId="1" applyNumberFormat="1" applyFont="1"/>
    <xf numFmtId="167" fontId="0" fillId="0" borderId="0" xfId="1" applyNumberFormat="1" applyFont="1"/>
    <xf numFmtId="168" fontId="0" fillId="0" borderId="0" xfId="1" applyNumberFormat="1" applyFont="1"/>
    <xf numFmtId="0" fontId="3" fillId="7" borderId="0" xfId="0" applyFont="1" applyFill="1"/>
    <xf numFmtId="0" fontId="6" fillId="0" borderId="0" xfId="0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" fillId="0" borderId="0" xfId="0" applyNumberFormat="1" applyFont="1"/>
    <xf numFmtId="169" fontId="0" fillId="0" borderId="0" xfId="0" applyNumberFormat="1"/>
    <xf numFmtId="170" fontId="0" fillId="0" borderId="0" xfId="0" applyNumberFormat="1"/>
    <xf numFmtId="0" fontId="7" fillId="0" borderId="0" xfId="0" applyFont="1" applyAlignment="1">
      <alignment horizontal="center" wrapText="1"/>
    </xf>
    <xf numFmtId="0" fontId="7" fillId="0" borderId="0" xfId="0" pivotButton="1" applyFont="1" applyAlignment="1">
      <alignment horizontal="center" wrapText="1"/>
    </xf>
    <xf numFmtId="171" fontId="0" fillId="0" borderId="0" xfId="0" applyNumberFormat="1"/>
    <xf numFmtId="164" fontId="0" fillId="9" borderId="0" xfId="1" applyNumberFormat="1" applyFont="1" applyFill="1"/>
    <xf numFmtId="171" fontId="0" fillId="9" borderId="0" xfId="0" applyNumberFormat="1" applyFill="1"/>
    <xf numFmtId="0" fontId="3" fillId="0" borderId="0" xfId="0" applyFont="1"/>
    <xf numFmtId="0" fontId="5" fillId="0" borderId="0" xfId="0" pivotButton="1" applyFont="1"/>
    <xf numFmtId="164" fontId="5" fillId="0" borderId="0" xfId="0" applyNumberFormat="1" applyFont="1"/>
    <xf numFmtId="43" fontId="3" fillId="4" borderId="0" xfId="1" applyFont="1" applyFill="1"/>
    <xf numFmtId="172" fontId="0" fillId="0" borderId="0" xfId="0" applyNumberFormat="1"/>
    <xf numFmtId="0" fontId="0" fillId="10" borderId="0" xfId="0" applyFill="1"/>
    <xf numFmtId="166" fontId="0" fillId="10" borderId="0" xfId="1" applyNumberFormat="1" applyFont="1" applyFill="1"/>
    <xf numFmtId="0" fontId="5" fillId="0" borderId="0" xfId="0" pivotButton="1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168" fontId="9" fillId="0" borderId="0" xfId="1" applyNumberFormat="1" applyFont="1"/>
    <xf numFmtId="0" fontId="10" fillId="0" borderId="0" xfId="0" applyFont="1"/>
    <xf numFmtId="0" fontId="6" fillId="0" borderId="0" xfId="0" applyFont="1"/>
    <xf numFmtId="168" fontId="10" fillId="0" borderId="0" xfId="1" applyNumberFormat="1" applyFont="1" applyAlignment="1">
      <alignment horizontal="left"/>
    </xf>
    <xf numFmtId="0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 vertical="center" readingOrder="1"/>
    </xf>
    <xf numFmtId="164" fontId="0" fillId="0" borderId="0" xfId="0" applyNumberFormat="1" applyFill="1"/>
    <xf numFmtId="0" fontId="0" fillId="0" borderId="0" xfId="0" applyNumberFormat="1" applyFill="1"/>
    <xf numFmtId="166" fontId="0" fillId="0" borderId="0" xfId="1" applyNumberFormat="1" applyFont="1" applyFill="1"/>
    <xf numFmtId="172" fontId="0" fillId="0" borderId="0" xfId="0" applyNumberFormat="1" applyFill="1"/>
    <xf numFmtId="167" fontId="0" fillId="0" borderId="0" xfId="1" applyNumberFormat="1" applyFont="1" applyFill="1"/>
    <xf numFmtId="0" fontId="0" fillId="0" borderId="0" xfId="0" applyFill="1" applyAlignment="1">
      <alignment horizontal="left"/>
    </xf>
    <xf numFmtId="0" fontId="7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68" fontId="13" fillId="0" borderId="0" xfId="1" applyNumberFormat="1" applyFont="1" applyAlignment="1">
      <alignment horizontal="left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pivotButton="1" applyFont="1" applyAlignment="1"/>
    <xf numFmtId="164" fontId="5" fillId="0" borderId="0" xfId="0" applyNumberFormat="1" applyFont="1" applyAlignment="1"/>
    <xf numFmtId="0" fontId="5" fillId="0" borderId="0" xfId="0" applyFont="1" applyAlignment="1"/>
    <xf numFmtId="0" fontId="3" fillId="0" borderId="0" xfId="0" applyFont="1" applyAlignment="1"/>
    <xf numFmtId="0" fontId="3" fillId="2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164" fontId="0" fillId="0" borderId="0" xfId="0" applyNumberFormat="1" applyAlignment="1">
      <alignment horizontal="center"/>
    </xf>
    <xf numFmtId="17" fontId="0" fillId="0" borderId="0" xfId="0" applyNumberFormat="1"/>
    <xf numFmtId="17" fontId="0" fillId="0" borderId="0" xfId="0" quotePrefix="1" applyNumberFormat="1"/>
    <xf numFmtId="0" fontId="0" fillId="0" borderId="0" xfId="1" applyNumberFormat="1" applyFont="1"/>
  </cellXfs>
  <cellStyles count="2">
    <cellStyle name="Millares" xfId="1" builtinId="3"/>
    <cellStyle name="Normal" xfId="0" builtinId="0"/>
  </cellStyles>
  <dxfs count="3382"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67" formatCode="_ * #,##0.000000_ ;_ * \-#,##0.000000_ ;_ * &quot;-&quot;??_ ;_ @_ "/>
    </dxf>
    <dxf>
      <numFmt numFmtId="167" formatCode="_ * #,##0.000000_ ;_ * \-#,##0.00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.0_ ;_ * \-#,##0.0_ ;_ * &quot;-&quot;??_ ;_ @_ "/>
    </dxf>
    <dxf>
      <numFmt numFmtId="165" formatCode="_ * #,##0.0_ ;_ * \-#,##0.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67" formatCode="_ * #,##0.000000_ ;_ * \-#,##0.000000_ ;_ * &quot;-&quot;??_ ;_ @_ "/>
    </dxf>
    <dxf>
      <numFmt numFmtId="167" formatCode="_ * #,##0.000000_ ;_ * \-#,##0.00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.0_ ;_ * \-#,##0.0_ ;_ * &quot;-&quot;??_ ;_ @_ "/>
    </dxf>
    <dxf>
      <numFmt numFmtId="165" formatCode="_ * #,##0.0_ ;_ * \-#,##0.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67" formatCode="_ * #,##0.000000_ ;_ * \-#,##0.000000_ ;_ * &quot;-&quot;??_ ;_ @_ "/>
    </dxf>
    <dxf>
      <numFmt numFmtId="167" formatCode="_ * #,##0.000000_ ;_ * \-#,##0.00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.0_ ;_ * \-#,##0.0_ ;_ * &quot;-&quot;??_ ;_ @_ "/>
    </dxf>
    <dxf>
      <numFmt numFmtId="165" formatCode="_ * #,##0.0_ ;_ * \-#,##0.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67" formatCode="_ * #,##0.000000_ ;_ * \-#,##0.000000_ ;_ * &quot;-&quot;??_ ;_ @_ "/>
    </dxf>
    <dxf>
      <numFmt numFmtId="167" formatCode="_ * #,##0.000000_ ;_ * \-#,##0.00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.0_ ;_ * \-#,##0.0_ ;_ * &quot;-&quot;??_ ;_ @_ "/>
    </dxf>
    <dxf>
      <numFmt numFmtId="165" formatCode="_ * #,##0.0_ ;_ * \-#,##0.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alignment horizontal="general" readingOrder="0"/>
    </dxf>
    <dxf>
      <alignment horizontal="general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auto="1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67" formatCode="_ * #,##0.000000_ ;_ * \-#,##0.000000_ ;_ * &quot;-&quot;??_ ;_ @_ "/>
    </dxf>
    <dxf>
      <numFmt numFmtId="167" formatCode="_ * #,##0.000000_ ;_ * \-#,##0.00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.0_ ;_ * \-#,##0.0_ ;_ * &quot;-&quot;??_ ;_ @_ "/>
    </dxf>
    <dxf>
      <numFmt numFmtId="165" formatCode="_ * #,##0.0_ ;_ * \-#,##0.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alignment horizontal="general" readingOrder="0"/>
    </dxf>
    <dxf>
      <alignment horizontal="general" readingOrder="0"/>
    </dxf>
    <dxf>
      <numFmt numFmtId="35" formatCode="_ * #,##0.00_ ;_ * \-#,##0.00_ ;_ * &quot;-&quot;??_ ;_ @_ "/>
    </dxf>
    <dxf>
      <numFmt numFmtId="165" formatCode="_ * #,##0.0_ ;_ * \-#,##0.0_ ;_ * &quot;-&quot;??_ ;_ @_ "/>
    </dxf>
    <dxf>
      <numFmt numFmtId="164" formatCode="_ * #,##0_ ;_ * \-#,##0_ ;_ * &quot;-&quot;??_ ;_ @_ "/>
    </dxf>
    <dxf>
      <alignment horizontal="center" readingOrder="0"/>
    </dxf>
    <dxf>
      <numFmt numFmtId="35" formatCode="_ * #,##0.00_ ;_ * \-#,##0.00_ ;_ * &quot;-&quot;??_ ;_ @_ "/>
    </dxf>
    <dxf>
      <numFmt numFmtId="165" formatCode="_ * #,##0.0_ ;_ * \-#,##0.0_ ;_ * &quot;-&quot;??_ ;_ @_ "/>
    </dxf>
    <dxf>
      <numFmt numFmtId="164" formatCode="_ * #,##0_ ;_ * \-#,##0_ ;_ * &quot;-&quot;??_ ;_ @_ "/>
    </dxf>
    <dxf>
      <numFmt numFmtId="35" formatCode="_ * #,##0.00_ ;_ * \-#,##0.00_ ;_ * &quot;-&quot;??_ ;_ @_ "/>
    </dxf>
    <dxf>
      <numFmt numFmtId="165" formatCode="_ * #,##0.0_ ;_ * \-#,##0.0_ ;_ * &quot;-&quot;??_ ;_ @_ "/>
    </dxf>
    <dxf>
      <numFmt numFmtId="164" formatCode="_ * #,##0_ ;_ * \-#,##0_ ;_ * &quot;-&quot;??_ ;_ @_ "/>
    </dxf>
    <dxf>
      <alignment horizontal="center" readingOrder="0"/>
    </dxf>
    <dxf>
      <numFmt numFmtId="35" formatCode="_ * #,##0.00_ ;_ * \-#,##0.00_ ;_ * &quot;-&quot;??_ ;_ @_ "/>
    </dxf>
    <dxf>
      <numFmt numFmtId="165" formatCode="_ * #,##0.0_ ;_ * \-#,##0.0_ ;_ * &quot;-&quot;??_ ;_ @_ "/>
    </dxf>
    <dxf>
      <numFmt numFmtId="164" formatCode="_ * #,##0_ ;_ * \-#,##0_ ;_ * &quot;-&quot;??_ ;_ @_ "/>
    </dxf>
    <dxf>
      <alignment horizontal="general" readingOrder="0"/>
    </dxf>
    <dxf>
      <alignment horizontal="general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auto="1"/>
      </font>
    </dxf>
    <dxf>
      <font>
        <color auto="1"/>
      </font>
    </dxf>
    <dxf>
      <font>
        <color theme="0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5" formatCode="_ * #,##0.0_ ;_ * \-#,##0.0_ ;_ * &quot;-&quot;??_ ;_ @_ "/>
    </dxf>
    <dxf>
      <numFmt numFmtId="165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67" formatCode="_ * #,##0.000000_ ;_ * \-#,##0.000000_ ;_ * &quot;-&quot;??_ ;_ @_ "/>
    </dxf>
    <dxf>
      <numFmt numFmtId="167" formatCode="_ * #,##0.000000_ ;_ * \-#,##0.00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auto="1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color auto="1"/>
      </font>
    </dxf>
    <dxf>
      <font>
        <color auto="1"/>
      </font>
    </dxf>
    <dxf>
      <font>
        <color theme="0"/>
      </font>
    </dxf>
    <dxf>
      <font>
        <color theme="0"/>
      </font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font>
        <sz val="9"/>
      </font>
      <alignment horizontal="center" wrapText="1" readingOrder="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5" formatCode="_ * #,##0.0_ ;_ * \-#,##0.0_ ;_ * &quot;-&quot;??_ ;_ @_ "/>
    </dxf>
    <dxf>
      <numFmt numFmtId="165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3" formatCode="_ * #,##0.000_ ;_ * \-#,##0.000_ ;_ * &quot;-&quot;??_ ;_ @_ "/>
    </dxf>
    <dxf>
      <numFmt numFmtId="173" formatCode="_ * #,##0.000_ ;_ * \-#,##0.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67" formatCode="_ * #,##0.000000_ ;_ * \-#,##0.000000_ ;_ * &quot;-&quot;??_ ;_ @_ "/>
    </dxf>
    <dxf>
      <numFmt numFmtId="167" formatCode="_ * #,##0.000000_ ;_ * \-#,##0.000000_ ;_ * &quot;-&quot;??_ ;_ @_ "/>
    </dxf>
    <dxf>
      <numFmt numFmtId="166" formatCode="_ * #,##0.00000_ ;_ * \-#,##0.00000_ ;_ * &quot;-&quot;??_ ;_ @_ "/>
    </dxf>
    <dxf>
      <numFmt numFmtId="166" formatCode="_ * #,##0.00000_ ;_ * \-#,##0.00000_ ;_ * &quot;-&quot;??_ ;_ @_ "/>
    </dxf>
    <dxf>
      <numFmt numFmtId="174" formatCode="_ * #,##0.0000_ ;_ * \-#,##0.0000_ ;_ * &quot;-&quot;??_ ;_ @_ "/>
    </dxf>
    <dxf>
      <numFmt numFmtId="174" formatCode="_ * #,##0.0000_ ;_ * \-#,##0.0000_ ;_ * &quot;-&quot;??_ ;_ @_ "/>
    </dxf>
    <dxf>
      <numFmt numFmtId="173" formatCode="_ * #,##0.000_ ;_ * \-#,##0.000_ ;_ * &quot;-&quot;??_ ;_ @_ "/>
    </dxf>
    <dxf>
      <numFmt numFmtId="173" formatCode="_ * #,##0.000_ ;_ * \-#,##0.000_ ;_ * &quot;-&quot;??_ ;_ @_ "/>
    </dxf>
  </dxfs>
  <tableStyles count="0" defaultTableStyle="TableStyleMedium2" defaultPivotStyle="PivotStyleLight16"/>
  <colors>
    <mruColors>
      <color rgb="FFFF5050"/>
      <color rgb="FFFF0066"/>
      <color rgb="FFD60093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07/relationships/slicerCache" Target="slicerCaches/slicerCache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'Poblacion_Estudio (2)'!$K$4</c:f>
              <c:strCache>
                <c:ptCount val="1"/>
                <c:pt idx="0">
                  <c:v>Poblacion Femenina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'Poblacion_Estudio (2)'!$J$5:$J$59</c15:sqref>
                  </c15:fullRef>
                </c:ext>
              </c:extLst>
              <c:f>('Poblacion_Estudio (2)'!$J$5,'Poblacion_Estudio (2)'!$J$9,'Poblacion_Estudio (2)'!$J$14,'Poblacion_Estudio (2)'!$J$19,'Poblacion_Estudio (2)'!$J$24,'Poblacion_Estudio (2)'!$J$29,'Poblacion_Estudio (2)'!$J$34,'Poblacion_Estudio (2)'!$J$39,'Poblacion_Estudio (2)'!$J$44,'Poblacion_Estudio (2)'!$J$49,'Poblacion_Estudio (2)'!$J$54,'Poblacion_Estudio (2)'!$J$59)</c:f>
              <c:numCache>
                <c:formatCode>General</c:formatCode>
                <c:ptCount val="12"/>
                <c:pt idx="0">
                  <c:v>1996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'Poblacion_Estudio (2)'!$K$5:$K$59</c15:sqref>
                  </c15:fullRef>
                </c:ext>
              </c:extLst>
              <c:f>('Poblacion_Estudio (2)'!$K$5,'Poblacion_Estudio (2)'!$K$9,'Poblacion_Estudio (2)'!$K$14,'Poblacion_Estudio (2)'!$K$19,'Poblacion_Estudio (2)'!$K$24,'Poblacion_Estudio (2)'!$K$29,'Poblacion_Estudio (2)'!$K$34,'Poblacion_Estudio (2)'!$K$39,'Poblacion_Estudio (2)'!$K$44,'Poblacion_Estudio (2)'!$K$49,'Poblacion_Estudio (2)'!$K$54,'Poblacion_Estudio (2)'!$K$59)</c:f>
              <c:numCache>
                <c:formatCode>_ * #,##0_ ;_ * \-#,##0_ ;_ * "-"??_ ;_ @_ </c:formatCode>
                <c:ptCount val="12"/>
                <c:pt idx="0">
                  <c:v>5336689.2615659405</c:v>
                </c:pt>
                <c:pt idx="1">
                  <c:v>5362498</c:v>
                </c:pt>
                <c:pt idx="2">
                  <c:v>5386812</c:v>
                </c:pt>
                <c:pt idx="3">
                  <c:v>5492408</c:v>
                </c:pt>
                <c:pt idx="4">
                  <c:v>5573350</c:v>
                </c:pt>
                <c:pt idx="5">
                  <c:v>5546905</c:v>
                </c:pt>
                <c:pt idx="6">
                  <c:v>5460105</c:v>
                </c:pt>
                <c:pt idx="7">
                  <c:v>5359737</c:v>
                </c:pt>
                <c:pt idx="8">
                  <c:v>5250427</c:v>
                </c:pt>
                <c:pt idx="9">
                  <c:v>5127095</c:v>
                </c:pt>
                <c:pt idx="10">
                  <c:v>4988120</c:v>
                </c:pt>
                <c:pt idx="11">
                  <c:v>4837414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C-465E-AE06-9F74761F3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754064"/>
        <c:axId val="514743664"/>
      </c:lineChart>
      <c:catAx>
        <c:axId val="51475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43664"/>
        <c:crosses val="autoZero"/>
        <c:auto val="0"/>
        <c:lblAlgn val="ctr"/>
        <c:lblOffset val="200"/>
        <c:noMultiLvlLbl val="0"/>
      </c:catAx>
      <c:valAx>
        <c:axId val="514743664"/>
        <c:scaling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5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TDM_Mujeres!$O$6</c:f>
              <c:strCache>
                <c:ptCount val="1"/>
                <c:pt idx="0">
                  <c:v>Poblacion en base a 100.000 Personas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TDM_Mujeres!$F$7:$F$13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TDM_Mujeres!$O$7:$O$13</c:f>
              <c:numCache>
                <c:formatCode>_ * #,##0.0_ ;_ * \-#,##0.0_ ;_ * "-"??_ ;_ @_ </c:formatCode>
                <c:ptCount val="7"/>
                <c:pt idx="0">
                  <c:v>11562.176722173801</c:v>
                </c:pt>
                <c:pt idx="1">
                  <c:v>23130.23088047756</c:v>
                </c:pt>
                <c:pt idx="2">
                  <c:v>18880.701112466253</c:v>
                </c:pt>
                <c:pt idx="3">
                  <c:v>28677.196700826618</c:v>
                </c:pt>
                <c:pt idx="4">
                  <c:v>12802.088547666704</c:v>
                </c:pt>
                <c:pt idx="5">
                  <c:v>3300.0833402027597</c:v>
                </c:pt>
                <c:pt idx="6">
                  <c:v>1647.5226961862891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F-4177-8553-B4B7B54FD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630240"/>
        <c:axId val="383631072"/>
      </c:barChart>
      <c:catAx>
        <c:axId val="3836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1072"/>
        <c:crosses val="autoZero"/>
        <c:auto val="1"/>
        <c:lblAlgn val="ctr"/>
        <c:lblOffset val="100"/>
        <c:noMultiLvlLbl val="0"/>
      </c:catAx>
      <c:valAx>
        <c:axId val="3836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TDM_Mujeres!$I$6</c:f>
              <c:strCache>
                <c:ptCount val="1"/>
                <c:pt idx="0">
                  <c:v>qx(T)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TDM_Mujeres!$F$7:$F$13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TDM_Mujeres!$I$7:$I$13</c:f>
              <c:numCache>
                <c:formatCode>_ * #,##0.000000_ ;_ * \-#,##0.000000_ ;_ * "-"??_ ;_ @_ </c:formatCode>
                <c:ptCount val="7"/>
                <c:pt idx="0">
                  <c:v>3.8913277702580587E-3</c:v>
                </c:pt>
                <c:pt idx="1">
                  <c:v>2.1736084815069442E-4</c:v>
                </c:pt>
                <c:pt idx="2">
                  <c:v>3.6970727406383878E-4</c:v>
                </c:pt>
                <c:pt idx="3">
                  <c:v>8.8798637618830317E-4</c:v>
                </c:pt>
                <c:pt idx="4">
                  <c:v>4.6042525297016234E-3</c:v>
                </c:pt>
                <c:pt idx="5">
                  <c:v>1.6070156451909717E-2</c:v>
                </c:pt>
                <c:pt idx="6">
                  <c:v>6.1970866000270734E-2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2-4337-A2BF-E35A2E5C3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630240"/>
        <c:axId val="383631072"/>
      </c:barChart>
      <c:catAx>
        <c:axId val="3836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1072"/>
        <c:crosses val="autoZero"/>
        <c:auto val="1"/>
        <c:lblAlgn val="ctr"/>
        <c:lblOffset val="100"/>
        <c:noMultiLvlLbl val="0"/>
      </c:catAx>
      <c:valAx>
        <c:axId val="3836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0000_ ;_ * \-#,##0.0000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TDM_Mujeres!$O$6</c:f>
              <c:strCache>
                <c:ptCount val="1"/>
                <c:pt idx="0">
                  <c:v>Poblacion en base a 100.000 Personas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TDM_Mujeres!$F$7:$F$13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TDM_Mujeres!$O$7:$O$13</c:f>
              <c:numCache>
                <c:formatCode>_ * #,##0.0_ ;_ * \-#,##0.0_ ;_ * "-"??_ ;_ @_ </c:formatCode>
                <c:ptCount val="7"/>
                <c:pt idx="0">
                  <c:v>11562.176722173801</c:v>
                </c:pt>
                <c:pt idx="1">
                  <c:v>23130.23088047756</c:v>
                </c:pt>
                <c:pt idx="2">
                  <c:v>18880.701112466253</c:v>
                </c:pt>
                <c:pt idx="3">
                  <c:v>28677.196700826618</c:v>
                </c:pt>
                <c:pt idx="4">
                  <c:v>12802.088547666704</c:v>
                </c:pt>
                <c:pt idx="5">
                  <c:v>3300.0833402027597</c:v>
                </c:pt>
                <c:pt idx="6">
                  <c:v>1647.5226961862891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9-434B-8252-4C16D584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3627008"/>
        <c:axId val="1753638656"/>
      </c:barChart>
      <c:lineChart>
        <c:grouping val="standard"/>
        <c:varyColors val="0"/>
        <c:ser>
          <c:idx val="1"/>
          <c:order val="1"/>
          <c:tx>
            <c:strRef>
              <c:f>TDM_Mujeres!$I$6</c:f>
              <c:strCache>
                <c:ptCount val="1"/>
                <c:pt idx="0">
                  <c:v>qx(T)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TDM_Mujeres!$F$7:$F$13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TDM_Mujeres!$I$7:$I$13</c:f>
              <c:numCache>
                <c:formatCode>_ * #,##0.000000_ ;_ * \-#,##0.000000_ ;_ * "-"??_ ;_ @_ </c:formatCode>
                <c:ptCount val="7"/>
                <c:pt idx="0">
                  <c:v>3.8913277702580587E-3</c:v>
                </c:pt>
                <c:pt idx="1">
                  <c:v>2.1736084815069442E-4</c:v>
                </c:pt>
                <c:pt idx="2">
                  <c:v>3.6970727406383878E-4</c:v>
                </c:pt>
                <c:pt idx="3">
                  <c:v>8.8798637618830317E-4</c:v>
                </c:pt>
                <c:pt idx="4">
                  <c:v>4.6042525297016234E-3</c:v>
                </c:pt>
                <c:pt idx="5">
                  <c:v>1.6070156451909717E-2</c:v>
                </c:pt>
                <c:pt idx="6">
                  <c:v>6.1970866000270734E-2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E9-434B-8252-4C16D584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3639904"/>
        <c:axId val="1753635328"/>
      </c:lineChart>
      <c:catAx>
        <c:axId val="17536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38656"/>
        <c:crosses val="autoZero"/>
        <c:auto val="1"/>
        <c:lblAlgn val="ctr"/>
        <c:lblOffset val="100"/>
        <c:noMultiLvlLbl val="0"/>
      </c:catAx>
      <c:valAx>
        <c:axId val="17536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27008"/>
        <c:crosses val="autoZero"/>
        <c:crossBetween val="between"/>
      </c:valAx>
      <c:valAx>
        <c:axId val="1753635328"/>
        <c:scaling>
          <c:orientation val="minMax"/>
        </c:scaling>
        <c:delete val="0"/>
        <c:axPos val="r"/>
        <c:numFmt formatCode="_ * #,##0.000000_ ;_ * \-#,##0.0000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39904"/>
        <c:crosses val="max"/>
        <c:crossBetween val="between"/>
      </c:valAx>
      <c:catAx>
        <c:axId val="1753639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3635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TDM_Mujeres!$I$6</c:f>
              <c:strCache>
                <c:ptCount val="1"/>
                <c:pt idx="0">
                  <c:v>qx(T)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TDM_Mujeres!$F$7:$F$13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TDM_Mujeres!$I$7:$I$13</c:f>
              <c:numCache>
                <c:formatCode>_ * #,##0.000000_ ;_ * \-#,##0.000000_ ;_ * "-"??_ ;_ @_ </c:formatCode>
                <c:ptCount val="7"/>
                <c:pt idx="0">
                  <c:v>3.8913277702580587E-3</c:v>
                </c:pt>
                <c:pt idx="1">
                  <c:v>2.1736084815069442E-4</c:v>
                </c:pt>
                <c:pt idx="2">
                  <c:v>3.6970727406383878E-4</c:v>
                </c:pt>
                <c:pt idx="3">
                  <c:v>8.8798637618830317E-4</c:v>
                </c:pt>
                <c:pt idx="4">
                  <c:v>4.6042525297016234E-3</c:v>
                </c:pt>
                <c:pt idx="5">
                  <c:v>1.6070156451909717E-2</c:v>
                </c:pt>
                <c:pt idx="6">
                  <c:v>6.1970866000270734E-2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54-469B-B5B5-AF0604FE7B70}"/>
            </c:ext>
          </c:extLst>
        </c:ser>
        <c:ser>
          <c:idx val="1"/>
          <c:order val="1"/>
          <c:tx>
            <c:strRef>
              <c:f>TDM_Mujeres!$L$6</c:f>
              <c:strCache>
                <c:ptCount val="1"/>
                <c:pt idx="0">
                  <c:v>mx(T)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TDM_Mujeres!$F$7:$F$13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TDM_Mujeres!$L$7:$L$13</c:f>
              <c:numCache>
                <c:formatCode>General</c:formatCode>
                <c:ptCount val="7"/>
                <c:pt idx="0">
                  <c:v>3.8989137459247377E-3</c:v>
                </c:pt>
                <c:pt idx="1">
                  <c:v>2.1738447358747129E-4</c:v>
                </c:pt>
                <c:pt idx="2">
                  <c:v>3.697756284336405E-4</c:v>
                </c:pt>
                <c:pt idx="3">
                  <c:v>8.8838081121691702E-4</c:v>
                </c:pt>
                <c:pt idx="4">
                  <c:v>4.6148765582353811E-3</c:v>
                </c:pt>
                <c:pt idx="5">
                  <c:v>1.6200327349448613E-2</c:v>
                </c:pt>
                <c:pt idx="6">
                  <c:v>6.3952460686052204E-2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54-469B-B5B5-AF0604FE7B70}"/>
            </c:ext>
          </c:extLst>
        </c:ser>
        <c:ser>
          <c:idx val="2"/>
          <c:order val="2"/>
          <c:tx>
            <c:strRef>
              <c:f>TDM_Mujeres!$M$6</c:f>
              <c:strCache>
                <c:ptCount val="1"/>
                <c:pt idx="0">
                  <c:v>µ(X)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TDM_Mujeres!$F$7:$F$13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TDM_Mujeres!$M$7:$M$13</c:f>
              <c:numCache>
                <c:formatCode>_ * #,##0.00000_ ;_ * \-#,##0.00000_ ;_ * "-"??_ ;_ @_ </c:formatCode>
                <c:ptCount val="7"/>
                <c:pt idx="0">
                  <c:v>1.9456638851290294E-3</c:v>
                </c:pt>
                <c:pt idx="1">
                  <c:v>1.0812651681731821E-3</c:v>
                </c:pt>
                <c:pt idx="2">
                  <c:v>3.1799505408402335E-4</c:v>
                </c:pt>
                <c:pt idx="3">
                  <c:v>5.6569846866125076E-4</c:v>
                </c:pt>
                <c:pt idx="4">
                  <c:v>3.2966889833787741E-3</c:v>
                </c:pt>
                <c:pt idx="5">
                  <c:v>1.6965769136542141E-2</c:v>
                </c:pt>
                <c:pt idx="6">
                  <c:v>4.7080159860093181E-2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54-469B-B5B5-AF0604FE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651552"/>
        <c:axId val="1753627424"/>
      </c:lineChart>
      <c:catAx>
        <c:axId val="175365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27424"/>
        <c:crosses val="autoZero"/>
        <c:auto val="1"/>
        <c:lblAlgn val="ctr"/>
        <c:lblOffset val="100"/>
        <c:noMultiLvlLbl val="0"/>
      </c:catAx>
      <c:valAx>
        <c:axId val="175362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0000_ ;_ * \-#,##0.0000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5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TDM_Mujeres!$Q$6</c:f>
              <c:strCache>
                <c:ptCount val="1"/>
                <c:pt idx="0">
                  <c:v>Fallecimientos Totales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TDM_Mujeres!$F$7:$F$13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TDM_Mujeres!$Q$7:$Q$13</c:f>
              <c:numCache>
                <c:formatCode>_ * #,##0_ ;_ * \-#,##0_ ;_ * "-"??????_ ;_ @_ </c:formatCode>
                <c:ptCount val="7"/>
                <c:pt idx="0" formatCode="_ * #,##0_ ;_ * \-#,##0_ ;_ * &quot;-&quot;??_ ;_ @_ ">
                  <c:v>389.13277702580586</c:v>
                </c:pt>
                <c:pt idx="1">
                  <c:v>21.651502584611876</c:v>
                </c:pt>
                <c:pt idx="2">
                  <c:v>36.818857470140827</c:v>
                </c:pt>
                <c:pt idx="3">
                  <c:v>88.401172131163634</c:v>
                </c:pt>
                <c:pt idx="4">
                  <c:v>457.95735377354328</c:v>
                </c:pt>
                <c:pt idx="5">
                  <c:v>1591.042525759598</c:v>
                </c:pt>
                <c:pt idx="6">
                  <c:v>6036.8916518362275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6-450C-B167-2BFA821B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630240"/>
        <c:axId val="383631072"/>
      </c:barChart>
      <c:catAx>
        <c:axId val="3836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1072"/>
        <c:crosses val="autoZero"/>
        <c:auto val="1"/>
        <c:lblAlgn val="ctr"/>
        <c:lblOffset val="100"/>
        <c:noMultiLvlLbl val="0"/>
      </c:catAx>
      <c:valAx>
        <c:axId val="3836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TDM_Total!$O$6</c:f>
              <c:strCache>
                <c:ptCount val="1"/>
                <c:pt idx="0">
                  <c:v>Poblacion en base a 100.000 Personas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TDM_Total!$F$7:$F$13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TDM_Total!$O$7:$O$13</c:f>
              <c:numCache>
                <c:formatCode>_ * #,##0.0_ ;_ * \-#,##0.0_ ;_ * "-"??_ ;_ @_ </c:formatCode>
                <c:ptCount val="7"/>
                <c:pt idx="0">
                  <c:v>11545.451350741587</c:v>
                </c:pt>
                <c:pt idx="1">
                  <c:v>23085.137067762036</c:v>
                </c:pt>
                <c:pt idx="2">
                  <c:v>18724.986551865644</c:v>
                </c:pt>
                <c:pt idx="3">
                  <c:v>28117.694436457907</c:v>
                </c:pt>
                <c:pt idx="4">
                  <c:v>12381.208019330197</c:v>
                </c:pt>
                <c:pt idx="5">
                  <c:v>3072.7612869213135</c:v>
                </c:pt>
                <c:pt idx="6">
                  <c:v>3072.7612869213135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1-409E-A97E-7459BE979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630240"/>
        <c:axId val="383631072"/>
      </c:barChart>
      <c:catAx>
        <c:axId val="3836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1072"/>
        <c:crosses val="autoZero"/>
        <c:auto val="1"/>
        <c:lblAlgn val="ctr"/>
        <c:lblOffset val="100"/>
        <c:noMultiLvlLbl val="0"/>
      </c:catAx>
      <c:valAx>
        <c:axId val="3836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TDM_Total!$I$6</c:f>
              <c:strCache>
                <c:ptCount val="1"/>
                <c:pt idx="0">
                  <c:v>qx(T)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TDM_Total!$F$7:$F$13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TDM_Total!$I$7:$I$13</c:f>
              <c:numCache>
                <c:formatCode>_ * #,##0.000000_ ;_ * \-#,##0.000000_ ;_ * "-"??_ ;_ @_ </c:formatCode>
                <c:ptCount val="7"/>
                <c:pt idx="0">
                  <c:v>4.4375986898650497E-3</c:v>
                </c:pt>
                <c:pt idx="1">
                  <c:v>2.7826240712472319E-4</c:v>
                </c:pt>
                <c:pt idx="2">
                  <c:v>9.1643407234931235E-4</c:v>
                </c:pt>
                <c:pt idx="3">
                  <c:v>1.5032106632423743E-3</c:v>
                </c:pt>
                <c:pt idx="4">
                  <c:v>5.8639869087093819E-3</c:v>
                </c:pt>
                <c:pt idx="5">
                  <c:v>1.9762275848522408E-2</c:v>
                </c:pt>
                <c:pt idx="6">
                  <c:v>3.0441619386554247E-2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7-4F6F-9F42-83DC3F812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630240"/>
        <c:axId val="383631072"/>
      </c:barChart>
      <c:catAx>
        <c:axId val="3836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1072"/>
        <c:crosses val="autoZero"/>
        <c:auto val="1"/>
        <c:lblAlgn val="ctr"/>
        <c:lblOffset val="100"/>
        <c:noMultiLvlLbl val="0"/>
      </c:catAx>
      <c:valAx>
        <c:axId val="3836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0000_ ;_ * \-#,##0.0000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TDM_Total!$O$6</c:f>
              <c:strCache>
                <c:ptCount val="1"/>
                <c:pt idx="0">
                  <c:v>Poblacion en base a 100.000 Personas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TDM_Total!$F$7:$F$13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TDM_Total!$O$7:$O$13</c:f>
              <c:numCache>
                <c:formatCode>_ * #,##0.0_ ;_ * \-#,##0.0_ ;_ * "-"??_ ;_ @_ </c:formatCode>
                <c:ptCount val="7"/>
                <c:pt idx="0">
                  <c:v>11545.451350741587</c:v>
                </c:pt>
                <c:pt idx="1">
                  <c:v>23085.137067762036</c:v>
                </c:pt>
                <c:pt idx="2">
                  <c:v>18724.986551865644</c:v>
                </c:pt>
                <c:pt idx="3">
                  <c:v>28117.694436457907</c:v>
                </c:pt>
                <c:pt idx="4">
                  <c:v>12381.208019330197</c:v>
                </c:pt>
                <c:pt idx="5">
                  <c:v>3072.7612869213135</c:v>
                </c:pt>
                <c:pt idx="6">
                  <c:v>3072.7612869213135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6-4C86-96F1-FF41CADDB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3627008"/>
        <c:axId val="1753638656"/>
      </c:barChart>
      <c:lineChart>
        <c:grouping val="standard"/>
        <c:varyColors val="0"/>
        <c:ser>
          <c:idx val="1"/>
          <c:order val="1"/>
          <c:tx>
            <c:strRef>
              <c:f>TDM_Total!$I$6</c:f>
              <c:strCache>
                <c:ptCount val="1"/>
                <c:pt idx="0">
                  <c:v>qx(T)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TDM_Total!$F$7:$F$13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TDM_Total!$I$7:$I$13</c:f>
              <c:numCache>
                <c:formatCode>_ * #,##0.000000_ ;_ * \-#,##0.000000_ ;_ * "-"??_ ;_ @_ </c:formatCode>
                <c:ptCount val="7"/>
                <c:pt idx="0">
                  <c:v>4.4375986898650497E-3</c:v>
                </c:pt>
                <c:pt idx="1">
                  <c:v>2.7826240712472319E-4</c:v>
                </c:pt>
                <c:pt idx="2">
                  <c:v>9.1643407234931235E-4</c:v>
                </c:pt>
                <c:pt idx="3">
                  <c:v>1.5032106632423743E-3</c:v>
                </c:pt>
                <c:pt idx="4">
                  <c:v>5.8639869087093819E-3</c:v>
                </c:pt>
                <c:pt idx="5">
                  <c:v>1.9762275848522408E-2</c:v>
                </c:pt>
                <c:pt idx="6">
                  <c:v>3.0441619386554247E-2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A6-4C86-96F1-FF41CADDB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3639904"/>
        <c:axId val="1753635328"/>
      </c:lineChart>
      <c:catAx>
        <c:axId val="17536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38656"/>
        <c:crosses val="autoZero"/>
        <c:auto val="1"/>
        <c:lblAlgn val="ctr"/>
        <c:lblOffset val="100"/>
        <c:noMultiLvlLbl val="0"/>
      </c:catAx>
      <c:valAx>
        <c:axId val="17536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27008"/>
        <c:crosses val="autoZero"/>
        <c:crossBetween val="between"/>
      </c:valAx>
      <c:valAx>
        <c:axId val="1753635328"/>
        <c:scaling>
          <c:orientation val="minMax"/>
        </c:scaling>
        <c:delete val="0"/>
        <c:axPos val="r"/>
        <c:numFmt formatCode="_ * #,##0.000000_ ;_ * \-#,##0.0000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39904"/>
        <c:crosses val="max"/>
        <c:crossBetween val="between"/>
      </c:valAx>
      <c:catAx>
        <c:axId val="1753639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3635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TDM_Total!$I$6</c:f>
              <c:strCache>
                <c:ptCount val="1"/>
                <c:pt idx="0">
                  <c:v>qx(T)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TDM_Total!$F$7:$F$13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TDM_Total!$I$7:$I$13</c:f>
              <c:numCache>
                <c:formatCode>_ * #,##0.000000_ ;_ * \-#,##0.000000_ ;_ * "-"??_ ;_ @_ </c:formatCode>
                <c:ptCount val="7"/>
                <c:pt idx="0">
                  <c:v>4.4375986898650497E-3</c:v>
                </c:pt>
                <c:pt idx="1">
                  <c:v>2.7826240712472319E-4</c:v>
                </c:pt>
                <c:pt idx="2">
                  <c:v>9.1643407234931235E-4</c:v>
                </c:pt>
                <c:pt idx="3">
                  <c:v>1.5032106632423743E-3</c:v>
                </c:pt>
                <c:pt idx="4">
                  <c:v>5.8639869087093819E-3</c:v>
                </c:pt>
                <c:pt idx="5">
                  <c:v>1.9762275848522408E-2</c:v>
                </c:pt>
                <c:pt idx="6">
                  <c:v>3.0441619386554247E-2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8-4965-BEC7-EC6938EB8B91}"/>
            </c:ext>
          </c:extLst>
        </c:ser>
        <c:ser>
          <c:idx val="1"/>
          <c:order val="1"/>
          <c:tx>
            <c:strRef>
              <c:f>TDM_Total!$L$6</c:f>
              <c:strCache>
                <c:ptCount val="1"/>
                <c:pt idx="0">
                  <c:v>mx(T)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TDM_Total!$F$7:$F$13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TDM_Total!$L$7:$L$13</c:f>
              <c:numCache>
                <c:formatCode>General</c:formatCode>
                <c:ptCount val="7"/>
                <c:pt idx="0">
                  <c:v>4.447466726123582E-3</c:v>
                </c:pt>
                <c:pt idx="1">
                  <c:v>2.783011274955444E-4</c:v>
                </c:pt>
                <c:pt idx="2">
                  <c:v>9.1685419055911464E-4</c:v>
                </c:pt>
                <c:pt idx="3">
                  <c:v>1.5043413342097445E-3</c:v>
                </c:pt>
                <c:pt idx="4">
                  <c:v>5.8812306384448529E-3</c:v>
                </c:pt>
                <c:pt idx="5">
                  <c:v>1.9959498405162892E-2</c:v>
                </c:pt>
                <c:pt idx="6">
                  <c:v>3.0912126988663104E-2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8-4965-BEC7-EC6938EB8B91}"/>
            </c:ext>
          </c:extLst>
        </c:ser>
        <c:ser>
          <c:idx val="2"/>
          <c:order val="2"/>
          <c:tx>
            <c:strRef>
              <c:f>TDM_Total!$M$6</c:f>
              <c:strCache>
                <c:ptCount val="1"/>
                <c:pt idx="0">
                  <c:v>µ(X)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TDM_Total!$F$7:$F$13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TDM_Total!$M$7:$M$13</c:f>
              <c:numCache>
                <c:formatCode>_ * #,##0.00000_ ;_ * \-#,##0.00000_ ;_ * "-"??_ ;_ @_ </c:formatCode>
                <c:ptCount val="7"/>
                <c:pt idx="0">
                  <c:v>2.2187993449325248E-3</c:v>
                </c:pt>
                <c:pt idx="1">
                  <c:v>1.2488079543991363E-3</c:v>
                </c:pt>
                <c:pt idx="2">
                  <c:v>6.2974521835750582E-4</c:v>
                </c:pt>
                <c:pt idx="3">
                  <c:v>1.0567550962861396E-3</c:v>
                </c:pt>
                <c:pt idx="4">
                  <c:v>4.63888740350267E-3</c:v>
                </c:pt>
                <c:pt idx="5">
                  <c:v>2.1695144116083403E-2</c:v>
                </c:pt>
                <c:pt idx="6">
                  <c:v>2.5101947617538325E-2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38-4965-BEC7-EC6938EB8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651552"/>
        <c:axId val="1753627424"/>
      </c:lineChart>
      <c:catAx>
        <c:axId val="175365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27424"/>
        <c:crosses val="autoZero"/>
        <c:auto val="1"/>
        <c:lblAlgn val="ctr"/>
        <c:lblOffset val="100"/>
        <c:noMultiLvlLbl val="0"/>
      </c:catAx>
      <c:valAx>
        <c:axId val="175362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0000_ ;_ * \-#,##0.0000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5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TDM_Total!$Q$6</c:f>
              <c:strCache>
                <c:ptCount val="1"/>
                <c:pt idx="0">
                  <c:v>Fallecimientos Totales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TDM_Total!$F$7:$F$13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TDM_Total!$Q$7:$Q$13</c:f>
              <c:numCache>
                <c:formatCode>_ * #,##0_ ;_ * \-#,##0_ ;_ * "-"??????_ ;_ @_ </c:formatCode>
                <c:ptCount val="7"/>
                <c:pt idx="0" formatCode="_ * #,##0_ ;_ * \-#,##0_ ;_ * &quot;-&quot;??_ ;_ @_ ">
                  <c:v>443.75986898650496</c:v>
                </c:pt>
                <c:pt idx="1">
                  <c:v>27.702759023142779</c:v>
                </c:pt>
                <c:pt idx="2">
                  <c:v>91.211342818783834</c:v>
                </c:pt>
                <c:pt idx="3">
                  <c:v>149.47524881135919</c:v>
                </c:pt>
                <c:pt idx="4">
                  <c:v>582.22265716992274</c:v>
                </c:pt>
                <c:pt idx="5">
                  <c:v>1950.6478507721572</c:v>
                </c:pt>
                <c:pt idx="6">
                  <c:v>2945.3782832065167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D-496A-851B-6C501FBEC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630240"/>
        <c:axId val="383631072"/>
      </c:barChart>
      <c:catAx>
        <c:axId val="38363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1072"/>
        <c:crosses val="autoZero"/>
        <c:auto val="1"/>
        <c:lblAlgn val="ctr"/>
        <c:lblOffset val="100"/>
        <c:noMultiLvlLbl val="0"/>
      </c:catAx>
      <c:valAx>
        <c:axId val="3836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63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Poblacion_Estudio!$K$4</c:f>
              <c:strCache>
                <c:ptCount val="1"/>
                <c:pt idx="0">
                  <c:v>Poblacion Femenina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Poblacion_Estudio!$J$5:$J$59</c15:sqref>
                  </c15:fullRef>
                </c:ext>
              </c:extLst>
              <c:f>(Poblacion_Estudio!$J$5,Poblacion_Estudio!$J$9,Poblacion_Estudio!$J$14,Poblacion_Estudio!$J$19,Poblacion_Estudio!$J$24,Poblacion_Estudio!$J$29,Poblacion_Estudio!$J$34,Poblacion_Estudio!$J$39,Poblacion_Estudio!$J$44,Poblacion_Estudio!$J$49,Poblacion_Estudio!$J$54,Poblacion_Estudio!$J$59)</c:f>
              <c:numCache>
                <c:formatCode>General</c:formatCode>
                <c:ptCount val="12"/>
                <c:pt idx="0">
                  <c:v>1996</c:v>
                </c:pt>
                <c:pt idx="1">
                  <c:v>2000</c:v>
                </c:pt>
                <c:pt idx="2">
                  <c:v>2005</c:v>
                </c:pt>
                <c:pt idx="3">
                  <c:v>2010</c:v>
                </c:pt>
                <c:pt idx="4">
                  <c:v>2015</c:v>
                </c:pt>
                <c:pt idx="5">
                  <c:v>2020</c:v>
                </c:pt>
                <c:pt idx="6">
                  <c:v>2025</c:v>
                </c:pt>
                <c:pt idx="7">
                  <c:v>2030</c:v>
                </c:pt>
                <c:pt idx="8">
                  <c:v>2035</c:v>
                </c:pt>
                <c:pt idx="9">
                  <c:v>2040</c:v>
                </c:pt>
                <c:pt idx="10">
                  <c:v>2045</c:v>
                </c:pt>
                <c:pt idx="11">
                  <c:v>2050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Poblacion_Estudio!$K$5:$K$59</c15:sqref>
                  </c15:fullRef>
                </c:ext>
              </c:extLst>
              <c:f>(Poblacion_Estudio!$K$5,Poblacion_Estudio!$K$9,Poblacion_Estudio!$K$14,Poblacion_Estudio!$K$19,Poblacion_Estudio!$K$24,Poblacion_Estudio!$K$29,Poblacion_Estudio!$K$34,Poblacion_Estudio!$K$39,Poblacion_Estudio!$K$44,Poblacion_Estudio!$K$49,Poblacion_Estudio!$K$54,Poblacion_Estudio!$K$59)</c:f>
              <c:numCache>
                <c:formatCode>_ * #,##0_ ;_ * \-#,##0_ ;_ * "-"??_ ;_ @_ </c:formatCode>
                <c:ptCount val="12"/>
                <c:pt idx="0">
                  <c:v>373487.34083337098</c:v>
                </c:pt>
                <c:pt idx="1">
                  <c:v>398642</c:v>
                </c:pt>
                <c:pt idx="2">
                  <c:v>454245</c:v>
                </c:pt>
                <c:pt idx="3">
                  <c:v>538921</c:v>
                </c:pt>
                <c:pt idx="4">
                  <c:v>658220</c:v>
                </c:pt>
                <c:pt idx="5">
                  <c:v>815798</c:v>
                </c:pt>
                <c:pt idx="6">
                  <c:v>1031287</c:v>
                </c:pt>
                <c:pt idx="7">
                  <c:v>1283371</c:v>
                </c:pt>
                <c:pt idx="8">
                  <c:v>1494562</c:v>
                </c:pt>
                <c:pt idx="9">
                  <c:v>1632641</c:v>
                </c:pt>
                <c:pt idx="10">
                  <c:v>1776233</c:v>
                </c:pt>
                <c:pt idx="11">
                  <c:v>1985266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3-4990-805D-37AAFE4B6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754064"/>
        <c:axId val="514743664"/>
      </c:lineChart>
      <c:catAx>
        <c:axId val="51475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43664"/>
        <c:crosses val="autoZero"/>
        <c:auto val="0"/>
        <c:lblAlgn val="ctr"/>
        <c:lblOffset val="200"/>
        <c:noMultiLvlLbl val="0"/>
      </c:catAx>
      <c:valAx>
        <c:axId val="514743664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5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'Analisis de la Mortalidad'!$C$2</c:f>
              <c:strCache>
                <c:ptCount val="1"/>
                <c:pt idx="0">
                  <c:v>qx(T)_Mujeres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de la Mortalidad'!$B$3:$B$9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'Analisis de la Mortalidad'!$C$3:$C$9</c:f>
              <c:numCache>
                <c:formatCode>General</c:formatCode>
                <c:ptCount val="7"/>
                <c:pt idx="0">
                  <c:v>3.8913277702580587E-3</c:v>
                </c:pt>
                <c:pt idx="1">
                  <c:v>2.1736084815069442E-4</c:v>
                </c:pt>
                <c:pt idx="2">
                  <c:v>3.6970727406383878E-4</c:v>
                </c:pt>
                <c:pt idx="3">
                  <c:v>8.8798637618830317E-4</c:v>
                </c:pt>
                <c:pt idx="4">
                  <c:v>4.6042525297016234E-3</c:v>
                </c:pt>
                <c:pt idx="5">
                  <c:v>1.6070156451909717E-2</c:v>
                </c:pt>
                <c:pt idx="6">
                  <c:v>6.1970866000270734E-2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8-4859-8777-3DD848CF3BCC}"/>
            </c:ext>
          </c:extLst>
        </c:ser>
        <c:ser>
          <c:idx val="1"/>
          <c:order val="1"/>
          <c:tx>
            <c:strRef>
              <c:f>'Analisis de la Mortalidad'!$D$2</c:f>
              <c:strCache>
                <c:ptCount val="1"/>
                <c:pt idx="0">
                  <c:v>qx(T) _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'Analisis de la Mortalidad'!$B$3:$B$9</c:f>
              <c:strCache>
                <c:ptCount val="7"/>
                <c:pt idx="0">
                  <c:v>0-4</c:v>
                </c:pt>
                <c:pt idx="1">
                  <c:v>5-14</c:v>
                </c:pt>
                <c:pt idx="2">
                  <c:v>15-24</c:v>
                </c:pt>
                <c:pt idx="3">
                  <c:v>25-44</c:v>
                </c:pt>
                <c:pt idx="4">
                  <c:v>45-64</c:v>
                </c:pt>
                <c:pt idx="5">
                  <c:v>65-74</c:v>
                </c:pt>
                <c:pt idx="6">
                  <c:v>75+</c:v>
                </c:pt>
              </c:strCache>
            </c:strRef>
          </c:cat>
          <c:val>
            <c:numRef>
              <c:f>'Analisis de la Mortalidad'!$D$3:$D$9</c:f>
              <c:numCache>
                <c:formatCode>General</c:formatCode>
                <c:ptCount val="7"/>
                <c:pt idx="0">
                  <c:v>4.4375986898650497E-3</c:v>
                </c:pt>
                <c:pt idx="1">
                  <c:v>2.7826240712472319E-4</c:v>
                </c:pt>
                <c:pt idx="2">
                  <c:v>9.1643407234931235E-4</c:v>
                </c:pt>
                <c:pt idx="3">
                  <c:v>1.5032106632423743E-3</c:v>
                </c:pt>
                <c:pt idx="4">
                  <c:v>5.8639869087093819E-3</c:v>
                </c:pt>
                <c:pt idx="5">
                  <c:v>1.9762275848522408E-2</c:v>
                </c:pt>
                <c:pt idx="6">
                  <c:v>3.0441619386554247E-2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78-4859-8777-3DD848CF3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409136"/>
        <c:axId val="397409968"/>
      </c:barChart>
      <c:catAx>
        <c:axId val="39740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09968"/>
        <c:crosses val="autoZero"/>
        <c:auto val="1"/>
        <c:lblAlgn val="ctr"/>
        <c:lblOffset val="100"/>
        <c:noMultiLvlLbl val="0"/>
      </c:catAx>
      <c:valAx>
        <c:axId val="39740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0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447674</xdr:colOff>
      <xdr:row>4</xdr:row>
      <xdr:rowOff>123825</xdr:rowOff>
    </xdr:from>
    <xdr:to>
      <xdr:col>16</xdr:col>
      <xdr:colOff>1200149</xdr:colOff>
      <xdr:row>20</xdr:row>
      <xdr:rowOff>47625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1219200</xdr:colOff>
      <xdr:row>1</xdr:row>
      <xdr:rowOff>133350</xdr:rowOff>
    </xdr:from>
    <xdr:to>
      <xdr:col>18</xdr:col>
      <xdr:colOff>1524000</xdr:colOff>
      <xdr:row>14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Grupo Etari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 Etari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69225" y="3238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171449</xdr:colOff>
      <xdr:row>18</xdr:row>
      <xdr:rowOff>180975</xdr:rowOff>
    </xdr:from>
    <xdr:to>
      <xdr:col>8</xdr:col>
      <xdr:colOff>304800</xdr:colOff>
      <xdr:row>33</xdr:row>
      <xdr:rowOff>38100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66675</xdr:colOff>
      <xdr:row>37</xdr:row>
      <xdr:rowOff>0</xdr:rowOff>
    </xdr:from>
    <xdr:to>
      <xdr:col>15</xdr:col>
      <xdr:colOff>133350</xdr:colOff>
      <xdr:row>51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1057274</xdr:colOff>
      <xdr:row>36</xdr:row>
      <xdr:rowOff>161925</xdr:rowOff>
    </xdr:from>
    <xdr:to>
      <xdr:col>11</xdr:col>
      <xdr:colOff>1142999</xdr:colOff>
      <xdr:row>51</xdr:row>
      <xdr:rowOff>104775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</xdr:colOff>
      <xdr:row>36</xdr:row>
      <xdr:rowOff>180976</xdr:rowOff>
    </xdr:from>
    <xdr:to>
      <xdr:col>8</xdr:col>
      <xdr:colOff>590550</xdr:colOff>
      <xdr:row>51</xdr:row>
      <xdr:rowOff>142876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1333500</xdr:colOff>
      <xdr:row>18</xdr:row>
      <xdr:rowOff>142875</xdr:rowOff>
    </xdr:from>
    <xdr:to>
      <xdr:col>12</xdr:col>
      <xdr:colOff>161925</xdr:colOff>
      <xdr:row>33</xdr:row>
      <xdr:rowOff>0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590549</xdr:colOff>
      <xdr:row>0</xdr:row>
      <xdr:rowOff>0</xdr:rowOff>
    </xdr:from>
    <xdr:to>
      <xdr:col>8</xdr:col>
      <xdr:colOff>1076325</xdr:colOff>
      <xdr:row>4</xdr:row>
      <xdr:rowOff>257175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Añ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19474" y="0"/>
              <a:ext cx="1895476" cy="101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18</xdr:row>
      <xdr:rowOff>161925</xdr:rowOff>
    </xdr:from>
    <xdr:to>
      <xdr:col>8</xdr:col>
      <xdr:colOff>276225</xdr:colOff>
      <xdr:row>33</xdr:row>
      <xdr:rowOff>19050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66675</xdr:colOff>
      <xdr:row>37</xdr:row>
      <xdr:rowOff>0</xdr:rowOff>
    </xdr:from>
    <xdr:to>
      <xdr:col>15</xdr:col>
      <xdr:colOff>133350</xdr:colOff>
      <xdr:row>51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1057274</xdr:colOff>
      <xdr:row>36</xdr:row>
      <xdr:rowOff>161925</xdr:rowOff>
    </xdr:from>
    <xdr:to>
      <xdr:col>11</xdr:col>
      <xdr:colOff>1142999</xdr:colOff>
      <xdr:row>51</xdr:row>
      <xdr:rowOff>104775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</xdr:colOff>
      <xdr:row>36</xdr:row>
      <xdr:rowOff>180976</xdr:rowOff>
    </xdr:from>
    <xdr:to>
      <xdr:col>8</xdr:col>
      <xdr:colOff>590550</xdr:colOff>
      <xdr:row>51</xdr:row>
      <xdr:rowOff>142876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1333500</xdr:colOff>
      <xdr:row>18</xdr:row>
      <xdr:rowOff>142875</xdr:rowOff>
    </xdr:from>
    <xdr:to>
      <xdr:col>12</xdr:col>
      <xdr:colOff>161925</xdr:colOff>
      <xdr:row>33</xdr:row>
      <xdr:rowOff>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742950</xdr:colOff>
      <xdr:row>0</xdr:row>
      <xdr:rowOff>0</xdr:rowOff>
    </xdr:from>
    <xdr:to>
      <xdr:col>8</xdr:col>
      <xdr:colOff>1123950</xdr:colOff>
      <xdr:row>4</xdr:row>
      <xdr:rowOff>247650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ñ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875" y="0"/>
              <a:ext cx="1790700" cy="1009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447674</xdr:colOff>
      <xdr:row>4</xdr:row>
      <xdr:rowOff>123825</xdr:rowOff>
    </xdr:from>
    <xdr:to>
      <xdr:col>16</xdr:col>
      <xdr:colOff>1200149</xdr:colOff>
      <xdr:row>20</xdr:row>
      <xdr:rowOff>47625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1219200</xdr:colOff>
      <xdr:row>1</xdr:row>
      <xdr:rowOff>133350</xdr:rowOff>
    </xdr:from>
    <xdr:to>
      <xdr:col>18</xdr:col>
      <xdr:colOff>1524000</xdr:colOff>
      <xdr:row>14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Grupo Etari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 Etar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74025" y="3238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500061</xdr:colOff>
      <xdr:row>0</xdr:row>
      <xdr:rowOff>95250</xdr:rowOff>
    </xdr:from>
    <xdr:to>
      <xdr:col>10</xdr:col>
      <xdr:colOff>552450</xdr:colOff>
      <xdr:row>14</xdr:row>
      <xdr:rowOff>171450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orielys" refreshedDate="45174.918520601852" createdVersion="6" refreshedVersion="6" minRefreshableVersion="3" recordCount="1995">
  <cacheSource type="worksheet">
    <worksheetSource ref="A1:H1996" sheet="BD_Mujeres"/>
  </cacheSource>
  <cacheFields count="8">
    <cacheField name="key" numFmtId="0">
      <sharedItems/>
    </cacheField>
    <cacheField name="Año" numFmtId="0">
      <sharedItems containsSemiMixedTypes="0" containsString="0" containsNumber="1" containsInteger="1" minValue="1996" maxValue="2014" count="19"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</sharedItems>
    </cacheField>
    <cacheField name="Grupo Etario" numFmtId="0">
      <sharedItems count="7">
        <s v="0-4"/>
        <s v="15-24"/>
        <s v="25-44"/>
        <s v="45-64"/>
        <s v="5-14"/>
        <s v="65-74"/>
        <s v="75+"/>
      </sharedItems>
    </cacheField>
    <cacheField name="Sexo" numFmtId="0">
      <sharedItems count="2">
        <s v="F"/>
        <s v="T" u="1"/>
      </sharedItems>
    </cacheField>
    <cacheField name="Posicion" numFmtId="0">
      <sharedItems containsMixedTypes="1" containsNumber="1" containsInteger="1" minValue="1" maxValue="13" count="15">
        <n v="1"/>
        <s v="2"/>
        <s v="3"/>
        <s v="4"/>
        <s v="5"/>
        <s v="6"/>
        <s v="7"/>
        <s v="8"/>
        <s v="9"/>
        <n v="10"/>
        <n v="11"/>
        <n v="12"/>
        <n v="13"/>
        <s v="14"/>
        <s v="15"/>
      </sharedItems>
    </cacheField>
    <cacheField name="Enfermedad" numFmtId="0">
      <sharedItems count="15">
        <s v="Enfermedades del Corazón (I05-I09, I11, I13, I21-I51)"/>
        <s v="Cancer (C00-C97)"/>
        <s v="Enfermedad Cerebrovascular (I60-I69)"/>
        <s v="Diabetes (E10-E14)"/>
        <s v="Ciertas afecciones originadas en el período perinatal (P00-P96)"/>
        <s v="Accidentes de Todo Tipo (V01-X59)"/>
        <s v="Enfermedades crónicas de las vías respiratorias inferiores (J40-J47)"/>
        <s v="Influenza y neumonía (J09-J18)"/>
        <s v="Malformaciones congénitas, deformidades y anomalías cromosómicas (Q00-Q99)"/>
        <s v="Enfermedades infecciosas intestinales(A00-A09)"/>
        <s v="Nefritis y Nefrosis (N00-N19, N25-N29)"/>
        <s v="Tumores benignos y de comportamiento incierto o desconocido (D10-D48)"/>
        <s v="Otras enfermedades Hipertensivas (I10-I12)"/>
        <s v="Suicidios y Homicidios. (X60-Y09)"/>
        <s v="Enfermedades del hígado. (K70-K77)"/>
      </sharedItems>
    </cacheField>
    <cacheField name="Fallecimientos" numFmtId="0">
      <sharedItems containsSemiMixedTypes="0" containsString="0" containsNumber="1" containsInteger="1" minValue="0" maxValue="9094"/>
    </cacheField>
    <cacheField name="Población" numFmtId="164">
      <sharedItems containsSemiMixedTypes="0" containsString="0" containsNumber="1" minValue="186458.585231801" maxValue="4511948" count="133">
        <n v="1308550.7828250399"/>
        <n v="2136825.68729656"/>
        <n v="3245545.2890741802"/>
        <n v="1448877.9572723201"/>
        <n v="2617766.7452121698"/>
        <n v="373487.34083337098"/>
        <n v="186458.585231801"/>
        <n v="1317732.8696950199"/>
        <n v="2190257.4123779298"/>
        <n v="3319788.9734445098"/>
        <n v="1494497.7743633899"/>
        <n v="2625110.0471272999"/>
        <n v="377918.60450002301"/>
        <n v="197836.55113907999"/>
        <n v="1325697.93484751"/>
        <n v="2242694.2061889698"/>
        <n v="3392799.98672225"/>
        <n v="1544756.3871817"/>
        <n v="2628255.52356365"/>
        <n v="383636.80225001101"/>
        <n v="210840.77556954001"/>
        <n v="1332528.9782825001"/>
        <n v="2293434.06872966"/>
        <n v="3464730.3289074199"/>
        <n v="1599513.7957272299"/>
        <n v="2628380.1745212199"/>
        <n v="390568.93408333702"/>
        <n v="225043.25852318"/>
        <n v="1338309"/>
        <n v="2341775"/>
        <n v="3535732"/>
        <n v="1658630"/>
        <n v="2626661"/>
        <n v="398642"/>
        <n v="240016"/>
        <n v="1343121"/>
        <n v="2387015"/>
        <n v="3605957"/>
        <n v="1721965"/>
        <n v="2624275"/>
        <n v="407783"/>
        <n v="255331"/>
        <n v="1347045"/>
        <n v="2428415"/>
        <n v="3675559"/>
        <n v="1789361"/>
        <n v="2622422"/>
        <n v="417907"/>
        <n v="270538"/>
        <n v="1350164"/>
        <n v="2465273"/>
        <n v="3744690"/>
        <n v="1860678"/>
        <n v="2622279"/>
        <n v="428941"/>
        <n v="285209"/>
        <n v="1352508"/>
        <n v="2497409"/>
        <n v="3813358"/>
        <n v="1936129"/>
        <n v="2624530"/>
        <n v="441018"/>
        <n v="299301"/>
        <n v="1353852"/>
        <n v="2524017"/>
        <n v="3881062"/>
        <n v="2016148"/>
        <n v="2629864"/>
        <n v="454245"/>
        <n v="312767"/>
        <n v="1354432"/>
        <n v="2544731"/>
        <n v="3947836"/>
        <n v="2100791"/>
        <n v="2638747"/>
        <n v="468680"/>
        <n v="325672"/>
        <n v="1354234"/>
        <n v="2561885"/>
        <n v="4016163"/>
        <n v="2188071"/>
        <n v="2647233"/>
        <n v="484321"/>
        <n v="338128"/>
        <n v="1353145"/>
        <n v="2575138"/>
        <n v="4085944"/>
        <n v="2277674"/>
        <n v="2655740"/>
        <n v="501201"/>
        <n v="350235"/>
        <n v="1351158"/>
        <n v="2584791"/>
        <n v="4156891"/>
        <n v="2369589"/>
        <n v="2664671"/>
        <n v="519377"/>
        <n v="362131"/>
        <n v="1348289"/>
        <n v="2590746"/>
        <n v="4228246"/>
        <n v="2464321"/>
        <n v="2674173"/>
        <n v="538921"/>
        <n v="373918"/>
        <n v="1344595"/>
        <n v="2593350"/>
        <n v="4299392"/>
        <n v="2561836"/>
        <n v="2684312"/>
        <n v="559899"/>
        <n v="385721"/>
        <n v="1340586.3214094499"/>
        <n v="2596932.5593387499"/>
        <n v="4370928.8062696801"/>
        <n v="2658291.2681631502"/>
        <n v="2693165.8826794801"/>
        <n v="582433.94467592705"/>
        <n v="398069.84835797001"/>
        <n v="1336364.77993838"/>
        <n v="2602650.6589393602"/>
        <n v="4442157.0636299504"/>
        <n v="2752738.9724179399"/>
        <n v="2699988.6782491799"/>
        <n v="606480.27141564596"/>
        <n v="411257.72175729403"/>
        <n v="1331891"/>
        <n v="2610538"/>
        <n v="4511948"/>
        <n v="2845267"/>
        <n v="2704490"/>
        <n v="631943"/>
        <n v="42548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orielys" refreshedDate="45174.94763599537" createdVersion="6" refreshedVersion="6" minRefreshableVersion="3" recordCount="1995">
  <cacheSource type="worksheet">
    <worksheetSource ref="A1:H1996" sheet="BD_Total"/>
  </cacheSource>
  <cacheFields count="8">
    <cacheField name="key" numFmtId="0">
      <sharedItems/>
    </cacheField>
    <cacheField name="Año" numFmtId="0">
      <sharedItems containsSemiMixedTypes="0" containsString="0" containsNumber="1" containsInteger="1" minValue="1996" maxValue="2014" count="19"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</sharedItems>
    </cacheField>
    <cacheField name="Grupo Etario" numFmtId="0">
      <sharedItems count="7">
        <s v="0-4"/>
        <s v="5-14"/>
        <s v="15-24"/>
        <s v="25-44"/>
        <s v="45-64"/>
        <s v="65-74"/>
        <s v="75+"/>
      </sharedItems>
    </cacheField>
    <cacheField name="Sexo" numFmtId="0">
      <sharedItems/>
    </cacheField>
    <cacheField name="Posicion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Enfermedad" numFmtId="0">
      <sharedItems count="15">
        <s v="Enfermedades del Corazón (I05-I09, I11, I13, I21-I51)"/>
        <s v="Cancer (C00-C97)"/>
        <s v="Enfermedad Cerebrovascular (I60-I69)"/>
        <s v="Accidentes de Todo Tipo (V01-X59)"/>
        <s v="Suicidios y Homicidios. (X60-Y09)"/>
        <s v="Diabetes (E10-E14)"/>
        <s v="Ciertas afecciones originadas en el período perinatal (P00-P96)"/>
        <s v="Enfermedades crónicas de las vías respiratorias inferiores (J40-J47)"/>
        <s v="Influenza y neumonía (J09-J18)"/>
        <s v="Enfermedades del hígado. (K70-K77)"/>
        <s v="Malformaciones congénitas, deformidades y anomalías cromosómicas (Q00-Q99)"/>
        <s v="Enfermedades infecciosas intestinales(A00-A09)"/>
        <s v="Nefritis y Nefrosis (N00-N19, N25-N29)"/>
        <s v="Enfermedad por virus de la inmunodeficiencia humana [VIH] (B20-B24)"/>
        <s v="Tumores benignos y de comportamiento incierto o desconocido (D10-D48)"/>
      </sharedItems>
    </cacheField>
    <cacheField name="Fallecimientos" numFmtId="0">
      <sharedItems containsSemiMixedTypes="0" containsString="0" containsNumber="1" containsInteger="1" minValue="0" maxValue="17448"/>
    </cacheField>
    <cacheField name="Población" numFmtId="164">
      <sharedItems containsSemiMixedTypes="0" containsString="0" containsNumber="1" minValue="710343.28776711202" maxValue="9037113" count="114">
        <n v="2669011.0638103201"/>
        <n v="5336689.2615659405"/>
        <n v="4328734.7335640304"/>
        <n v="6500086.9398599695"/>
        <n v="2862216.4853526298"/>
        <n v="710343.28776711202"/>
        <n v="2689637.03828619"/>
        <n v="5352218.1569395596"/>
        <n v="4441903.2401384199"/>
        <n v="6652916.9639159804"/>
        <n v="2950439.89121158"/>
        <n v="717390.37266026705"/>
        <n v="2707580.5191430999"/>
        <n v="5360232.5784697803"/>
        <n v="4551586.6200692104"/>
        <n v="6800752.4819579897"/>
        <n v="3048176.4456057898"/>
        <n v="727932.186330133"/>
        <n v="2723058.5063810302"/>
        <n v="5362927.5261565903"/>
        <n v="4656740.8733564001"/>
        <n v="6944474.4939860003"/>
        <n v="3155060.14853526"/>
        <n v="741553.72877671104"/>
        <n v="2736288"/>
        <n v="5362498"/>
        <n v="4756322"/>
        <n v="7084964"/>
        <n v="3270725"/>
        <n v="757840"/>
        <n v="2747486"/>
        <n v="5361139"/>
        <n v="4849286"/>
        <n v="7223102"/>
        <n v="3394805"/>
        <n v="776376"/>
        <n v="2756879"/>
        <n v="5361107"/>
        <n v="4934568"/>
        <n v="7359839"/>
        <n v="3526909"/>
        <n v="796712"/>
        <n v="2764684"/>
        <n v="5364597"/>
        <n v="5011124"/>
        <n v="7496056"/>
        <n v="3666671"/>
        <n v="818433"/>
        <n v="2770821"/>
        <n v="5372677"/>
        <n v="5078223"/>
        <n v="7631406"/>
        <n v="3814359"/>
        <n v="841739"/>
        <n v="2774961"/>
        <n v="5386812"/>
        <n v="5134473"/>
        <n v="7765159"/>
        <n v="3970997"/>
        <n v="866819"/>
        <n v="2777568"/>
        <n v="5407717"/>
        <n v="5178861"/>
        <n v="7897108"/>
        <n v="4136588"/>
        <n v="893794"/>
        <n v="2778731"/>
        <n v="5427910"/>
        <n v="5216537"/>
        <n v="8032843"/>
        <n v="4307510"/>
        <n v="922773"/>
        <n v="2778239"/>
        <n v="5448390"/>
        <n v="5246997"/>
        <n v="8172306"/>
        <n v="4483302"/>
        <n v="953869"/>
        <n v="2775920"/>
        <n v="5469822"/>
        <n v="5270463"/>
        <n v="8314639"/>
        <n v="4663733"/>
        <n v="987212"/>
        <n v="2771760"/>
        <n v="5492408"/>
        <n v="5286720"/>
        <n v="8458444"/>
        <n v="4849717"/>
        <n v="1022974"/>
        <n v="2765898"/>
        <n v="5516288"/>
        <n v="5296319"/>
        <n v="8602515"/>
        <n v="5041154"/>
        <n v="1061340"/>
        <n v="2759356.4495101599"/>
        <n v="5537428.7927720398"/>
        <n v="5307779.7280284902"/>
        <n v="8748082.6996606905"/>
        <n v="5230482.0778962998"/>
        <n v="1102796.7939262099"/>
        <n v="2752322.19750119"/>
        <n v="5554323.1251711203"/>
        <n v="5323364.8480997998"/>
        <n v="8893718.1904660594"/>
        <n v="5415783.9591287402"/>
        <n v="1147296.6505007599"/>
        <n v="2744697"/>
        <n v="5566437"/>
        <n v="5343109"/>
        <n v="9037113"/>
        <n v="5597164"/>
        <n v="1194627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orielys" refreshedDate="45176.266587962964" createdVersion="6" refreshedVersion="6" minRefreshableVersion="3" recordCount="385">
  <cacheSource type="worksheet">
    <worksheetSource ref="A1:D386" sheet="Poblacion_Estudio"/>
  </cacheSource>
  <cacheFields count="4">
    <cacheField name="Año" numFmtId="164">
      <sharedItems containsSemiMixedTypes="0" containsString="0" containsNumber="1" containsInteger="1" minValue="1996" maxValue="2050" count="55"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</sharedItems>
    </cacheField>
    <cacheField name="Grupo Etario" numFmtId="0">
      <sharedItems count="7">
        <s v="0-4"/>
        <s v="5-14"/>
        <s v="15-24"/>
        <s v="25-44"/>
        <s v="45-64"/>
        <s v="65-74"/>
        <s v="75+"/>
      </sharedItems>
    </cacheField>
    <cacheField name="Población Total" numFmtId="164">
      <sharedItems containsSemiMixedTypes="0" containsString="0" containsNumber="1" minValue="710343.28776711202" maxValue="10957476.6828475"/>
    </cacheField>
    <cacheField name="Población Femenina" numFmtId="164">
      <sharedItems containsSemiMixedTypes="0" containsString="0" containsNumber="1" minValue="373487.34083337098" maxValue="5393122.5687242504"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5">
  <r>
    <s v="19960-4"/>
    <x v="0"/>
    <x v="0"/>
    <x v="0"/>
    <x v="0"/>
    <x v="0"/>
    <n v="38"/>
    <x v="0"/>
  </r>
  <r>
    <s v="199615-24"/>
    <x v="0"/>
    <x v="1"/>
    <x v="0"/>
    <x v="0"/>
    <x v="0"/>
    <n v="40"/>
    <x v="1"/>
  </r>
  <r>
    <s v="199625-44"/>
    <x v="0"/>
    <x v="2"/>
    <x v="0"/>
    <x v="0"/>
    <x v="0"/>
    <n v="467"/>
    <x v="2"/>
  </r>
  <r>
    <s v="199645-64"/>
    <x v="0"/>
    <x v="3"/>
    <x v="0"/>
    <x v="0"/>
    <x v="0"/>
    <n v="1724"/>
    <x v="3"/>
  </r>
  <r>
    <s v="19965-14"/>
    <x v="0"/>
    <x v="4"/>
    <x v="0"/>
    <x v="0"/>
    <x v="0"/>
    <n v="24"/>
    <x v="4"/>
  </r>
  <r>
    <s v="199665-74"/>
    <x v="0"/>
    <x v="5"/>
    <x v="0"/>
    <x v="0"/>
    <x v="0"/>
    <n v="2053"/>
    <x v="5"/>
  </r>
  <r>
    <s v="199675+"/>
    <x v="0"/>
    <x v="6"/>
    <x v="0"/>
    <x v="0"/>
    <x v="0"/>
    <n v="5003"/>
    <x v="6"/>
  </r>
  <r>
    <s v="19970-4"/>
    <x v="1"/>
    <x v="0"/>
    <x v="0"/>
    <x v="0"/>
    <x v="0"/>
    <n v="28"/>
    <x v="7"/>
  </r>
  <r>
    <s v="199715-24"/>
    <x v="1"/>
    <x v="1"/>
    <x v="0"/>
    <x v="0"/>
    <x v="0"/>
    <n v="78"/>
    <x v="8"/>
  </r>
  <r>
    <s v="199725-44"/>
    <x v="1"/>
    <x v="2"/>
    <x v="0"/>
    <x v="0"/>
    <x v="0"/>
    <n v="441"/>
    <x v="9"/>
  </r>
  <r>
    <s v="199745-64"/>
    <x v="1"/>
    <x v="3"/>
    <x v="0"/>
    <x v="0"/>
    <x v="0"/>
    <n v="1786"/>
    <x v="10"/>
  </r>
  <r>
    <s v="19975-14"/>
    <x v="1"/>
    <x v="4"/>
    <x v="0"/>
    <x v="0"/>
    <x v="0"/>
    <n v="24"/>
    <x v="11"/>
  </r>
  <r>
    <s v="199765-74"/>
    <x v="1"/>
    <x v="5"/>
    <x v="0"/>
    <x v="0"/>
    <x v="0"/>
    <n v="2001"/>
    <x v="12"/>
  </r>
  <r>
    <s v="199775+"/>
    <x v="1"/>
    <x v="6"/>
    <x v="0"/>
    <x v="0"/>
    <x v="0"/>
    <n v="4915"/>
    <x v="13"/>
  </r>
  <r>
    <s v="19980-4"/>
    <x v="2"/>
    <x v="0"/>
    <x v="0"/>
    <x v="0"/>
    <x v="0"/>
    <n v="40"/>
    <x v="14"/>
  </r>
  <r>
    <s v="199815-24"/>
    <x v="2"/>
    <x v="1"/>
    <x v="0"/>
    <x v="0"/>
    <x v="0"/>
    <n v="50"/>
    <x v="15"/>
  </r>
  <r>
    <s v="199825-44"/>
    <x v="2"/>
    <x v="2"/>
    <x v="0"/>
    <x v="0"/>
    <x v="0"/>
    <n v="440"/>
    <x v="16"/>
  </r>
  <r>
    <s v="199845-64"/>
    <x v="2"/>
    <x v="3"/>
    <x v="0"/>
    <x v="0"/>
    <x v="0"/>
    <n v="1744"/>
    <x v="17"/>
  </r>
  <r>
    <s v="19985-14"/>
    <x v="2"/>
    <x v="4"/>
    <x v="0"/>
    <x v="0"/>
    <x v="0"/>
    <n v="20"/>
    <x v="18"/>
  </r>
  <r>
    <s v="199865-74"/>
    <x v="2"/>
    <x v="5"/>
    <x v="0"/>
    <x v="0"/>
    <x v="0"/>
    <n v="2150"/>
    <x v="19"/>
  </r>
  <r>
    <s v="199875+"/>
    <x v="2"/>
    <x v="6"/>
    <x v="0"/>
    <x v="0"/>
    <x v="0"/>
    <n v="4751"/>
    <x v="20"/>
  </r>
  <r>
    <s v="19990-4"/>
    <x v="3"/>
    <x v="0"/>
    <x v="0"/>
    <x v="0"/>
    <x v="0"/>
    <n v="32"/>
    <x v="21"/>
  </r>
  <r>
    <s v="199915-24"/>
    <x v="3"/>
    <x v="1"/>
    <x v="0"/>
    <x v="0"/>
    <x v="0"/>
    <n v="52"/>
    <x v="22"/>
  </r>
  <r>
    <s v="199925-44"/>
    <x v="3"/>
    <x v="2"/>
    <x v="0"/>
    <x v="0"/>
    <x v="0"/>
    <n v="421"/>
    <x v="23"/>
  </r>
  <r>
    <s v="199945-64"/>
    <x v="3"/>
    <x v="3"/>
    <x v="0"/>
    <x v="0"/>
    <x v="0"/>
    <n v="1789"/>
    <x v="24"/>
  </r>
  <r>
    <s v="19995-14"/>
    <x v="3"/>
    <x v="4"/>
    <x v="0"/>
    <x v="0"/>
    <x v="0"/>
    <n v="27"/>
    <x v="25"/>
  </r>
  <r>
    <s v="199965-74"/>
    <x v="3"/>
    <x v="5"/>
    <x v="0"/>
    <x v="0"/>
    <x v="0"/>
    <n v="2102"/>
    <x v="26"/>
  </r>
  <r>
    <s v="199975+"/>
    <x v="3"/>
    <x v="6"/>
    <x v="0"/>
    <x v="0"/>
    <x v="0"/>
    <n v="5089"/>
    <x v="27"/>
  </r>
  <r>
    <s v="20000-4"/>
    <x v="4"/>
    <x v="0"/>
    <x v="0"/>
    <x v="0"/>
    <x v="0"/>
    <n v="18"/>
    <x v="28"/>
  </r>
  <r>
    <s v="200015-24"/>
    <x v="4"/>
    <x v="1"/>
    <x v="0"/>
    <x v="0"/>
    <x v="0"/>
    <n v="64"/>
    <x v="29"/>
  </r>
  <r>
    <s v="200025-44"/>
    <x v="4"/>
    <x v="2"/>
    <x v="0"/>
    <x v="0"/>
    <x v="0"/>
    <n v="453"/>
    <x v="30"/>
  </r>
  <r>
    <s v="200045-64"/>
    <x v="4"/>
    <x v="3"/>
    <x v="0"/>
    <x v="0"/>
    <x v="0"/>
    <n v="1899"/>
    <x v="31"/>
  </r>
  <r>
    <s v="20005-14"/>
    <x v="4"/>
    <x v="4"/>
    <x v="0"/>
    <x v="0"/>
    <x v="0"/>
    <n v="15"/>
    <x v="32"/>
  </r>
  <r>
    <s v="200065-74"/>
    <x v="4"/>
    <x v="5"/>
    <x v="0"/>
    <x v="0"/>
    <x v="0"/>
    <n v="2070"/>
    <x v="33"/>
  </r>
  <r>
    <s v="200075+"/>
    <x v="4"/>
    <x v="6"/>
    <x v="0"/>
    <x v="0"/>
    <x v="0"/>
    <n v="4968"/>
    <x v="34"/>
  </r>
  <r>
    <s v="20010-4"/>
    <x v="5"/>
    <x v="0"/>
    <x v="0"/>
    <x v="0"/>
    <x v="0"/>
    <n v="29"/>
    <x v="35"/>
  </r>
  <r>
    <s v="200115-24"/>
    <x v="5"/>
    <x v="1"/>
    <x v="0"/>
    <x v="0"/>
    <x v="0"/>
    <n v="47"/>
    <x v="36"/>
  </r>
  <r>
    <s v="200125-44"/>
    <x v="5"/>
    <x v="2"/>
    <x v="0"/>
    <x v="0"/>
    <x v="0"/>
    <n v="465"/>
    <x v="37"/>
  </r>
  <r>
    <s v="200145-64"/>
    <x v="5"/>
    <x v="3"/>
    <x v="0"/>
    <x v="0"/>
    <x v="0"/>
    <n v="1802"/>
    <x v="38"/>
  </r>
  <r>
    <s v="20015-14"/>
    <x v="5"/>
    <x v="4"/>
    <x v="0"/>
    <x v="0"/>
    <x v="0"/>
    <n v="29"/>
    <x v="39"/>
  </r>
  <r>
    <s v="200165-74"/>
    <x v="5"/>
    <x v="5"/>
    <x v="0"/>
    <x v="0"/>
    <x v="0"/>
    <n v="2090"/>
    <x v="40"/>
  </r>
  <r>
    <s v="200175+"/>
    <x v="5"/>
    <x v="6"/>
    <x v="0"/>
    <x v="0"/>
    <x v="0"/>
    <n v="5500"/>
    <x v="41"/>
  </r>
  <r>
    <s v="20020-4"/>
    <x v="6"/>
    <x v="0"/>
    <x v="0"/>
    <x v="0"/>
    <x v="0"/>
    <n v="7"/>
    <x v="42"/>
  </r>
  <r>
    <s v="200215-24"/>
    <x v="6"/>
    <x v="1"/>
    <x v="0"/>
    <x v="0"/>
    <x v="0"/>
    <n v="58"/>
    <x v="43"/>
  </r>
  <r>
    <s v="200225-44"/>
    <x v="6"/>
    <x v="2"/>
    <x v="0"/>
    <x v="0"/>
    <x v="0"/>
    <n v="441"/>
    <x v="44"/>
  </r>
  <r>
    <s v="200245-64"/>
    <x v="6"/>
    <x v="3"/>
    <x v="0"/>
    <x v="0"/>
    <x v="0"/>
    <n v="1799"/>
    <x v="45"/>
  </r>
  <r>
    <s v="20025-14"/>
    <x v="6"/>
    <x v="4"/>
    <x v="0"/>
    <x v="0"/>
    <x v="0"/>
    <n v="16"/>
    <x v="46"/>
  </r>
  <r>
    <s v="200265-74"/>
    <x v="6"/>
    <x v="5"/>
    <x v="0"/>
    <x v="0"/>
    <x v="0"/>
    <n v="2067"/>
    <x v="47"/>
  </r>
  <r>
    <s v="200275+"/>
    <x v="6"/>
    <x v="6"/>
    <x v="0"/>
    <x v="0"/>
    <x v="0"/>
    <n v="5333"/>
    <x v="48"/>
  </r>
  <r>
    <s v="20030-4"/>
    <x v="7"/>
    <x v="0"/>
    <x v="0"/>
    <x v="0"/>
    <x v="0"/>
    <n v="16"/>
    <x v="49"/>
  </r>
  <r>
    <s v="200315-24"/>
    <x v="7"/>
    <x v="1"/>
    <x v="0"/>
    <x v="0"/>
    <x v="0"/>
    <n v="55"/>
    <x v="50"/>
  </r>
  <r>
    <s v="200325-44"/>
    <x v="7"/>
    <x v="2"/>
    <x v="0"/>
    <x v="0"/>
    <x v="0"/>
    <n v="435"/>
    <x v="51"/>
  </r>
  <r>
    <s v="200345-64"/>
    <x v="7"/>
    <x v="3"/>
    <x v="0"/>
    <x v="0"/>
    <x v="0"/>
    <n v="1882"/>
    <x v="52"/>
  </r>
  <r>
    <s v="20035-14"/>
    <x v="7"/>
    <x v="4"/>
    <x v="0"/>
    <x v="0"/>
    <x v="0"/>
    <n v="19"/>
    <x v="53"/>
  </r>
  <r>
    <s v="200365-74"/>
    <x v="7"/>
    <x v="5"/>
    <x v="0"/>
    <x v="0"/>
    <x v="0"/>
    <n v="2278"/>
    <x v="54"/>
  </r>
  <r>
    <s v="200375+"/>
    <x v="7"/>
    <x v="6"/>
    <x v="0"/>
    <x v="0"/>
    <x v="0"/>
    <n v="5929"/>
    <x v="55"/>
  </r>
  <r>
    <s v="20040-4"/>
    <x v="8"/>
    <x v="0"/>
    <x v="0"/>
    <x v="0"/>
    <x v="0"/>
    <n v="3"/>
    <x v="56"/>
  </r>
  <r>
    <s v="200415-24"/>
    <x v="8"/>
    <x v="1"/>
    <x v="0"/>
    <x v="0"/>
    <x v="0"/>
    <n v="52"/>
    <x v="57"/>
  </r>
  <r>
    <s v="200425-44"/>
    <x v="8"/>
    <x v="2"/>
    <x v="0"/>
    <x v="0"/>
    <x v="0"/>
    <n v="373"/>
    <x v="58"/>
  </r>
  <r>
    <s v="200445-64"/>
    <x v="8"/>
    <x v="3"/>
    <x v="0"/>
    <x v="0"/>
    <x v="0"/>
    <n v="1848"/>
    <x v="59"/>
  </r>
  <r>
    <s v="20045-14"/>
    <x v="8"/>
    <x v="4"/>
    <x v="0"/>
    <x v="0"/>
    <x v="0"/>
    <n v="9"/>
    <x v="60"/>
  </r>
  <r>
    <s v="200465-74"/>
    <x v="8"/>
    <x v="5"/>
    <x v="0"/>
    <x v="0"/>
    <x v="0"/>
    <n v="2116"/>
    <x v="61"/>
  </r>
  <r>
    <s v="200475+"/>
    <x v="8"/>
    <x v="6"/>
    <x v="0"/>
    <x v="0"/>
    <x v="0"/>
    <n v="6055"/>
    <x v="62"/>
  </r>
  <r>
    <s v="20050-4"/>
    <x v="9"/>
    <x v="0"/>
    <x v="0"/>
    <x v="0"/>
    <x v="0"/>
    <n v="6"/>
    <x v="63"/>
  </r>
  <r>
    <s v="200515-24"/>
    <x v="9"/>
    <x v="1"/>
    <x v="0"/>
    <x v="0"/>
    <x v="0"/>
    <n v="57"/>
    <x v="64"/>
  </r>
  <r>
    <s v="200525-44"/>
    <x v="9"/>
    <x v="2"/>
    <x v="0"/>
    <x v="0"/>
    <x v="0"/>
    <n v="367"/>
    <x v="65"/>
  </r>
  <r>
    <s v="200545-64"/>
    <x v="9"/>
    <x v="3"/>
    <x v="0"/>
    <x v="0"/>
    <x v="0"/>
    <n v="1889"/>
    <x v="66"/>
  </r>
  <r>
    <s v="20055-14"/>
    <x v="9"/>
    <x v="4"/>
    <x v="0"/>
    <x v="0"/>
    <x v="0"/>
    <n v="8"/>
    <x v="67"/>
  </r>
  <r>
    <s v="200565-74"/>
    <x v="9"/>
    <x v="5"/>
    <x v="0"/>
    <x v="0"/>
    <x v="0"/>
    <n v="2024"/>
    <x v="68"/>
  </r>
  <r>
    <s v="200575+"/>
    <x v="9"/>
    <x v="6"/>
    <x v="0"/>
    <x v="0"/>
    <x v="0"/>
    <n v="5970"/>
    <x v="69"/>
  </r>
  <r>
    <s v="20060-4"/>
    <x v="10"/>
    <x v="0"/>
    <x v="0"/>
    <x v="0"/>
    <x v="0"/>
    <n v="2"/>
    <x v="70"/>
  </r>
  <r>
    <s v="200615-24"/>
    <x v="10"/>
    <x v="1"/>
    <x v="0"/>
    <x v="0"/>
    <x v="0"/>
    <n v="45"/>
    <x v="71"/>
  </r>
  <r>
    <s v="200625-44"/>
    <x v="10"/>
    <x v="2"/>
    <x v="0"/>
    <x v="0"/>
    <x v="0"/>
    <n v="366"/>
    <x v="72"/>
  </r>
  <r>
    <s v="200645-64"/>
    <x v="10"/>
    <x v="3"/>
    <x v="0"/>
    <x v="0"/>
    <x v="0"/>
    <n v="1949"/>
    <x v="73"/>
  </r>
  <r>
    <s v="20065-14"/>
    <x v="10"/>
    <x v="4"/>
    <x v="0"/>
    <x v="0"/>
    <x v="0"/>
    <n v="6"/>
    <x v="74"/>
  </r>
  <r>
    <s v="200665-74"/>
    <x v="10"/>
    <x v="5"/>
    <x v="0"/>
    <x v="0"/>
    <x v="0"/>
    <n v="2132"/>
    <x v="75"/>
  </r>
  <r>
    <s v="200675+"/>
    <x v="10"/>
    <x v="6"/>
    <x v="0"/>
    <x v="0"/>
    <x v="0"/>
    <n v="6080"/>
    <x v="76"/>
  </r>
  <r>
    <s v="20070-4"/>
    <x v="11"/>
    <x v="0"/>
    <x v="0"/>
    <x v="0"/>
    <x v="0"/>
    <n v="0"/>
    <x v="77"/>
  </r>
  <r>
    <s v="200715-24"/>
    <x v="11"/>
    <x v="1"/>
    <x v="0"/>
    <x v="0"/>
    <x v="0"/>
    <n v="42"/>
    <x v="78"/>
  </r>
  <r>
    <s v="200725-44"/>
    <x v="11"/>
    <x v="2"/>
    <x v="0"/>
    <x v="0"/>
    <x v="0"/>
    <n v="394"/>
    <x v="79"/>
  </r>
  <r>
    <s v="200745-64"/>
    <x v="11"/>
    <x v="3"/>
    <x v="0"/>
    <x v="0"/>
    <x v="0"/>
    <n v="1942"/>
    <x v="80"/>
  </r>
  <r>
    <s v="20075-14"/>
    <x v="11"/>
    <x v="4"/>
    <x v="0"/>
    <x v="0"/>
    <x v="0"/>
    <n v="6"/>
    <x v="81"/>
  </r>
  <r>
    <s v="200765-74"/>
    <x v="11"/>
    <x v="5"/>
    <x v="0"/>
    <x v="0"/>
    <x v="0"/>
    <n v="2029"/>
    <x v="82"/>
  </r>
  <r>
    <s v="200775+"/>
    <x v="11"/>
    <x v="6"/>
    <x v="0"/>
    <x v="0"/>
    <x v="0"/>
    <n v="6194"/>
    <x v="83"/>
  </r>
  <r>
    <s v="20080-4"/>
    <x v="12"/>
    <x v="0"/>
    <x v="0"/>
    <x v="0"/>
    <x v="0"/>
    <n v="1"/>
    <x v="84"/>
  </r>
  <r>
    <s v="200815-24"/>
    <x v="12"/>
    <x v="1"/>
    <x v="0"/>
    <x v="0"/>
    <x v="0"/>
    <n v="49"/>
    <x v="85"/>
  </r>
  <r>
    <s v="200825-44"/>
    <x v="12"/>
    <x v="2"/>
    <x v="0"/>
    <x v="0"/>
    <x v="0"/>
    <n v="389"/>
    <x v="86"/>
  </r>
  <r>
    <s v="200845-64"/>
    <x v="12"/>
    <x v="3"/>
    <x v="0"/>
    <x v="0"/>
    <x v="0"/>
    <n v="2113"/>
    <x v="87"/>
  </r>
  <r>
    <s v="20085-14"/>
    <x v="12"/>
    <x v="4"/>
    <x v="0"/>
    <x v="0"/>
    <x v="0"/>
    <n v="1"/>
    <x v="88"/>
  </r>
  <r>
    <s v="200865-74"/>
    <x v="12"/>
    <x v="5"/>
    <x v="0"/>
    <x v="0"/>
    <x v="0"/>
    <n v="2073"/>
    <x v="89"/>
  </r>
  <r>
    <s v="200875+"/>
    <x v="12"/>
    <x v="6"/>
    <x v="0"/>
    <x v="0"/>
    <x v="0"/>
    <n v="6910"/>
    <x v="90"/>
  </r>
  <r>
    <s v="20090-4"/>
    <x v="13"/>
    <x v="0"/>
    <x v="0"/>
    <x v="0"/>
    <x v="0"/>
    <n v="0"/>
    <x v="91"/>
  </r>
  <r>
    <s v="200915-24"/>
    <x v="13"/>
    <x v="1"/>
    <x v="0"/>
    <x v="0"/>
    <x v="0"/>
    <n v="42"/>
    <x v="92"/>
  </r>
  <r>
    <s v="200925-44"/>
    <x v="13"/>
    <x v="2"/>
    <x v="0"/>
    <x v="0"/>
    <x v="0"/>
    <n v="432"/>
    <x v="93"/>
  </r>
  <r>
    <s v="200945-64"/>
    <x v="13"/>
    <x v="3"/>
    <x v="0"/>
    <x v="0"/>
    <x v="0"/>
    <n v="2107"/>
    <x v="94"/>
  </r>
  <r>
    <s v="20095-14"/>
    <x v="13"/>
    <x v="4"/>
    <x v="0"/>
    <x v="0"/>
    <x v="0"/>
    <n v="6"/>
    <x v="95"/>
  </r>
  <r>
    <s v="200965-74"/>
    <x v="13"/>
    <x v="5"/>
    <x v="0"/>
    <x v="0"/>
    <x v="0"/>
    <n v="2042"/>
    <x v="96"/>
  </r>
  <r>
    <s v="200975+"/>
    <x v="13"/>
    <x v="6"/>
    <x v="0"/>
    <x v="0"/>
    <x v="0"/>
    <n v="6684"/>
    <x v="97"/>
  </r>
  <r>
    <s v="20100-4"/>
    <x v="14"/>
    <x v="0"/>
    <x v="0"/>
    <x v="0"/>
    <x v="0"/>
    <n v="2"/>
    <x v="98"/>
  </r>
  <r>
    <s v="201015-24"/>
    <x v="14"/>
    <x v="1"/>
    <x v="0"/>
    <x v="0"/>
    <x v="0"/>
    <n v="52"/>
    <x v="99"/>
  </r>
  <r>
    <s v="201025-44"/>
    <x v="14"/>
    <x v="2"/>
    <x v="0"/>
    <x v="0"/>
    <x v="0"/>
    <n v="434"/>
    <x v="100"/>
  </r>
  <r>
    <s v="201045-64"/>
    <x v="14"/>
    <x v="3"/>
    <x v="0"/>
    <x v="0"/>
    <x v="0"/>
    <n v="2157"/>
    <x v="101"/>
  </r>
  <r>
    <s v="20105-14"/>
    <x v="14"/>
    <x v="4"/>
    <x v="0"/>
    <x v="0"/>
    <x v="0"/>
    <n v="4"/>
    <x v="102"/>
  </r>
  <r>
    <s v="201065-74"/>
    <x v="14"/>
    <x v="5"/>
    <x v="0"/>
    <x v="0"/>
    <x v="0"/>
    <n v="2296"/>
    <x v="103"/>
  </r>
  <r>
    <s v="201075+"/>
    <x v="14"/>
    <x v="6"/>
    <x v="0"/>
    <x v="0"/>
    <x v="0"/>
    <n v="7222"/>
    <x v="104"/>
  </r>
  <r>
    <s v="20110-4"/>
    <x v="15"/>
    <x v="0"/>
    <x v="0"/>
    <x v="0"/>
    <x v="0"/>
    <n v="1"/>
    <x v="105"/>
  </r>
  <r>
    <s v="201115-24"/>
    <x v="15"/>
    <x v="1"/>
    <x v="0"/>
    <x v="0"/>
    <x v="0"/>
    <n v="57"/>
    <x v="106"/>
  </r>
  <r>
    <s v="201125-44"/>
    <x v="15"/>
    <x v="2"/>
    <x v="0"/>
    <x v="0"/>
    <x v="0"/>
    <n v="425"/>
    <x v="107"/>
  </r>
  <r>
    <s v="201145-64"/>
    <x v="15"/>
    <x v="3"/>
    <x v="0"/>
    <x v="0"/>
    <x v="0"/>
    <n v="2325"/>
    <x v="108"/>
  </r>
  <r>
    <s v="20115-14"/>
    <x v="15"/>
    <x v="4"/>
    <x v="0"/>
    <x v="0"/>
    <x v="0"/>
    <n v="14"/>
    <x v="109"/>
  </r>
  <r>
    <s v="201165-74"/>
    <x v="15"/>
    <x v="5"/>
    <x v="0"/>
    <x v="0"/>
    <x v="0"/>
    <n v="2312"/>
    <x v="110"/>
  </r>
  <r>
    <s v="201175+"/>
    <x v="15"/>
    <x v="6"/>
    <x v="0"/>
    <x v="0"/>
    <x v="0"/>
    <n v="7759"/>
    <x v="111"/>
  </r>
  <r>
    <s v="20120-4"/>
    <x v="16"/>
    <x v="0"/>
    <x v="0"/>
    <x v="0"/>
    <x v="0"/>
    <n v="5"/>
    <x v="112"/>
  </r>
  <r>
    <s v="201215-24"/>
    <x v="16"/>
    <x v="1"/>
    <x v="0"/>
    <x v="0"/>
    <x v="0"/>
    <n v="57"/>
    <x v="113"/>
  </r>
  <r>
    <s v="201225-44"/>
    <x v="16"/>
    <x v="2"/>
    <x v="0"/>
    <x v="0"/>
    <x v="0"/>
    <n v="409"/>
    <x v="114"/>
  </r>
  <r>
    <s v="201245-64"/>
    <x v="16"/>
    <x v="3"/>
    <x v="0"/>
    <x v="0"/>
    <x v="0"/>
    <n v="2236"/>
    <x v="115"/>
  </r>
  <r>
    <s v="20125-14"/>
    <x v="16"/>
    <x v="4"/>
    <x v="0"/>
    <x v="0"/>
    <x v="0"/>
    <n v="9"/>
    <x v="116"/>
  </r>
  <r>
    <s v="201265-74"/>
    <x v="16"/>
    <x v="5"/>
    <x v="0"/>
    <x v="0"/>
    <x v="0"/>
    <n v="2224"/>
    <x v="117"/>
  </r>
  <r>
    <s v="201275+"/>
    <x v="16"/>
    <x v="6"/>
    <x v="0"/>
    <x v="0"/>
    <x v="0"/>
    <n v="7719"/>
    <x v="118"/>
  </r>
  <r>
    <s v="20130-4"/>
    <x v="17"/>
    <x v="0"/>
    <x v="0"/>
    <x v="0"/>
    <x v="0"/>
    <n v="18"/>
    <x v="119"/>
  </r>
  <r>
    <s v="201315-24"/>
    <x v="17"/>
    <x v="1"/>
    <x v="0"/>
    <x v="0"/>
    <x v="0"/>
    <n v="50"/>
    <x v="120"/>
  </r>
  <r>
    <s v="201325-44"/>
    <x v="17"/>
    <x v="2"/>
    <x v="0"/>
    <x v="0"/>
    <x v="0"/>
    <n v="411"/>
    <x v="121"/>
  </r>
  <r>
    <s v="201345-64"/>
    <x v="17"/>
    <x v="3"/>
    <x v="0"/>
    <x v="0"/>
    <x v="0"/>
    <n v="2211"/>
    <x v="122"/>
  </r>
  <r>
    <s v="20135-14"/>
    <x v="17"/>
    <x v="4"/>
    <x v="0"/>
    <x v="0"/>
    <x v="0"/>
    <n v="3"/>
    <x v="123"/>
  </r>
  <r>
    <s v="201365-74"/>
    <x v="17"/>
    <x v="5"/>
    <x v="0"/>
    <x v="0"/>
    <x v="0"/>
    <n v="2310"/>
    <x v="124"/>
  </r>
  <r>
    <s v="201375+"/>
    <x v="17"/>
    <x v="6"/>
    <x v="0"/>
    <x v="0"/>
    <x v="0"/>
    <n v="7784"/>
    <x v="125"/>
  </r>
  <r>
    <s v="20140-4"/>
    <x v="18"/>
    <x v="0"/>
    <x v="0"/>
    <x v="0"/>
    <x v="0"/>
    <n v="8"/>
    <x v="126"/>
  </r>
  <r>
    <s v="201415-24"/>
    <x v="18"/>
    <x v="1"/>
    <x v="0"/>
    <x v="0"/>
    <x v="0"/>
    <n v="43"/>
    <x v="127"/>
  </r>
  <r>
    <s v="201425-44"/>
    <x v="18"/>
    <x v="2"/>
    <x v="0"/>
    <x v="0"/>
    <x v="0"/>
    <n v="472"/>
    <x v="128"/>
  </r>
  <r>
    <s v="201445-64"/>
    <x v="18"/>
    <x v="3"/>
    <x v="0"/>
    <x v="0"/>
    <x v="0"/>
    <n v="2507"/>
    <x v="129"/>
  </r>
  <r>
    <s v="20145-14"/>
    <x v="18"/>
    <x v="4"/>
    <x v="0"/>
    <x v="0"/>
    <x v="0"/>
    <n v="8"/>
    <x v="130"/>
  </r>
  <r>
    <s v="201465-74"/>
    <x v="18"/>
    <x v="5"/>
    <x v="0"/>
    <x v="0"/>
    <x v="0"/>
    <n v="2504"/>
    <x v="131"/>
  </r>
  <r>
    <s v="201475+"/>
    <x v="18"/>
    <x v="6"/>
    <x v="0"/>
    <x v="0"/>
    <x v="0"/>
    <n v="9094"/>
    <x v="132"/>
  </r>
  <r>
    <s v="19960-4"/>
    <x v="0"/>
    <x v="0"/>
    <x v="0"/>
    <x v="1"/>
    <x v="1"/>
    <n v="62"/>
    <x v="0"/>
  </r>
  <r>
    <s v="199615-24"/>
    <x v="0"/>
    <x v="1"/>
    <x v="0"/>
    <x v="1"/>
    <x v="1"/>
    <n v="130"/>
    <x v="1"/>
  </r>
  <r>
    <s v="199625-44"/>
    <x v="0"/>
    <x v="2"/>
    <x v="0"/>
    <x v="1"/>
    <x v="1"/>
    <n v="1119"/>
    <x v="2"/>
  </r>
  <r>
    <s v="199645-64"/>
    <x v="0"/>
    <x v="3"/>
    <x v="0"/>
    <x v="1"/>
    <x v="1"/>
    <n v="2420"/>
    <x v="3"/>
  </r>
  <r>
    <s v="19965-14"/>
    <x v="0"/>
    <x v="4"/>
    <x v="0"/>
    <x v="1"/>
    <x v="1"/>
    <n v="114"/>
    <x v="4"/>
  </r>
  <r>
    <s v="199665-74"/>
    <x v="0"/>
    <x v="5"/>
    <x v="0"/>
    <x v="1"/>
    <x v="1"/>
    <n v="1478"/>
    <x v="5"/>
  </r>
  <r>
    <s v="199675+"/>
    <x v="0"/>
    <x v="6"/>
    <x v="0"/>
    <x v="1"/>
    <x v="1"/>
    <n v="1582"/>
    <x v="6"/>
  </r>
  <r>
    <s v="19970-4"/>
    <x v="1"/>
    <x v="0"/>
    <x v="0"/>
    <x v="1"/>
    <x v="1"/>
    <n v="60"/>
    <x v="7"/>
  </r>
  <r>
    <s v="199715-24"/>
    <x v="1"/>
    <x v="1"/>
    <x v="0"/>
    <x v="1"/>
    <x v="1"/>
    <n v="120"/>
    <x v="8"/>
  </r>
  <r>
    <s v="199725-44"/>
    <x v="1"/>
    <x v="2"/>
    <x v="0"/>
    <x v="1"/>
    <x v="1"/>
    <n v="1160"/>
    <x v="9"/>
  </r>
  <r>
    <s v="199745-64"/>
    <x v="1"/>
    <x v="3"/>
    <x v="0"/>
    <x v="1"/>
    <x v="1"/>
    <n v="2488"/>
    <x v="10"/>
  </r>
  <r>
    <s v="19975-14"/>
    <x v="1"/>
    <x v="4"/>
    <x v="0"/>
    <x v="1"/>
    <x v="1"/>
    <n v="102"/>
    <x v="11"/>
  </r>
  <r>
    <s v="199765-74"/>
    <x v="1"/>
    <x v="5"/>
    <x v="0"/>
    <x v="1"/>
    <x v="1"/>
    <n v="1575"/>
    <x v="12"/>
  </r>
  <r>
    <s v="199775+"/>
    <x v="1"/>
    <x v="6"/>
    <x v="0"/>
    <x v="1"/>
    <x v="1"/>
    <n v="1533"/>
    <x v="13"/>
  </r>
  <r>
    <s v="19980-4"/>
    <x v="2"/>
    <x v="0"/>
    <x v="0"/>
    <x v="1"/>
    <x v="1"/>
    <n v="53"/>
    <x v="14"/>
  </r>
  <r>
    <s v="199815-24"/>
    <x v="2"/>
    <x v="1"/>
    <x v="0"/>
    <x v="1"/>
    <x v="1"/>
    <n v="112"/>
    <x v="15"/>
  </r>
  <r>
    <s v="199825-44"/>
    <x v="2"/>
    <x v="2"/>
    <x v="0"/>
    <x v="1"/>
    <x v="1"/>
    <n v="1064"/>
    <x v="16"/>
  </r>
  <r>
    <s v="199845-64"/>
    <x v="2"/>
    <x v="3"/>
    <x v="0"/>
    <x v="1"/>
    <x v="1"/>
    <n v="2537"/>
    <x v="17"/>
  </r>
  <r>
    <s v="19985-14"/>
    <x v="2"/>
    <x v="4"/>
    <x v="0"/>
    <x v="1"/>
    <x v="1"/>
    <n v="87"/>
    <x v="18"/>
  </r>
  <r>
    <s v="199865-74"/>
    <x v="2"/>
    <x v="5"/>
    <x v="0"/>
    <x v="1"/>
    <x v="1"/>
    <n v="1555"/>
    <x v="19"/>
  </r>
  <r>
    <s v="199875+"/>
    <x v="2"/>
    <x v="6"/>
    <x v="0"/>
    <x v="1"/>
    <x v="1"/>
    <n v="1625"/>
    <x v="20"/>
  </r>
  <r>
    <s v="19990-4"/>
    <x v="3"/>
    <x v="0"/>
    <x v="0"/>
    <x v="1"/>
    <x v="1"/>
    <n v="47"/>
    <x v="21"/>
  </r>
  <r>
    <s v="199915-24"/>
    <x v="3"/>
    <x v="1"/>
    <x v="0"/>
    <x v="1"/>
    <x v="1"/>
    <n v="153"/>
    <x v="22"/>
  </r>
  <r>
    <s v="199925-44"/>
    <x v="3"/>
    <x v="2"/>
    <x v="0"/>
    <x v="1"/>
    <x v="1"/>
    <n v="1077"/>
    <x v="23"/>
  </r>
  <r>
    <s v="199945-64"/>
    <x v="3"/>
    <x v="3"/>
    <x v="0"/>
    <x v="1"/>
    <x v="1"/>
    <n v="2645"/>
    <x v="24"/>
  </r>
  <r>
    <s v="19995-14"/>
    <x v="3"/>
    <x v="4"/>
    <x v="0"/>
    <x v="1"/>
    <x v="1"/>
    <n v="114"/>
    <x v="25"/>
  </r>
  <r>
    <s v="199965-74"/>
    <x v="3"/>
    <x v="5"/>
    <x v="0"/>
    <x v="1"/>
    <x v="1"/>
    <n v="1679"/>
    <x v="26"/>
  </r>
  <r>
    <s v="199975+"/>
    <x v="3"/>
    <x v="6"/>
    <x v="0"/>
    <x v="1"/>
    <x v="1"/>
    <n v="1707"/>
    <x v="27"/>
  </r>
  <r>
    <s v="20000-4"/>
    <x v="4"/>
    <x v="0"/>
    <x v="0"/>
    <x v="1"/>
    <x v="1"/>
    <n v="53"/>
    <x v="28"/>
  </r>
  <r>
    <s v="200015-24"/>
    <x v="4"/>
    <x v="1"/>
    <x v="0"/>
    <x v="1"/>
    <x v="1"/>
    <n v="131"/>
    <x v="29"/>
  </r>
  <r>
    <s v="200025-44"/>
    <x v="4"/>
    <x v="2"/>
    <x v="0"/>
    <x v="1"/>
    <x v="1"/>
    <n v="1092"/>
    <x v="30"/>
  </r>
  <r>
    <s v="200045-64"/>
    <x v="4"/>
    <x v="3"/>
    <x v="0"/>
    <x v="1"/>
    <x v="1"/>
    <n v="2667"/>
    <x v="31"/>
  </r>
  <r>
    <s v="20005-14"/>
    <x v="4"/>
    <x v="4"/>
    <x v="0"/>
    <x v="1"/>
    <x v="1"/>
    <n v="99"/>
    <x v="32"/>
  </r>
  <r>
    <s v="200065-74"/>
    <x v="4"/>
    <x v="5"/>
    <x v="0"/>
    <x v="1"/>
    <x v="1"/>
    <n v="1645"/>
    <x v="33"/>
  </r>
  <r>
    <s v="200075+"/>
    <x v="4"/>
    <x v="6"/>
    <x v="0"/>
    <x v="1"/>
    <x v="1"/>
    <n v="1833"/>
    <x v="34"/>
  </r>
  <r>
    <s v="20010-4"/>
    <x v="5"/>
    <x v="0"/>
    <x v="0"/>
    <x v="1"/>
    <x v="1"/>
    <n v="53"/>
    <x v="35"/>
  </r>
  <r>
    <s v="200115-24"/>
    <x v="5"/>
    <x v="1"/>
    <x v="0"/>
    <x v="1"/>
    <x v="1"/>
    <n v="118"/>
    <x v="36"/>
  </r>
  <r>
    <s v="200125-44"/>
    <x v="5"/>
    <x v="2"/>
    <x v="0"/>
    <x v="1"/>
    <x v="1"/>
    <n v="1149"/>
    <x v="37"/>
  </r>
  <r>
    <s v="200145-64"/>
    <x v="5"/>
    <x v="3"/>
    <x v="0"/>
    <x v="1"/>
    <x v="1"/>
    <n v="2782"/>
    <x v="38"/>
  </r>
  <r>
    <s v="20015-14"/>
    <x v="5"/>
    <x v="4"/>
    <x v="0"/>
    <x v="1"/>
    <x v="1"/>
    <n v="115"/>
    <x v="39"/>
  </r>
  <r>
    <s v="200165-74"/>
    <x v="5"/>
    <x v="5"/>
    <x v="0"/>
    <x v="1"/>
    <x v="1"/>
    <n v="1784"/>
    <x v="40"/>
  </r>
  <r>
    <s v="200175+"/>
    <x v="5"/>
    <x v="6"/>
    <x v="0"/>
    <x v="1"/>
    <x v="1"/>
    <n v="1809"/>
    <x v="41"/>
  </r>
  <r>
    <s v="20020-4"/>
    <x v="6"/>
    <x v="0"/>
    <x v="0"/>
    <x v="1"/>
    <x v="1"/>
    <n v="42"/>
    <x v="42"/>
  </r>
  <r>
    <s v="200215-24"/>
    <x v="6"/>
    <x v="1"/>
    <x v="0"/>
    <x v="1"/>
    <x v="1"/>
    <n v="145"/>
    <x v="43"/>
  </r>
  <r>
    <s v="200225-44"/>
    <x v="6"/>
    <x v="2"/>
    <x v="0"/>
    <x v="1"/>
    <x v="1"/>
    <n v="1228"/>
    <x v="44"/>
  </r>
  <r>
    <s v="200245-64"/>
    <x v="6"/>
    <x v="3"/>
    <x v="0"/>
    <x v="1"/>
    <x v="1"/>
    <n v="3026"/>
    <x v="45"/>
  </r>
  <r>
    <s v="20025-14"/>
    <x v="6"/>
    <x v="4"/>
    <x v="0"/>
    <x v="1"/>
    <x v="1"/>
    <n v="116"/>
    <x v="46"/>
  </r>
  <r>
    <s v="200265-74"/>
    <x v="6"/>
    <x v="5"/>
    <x v="0"/>
    <x v="1"/>
    <x v="1"/>
    <n v="1817"/>
    <x v="47"/>
  </r>
  <r>
    <s v="200275+"/>
    <x v="6"/>
    <x v="6"/>
    <x v="0"/>
    <x v="1"/>
    <x v="1"/>
    <n v="1923"/>
    <x v="48"/>
  </r>
  <r>
    <s v="20030-4"/>
    <x v="7"/>
    <x v="0"/>
    <x v="0"/>
    <x v="1"/>
    <x v="1"/>
    <n v="62"/>
    <x v="49"/>
  </r>
  <r>
    <s v="200315-24"/>
    <x v="7"/>
    <x v="1"/>
    <x v="0"/>
    <x v="1"/>
    <x v="1"/>
    <n v="142"/>
    <x v="50"/>
  </r>
  <r>
    <s v="200325-44"/>
    <x v="7"/>
    <x v="2"/>
    <x v="0"/>
    <x v="1"/>
    <x v="1"/>
    <n v="1233"/>
    <x v="51"/>
  </r>
  <r>
    <s v="200345-64"/>
    <x v="7"/>
    <x v="3"/>
    <x v="0"/>
    <x v="1"/>
    <x v="1"/>
    <n v="3131"/>
    <x v="52"/>
  </r>
  <r>
    <s v="20035-14"/>
    <x v="7"/>
    <x v="4"/>
    <x v="0"/>
    <x v="1"/>
    <x v="1"/>
    <n v="90"/>
    <x v="53"/>
  </r>
  <r>
    <s v="200365-74"/>
    <x v="7"/>
    <x v="5"/>
    <x v="0"/>
    <x v="1"/>
    <x v="1"/>
    <n v="1836"/>
    <x v="54"/>
  </r>
  <r>
    <s v="200375+"/>
    <x v="7"/>
    <x v="6"/>
    <x v="0"/>
    <x v="1"/>
    <x v="1"/>
    <n v="2171"/>
    <x v="55"/>
  </r>
  <r>
    <s v="20040-4"/>
    <x v="8"/>
    <x v="0"/>
    <x v="0"/>
    <x v="1"/>
    <x v="1"/>
    <n v="50"/>
    <x v="56"/>
  </r>
  <r>
    <s v="200415-24"/>
    <x v="8"/>
    <x v="1"/>
    <x v="0"/>
    <x v="1"/>
    <x v="1"/>
    <n v="150"/>
    <x v="57"/>
  </r>
  <r>
    <s v="200425-44"/>
    <x v="8"/>
    <x v="2"/>
    <x v="0"/>
    <x v="1"/>
    <x v="1"/>
    <n v="1177"/>
    <x v="58"/>
  </r>
  <r>
    <s v="200445-64"/>
    <x v="8"/>
    <x v="3"/>
    <x v="0"/>
    <x v="1"/>
    <x v="1"/>
    <n v="3239"/>
    <x v="59"/>
  </r>
  <r>
    <s v="20045-14"/>
    <x v="8"/>
    <x v="4"/>
    <x v="0"/>
    <x v="1"/>
    <x v="1"/>
    <n v="108"/>
    <x v="60"/>
  </r>
  <r>
    <s v="200465-74"/>
    <x v="8"/>
    <x v="5"/>
    <x v="0"/>
    <x v="1"/>
    <x v="1"/>
    <n v="1854"/>
    <x v="61"/>
  </r>
  <r>
    <s v="200475+"/>
    <x v="8"/>
    <x v="6"/>
    <x v="0"/>
    <x v="1"/>
    <x v="1"/>
    <n v="2094"/>
    <x v="62"/>
  </r>
  <r>
    <s v="20050-4"/>
    <x v="9"/>
    <x v="0"/>
    <x v="0"/>
    <x v="1"/>
    <x v="1"/>
    <n v="44"/>
    <x v="63"/>
  </r>
  <r>
    <s v="200515-24"/>
    <x v="9"/>
    <x v="1"/>
    <x v="0"/>
    <x v="1"/>
    <x v="1"/>
    <n v="159"/>
    <x v="64"/>
  </r>
  <r>
    <s v="200525-44"/>
    <x v="9"/>
    <x v="2"/>
    <x v="0"/>
    <x v="1"/>
    <x v="1"/>
    <n v="1195"/>
    <x v="65"/>
  </r>
  <r>
    <s v="200545-64"/>
    <x v="9"/>
    <x v="3"/>
    <x v="0"/>
    <x v="1"/>
    <x v="1"/>
    <n v="3395"/>
    <x v="66"/>
  </r>
  <r>
    <s v="20055-14"/>
    <x v="9"/>
    <x v="4"/>
    <x v="0"/>
    <x v="1"/>
    <x v="1"/>
    <n v="97"/>
    <x v="67"/>
  </r>
  <r>
    <s v="200565-74"/>
    <x v="9"/>
    <x v="5"/>
    <x v="0"/>
    <x v="1"/>
    <x v="1"/>
    <n v="1876"/>
    <x v="68"/>
  </r>
  <r>
    <s v="200575+"/>
    <x v="9"/>
    <x v="6"/>
    <x v="0"/>
    <x v="1"/>
    <x v="1"/>
    <n v="2304"/>
    <x v="69"/>
  </r>
  <r>
    <s v="20060-4"/>
    <x v="10"/>
    <x v="0"/>
    <x v="0"/>
    <x v="1"/>
    <x v="1"/>
    <n v="52"/>
    <x v="70"/>
  </r>
  <r>
    <s v="200615-24"/>
    <x v="10"/>
    <x v="1"/>
    <x v="0"/>
    <x v="1"/>
    <x v="1"/>
    <n v="148"/>
    <x v="71"/>
  </r>
  <r>
    <s v="200625-44"/>
    <x v="10"/>
    <x v="2"/>
    <x v="0"/>
    <x v="1"/>
    <x v="1"/>
    <n v="1247"/>
    <x v="72"/>
  </r>
  <r>
    <s v="200645-64"/>
    <x v="10"/>
    <x v="3"/>
    <x v="0"/>
    <x v="1"/>
    <x v="1"/>
    <n v="3489"/>
    <x v="73"/>
  </r>
  <r>
    <s v="20065-14"/>
    <x v="10"/>
    <x v="4"/>
    <x v="0"/>
    <x v="1"/>
    <x v="1"/>
    <n v="110"/>
    <x v="74"/>
  </r>
  <r>
    <s v="200665-74"/>
    <x v="10"/>
    <x v="5"/>
    <x v="0"/>
    <x v="1"/>
    <x v="1"/>
    <n v="1763"/>
    <x v="75"/>
  </r>
  <r>
    <s v="200675+"/>
    <x v="10"/>
    <x v="6"/>
    <x v="0"/>
    <x v="1"/>
    <x v="1"/>
    <n v="2321"/>
    <x v="76"/>
  </r>
  <r>
    <s v="20070-4"/>
    <x v="11"/>
    <x v="0"/>
    <x v="0"/>
    <x v="1"/>
    <x v="1"/>
    <n v="46"/>
    <x v="77"/>
  </r>
  <r>
    <s v="200715-24"/>
    <x v="11"/>
    <x v="1"/>
    <x v="0"/>
    <x v="1"/>
    <x v="1"/>
    <n v="146"/>
    <x v="78"/>
  </r>
  <r>
    <s v="200725-44"/>
    <x v="11"/>
    <x v="2"/>
    <x v="0"/>
    <x v="1"/>
    <x v="1"/>
    <n v="1220"/>
    <x v="79"/>
  </r>
  <r>
    <s v="200745-64"/>
    <x v="11"/>
    <x v="3"/>
    <x v="0"/>
    <x v="1"/>
    <x v="1"/>
    <n v="3438"/>
    <x v="80"/>
  </r>
  <r>
    <s v="20075-14"/>
    <x v="11"/>
    <x v="4"/>
    <x v="0"/>
    <x v="1"/>
    <x v="1"/>
    <n v="96"/>
    <x v="81"/>
  </r>
  <r>
    <s v="200765-74"/>
    <x v="11"/>
    <x v="5"/>
    <x v="0"/>
    <x v="1"/>
    <x v="1"/>
    <n v="1997"/>
    <x v="82"/>
  </r>
  <r>
    <s v="200775+"/>
    <x v="11"/>
    <x v="6"/>
    <x v="0"/>
    <x v="1"/>
    <x v="1"/>
    <n v="2427"/>
    <x v="83"/>
  </r>
  <r>
    <s v="20080-4"/>
    <x v="12"/>
    <x v="0"/>
    <x v="0"/>
    <x v="1"/>
    <x v="1"/>
    <n v="44"/>
    <x v="84"/>
  </r>
  <r>
    <s v="200815-24"/>
    <x v="12"/>
    <x v="1"/>
    <x v="0"/>
    <x v="1"/>
    <x v="1"/>
    <n v="144"/>
    <x v="85"/>
  </r>
  <r>
    <s v="200825-44"/>
    <x v="12"/>
    <x v="2"/>
    <x v="0"/>
    <x v="1"/>
    <x v="1"/>
    <n v="1233"/>
    <x v="86"/>
  </r>
  <r>
    <s v="200845-64"/>
    <x v="12"/>
    <x v="3"/>
    <x v="0"/>
    <x v="1"/>
    <x v="1"/>
    <n v="3672"/>
    <x v="87"/>
  </r>
  <r>
    <s v="20085-14"/>
    <x v="12"/>
    <x v="4"/>
    <x v="0"/>
    <x v="1"/>
    <x v="1"/>
    <n v="93"/>
    <x v="88"/>
  </r>
  <r>
    <s v="200865-74"/>
    <x v="12"/>
    <x v="5"/>
    <x v="0"/>
    <x v="1"/>
    <x v="1"/>
    <n v="1973"/>
    <x v="89"/>
  </r>
  <r>
    <s v="200875+"/>
    <x v="12"/>
    <x v="6"/>
    <x v="0"/>
    <x v="1"/>
    <x v="1"/>
    <n v="2477"/>
    <x v="90"/>
  </r>
  <r>
    <s v="20090-4"/>
    <x v="13"/>
    <x v="0"/>
    <x v="0"/>
    <x v="1"/>
    <x v="1"/>
    <n v="41"/>
    <x v="91"/>
  </r>
  <r>
    <s v="200915-24"/>
    <x v="13"/>
    <x v="1"/>
    <x v="0"/>
    <x v="1"/>
    <x v="1"/>
    <n v="132"/>
    <x v="92"/>
  </r>
  <r>
    <s v="200925-44"/>
    <x v="13"/>
    <x v="2"/>
    <x v="0"/>
    <x v="1"/>
    <x v="1"/>
    <n v="1231"/>
    <x v="93"/>
  </r>
  <r>
    <s v="200945-64"/>
    <x v="13"/>
    <x v="3"/>
    <x v="0"/>
    <x v="1"/>
    <x v="1"/>
    <n v="3850"/>
    <x v="94"/>
  </r>
  <r>
    <s v="20095-14"/>
    <x v="13"/>
    <x v="4"/>
    <x v="0"/>
    <x v="1"/>
    <x v="1"/>
    <n v="81"/>
    <x v="95"/>
  </r>
  <r>
    <s v="200965-74"/>
    <x v="13"/>
    <x v="5"/>
    <x v="0"/>
    <x v="1"/>
    <x v="1"/>
    <n v="2067"/>
    <x v="96"/>
  </r>
  <r>
    <s v="200975+"/>
    <x v="13"/>
    <x v="6"/>
    <x v="0"/>
    <x v="1"/>
    <x v="1"/>
    <n v="2552"/>
    <x v="97"/>
  </r>
  <r>
    <s v="20100-4"/>
    <x v="14"/>
    <x v="0"/>
    <x v="0"/>
    <x v="1"/>
    <x v="1"/>
    <n v="54"/>
    <x v="98"/>
  </r>
  <r>
    <s v="201015-24"/>
    <x v="14"/>
    <x v="1"/>
    <x v="0"/>
    <x v="1"/>
    <x v="1"/>
    <n v="136"/>
    <x v="99"/>
  </r>
  <r>
    <s v="201025-44"/>
    <x v="14"/>
    <x v="2"/>
    <x v="0"/>
    <x v="1"/>
    <x v="1"/>
    <n v="1338"/>
    <x v="100"/>
  </r>
  <r>
    <s v="201045-64"/>
    <x v="14"/>
    <x v="3"/>
    <x v="0"/>
    <x v="1"/>
    <x v="1"/>
    <n v="3915"/>
    <x v="101"/>
  </r>
  <r>
    <s v="20105-14"/>
    <x v="14"/>
    <x v="4"/>
    <x v="0"/>
    <x v="1"/>
    <x v="1"/>
    <n v="96"/>
    <x v="102"/>
  </r>
  <r>
    <s v="201065-74"/>
    <x v="14"/>
    <x v="5"/>
    <x v="0"/>
    <x v="1"/>
    <x v="1"/>
    <n v="2083"/>
    <x v="103"/>
  </r>
  <r>
    <s v="201075+"/>
    <x v="14"/>
    <x v="6"/>
    <x v="0"/>
    <x v="1"/>
    <x v="1"/>
    <n v="2647"/>
    <x v="104"/>
  </r>
  <r>
    <s v="20110-4"/>
    <x v="15"/>
    <x v="0"/>
    <x v="0"/>
    <x v="1"/>
    <x v="1"/>
    <n v="63"/>
    <x v="105"/>
  </r>
  <r>
    <s v="201115-24"/>
    <x v="15"/>
    <x v="1"/>
    <x v="0"/>
    <x v="1"/>
    <x v="1"/>
    <n v="131"/>
    <x v="106"/>
  </r>
  <r>
    <s v="201125-44"/>
    <x v="15"/>
    <x v="2"/>
    <x v="0"/>
    <x v="1"/>
    <x v="1"/>
    <n v="1358"/>
    <x v="107"/>
  </r>
  <r>
    <s v="201145-64"/>
    <x v="15"/>
    <x v="3"/>
    <x v="0"/>
    <x v="1"/>
    <x v="1"/>
    <n v="4243"/>
    <x v="108"/>
  </r>
  <r>
    <s v="20115-14"/>
    <x v="15"/>
    <x v="4"/>
    <x v="0"/>
    <x v="1"/>
    <x v="1"/>
    <n v="116"/>
    <x v="109"/>
  </r>
  <r>
    <s v="201165-74"/>
    <x v="15"/>
    <x v="5"/>
    <x v="0"/>
    <x v="1"/>
    <x v="1"/>
    <n v="2248"/>
    <x v="110"/>
  </r>
  <r>
    <s v="201175+"/>
    <x v="15"/>
    <x v="6"/>
    <x v="0"/>
    <x v="1"/>
    <x v="1"/>
    <n v="2746"/>
    <x v="111"/>
  </r>
  <r>
    <s v="20120-4"/>
    <x v="16"/>
    <x v="0"/>
    <x v="0"/>
    <x v="1"/>
    <x v="1"/>
    <n v="75"/>
    <x v="112"/>
  </r>
  <r>
    <s v="201215-24"/>
    <x v="16"/>
    <x v="1"/>
    <x v="0"/>
    <x v="1"/>
    <x v="1"/>
    <n v="160"/>
    <x v="113"/>
  </r>
  <r>
    <s v="201225-44"/>
    <x v="16"/>
    <x v="2"/>
    <x v="0"/>
    <x v="1"/>
    <x v="1"/>
    <n v="1305"/>
    <x v="114"/>
  </r>
  <r>
    <s v="201245-64"/>
    <x v="16"/>
    <x v="3"/>
    <x v="0"/>
    <x v="1"/>
    <x v="1"/>
    <n v="4528"/>
    <x v="115"/>
  </r>
  <r>
    <s v="20125-14"/>
    <x v="16"/>
    <x v="4"/>
    <x v="0"/>
    <x v="1"/>
    <x v="1"/>
    <n v="116"/>
    <x v="116"/>
  </r>
  <r>
    <s v="201265-74"/>
    <x v="16"/>
    <x v="5"/>
    <x v="0"/>
    <x v="1"/>
    <x v="1"/>
    <n v="2197"/>
    <x v="117"/>
  </r>
  <r>
    <s v="201275+"/>
    <x v="16"/>
    <x v="6"/>
    <x v="0"/>
    <x v="1"/>
    <x v="1"/>
    <n v="2945"/>
    <x v="118"/>
  </r>
  <r>
    <s v="20130-4"/>
    <x v="17"/>
    <x v="0"/>
    <x v="0"/>
    <x v="1"/>
    <x v="1"/>
    <n v="44"/>
    <x v="119"/>
  </r>
  <r>
    <s v="201315-24"/>
    <x v="17"/>
    <x v="1"/>
    <x v="0"/>
    <x v="1"/>
    <x v="1"/>
    <n v="158"/>
    <x v="120"/>
  </r>
  <r>
    <s v="201325-44"/>
    <x v="17"/>
    <x v="2"/>
    <x v="0"/>
    <x v="1"/>
    <x v="1"/>
    <n v="1362"/>
    <x v="121"/>
  </r>
  <r>
    <s v="201345-64"/>
    <x v="17"/>
    <x v="3"/>
    <x v="0"/>
    <x v="1"/>
    <x v="1"/>
    <n v="4444"/>
    <x v="122"/>
  </r>
  <r>
    <s v="20135-14"/>
    <x v="17"/>
    <x v="4"/>
    <x v="0"/>
    <x v="1"/>
    <x v="1"/>
    <n v="109"/>
    <x v="123"/>
  </r>
  <r>
    <s v="201365-74"/>
    <x v="17"/>
    <x v="5"/>
    <x v="0"/>
    <x v="1"/>
    <x v="1"/>
    <n v="2409"/>
    <x v="124"/>
  </r>
  <r>
    <s v="201375+"/>
    <x v="17"/>
    <x v="6"/>
    <x v="0"/>
    <x v="1"/>
    <x v="1"/>
    <n v="2930"/>
    <x v="125"/>
  </r>
  <r>
    <s v="20140-4"/>
    <x v="18"/>
    <x v="0"/>
    <x v="0"/>
    <x v="1"/>
    <x v="1"/>
    <n v="61"/>
    <x v="126"/>
  </r>
  <r>
    <s v="201415-24"/>
    <x v="18"/>
    <x v="1"/>
    <x v="0"/>
    <x v="1"/>
    <x v="1"/>
    <n v="151"/>
    <x v="127"/>
  </r>
  <r>
    <s v="201425-44"/>
    <x v="18"/>
    <x v="2"/>
    <x v="0"/>
    <x v="1"/>
    <x v="1"/>
    <n v="1352"/>
    <x v="128"/>
  </r>
  <r>
    <s v="201445-64"/>
    <x v="18"/>
    <x v="3"/>
    <x v="0"/>
    <x v="1"/>
    <x v="1"/>
    <n v="4651"/>
    <x v="129"/>
  </r>
  <r>
    <s v="20145-14"/>
    <x v="18"/>
    <x v="4"/>
    <x v="0"/>
    <x v="1"/>
    <x v="1"/>
    <n v="83"/>
    <x v="130"/>
  </r>
  <r>
    <s v="201465-74"/>
    <x v="18"/>
    <x v="5"/>
    <x v="0"/>
    <x v="1"/>
    <x v="1"/>
    <n v="2538"/>
    <x v="131"/>
  </r>
  <r>
    <s v="201475+"/>
    <x v="18"/>
    <x v="6"/>
    <x v="0"/>
    <x v="1"/>
    <x v="1"/>
    <n v="3174"/>
    <x v="132"/>
  </r>
  <r>
    <s v="19960-4"/>
    <x v="0"/>
    <x v="0"/>
    <x v="0"/>
    <x v="2"/>
    <x v="2"/>
    <n v="6"/>
    <x v="0"/>
  </r>
  <r>
    <s v="199615-24"/>
    <x v="0"/>
    <x v="1"/>
    <x v="0"/>
    <x v="2"/>
    <x v="2"/>
    <n v="28"/>
    <x v="1"/>
  </r>
  <r>
    <s v="199625-44"/>
    <x v="0"/>
    <x v="2"/>
    <x v="0"/>
    <x v="2"/>
    <x v="2"/>
    <n v="261"/>
    <x v="2"/>
  </r>
  <r>
    <s v="199645-64"/>
    <x v="0"/>
    <x v="3"/>
    <x v="0"/>
    <x v="2"/>
    <x v="2"/>
    <n v="792"/>
    <x v="3"/>
  </r>
  <r>
    <s v="19965-14"/>
    <x v="0"/>
    <x v="4"/>
    <x v="0"/>
    <x v="2"/>
    <x v="2"/>
    <n v="9"/>
    <x v="4"/>
  </r>
  <r>
    <s v="199665-74"/>
    <x v="0"/>
    <x v="5"/>
    <x v="0"/>
    <x v="2"/>
    <x v="2"/>
    <n v="820"/>
    <x v="5"/>
  </r>
  <r>
    <s v="199675+"/>
    <x v="0"/>
    <x v="6"/>
    <x v="0"/>
    <x v="2"/>
    <x v="2"/>
    <n v="1961"/>
    <x v="6"/>
  </r>
  <r>
    <s v="19970-4"/>
    <x v="1"/>
    <x v="0"/>
    <x v="0"/>
    <x v="2"/>
    <x v="2"/>
    <n v="4"/>
    <x v="7"/>
  </r>
  <r>
    <s v="199715-24"/>
    <x v="1"/>
    <x v="1"/>
    <x v="0"/>
    <x v="2"/>
    <x v="2"/>
    <n v="27"/>
    <x v="8"/>
  </r>
  <r>
    <s v="199725-44"/>
    <x v="1"/>
    <x v="2"/>
    <x v="0"/>
    <x v="2"/>
    <x v="2"/>
    <n v="289"/>
    <x v="9"/>
  </r>
  <r>
    <s v="199745-64"/>
    <x v="1"/>
    <x v="3"/>
    <x v="0"/>
    <x v="2"/>
    <x v="2"/>
    <n v="764"/>
    <x v="10"/>
  </r>
  <r>
    <s v="19975-14"/>
    <x v="1"/>
    <x v="4"/>
    <x v="0"/>
    <x v="2"/>
    <x v="2"/>
    <n v="14"/>
    <x v="11"/>
  </r>
  <r>
    <s v="199765-74"/>
    <x v="1"/>
    <x v="5"/>
    <x v="0"/>
    <x v="2"/>
    <x v="2"/>
    <n v="758"/>
    <x v="12"/>
  </r>
  <r>
    <s v="199775+"/>
    <x v="1"/>
    <x v="6"/>
    <x v="0"/>
    <x v="2"/>
    <x v="2"/>
    <n v="1950"/>
    <x v="13"/>
  </r>
  <r>
    <s v="19980-4"/>
    <x v="2"/>
    <x v="0"/>
    <x v="0"/>
    <x v="2"/>
    <x v="2"/>
    <n v="10"/>
    <x v="14"/>
  </r>
  <r>
    <s v="199815-24"/>
    <x v="2"/>
    <x v="1"/>
    <x v="0"/>
    <x v="2"/>
    <x v="2"/>
    <n v="22"/>
    <x v="15"/>
  </r>
  <r>
    <s v="199825-44"/>
    <x v="2"/>
    <x v="2"/>
    <x v="0"/>
    <x v="2"/>
    <x v="2"/>
    <n v="238"/>
    <x v="16"/>
  </r>
  <r>
    <s v="199845-64"/>
    <x v="2"/>
    <x v="3"/>
    <x v="0"/>
    <x v="2"/>
    <x v="2"/>
    <n v="756"/>
    <x v="17"/>
  </r>
  <r>
    <s v="19985-14"/>
    <x v="2"/>
    <x v="4"/>
    <x v="0"/>
    <x v="2"/>
    <x v="2"/>
    <n v="17"/>
    <x v="18"/>
  </r>
  <r>
    <s v="199865-74"/>
    <x v="2"/>
    <x v="5"/>
    <x v="0"/>
    <x v="2"/>
    <x v="2"/>
    <n v="833"/>
    <x v="19"/>
  </r>
  <r>
    <s v="199875+"/>
    <x v="2"/>
    <x v="6"/>
    <x v="0"/>
    <x v="2"/>
    <x v="2"/>
    <n v="1905"/>
    <x v="20"/>
  </r>
  <r>
    <s v="19990-4"/>
    <x v="3"/>
    <x v="0"/>
    <x v="0"/>
    <x v="2"/>
    <x v="2"/>
    <n v="14"/>
    <x v="21"/>
  </r>
  <r>
    <s v="199915-24"/>
    <x v="3"/>
    <x v="1"/>
    <x v="0"/>
    <x v="2"/>
    <x v="2"/>
    <n v="29"/>
    <x v="22"/>
  </r>
  <r>
    <s v="199925-44"/>
    <x v="3"/>
    <x v="2"/>
    <x v="0"/>
    <x v="2"/>
    <x v="2"/>
    <n v="264"/>
    <x v="23"/>
  </r>
  <r>
    <s v="199945-64"/>
    <x v="3"/>
    <x v="3"/>
    <x v="0"/>
    <x v="2"/>
    <x v="2"/>
    <n v="902"/>
    <x v="24"/>
  </r>
  <r>
    <s v="19995-14"/>
    <x v="3"/>
    <x v="4"/>
    <x v="0"/>
    <x v="2"/>
    <x v="2"/>
    <n v="10"/>
    <x v="25"/>
  </r>
  <r>
    <s v="199965-74"/>
    <x v="3"/>
    <x v="5"/>
    <x v="0"/>
    <x v="2"/>
    <x v="2"/>
    <n v="843"/>
    <x v="26"/>
  </r>
  <r>
    <s v="199975+"/>
    <x v="3"/>
    <x v="6"/>
    <x v="0"/>
    <x v="2"/>
    <x v="2"/>
    <n v="2179"/>
    <x v="27"/>
  </r>
  <r>
    <s v="20000-4"/>
    <x v="4"/>
    <x v="0"/>
    <x v="0"/>
    <x v="2"/>
    <x v="2"/>
    <n v="7"/>
    <x v="28"/>
  </r>
  <r>
    <s v="200015-24"/>
    <x v="4"/>
    <x v="1"/>
    <x v="0"/>
    <x v="2"/>
    <x v="2"/>
    <n v="31"/>
    <x v="29"/>
  </r>
  <r>
    <s v="200025-44"/>
    <x v="4"/>
    <x v="2"/>
    <x v="0"/>
    <x v="2"/>
    <x v="2"/>
    <n v="267"/>
    <x v="30"/>
  </r>
  <r>
    <s v="200045-64"/>
    <x v="4"/>
    <x v="3"/>
    <x v="0"/>
    <x v="2"/>
    <x v="2"/>
    <n v="786"/>
    <x v="31"/>
  </r>
  <r>
    <s v="20005-14"/>
    <x v="4"/>
    <x v="4"/>
    <x v="0"/>
    <x v="2"/>
    <x v="2"/>
    <n v="10"/>
    <x v="32"/>
  </r>
  <r>
    <s v="200065-74"/>
    <x v="4"/>
    <x v="5"/>
    <x v="0"/>
    <x v="2"/>
    <x v="2"/>
    <n v="812"/>
    <x v="33"/>
  </r>
  <r>
    <s v="200075+"/>
    <x v="4"/>
    <x v="6"/>
    <x v="0"/>
    <x v="2"/>
    <x v="2"/>
    <n v="2088"/>
    <x v="34"/>
  </r>
  <r>
    <s v="20010-4"/>
    <x v="5"/>
    <x v="0"/>
    <x v="0"/>
    <x v="2"/>
    <x v="2"/>
    <n v="4"/>
    <x v="35"/>
  </r>
  <r>
    <s v="200115-24"/>
    <x v="5"/>
    <x v="1"/>
    <x v="0"/>
    <x v="2"/>
    <x v="2"/>
    <n v="27"/>
    <x v="36"/>
  </r>
  <r>
    <s v="200125-44"/>
    <x v="5"/>
    <x v="2"/>
    <x v="0"/>
    <x v="2"/>
    <x v="2"/>
    <n v="260"/>
    <x v="37"/>
  </r>
  <r>
    <s v="200145-64"/>
    <x v="5"/>
    <x v="3"/>
    <x v="0"/>
    <x v="2"/>
    <x v="2"/>
    <n v="778"/>
    <x v="38"/>
  </r>
  <r>
    <s v="20015-14"/>
    <x v="5"/>
    <x v="4"/>
    <x v="0"/>
    <x v="2"/>
    <x v="2"/>
    <n v="7"/>
    <x v="39"/>
  </r>
  <r>
    <s v="200165-74"/>
    <x v="5"/>
    <x v="5"/>
    <x v="0"/>
    <x v="2"/>
    <x v="2"/>
    <n v="863"/>
    <x v="40"/>
  </r>
  <r>
    <s v="200175+"/>
    <x v="5"/>
    <x v="6"/>
    <x v="0"/>
    <x v="2"/>
    <x v="2"/>
    <n v="2303"/>
    <x v="41"/>
  </r>
  <r>
    <s v="20020-4"/>
    <x v="6"/>
    <x v="0"/>
    <x v="0"/>
    <x v="2"/>
    <x v="2"/>
    <n v="5"/>
    <x v="42"/>
  </r>
  <r>
    <s v="200215-24"/>
    <x v="6"/>
    <x v="1"/>
    <x v="0"/>
    <x v="2"/>
    <x v="2"/>
    <n v="25"/>
    <x v="43"/>
  </r>
  <r>
    <s v="200225-44"/>
    <x v="6"/>
    <x v="2"/>
    <x v="0"/>
    <x v="2"/>
    <x v="2"/>
    <n v="232"/>
    <x v="44"/>
  </r>
  <r>
    <s v="200245-64"/>
    <x v="6"/>
    <x v="3"/>
    <x v="0"/>
    <x v="2"/>
    <x v="2"/>
    <n v="870"/>
    <x v="45"/>
  </r>
  <r>
    <s v="20025-14"/>
    <x v="6"/>
    <x v="4"/>
    <x v="0"/>
    <x v="2"/>
    <x v="2"/>
    <n v="17"/>
    <x v="46"/>
  </r>
  <r>
    <s v="200265-74"/>
    <x v="6"/>
    <x v="5"/>
    <x v="0"/>
    <x v="2"/>
    <x v="2"/>
    <n v="842"/>
    <x v="47"/>
  </r>
  <r>
    <s v="200275+"/>
    <x v="6"/>
    <x v="6"/>
    <x v="0"/>
    <x v="2"/>
    <x v="2"/>
    <n v="2216"/>
    <x v="48"/>
  </r>
  <r>
    <s v="20030-4"/>
    <x v="7"/>
    <x v="0"/>
    <x v="0"/>
    <x v="2"/>
    <x v="2"/>
    <n v="0"/>
    <x v="49"/>
  </r>
  <r>
    <s v="200315-24"/>
    <x v="7"/>
    <x v="1"/>
    <x v="0"/>
    <x v="2"/>
    <x v="2"/>
    <n v="25"/>
    <x v="50"/>
  </r>
  <r>
    <s v="200325-44"/>
    <x v="7"/>
    <x v="2"/>
    <x v="0"/>
    <x v="2"/>
    <x v="2"/>
    <n v="235"/>
    <x v="51"/>
  </r>
  <r>
    <s v="200345-64"/>
    <x v="7"/>
    <x v="3"/>
    <x v="0"/>
    <x v="2"/>
    <x v="2"/>
    <n v="870"/>
    <x v="52"/>
  </r>
  <r>
    <s v="20035-14"/>
    <x v="7"/>
    <x v="4"/>
    <x v="0"/>
    <x v="2"/>
    <x v="2"/>
    <n v="6"/>
    <x v="53"/>
  </r>
  <r>
    <s v="200365-74"/>
    <x v="7"/>
    <x v="5"/>
    <x v="0"/>
    <x v="2"/>
    <x v="2"/>
    <n v="864"/>
    <x v="54"/>
  </r>
  <r>
    <s v="200375+"/>
    <x v="7"/>
    <x v="6"/>
    <x v="0"/>
    <x v="2"/>
    <x v="2"/>
    <n v="2463"/>
    <x v="55"/>
  </r>
  <r>
    <s v="20040-4"/>
    <x v="8"/>
    <x v="0"/>
    <x v="0"/>
    <x v="2"/>
    <x v="2"/>
    <n v="0"/>
    <x v="56"/>
  </r>
  <r>
    <s v="200415-24"/>
    <x v="8"/>
    <x v="1"/>
    <x v="0"/>
    <x v="2"/>
    <x v="2"/>
    <n v="25"/>
    <x v="57"/>
  </r>
  <r>
    <s v="200425-44"/>
    <x v="8"/>
    <x v="2"/>
    <x v="0"/>
    <x v="2"/>
    <x v="2"/>
    <n v="223"/>
    <x v="58"/>
  </r>
  <r>
    <s v="200445-64"/>
    <x v="8"/>
    <x v="3"/>
    <x v="0"/>
    <x v="2"/>
    <x v="2"/>
    <n v="829"/>
    <x v="59"/>
  </r>
  <r>
    <s v="20045-14"/>
    <x v="8"/>
    <x v="4"/>
    <x v="0"/>
    <x v="2"/>
    <x v="2"/>
    <n v="5"/>
    <x v="60"/>
  </r>
  <r>
    <s v="200465-74"/>
    <x v="8"/>
    <x v="5"/>
    <x v="0"/>
    <x v="2"/>
    <x v="2"/>
    <n v="818"/>
    <x v="61"/>
  </r>
  <r>
    <s v="200475+"/>
    <x v="8"/>
    <x v="6"/>
    <x v="0"/>
    <x v="2"/>
    <x v="2"/>
    <n v="2259"/>
    <x v="62"/>
  </r>
  <r>
    <s v="20050-4"/>
    <x v="9"/>
    <x v="0"/>
    <x v="0"/>
    <x v="2"/>
    <x v="2"/>
    <n v="3"/>
    <x v="63"/>
  </r>
  <r>
    <s v="200515-24"/>
    <x v="9"/>
    <x v="1"/>
    <x v="0"/>
    <x v="2"/>
    <x v="2"/>
    <n v="39"/>
    <x v="64"/>
  </r>
  <r>
    <s v="200525-44"/>
    <x v="9"/>
    <x v="2"/>
    <x v="0"/>
    <x v="2"/>
    <x v="2"/>
    <n v="220"/>
    <x v="65"/>
  </r>
  <r>
    <s v="200545-64"/>
    <x v="9"/>
    <x v="3"/>
    <x v="0"/>
    <x v="2"/>
    <x v="2"/>
    <n v="853"/>
    <x v="66"/>
  </r>
  <r>
    <s v="20055-14"/>
    <x v="9"/>
    <x v="4"/>
    <x v="0"/>
    <x v="2"/>
    <x v="2"/>
    <n v="0"/>
    <x v="67"/>
  </r>
  <r>
    <s v="200565-74"/>
    <x v="9"/>
    <x v="5"/>
    <x v="0"/>
    <x v="2"/>
    <x v="2"/>
    <n v="828"/>
    <x v="68"/>
  </r>
  <r>
    <s v="200575+"/>
    <x v="9"/>
    <x v="6"/>
    <x v="0"/>
    <x v="2"/>
    <x v="2"/>
    <n v="2450"/>
    <x v="69"/>
  </r>
  <r>
    <s v="20060-4"/>
    <x v="10"/>
    <x v="0"/>
    <x v="0"/>
    <x v="2"/>
    <x v="2"/>
    <n v="2"/>
    <x v="70"/>
  </r>
  <r>
    <s v="200615-24"/>
    <x v="10"/>
    <x v="1"/>
    <x v="0"/>
    <x v="2"/>
    <x v="2"/>
    <n v="34"/>
    <x v="71"/>
  </r>
  <r>
    <s v="200625-44"/>
    <x v="10"/>
    <x v="2"/>
    <x v="0"/>
    <x v="2"/>
    <x v="2"/>
    <n v="223"/>
    <x v="72"/>
  </r>
  <r>
    <s v="200645-64"/>
    <x v="10"/>
    <x v="3"/>
    <x v="0"/>
    <x v="2"/>
    <x v="2"/>
    <n v="894"/>
    <x v="73"/>
  </r>
  <r>
    <s v="20065-14"/>
    <x v="10"/>
    <x v="4"/>
    <x v="0"/>
    <x v="2"/>
    <x v="2"/>
    <n v="5"/>
    <x v="74"/>
  </r>
  <r>
    <s v="200665-74"/>
    <x v="10"/>
    <x v="5"/>
    <x v="0"/>
    <x v="2"/>
    <x v="2"/>
    <n v="872"/>
    <x v="75"/>
  </r>
  <r>
    <s v="200675+"/>
    <x v="10"/>
    <x v="6"/>
    <x v="0"/>
    <x v="2"/>
    <x v="2"/>
    <n v="2679"/>
    <x v="76"/>
  </r>
  <r>
    <s v="20070-4"/>
    <x v="11"/>
    <x v="0"/>
    <x v="0"/>
    <x v="2"/>
    <x v="2"/>
    <n v="1"/>
    <x v="77"/>
  </r>
  <r>
    <s v="200715-24"/>
    <x v="11"/>
    <x v="1"/>
    <x v="0"/>
    <x v="2"/>
    <x v="2"/>
    <n v="28"/>
    <x v="78"/>
  </r>
  <r>
    <s v="200725-44"/>
    <x v="11"/>
    <x v="2"/>
    <x v="0"/>
    <x v="2"/>
    <x v="2"/>
    <n v="215"/>
    <x v="79"/>
  </r>
  <r>
    <s v="200745-64"/>
    <x v="11"/>
    <x v="3"/>
    <x v="0"/>
    <x v="2"/>
    <x v="2"/>
    <n v="901"/>
    <x v="80"/>
  </r>
  <r>
    <s v="20075-14"/>
    <x v="11"/>
    <x v="4"/>
    <x v="0"/>
    <x v="2"/>
    <x v="2"/>
    <n v="2"/>
    <x v="81"/>
  </r>
  <r>
    <s v="200765-74"/>
    <x v="11"/>
    <x v="5"/>
    <x v="0"/>
    <x v="2"/>
    <x v="2"/>
    <n v="841"/>
    <x v="82"/>
  </r>
  <r>
    <s v="200775+"/>
    <x v="11"/>
    <x v="6"/>
    <x v="0"/>
    <x v="2"/>
    <x v="2"/>
    <n v="2905"/>
    <x v="83"/>
  </r>
  <r>
    <s v="20080-4"/>
    <x v="12"/>
    <x v="0"/>
    <x v="0"/>
    <x v="2"/>
    <x v="2"/>
    <n v="0"/>
    <x v="84"/>
  </r>
  <r>
    <s v="200815-24"/>
    <x v="12"/>
    <x v="1"/>
    <x v="0"/>
    <x v="2"/>
    <x v="2"/>
    <n v="33"/>
    <x v="85"/>
  </r>
  <r>
    <s v="200825-44"/>
    <x v="12"/>
    <x v="2"/>
    <x v="0"/>
    <x v="2"/>
    <x v="2"/>
    <n v="217"/>
    <x v="86"/>
  </r>
  <r>
    <s v="200845-64"/>
    <x v="12"/>
    <x v="3"/>
    <x v="0"/>
    <x v="2"/>
    <x v="2"/>
    <n v="937"/>
    <x v="87"/>
  </r>
  <r>
    <s v="20085-14"/>
    <x v="12"/>
    <x v="4"/>
    <x v="0"/>
    <x v="2"/>
    <x v="2"/>
    <n v="4"/>
    <x v="88"/>
  </r>
  <r>
    <s v="200865-74"/>
    <x v="12"/>
    <x v="5"/>
    <x v="0"/>
    <x v="2"/>
    <x v="2"/>
    <n v="835"/>
    <x v="89"/>
  </r>
  <r>
    <s v="200875+"/>
    <x v="12"/>
    <x v="6"/>
    <x v="0"/>
    <x v="2"/>
    <x v="2"/>
    <n v="2901"/>
    <x v="90"/>
  </r>
  <r>
    <s v="20090-4"/>
    <x v="13"/>
    <x v="0"/>
    <x v="0"/>
    <x v="2"/>
    <x v="2"/>
    <n v="3"/>
    <x v="91"/>
  </r>
  <r>
    <s v="200915-24"/>
    <x v="13"/>
    <x v="1"/>
    <x v="0"/>
    <x v="2"/>
    <x v="2"/>
    <n v="29"/>
    <x v="92"/>
  </r>
  <r>
    <s v="200925-44"/>
    <x v="13"/>
    <x v="2"/>
    <x v="0"/>
    <x v="2"/>
    <x v="2"/>
    <n v="232"/>
    <x v="93"/>
  </r>
  <r>
    <s v="200945-64"/>
    <x v="13"/>
    <x v="3"/>
    <x v="0"/>
    <x v="2"/>
    <x v="2"/>
    <n v="877"/>
    <x v="94"/>
  </r>
  <r>
    <s v="20095-14"/>
    <x v="13"/>
    <x v="4"/>
    <x v="0"/>
    <x v="2"/>
    <x v="2"/>
    <n v="5"/>
    <x v="95"/>
  </r>
  <r>
    <s v="200965-74"/>
    <x v="13"/>
    <x v="5"/>
    <x v="0"/>
    <x v="2"/>
    <x v="2"/>
    <n v="831"/>
    <x v="96"/>
  </r>
  <r>
    <s v="200975+"/>
    <x v="13"/>
    <x v="6"/>
    <x v="0"/>
    <x v="2"/>
    <x v="2"/>
    <n v="2956"/>
    <x v="97"/>
  </r>
  <r>
    <s v="20100-4"/>
    <x v="14"/>
    <x v="0"/>
    <x v="0"/>
    <x v="2"/>
    <x v="2"/>
    <n v="3"/>
    <x v="98"/>
  </r>
  <r>
    <s v="201015-24"/>
    <x v="14"/>
    <x v="1"/>
    <x v="0"/>
    <x v="2"/>
    <x v="2"/>
    <n v="37"/>
    <x v="99"/>
  </r>
  <r>
    <s v="201025-44"/>
    <x v="14"/>
    <x v="2"/>
    <x v="0"/>
    <x v="2"/>
    <x v="2"/>
    <n v="216"/>
    <x v="100"/>
  </r>
  <r>
    <s v="201045-64"/>
    <x v="14"/>
    <x v="3"/>
    <x v="0"/>
    <x v="2"/>
    <x v="2"/>
    <n v="945"/>
    <x v="101"/>
  </r>
  <r>
    <s v="20105-14"/>
    <x v="14"/>
    <x v="4"/>
    <x v="0"/>
    <x v="2"/>
    <x v="2"/>
    <n v="3"/>
    <x v="102"/>
  </r>
  <r>
    <s v="201065-74"/>
    <x v="14"/>
    <x v="5"/>
    <x v="0"/>
    <x v="2"/>
    <x v="2"/>
    <n v="942"/>
    <x v="103"/>
  </r>
  <r>
    <s v="201075+"/>
    <x v="14"/>
    <x v="6"/>
    <x v="0"/>
    <x v="2"/>
    <x v="2"/>
    <n v="3186"/>
    <x v="104"/>
  </r>
  <r>
    <s v="20110-4"/>
    <x v="15"/>
    <x v="0"/>
    <x v="0"/>
    <x v="2"/>
    <x v="2"/>
    <n v="4"/>
    <x v="105"/>
  </r>
  <r>
    <s v="201115-24"/>
    <x v="15"/>
    <x v="1"/>
    <x v="0"/>
    <x v="2"/>
    <x v="2"/>
    <n v="33"/>
    <x v="106"/>
  </r>
  <r>
    <s v="201125-44"/>
    <x v="15"/>
    <x v="2"/>
    <x v="0"/>
    <x v="2"/>
    <x v="2"/>
    <n v="250"/>
    <x v="107"/>
  </r>
  <r>
    <s v="201145-64"/>
    <x v="15"/>
    <x v="3"/>
    <x v="0"/>
    <x v="2"/>
    <x v="2"/>
    <n v="1017"/>
    <x v="108"/>
  </r>
  <r>
    <s v="20115-14"/>
    <x v="15"/>
    <x v="4"/>
    <x v="0"/>
    <x v="2"/>
    <x v="2"/>
    <n v="5"/>
    <x v="109"/>
  </r>
  <r>
    <s v="201165-74"/>
    <x v="15"/>
    <x v="5"/>
    <x v="0"/>
    <x v="2"/>
    <x v="2"/>
    <n v="874"/>
    <x v="110"/>
  </r>
  <r>
    <s v="201175+"/>
    <x v="15"/>
    <x v="6"/>
    <x v="0"/>
    <x v="2"/>
    <x v="2"/>
    <n v="3322"/>
    <x v="111"/>
  </r>
  <r>
    <s v="20120-4"/>
    <x v="16"/>
    <x v="0"/>
    <x v="0"/>
    <x v="2"/>
    <x v="2"/>
    <n v="0"/>
    <x v="112"/>
  </r>
  <r>
    <s v="201215-24"/>
    <x v="16"/>
    <x v="1"/>
    <x v="0"/>
    <x v="2"/>
    <x v="2"/>
    <n v="33"/>
    <x v="113"/>
  </r>
  <r>
    <s v="201225-44"/>
    <x v="16"/>
    <x v="2"/>
    <x v="0"/>
    <x v="2"/>
    <x v="2"/>
    <n v="218"/>
    <x v="114"/>
  </r>
  <r>
    <s v="201245-64"/>
    <x v="16"/>
    <x v="3"/>
    <x v="0"/>
    <x v="2"/>
    <x v="2"/>
    <n v="1035"/>
    <x v="115"/>
  </r>
  <r>
    <s v="20125-14"/>
    <x v="16"/>
    <x v="4"/>
    <x v="0"/>
    <x v="2"/>
    <x v="2"/>
    <n v="1"/>
    <x v="116"/>
  </r>
  <r>
    <s v="201265-74"/>
    <x v="16"/>
    <x v="5"/>
    <x v="0"/>
    <x v="2"/>
    <x v="2"/>
    <n v="921"/>
    <x v="117"/>
  </r>
  <r>
    <s v="201275+"/>
    <x v="16"/>
    <x v="6"/>
    <x v="0"/>
    <x v="2"/>
    <x v="2"/>
    <n v="3342"/>
    <x v="118"/>
  </r>
  <r>
    <s v="20130-4"/>
    <x v="17"/>
    <x v="0"/>
    <x v="0"/>
    <x v="2"/>
    <x v="2"/>
    <n v="11"/>
    <x v="119"/>
  </r>
  <r>
    <s v="201315-24"/>
    <x v="17"/>
    <x v="1"/>
    <x v="0"/>
    <x v="2"/>
    <x v="2"/>
    <n v="45"/>
    <x v="120"/>
  </r>
  <r>
    <s v="201325-44"/>
    <x v="17"/>
    <x v="2"/>
    <x v="0"/>
    <x v="2"/>
    <x v="2"/>
    <n v="225"/>
    <x v="121"/>
  </r>
  <r>
    <s v="201345-64"/>
    <x v="17"/>
    <x v="3"/>
    <x v="0"/>
    <x v="2"/>
    <x v="2"/>
    <n v="1012"/>
    <x v="122"/>
  </r>
  <r>
    <s v="20135-14"/>
    <x v="17"/>
    <x v="4"/>
    <x v="0"/>
    <x v="2"/>
    <x v="2"/>
    <n v="8"/>
    <x v="123"/>
  </r>
  <r>
    <s v="201365-74"/>
    <x v="17"/>
    <x v="5"/>
    <x v="0"/>
    <x v="2"/>
    <x v="2"/>
    <n v="922"/>
    <x v="124"/>
  </r>
  <r>
    <s v="201375+"/>
    <x v="17"/>
    <x v="6"/>
    <x v="0"/>
    <x v="2"/>
    <x v="2"/>
    <n v="3324"/>
    <x v="125"/>
  </r>
  <r>
    <s v="20140-4"/>
    <x v="18"/>
    <x v="0"/>
    <x v="0"/>
    <x v="2"/>
    <x v="2"/>
    <n v="3"/>
    <x v="126"/>
  </r>
  <r>
    <s v="201415-24"/>
    <x v="18"/>
    <x v="1"/>
    <x v="0"/>
    <x v="2"/>
    <x v="2"/>
    <n v="27"/>
    <x v="127"/>
  </r>
  <r>
    <s v="201425-44"/>
    <x v="18"/>
    <x v="2"/>
    <x v="0"/>
    <x v="2"/>
    <x v="2"/>
    <n v="228"/>
    <x v="128"/>
  </r>
  <r>
    <s v="201445-64"/>
    <x v="18"/>
    <x v="3"/>
    <x v="0"/>
    <x v="2"/>
    <x v="2"/>
    <n v="1012"/>
    <x v="129"/>
  </r>
  <r>
    <s v="20145-14"/>
    <x v="18"/>
    <x v="4"/>
    <x v="0"/>
    <x v="2"/>
    <x v="2"/>
    <n v="7"/>
    <x v="130"/>
  </r>
  <r>
    <s v="201465-74"/>
    <x v="18"/>
    <x v="5"/>
    <x v="0"/>
    <x v="2"/>
    <x v="2"/>
    <n v="935"/>
    <x v="131"/>
  </r>
  <r>
    <s v="201475+"/>
    <x v="18"/>
    <x v="6"/>
    <x v="0"/>
    <x v="2"/>
    <x v="2"/>
    <n v="3567"/>
    <x v="132"/>
  </r>
  <r>
    <s v="19960-4"/>
    <x v="0"/>
    <x v="0"/>
    <x v="0"/>
    <x v="3"/>
    <x v="3"/>
    <n v="6"/>
    <x v="0"/>
  </r>
  <r>
    <s v="199615-24"/>
    <x v="0"/>
    <x v="1"/>
    <x v="0"/>
    <x v="3"/>
    <x v="3"/>
    <n v="34"/>
    <x v="1"/>
  </r>
  <r>
    <s v="199625-44"/>
    <x v="0"/>
    <x v="2"/>
    <x v="0"/>
    <x v="3"/>
    <x v="3"/>
    <n v="113"/>
    <x v="2"/>
  </r>
  <r>
    <s v="199645-64"/>
    <x v="0"/>
    <x v="3"/>
    <x v="0"/>
    <x v="3"/>
    <x v="3"/>
    <n v="689"/>
    <x v="3"/>
  </r>
  <r>
    <s v="19965-14"/>
    <x v="0"/>
    <x v="4"/>
    <x v="0"/>
    <x v="3"/>
    <x v="3"/>
    <n v="11"/>
    <x v="4"/>
  </r>
  <r>
    <s v="199665-74"/>
    <x v="0"/>
    <x v="5"/>
    <x v="0"/>
    <x v="3"/>
    <x v="3"/>
    <n v="707"/>
    <x v="5"/>
  </r>
  <r>
    <s v="199675+"/>
    <x v="0"/>
    <x v="6"/>
    <x v="0"/>
    <x v="3"/>
    <x v="3"/>
    <n v="819"/>
    <x v="6"/>
  </r>
  <r>
    <s v="19970-4"/>
    <x v="1"/>
    <x v="0"/>
    <x v="0"/>
    <x v="3"/>
    <x v="3"/>
    <n v="5"/>
    <x v="7"/>
  </r>
  <r>
    <s v="199715-24"/>
    <x v="1"/>
    <x v="1"/>
    <x v="0"/>
    <x v="3"/>
    <x v="3"/>
    <n v="30"/>
    <x v="8"/>
  </r>
  <r>
    <s v="199725-44"/>
    <x v="1"/>
    <x v="2"/>
    <x v="0"/>
    <x v="3"/>
    <x v="3"/>
    <n v="121"/>
    <x v="9"/>
  </r>
  <r>
    <s v="199745-64"/>
    <x v="1"/>
    <x v="3"/>
    <x v="0"/>
    <x v="3"/>
    <x v="3"/>
    <n v="758"/>
    <x v="10"/>
  </r>
  <r>
    <s v="19975-14"/>
    <x v="1"/>
    <x v="4"/>
    <x v="0"/>
    <x v="3"/>
    <x v="3"/>
    <n v="8"/>
    <x v="11"/>
  </r>
  <r>
    <s v="199765-74"/>
    <x v="1"/>
    <x v="5"/>
    <x v="0"/>
    <x v="3"/>
    <x v="3"/>
    <n v="763"/>
    <x v="12"/>
  </r>
  <r>
    <s v="199775+"/>
    <x v="1"/>
    <x v="6"/>
    <x v="0"/>
    <x v="3"/>
    <x v="3"/>
    <n v="935"/>
    <x v="13"/>
  </r>
  <r>
    <s v="19980-4"/>
    <x v="2"/>
    <x v="0"/>
    <x v="0"/>
    <x v="3"/>
    <x v="3"/>
    <n v="2"/>
    <x v="14"/>
  </r>
  <r>
    <s v="199815-24"/>
    <x v="2"/>
    <x v="1"/>
    <x v="0"/>
    <x v="3"/>
    <x v="3"/>
    <n v="32"/>
    <x v="15"/>
  </r>
  <r>
    <s v="199825-44"/>
    <x v="2"/>
    <x v="2"/>
    <x v="0"/>
    <x v="3"/>
    <x v="3"/>
    <n v="115"/>
    <x v="16"/>
  </r>
  <r>
    <s v="199845-64"/>
    <x v="2"/>
    <x v="3"/>
    <x v="0"/>
    <x v="3"/>
    <x v="3"/>
    <n v="711"/>
    <x v="17"/>
  </r>
  <r>
    <s v="19985-14"/>
    <x v="2"/>
    <x v="4"/>
    <x v="0"/>
    <x v="3"/>
    <x v="3"/>
    <n v="9"/>
    <x v="18"/>
  </r>
  <r>
    <s v="199865-74"/>
    <x v="2"/>
    <x v="5"/>
    <x v="0"/>
    <x v="3"/>
    <x v="3"/>
    <n v="761"/>
    <x v="19"/>
  </r>
  <r>
    <s v="199875+"/>
    <x v="2"/>
    <x v="6"/>
    <x v="0"/>
    <x v="3"/>
    <x v="3"/>
    <n v="963"/>
    <x v="20"/>
  </r>
  <r>
    <s v="19990-4"/>
    <x v="3"/>
    <x v="0"/>
    <x v="0"/>
    <x v="3"/>
    <x v="3"/>
    <n v="6"/>
    <x v="21"/>
  </r>
  <r>
    <s v="199915-24"/>
    <x v="3"/>
    <x v="1"/>
    <x v="0"/>
    <x v="3"/>
    <x v="3"/>
    <n v="26"/>
    <x v="22"/>
  </r>
  <r>
    <s v="199925-44"/>
    <x v="3"/>
    <x v="2"/>
    <x v="0"/>
    <x v="3"/>
    <x v="3"/>
    <n v="116"/>
    <x v="23"/>
  </r>
  <r>
    <s v="199945-64"/>
    <x v="3"/>
    <x v="3"/>
    <x v="0"/>
    <x v="3"/>
    <x v="3"/>
    <n v="817"/>
    <x v="24"/>
  </r>
  <r>
    <s v="19995-14"/>
    <x v="3"/>
    <x v="4"/>
    <x v="0"/>
    <x v="3"/>
    <x v="3"/>
    <n v="8"/>
    <x v="25"/>
  </r>
  <r>
    <s v="199965-74"/>
    <x v="3"/>
    <x v="5"/>
    <x v="0"/>
    <x v="3"/>
    <x v="3"/>
    <n v="946"/>
    <x v="26"/>
  </r>
  <r>
    <s v="199975+"/>
    <x v="3"/>
    <x v="6"/>
    <x v="0"/>
    <x v="3"/>
    <x v="3"/>
    <n v="1126"/>
    <x v="27"/>
  </r>
  <r>
    <s v="20000-4"/>
    <x v="4"/>
    <x v="0"/>
    <x v="0"/>
    <x v="3"/>
    <x v="3"/>
    <n v="9"/>
    <x v="28"/>
  </r>
  <r>
    <s v="200015-24"/>
    <x v="4"/>
    <x v="1"/>
    <x v="0"/>
    <x v="3"/>
    <x v="3"/>
    <n v="28"/>
    <x v="29"/>
  </r>
  <r>
    <s v="200025-44"/>
    <x v="4"/>
    <x v="2"/>
    <x v="0"/>
    <x v="3"/>
    <x v="3"/>
    <n v="129"/>
    <x v="30"/>
  </r>
  <r>
    <s v="200045-64"/>
    <x v="4"/>
    <x v="3"/>
    <x v="0"/>
    <x v="3"/>
    <x v="3"/>
    <n v="878"/>
    <x v="31"/>
  </r>
  <r>
    <s v="20005-14"/>
    <x v="4"/>
    <x v="4"/>
    <x v="0"/>
    <x v="3"/>
    <x v="3"/>
    <n v="13"/>
    <x v="32"/>
  </r>
  <r>
    <s v="200065-74"/>
    <x v="4"/>
    <x v="5"/>
    <x v="0"/>
    <x v="3"/>
    <x v="3"/>
    <n v="936"/>
    <x v="33"/>
  </r>
  <r>
    <s v="200075+"/>
    <x v="4"/>
    <x v="6"/>
    <x v="0"/>
    <x v="3"/>
    <x v="3"/>
    <n v="1113"/>
    <x v="34"/>
  </r>
  <r>
    <s v="20010-4"/>
    <x v="5"/>
    <x v="0"/>
    <x v="0"/>
    <x v="3"/>
    <x v="3"/>
    <n v="7"/>
    <x v="35"/>
  </r>
  <r>
    <s v="200115-24"/>
    <x v="5"/>
    <x v="1"/>
    <x v="0"/>
    <x v="3"/>
    <x v="3"/>
    <n v="29"/>
    <x v="36"/>
  </r>
  <r>
    <s v="200125-44"/>
    <x v="5"/>
    <x v="2"/>
    <x v="0"/>
    <x v="3"/>
    <x v="3"/>
    <n v="124"/>
    <x v="37"/>
  </r>
  <r>
    <s v="200145-64"/>
    <x v="5"/>
    <x v="3"/>
    <x v="0"/>
    <x v="3"/>
    <x v="3"/>
    <n v="912"/>
    <x v="38"/>
  </r>
  <r>
    <s v="20015-14"/>
    <x v="5"/>
    <x v="4"/>
    <x v="0"/>
    <x v="3"/>
    <x v="3"/>
    <n v="4"/>
    <x v="39"/>
  </r>
  <r>
    <s v="200165-74"/>
    <x v="5"/>
    <x v="5"/>
    <x v="0"/>
    <x v="3"/>
    <x v="3"/>
    <n v="927"/>
    <x v="40"/>
  </r>
  <r>
    <s v="200175+"/>
    <x v="5"/>
    <x v="6"/>
    <x v="0"/>
    <x v="3"/>
    <x v="3"/>
    <n v="1253"/>
    <x v="41"/>
  </r>
  <r>
    <s v="20020-4"/>
    <x v="6"/>
    <x v="0"/>
    <x v="0"/>
    <x v="3"/>
    <x v="3"/>
    <n v="3"/>
    <x v="42"/>
  </r>
  <r>
    <s v="200215-24"/>
    <x v="6"/>
    <x v="1"/>
    <x v="0"/>
    <x v="3"/>
    <x v="3"/>
    <n v="24"/>
    <x v="43"/>
  </r>
  <r>
    <s v="200225-44"/>
    <x v="6"/>
    <x v="2"/>
    <x v="0"/>
    <x v="3"/>
    <x v="3"/>
    <n v="126"/>
    <x v="44"/>
  </r>
  <r>
    <s v="200245-64"/>
    <x v="6"/>
    <x v="3"/>
    <x v="0"/>
    <x v="3"/>
    <x v="3"/>
    <n v="951"/>
    <x v="45"/>
  </r>
  <r>
    <s v="20025-14"/>
    <x v="6"/>
    <x v="4"/>
    <x v="0"/>
    <x v="3"/>
    <x v="3"/>
    <n v="4"/>
    <x v="46"/>
  </r>
  <r>
    <s v="200265-74"/>
    <x v="6"/>
    <x v="5"/>
    <x v="0"/>
    <x v="3"/>
    <x v="3"/>
    <n v="962"/>
    <x v="47"/>
  </r>
  <r>
    <s v="200275+"/>
    <x v="6"/>
    <x v="6"/>
    <x v="0"/>
    <x v="3"/>
    <x v="3"/>
    <n v="1271"/>
    <x v="48"/>
  </r>
  <r>
    <s v="20030-4"/>
    <x v="7"/>
    <x v="0"/>
    <x v="0"/>
    <x v="3"/>
    <x v="3"/>
    <n v="1"/>
    <x v="49"/>
  </r>
  <r>
    <s v="200315-24"/>
    <x v="7"/>
    <x v="1"/>
    <x v="0"/>
    <x v="3"/>
    <x v="3"/>
    <n v="22"/>
    <x v="50"/>
  </r>
  <r>
    <s v="200325-44"/>
    <x v="7"/>
    <x v="2"/>
    <x v="0"/>
    <x v="3"/>
    <x v="3"/>
    <n v="123"/>
    <x v="51"/>
  </r>
  <r>
    <s v="200345-64"/>
    <x v="7"/>
    <x v="3"/>
    <x v="0"/>
    <x v="3"/>
    <x v="3"/>
    <n v="990"/>
    <x v="52"/>
  </r>
  <r>
    <s v="20035-14"/>
    <x v="7"/>
    <x v="4"/>
    <x v="0"/>
    <x v="3"/>
    <x v="3"/>
    <n v="14"/>
    <x v="53"/>
  </r>
  <r>
    <s v="200365-74"/>
    <x v="7"/>
    <x v="5"/>
    <x v="0"/>
    <x v="3"/>
    <x v="3"/>
    <n v="1031"/>
    <x v="54"/>
  </r>
  <r>
    <s v="200375+"/>
    <x v="7"/>
    <x v="6"/>
    <x v="0"/>
    <x v="3"/>
    <x v="3"/>
    <n v="1394"/>
    <x v="55"/>
  </r>
  <r>
    <s v="20040-4"/>
    <x v="8"/>
    <x v="0"/>
    <x v="0"/>
    <x v="3"/>
    <x v="3"/>
    <n v="1"/>
    <x v="56"/>
  </r>
  <r>
    <s v="200415-24"/>
    <x v="8"/>
    <x v="1"/>
    <x v="0"/>
    <x v="3"/>
    <x v="3"/>
    <n v="37"/>
    <x v="57"/>
  </r>
  <r>
    <s v="200425-44"/>
    <x v="8"/>
    <x v="2"/>
    <x v="0"/>
    <x v="3"/>
    <x v="3"/>
    <n v="124"/>
    <x v="58"/>
  </r>
  <r>
    <s v="200445-64"/>
    <x v="8"/>
    <x v="3"/>
    <x v="0"/>
    <x v="3"/>
    <x v="3"/>
    <n v="1004"/>
    <x v="59"/>
  </r>
  <r>
    <s v="20045-14"/>
    <x v="8"/>
    <x v="4"/>
    <x v="0"/>
    <x v="3"/>
    <x v="3"/>
    <n v="5"/>
    <x v="60"/>
  </r>
  <r>
    <s v="200465-74"/>
    <x v="8"/>
    <x v="5"/>
    <x v="0"/>
    <x v="3"/>
    <x v="3"/>
    <n v="1049"/>
    <x v="61"/>
  </r>
  <r>
    <s v="200475+"/>
    <x v="8"/>
    <x v="6"/>
    <x v="0"/>
    <x v="3"/>
    <x v="3"/>
    <n v="1458"/>
    <x v="62"/>
  </r>
  <r>
    <s v="20050-4"/>
    <x v="9"/>
    <x v="0"/>
    <x v="0"/>
    <x v="3"/>
    <x v="3"/>
    <n v="6"/>
    <x v="63"/>
  </r>
  <r>
    <s v="200515-24"/>
    <x v="9"/>
    <x v="1"/>
    <x v="0"/>
    <x v="3"/>
    <x v="3"/>
    <n v="40"/>
    <x v="64"/>
  </r>
  <r>
    <s v="200525-44"/>
    <x v="9"/>
    <x v="2"/>
    <x v="0"/>
    <x v="3"/>
    <x v="3"/>
    <n v="129"/>
    <x v="65"/>
  </r>
  <r>
    <s v="200545-64"/>
    <x v="9"/>
    <x v="3"/>
    <x v="0"/>
    <x v="3"/>
    <x v="3"/>
    <n v="1020"/>
    <x v="66"/>
  </r>
  <r>
    <s v="20055-14"/>
    <x v="9"/>
    <x v="4"/>
    <x v="0"/>
    <x v="3"/>
    <x v="3"/>
    <n v="5"/>
    <x v="67"/>
  </r>
  <r>
    <s v="200565-74"/>
    <x v="9"/>
    <x v="5"/>
    <x v="0"/>
    <x v="3"/>
    <x v="3"/>
    <n v="1043"/>
    <x v="68"/>
  </r>
  <r>
    <s v="200575+"/>
    <x v="9"/>
    <x v="6"/>
    <x v="0"/>
    <x v="3"/>
    <x v="3"/>
    <n v="1499"/>
    <x v="69"/>
  </r>
  <r>
    <s v="20060-4"/>
    <x v="10"/>
    <x v="0"/>
    <x v="0"/>
    <x v="3"/>
    <x v="3"/>
    <n v="1"/>
    <x v="70"/>
  </r>
  <r>
    <s v="200615-24"/>
    <x v="10"/>
    <x v="1"/>
    <x v="0"/>
    <x v="3"/>
    <x v="3"/>
    <n v="29"/>
    <x v="71"/>
  </r>
  <r>
    <s v="200625-44"/>
    <x v="10"/>
    <x v="2"/>
    <x v="0"/>
    <x v="3"/>
    <x v="3"/>
    <n v="135"/>
    <x v="72"/>
  </r>
  <r>
    <s v="200645-64"/>
    <x v="10"/>
    <x v="3"/>
    <x v="0"/>
    <x v="3"/>
    <x v="3"/>
    <n v="1086"/>
    <x v="73"/>
  </r>
  <r>
    <s v="20065-14"/>
    <x v="10"/>
    <x v="4"/>
    <x v="0"/>
    <x v="3"/>
    <x v="3"/>
    <n v="9"/>
    <x v="74"/>
  </r>
  <r>
    <s v="200665-74"/>
    <x v="10"/>
    <x v="5"/>
    <x v="0"/>
    <x v="3"/>
    <x v="3"/>
    <n v="1015"/>
    <x v="75"/>
  </r>
  <r>
    <s v="200675+"/>
    <x v="10"/>
    <x v="6"/>
    <x v="0"/>
    <x v="3"/>
    <x v="3"/>
    <n v="1472"/>
    <x v="76"/>
  </r>
  <r>
    <s v="20070-4"/>
    <x v="11"/>
    <x v="0"/>
    <x v="0"/>
    <x v="3"/>
    <x v="3"/>
    <n v="6"/>
    <x v="77"/>
  </r>
  <r>
    <s v="200715-24"/>
    <x v="11"/>
    <x v="1"/>
    <x v="0"/>
    <x v="3"/>
    <x v="3"/>
    <n v="19"/>
    <x v="78"/>
  </r>
  <r>
    <s v="200725-44"/>
    <x v="11"/>
    <x v="2"/>
    <x v="0"/>
    <x v="3"/>
    <x v="3"/>
    <n v="155"/>
    <x v="79"/>
  </r>
  <r>
    <s v="200745-64"/>
    <x v="11"/>
    <x v="3"/>
    <x v="0"/>
    <x v="3"/>
    <x v="3"/>
    <n v="1130"/>
    <x v="80"/>
  </r>
  <r>
    <s v="20075-14"/>
    <x v="11"/>
    <x v="4"/>
    <x v="0"/>
    <x v="3"/>
    <x v="3"/>
    <n v="6"/>
    <x v="81"/>
  </r>
  <r>
    <s v="200765-74"/>
    <x v="11"/>
    <x v="5"/>
    <x v="0"/>
    <x v="3"/>
    <x v="3"/>
    <n v="1065"/>
    <x v="82"/>
  </r>
  <r>
    <s v="200775+"/>
    <x v="11"/>
    <x v="6"/>
    <x v="0"/>
    <x v="3"/>
    <x v="3"/>
    <n v="1618"/>
    <x v="83"/>
  </r>
  <r>
    <s v="20080-4"/>
    <x v="12"/>
    <x v="0"/>
    <x v="0"/>
    <x v="3"/>
    <x v="3"/>
    <n v="2"/>
    <x v="84"/>
  </r>
  <r>
    <s v="200815-24"/>
    <x v="12"/>
    <x v="1"/>
    <x v="0"/>
    <x v="3"/>
    <x v="3"/>
    <n v="30"/>
    <x v="85"/>
  </r>
  <r>
    <s v="200825-44"/>
    <x v="12"/>
    <x v="2"/>
    <x v="0"/>
    <x v="3"/>
    <x v="3"/>
    <n v="131"/>
    <x v="86"/>
  </r>
  <r>
    <s v="200845-64"/>
    <x v="12"/>
    <x v="3"/>
    <x v="0"/>
    <x v="3"/>
    <x v="3"/>
    <n v="1132"/>
    <x v="87"/>
  </r>
  <r>
    <s v="20085-14"/>
    <x v="12"/>
    <x v="4"/>
    <x v="0"/>
    <x v="3"/>
    <x v="3"/>
    <n v="4"/>
    <x v="88"/>
  </r>
  <r>
    <s v="200865-74"/>
    <x v="12"/>
    <x v="5"/>
    <x v="0"/>
    <x v="3"/>
    <x v="3"/>
    <n v="1209"/>
    <x v="89"/>
  </r>
  <r>
    <s v="200875+"/>
    <x v="12"/>
    <x v="6"/>
    <x v="0"/>
    <x v="3"/>
    <x v="3"/>
    <n v="1734"/>
    <x v="90"/>
  </r>
  <r>
    <s v="20090-4"/>
    <x v="13"/>
    <x v="0"/>
    <x v="0"/>
    <x v="3"/>
    <x v="3"/>
    <n v="2"/>
    <x v="91"/>
  </r>
  <r>
    <s v="200915-24"/>
    <x v="13"/>
    <x v="1"/>
    <x v="0"/>
    <x v="3"/>
    <x v="3"/>
    <n v="35"/>
    <x v="92"/>
  </r>
  <r>
    <s v="200925-44"/>
    <x v="13"/>
    <x v="2"/>
    <x v="0"/>
    <x v="3"/>
    <x v="3"/>
    <n v="173"/>
    <x v="93"/>
  </r>
  <r>
    <s v="200945-64"/>
    <x v="13"/>
    <x v="3"/>
    <x v="0"/>
    <x v="3"/>
    <x v="3"/>
    <n v="1227"/>
    <x v="94"/>
  </r>
  <r>
    <s v="20095-14"/>
    <x v="13"/>
    <x v="4"/>
    <x v="0"/>
    <x v="3"/>
    <x v="3"/>
    <n v="6"/>
    <x v="95"/>
  </r>
  <r>
    <s v="200965-74"/>
    <x v="13"/>
    <x v="5"/>
    <x v="0"/>
    <x v="3"/>
    <x v="3"/>
    <n v="1214"/>
    <x v="96"/>
  </r>
  <r>
    <s v="200975+"/>
    <x v="13"/>
    <x v="6"/>
    <x v="0"/>
    <x v="3"/>
    <x v="3"/>
    <n v="1850"/>
    <x v="97"/>
  </r>
  <r>
    <s v="20100-4"/>
    <x v="14"/>
    <x v="0"/>
    <x v="0"/>
    <x v="3"/>
    <x v="3"/>
    <n v="2"/>
    <x v="98"/>
  </r>
  <r>
    <s v="201015-24"/>
    <x v="14"/>
    <x v="1"/>
    <x v="0"/>
    <x v="3"/>
    <x v="3"/>
    <n v="35"/>
    <x v="99"/>
  </r>
  <r>
    <s v="201025-44"/>
    <x v="14"/>
    <x v="2"/>
    <x v="0"/>
    <x v="3"/>
    <x v="3"/>
    <n v="181"/>
    <x v="100"/>
  </r>
  <r>
    <s v="201045-64"/>
    <x v="14"/>
    <x v="3"/>
    <x v="0"/>
    <x v="3"/>
    <x v="3"/>
    <n v="1287"/>
    <x v="101"/>
  </r>
  <r>
    <s v="20105-14"/>
    <x v="14"/>
    <x v="4"/>
    <x v="0"/>
    <x v="3"/>
    <x v="3"/>
    <n v="8"/>
    <x v="102"/>
  </r>
  <r>
    <s v="201065-74"/>
    <x v="14"/>
    <x v="5"/>
    <x v="0"/>
    <x v="3"/>
    <x v="3"/>
    <n v="1282"/>
    <x v="103"/>
  </r>
  <r>
    <s v="201075+"/>
    <x v="14"/>
    <x v="6"/>
    <x v="0"/>
    <x v="3"/>
    <x v="3"/>
    <n v="2020"/>
    <x v="104"/>
  </r>
  <r>
    <s v="20110-4"/>
    <x v="15"/>
    <x v="0"/>
    <x v="0"/>
    <x v="3"/>
    <x v="3"/>
    <n v="4"/>
    <x v="105"/>
  </r>
  <r>
    <s v="201115-24"/>
    <x v="15"/>
    <x v="1"/>
    <x v="0"/>
    <x v="3"/>
    <x v="3"/>
    <n v="31"/>
    <x v="106"/>
  </r>
  <r>
    <s v="201125-44"/>
    <x v="15"/>
    <x v="2"/>
    <x v="0"/>
    <x v="3"/>
    <x v="3"/>
    <n v="145"/>
    <x v="107"/>
  </r>
  <r>
    <s v="201145-64"/>
    <x v="15"/>
    <x v="3"/>
    <x v="0"/>
    <x v="3"/>
    <x v="3"/>
    <n v="1319"/>
    <x v="108"/>
  </r>
  <r>
    <s v="20115-14"/>
    <x v="15"/>
    <x v="4"/>
    <x v="0"/>
    <x v="3"/>
    <x v="3"/>
    <n v="9"/>
    <x v="109"/>
  </r>
  <r>
    <s v="201165-74"/>
    <x v="15"/>
    <x v="5"/>
    <x v="0"/>
    <x v="3"/>
    <x v="3"/>
    <n v="1250"/>
    <x v="110"/>
  </r>
  <r>
    <s v="201175+"/>
    <x v="15"/>
    <x v="6"/>
    <x v="0"/>
    <x v="3"/>
    <x v="3"/>
    <n v="2141"/>
    <x v="111"/>
  </r>
  <r>
    <s v="20120-4"/>
    <x v="16"/>
    <x v="0"/>
    <x v="0"/>
    <x v="3"/>
    <x v="3"/>
    <n v="0"/>
    <x v="112"/>
  </r>
  <r>
    <s v="201215-24"/>
    <x v="16"/>
    <x v="1"/>
    <x v="0"/>
    <x v="3"/>
    <x v="3"/>
    <n v="28"/>
    <x v="113"/>
  </r>
  <r>
    <s v="201225-44"/>
    <x v="16"/>
    <x v="2"/>
    <x v="0"/>
    <x v="3"/>
    <x v="3"/>
    <n v="178"/>
    <x v="114"/>
  </r>
  <r>
    <s v="201245-64"/>
    <x v="16"/>
    <x v="3"/>
    <x v="0"/>
    <x v="3"/>
    <x v="3"/>
    <n v="1402"/>
    <x v="115"/>
  </r>
  <r>
    <s v="20125-14"/>
    <x v="16"/>
    <x v="4"/>
    <x v="0"/>
    <x v="3"/>
    <x v="3"/>
    <n v="0"/>
    <x v="116"/>
  </r>
  <r>
    <s v="201265-74"/>
    <x v="16"/>
    <x v="5"/>
    <x v="0"/>
    <x v="3"/>
    <x v="3"/>
    <n v="1375"/>
    <x v="117"/>
  </r>
  <r>
    <s v="201275+"/>
    <x v="16"/>
    <x v="6"/>
    <x v="0"/>
    <x v="3"/>
    <x v="3"/>
    <n v="2343"/>
    <x v="118"/>
  </r>
  <r>
    <s v="20130-4"/>
    <x v="17"/>
    <x v="0"/>
    <x v="0"/>
    <x v="3"/>
    <x v="3"/>
    <n v="2"/>
    <x v="119"/>
  </r>
  <r>
    <s v="201315-24"/>
    <x v="17"/>
    <x v="1"/>
    <x v="0"/>
    <x v="3"/>
    <x v="3"/>
    <n v="42"/>
    <x v="120"/>
  </r>
  <r>
    <s v="201325-44"/>
    <x v="17"/>
    <x v="2"/>
    <x v="0"/>
    <x v="3"/>
    <x v="3"/>
    <n v="168"/>
    <x v="121"/>
  </r>
  <r>
    <s v="201345-64"/>
    <x v="17"/>
    <x v="3"/>
    <x v="0"/>
    <x v="3"/>
    <x v="3"/>
    <n v="1504"/>
    <x v="122"/>
  </r>
  <r>
    <s v="20135-14"/>
    <x v="17"/>
    <x v="4"/>
    <x v="0"/>
    <x v="3"/>
    <x v="3"/>
    <n v="8"/>
    <x v="123"/>
  </r>
  <r>
    <s v="201365-74"/>
    <x v="17"/>
    <x v="5"/>
    <x v="0"/>
    <x v="3"/>
    <x v="3"/>
    <n v="1480"/>
    <x v="124"/>
  </r>
  <r>
    <s v="201375+"/>
    <x v="17"/>
    <x v="6"/>
    <x v="0"/>
    <x v="3"/>
    <x v="3"/>
    <n v="2436"/>
    <x v="125"/>
  </r>
  <r>
    <s v="20140-4"/>
    <x v="18"/>
    <x v="0"/>
    <x v="0"/>
    <x v="3"/>
    <x v="3"/>
    <n v="1"/>
    <x v="126"/>
  </r>
  <r>
    <s v="201415-24"/>
    <x v="18"/>
    <x v="1"/>
    <x v="0"/>
    <x v="3"/>
    <x v="3"/>
    <n v="40"/>
    <x v="127"/>
  </r>
  <r>
    <s v="201425-44"/>
    <x v="18"/>
    <x v="2"/>
    <x v="0"/>
    <x v="3"/>
    <x v="3"/>
    <n v="213"/>
    <x v="128"/>
  </r>
  <r>
    <s v="201445-64"/>
    <x v="18"/>
    <x v="3"/>
    <x v="0"/>
    <x v="3"/>
    <x v="3"/>
    <n v="1710"/>
    <x v="129"/>
  </r>
  <r>
    <s v="20145-14"/>
    <x v="18"/>
    <x v="4"/>
    <x v="0"/>
    <x v="3"/>
    <x v="3"/>
    <n v="7"/>
    <x v="130"/>
  </r>
  <r>
    <s v="201465-74"/>
    <x v="18"/>
    <x v="5"/>
    <x v="0"/>
    <x v="3"/>
    <x v="3"/>
    <n v="1663"/>
    <x v="131"/>
  </r>
  <r>
    <s v="201475+"/>
    <x v="18"/>
    <x v="6"/>
    <x v="0"/>
    <x v="3"/>
    <x v="3"/>
    <n v="3039"/>
    <x v="132"/>
  </r>
  <r>
    <s v="19960-4"/>
    <x v="0"/>
    <x v="0"/>
    <x v="0"/>
    <x v="4"/>
    <x v="4"/>
    <n v="2365"/>
    <x v="0"/>
  </r>
  <r>
    <s v="199615-24"/>
    <x v="0"/>
    <x v="1"/>
    <x v="0"/>
    <x v="4"/>
    <x v="4"/>
    <n v="0"/>
    <x v="1"/>
  </r>
  <r>
    <s v="199625-44"/>
    <x v="0"/>
    <x v="2"/>
    <x v="0"/>
    <x v="4"/>
    <x v="4"/>
    <n v="1"/>
    <x v="2"/>
  </r>
  <r>
    <s v="199645-64"/>
    <x v="0"/>
    <x v="3"/>
    <x v="0"/>
    <x v="4"/>
    <x v="4"/>
    <n v="0"/>
    <x v="3"/>
  </r>
  <r>
    <s v="19965-14"/>
    <x v="0"/>
    <x v="4"/>
    <x v="0"/>
    <x v="4"/>
    <x v="4"/>
    <n v="1"/>
    <x v="4"/>
  </r>
  <r>
    <s v="199665-74"/>
    <x v="0"/>
    <x v="5"/>
    <x v="0"/>
    <x v="4"/>
    <x v="4"/>
    <n v="0"/>
    <x v="5"/>
  </r>
  <r>
    <s v="199675+"/>
    <x v="0"/>
    <x v="6"/>
    <x v="0"/>
    <x v="4"/>
    <x v="4"/>
    <n v="6"/>
    <x v="6"/>
  </r>
  <r>
    <s v="19970-4"/>
    <x v="1"/>
    <x v="0"/>
    <x v="0"/>
    <x v="4"/>
    <x v="4"/>
    <n v="2298"/>
    <x v="7"/>
  </r>
  <r>
    <s v="199715-24"/>
    <x v="1"/>
    <x v="1"/>
    <x v="0"/>
    <x v="4"/>
    <x v="4"/>
    <n v="1"/>
    <x v="8"/>
  </r>
  <r>
    <s v="199725-44"/>
    <x v="1"/>
    <x v="2"/>
    <x v="0"/>
    <x v="4"/>
    <x v="4"/>
    <n v="0"/>
    <x v="9"/>
  </r>
  <r>
    <s v="199745-64"/>
    <x v="1"/>
    <x v="3"/>
    <x v="0"/>
    <x v="4"/>
    <x v="4"/>
    <n v="0"/>
    <x v="10"/>
  </r>
  <r>
    <s v="19975-14"/>
    <x v="1"/>
    <x v="4"/>
    <x v="0"/>
    <x v="4"/>
    <x v="4"/>
    <n v="0"/>
    <x v="11"/>
  </r>
  <r>
    <s v="199765-74"/>
    <x v="1"/>
    <x v="5"/>
    <x v="0"/>
    <x v="4"/>
    <x v="4"/>
    <n v="0"/>
    <x v="12"/>
  </r>
  <r>
    <s v="199775+"/>
    <x v="1"/>
    <x v="6"/>
    <x v="0"/>
    <x v="4"/>
    <x v="4"/>
    <n v="1"/>
    <x v="13"/>
  </r>
  <r>
    <s v="19980-4"/>
    <x v="2"/>
    <x v="0"/>
    <x v="0"/>
    <x v="4"/>
    <x v="4"/>
    <n v="2184"/>
    <x v="14"/>
  </r>
  <r>
    <s v="199815-24"/>
    <x v="2"/>
    <x v="1"/>
    <x v="0"/>
    <x v="4"/>
    <x v="4"/>
    <n v="0"/>
    <x v="15"/>
  </r>
  <r>
    <s v="199825-44"/>
    <x v="2"/>
    <x v="2"/>
    <x v="0"/>
    <x v="4"/>
    <x v="4"/>
    <n v="0"/>
    <x v="16"/>
  </r>
  <r>
    <s v="199845-64"/>
    <x v="2"/>
    <x v="3"/>
    <x v="0"/>
    <x v="4"/>
    <x v="4"/>
    <n v="0"/>
    <x v="17"/>
  </r>
  <r>
    <s v="19985-14"/>
    <x v="2"/>
    <x v="4"/>
    <x v="0"/>
    <x v="4"/>
    <x v="4"/>
    <n v="0"/>
    <x v="18"/>
  </r>
  <r>
    <s v="199865-74"/>
    <x v="2"/>
    <x v="5"/>
    <x v="0"/>
    <x v="4"/>
    <x v="4"/>
    <n v="0"/>
    <x v="19"/>
  </r>
  <r>
    <s v="199875+"/>
    <x v="2"/>
    <x v="6"/>
    <x v="0"/>
    <x v="4"/>
    <x v="4"/>
    <n v="0"/>
    <x v="20"/>
  </r>
  <r>
    <s v="19990-4"/>
    <x v="3"/>
    <x v="0"/>
    <x v="0"/>
    <x v="4"/>
    <x v="4"/>
    <n v="2162"/>
    <x v="21"/>
  </r>
  <r>
    <s v="199915-24"/>
    <x v="3"/>
    <x v="1"/>
    <x v="0"/>
    <x v="4"/>
    <x v="4"/>
    <n v="0"/>
    <x v="22"/>
  </r>
  <r>
    <s v="199925-44"/>
    <x v="3"/>
    <x v="2"/>
    <x v="0"/>
    <x v="4"/>
    <x v="4"/>
    <n v="0"/>
    <x v="23"/>
  </r>
  <r>
    <s v="199945-64"/>
    <x v="3"/>
    <x v="3"/>
    <x v="0"/>
    <x v="4"/>
    <x v="4"/>
    <n v="0"/>
    <x v="24"/>
  </r>
  <r>
    <s v="19995-14"/>
    <x v="3"/>
    <x v="4"/>
    <x v="0"/>
    <x v="4"/>
    <x v="4"/>
    <n v="0"/>
    <x v="25"/>
  </r>
  <r>
    <s v="199965-74"/>
    <x v="3"/>
    <x v="5"/>
    <x v="0"/>
    <x v="4"/>
    <x v="4"/>
    <n v="0"/>
    <x v="26"/>
  </r>
  <r>
    <s v="199975+"/>
    <x v="3"/>
    <x v="6"/>
    <x v="0"/>
    <x v="4"/>
    <x v="4"/>
    <n v="3"/>
    <x v="27"/>
  </r>
  <r>
    <s v="20000-4"/>
    <x v="4"/>
    <x v="0"/>
    <x v="0"/>
    <x v="4"/>
    <x v="4"/>
    <n v="2139"/>
    <x v="28"/>
  </r>
  <r>
    <s v="200015-24"/>
    <x v="4"/>
    <x v="1"/>
    <x v="0"/>
    <x v="4"/>
    <x v="4"/>
    <n v="0"/>
    <x v="29"/>
  </r>
  <r>
    <s v="200025-44"/>
    <x v="4"/>
    <x v="2"/>
    <x v="0"/>
    <x v="4"/>
    <x v="4"/>
    <n v="0"/>
    <x v="30"/>
  </r>
  <r>
    <s v="200045-64"/>
    <x v="4"/>
    <x v="3"/>
    <x v="0"/>
    <x v="4"/>
    <x v="4"/>
    <n v="0"/>
    <x v="31"/>
  </r>
  <r>
    <s v="20005-14"/>
    <x v="4"/>
    <x v="4"/>
    <x v="0"/>
    <x v="4"/>
    <x v="4"/>
    <n v="0"/>
    <x v="32"/>
  </r>
  <r>
    <s v="200065-74"/>
    <x v="4"/>
    <x v="5"/>
    <x v="0"/>
    <x v="4"/>
    <x v="4"/>
    <n v="0"/>
    <x v="33"/>
  </r>
  <r>
    <s v="200075+"/>
    <x v="4"/>
    <x v="6"/>
    <x v="0"/>
    <x v="4"/>
    <x v="4"/>
    <n v="0"/>
    <x v="34"/>
  </r>
  <r>
    <s v="20010-4"/>
    <x v="5"/>
    <x v="0"/>
    <x v="0"/>
    <x v="4"/>
    <x v="4"/>
    <n v="2066"/>
    <x v="35"/>
  </r>
  <r>
    <s v="200115-24"/>
    <x v="5"/>
    <x v="1"/>
    <x v="0"/>
    <x v="4"/>
    <x v="4"/>
    <n v="0"/>
    <x v="36"/>
  </r>
  <r>
    <s v="200125-44"/>
    <x v="5"/>
    <x v="2"/>
    <x v="0"/>
    <x v="4"/>
    <x v="4"/>
    <n v="0"/>
    <x v="37"/>
  </r>
  <r>
    <s v="200145-64"/>
    <x v="5"/>
    <x v="3"/>
    <x v="0"/>
    <x v="4"/>
    <x v="4"/>
    <n v="0"/>
    <x v="38"/>
  </r>
  <r>
    <s v="20015-14"/>
    <x v="5"/>
    <x v="4"/>
    <x v="0"/>
    <x v="4"/>
    <x v="4"/>
    <n v="0"/>
    <x v="39"/>
  </r>
  <r>
    <s v="200165-74"/>
    <x v="5"/>
    <x v="5"/>
    <x v="0"/>
    <x v="4"/>
    <x v="4"/>
    <n v="0"/>
    <x v="40"/>
  </r>
  <r>
    <s v="200175+"/>
    <x v="5"/>
    <x v="6"/>
    <x v="0"/>
    <x v="4"/>
    <x v="4"/>
    <n v="0"/>
    <x v="41"/>
  </r>
  <r>
    <s v="20020-4"/>
    <x v="6"/>
    <x v="0"/>
    <x v="0"/>
    <x v="4"/>
    <x v="4"/>
    <n v="2157"/>
    <x v="42"/>
  </r>
  <r>
    <s v="200215-24"/>
    <x v="6"/>
    <x v="1"/>
    <x v="0"/>
    <x v="4"/>
    <x v="4"/>
    <n v="0"/>
    <x v="43"/>
  </r>
  <r>
    <s v="200225-44"/>
    <x v="6"/>
    <x v="2"/>
    <x v="0"/>
    <x v="4"/>
    <x v="4"/>
    <n v="0"/>
    <x v="44"/>
  </r>
  <r>
    <s v="200245-64"/>
    <x v="6"/>
    <x v="3"/>
    <x v="0"/>
    <x v="4"/>
    <x v="4"/>
    <n v="0"/>
    <x v="45"/>
  </r>
  <r>
    <s v="20025-14"/>
    <x v="6"/>
    <x v="4"/>
    <x v="0"/>
    <x v="4"/>
    <x v="4"/>
    <n v="0"/>
    <x v="46"/>
  </r>
  <r>
    <s v="200265-74"/>
    <x v="6"/>
    <x v="5"/>
    <x v="0"/>
    <x v="4"/>
    <x v="4"/>
    <n v="0"/>
    <x v="47"/>
  </r>
  <r>
    <s v="200275+"/>
    <x v="6"/>
    <x v="6"/>
    <x v="0"/>
    <x v="4"/>
    <x v="4"/>
    <n v="0"/>
    <x v="48"/>
  </r>
  <r>
    <s v="20030-4"/>
    <x v="7"/>
    <x v="0"/>
    <x v="0"/>
    <x v="4"/>
    <x v="4"/>
    <n v="2315"/>
    <x v="49"/>
  </r>
  <r>
    <s v="200315-24"/>
    <x v="7"/>
    <x v="1"/>
    <x v="0"/>
    <x v="4"/>
    <x v="4"/>
    <n v="0"/>
    <x v="50"/>
  </r>
  <r>
    <s v="200325-44"/>
    <x v="7"/>
    <x v="2"/>
    <x v="0"/>
    <x v="4"/>
    <x v="4"/>
    <n v="0"/>
    <x v="51"/>
  </r>
  <r>
    <s v="200345-64"/>
    <x v="7"/>
    <x v="3"/>
    <x v="0"/>
    <x v="4"/>
    <x v="4"/>
    <n v="0"/>
    <x v="52"/>
  </r>
  <r>
    <s v="20035-14"/>
    <x v="7"/>
    <x v="4"/>
    <x v="0"/>
    <x v="4"/>
    <x v="4"/>
    <n v="0"/>
    <x v="53"/>
  </r>
  <r>
    <s v="200365-74"/>
    <x v="7"/>
    <x v="5"/>
    <x v="0"/>
    <x v="4"/>
    <x v="4"/>
    <n v="0"/>
    <x v="54"/>
  </r>
  <r>
    <s v="200375+"/>
    <x v="7"/>
    <x v="6"/>
    <x v="0"/>
    <x v="4"/>
    <x v="4"/>
    <n v="0"/>
    <x v="55"/>
  </r>
  <r>
    <s v="20040-4"/>
    <x v="8"/>
    <x v="0"/>
    <x v="0"/>
    <x v="4"/>
    <x v="4"/>
    <n v="2225"/>
    <x v="56"/>
  </r>
  <r>
    <s v="200415-24"/>
    <x v="8"/>
    <x v="1"/>
    <x v="0"/>
    <x v="4"/>
    <x v="4"/>
    <n v="0"/>
    <x v="57"/>
  </r>
  <r>
    <s v="200425-44"/>
    <x v="8"/>
    <x v="2"/>
    <x v="0"/>
    <x v="4"/>
    <x v="4"/>
    <n v="0"/>
    <x v="58"/>
  </r>
  <r>
    <s v="200445-64"/>
    <x v="8"/>
    <x v="3"/>
    <x v="0"/>
    <x v="4"/>
    <x v="4"/>
    <n v="0"/>
    <x v="59"/>
  </r>
  <r>
    <s v="20045-14"/>
    <x v="8"/>
    <x v="4"/>
    <x v="0"/>
    <x v="4"/>
    <x v="4"/>
    <n v="0"/>
    <x v="60"/>
  </r>
  <r>
    <s v="200465-74"/>
    <x v="8"/>
    <x v="5"/>
    <x v="0"/>
    <x v="4"/>
    <x v="4"/>
    <n v="0"/>
    <x v="61"/>
  </r>
  <r>
    <s v="200475+"/>
    <x v="8"/>
    <x v="6"/>
    <x v="0"/>
    <x v="4"/>
    <x v="4"/>
    <n v="0"/>
    <x v="62"/>
  </r>
  <r>
    <s v="20050-4"/>
    <x v="9"/>
    <x v="0"/>
    <x v="0"/>
    <x v="4"/>
    <x v="4"/>
    <n v="2271"/>
    <x v="63"/>
  </r>
  <r>
    <s v="200515-24"/>
    <x v="9"/>
    <x v="1"/>
    <x v="0"/>
    <x v="4"/>
    <x v="4"/>
    <n v="0"/>
    <x v="64"/>
  </r>
  <r>
    <s v="200525-44"/>
    <x v="9"/>
    <x v="2"/>
    <x v="0"/>
    <x v="4"/>
    <x v="4"/>
    <n v="0"/>
    <x v="65"/>
  </r>
  <r>
    <s v="200545-64"/>
    <x v="9"/>
    <x v="3"/>
    <x v="0"/>
    <x v="4"/>
    <x v="4"/>
    <n v="0"/>
    <x v="66"/>
  </r>
  <r>
    <s v="20055-14"/>
    <x v="9"/>
    <x v="4"/>
    <x v="0"/>
    <x v="4"/>
    <x v="4"/>
    <n v="0"/>
    <x v="67"/>
  </r>
  <r>
    <s v="200565-74"/>
    <x v="9"/>
    <x v="5"/>
    <x v="0"/>
    <x v="4"/>
    <x v="4"/>
    <n v="0"/>
    <x v="68"/>
  </r>
  <r>
    <s v="200575+"/>
    <x v="9"/>
    <x v="6"/>
    <x v="0"/>
    <x v="4"/>
    <x v="4"/>
    <n v="0"/>
    <x v="69"/>
  </r>
  <r>
    <s v="20060-4"/>
    <x v="10"/>
    <x v="0"/>
    <x v="0"/>
    <x v="4"/>
    <x v="4"/>
    <n v="2070"/>
    <x v="70"/>
  </r>
  <r>
    <s v="200615-24"/>
    <x v="10"/>
    <x v="1"/>
    <x v="0"/>
    <x v="4"/>
    <x v="4"/>
    <n v="0"/>
    <x v="71"/>
  </r>
  <r>
    <s v="200625-44"/>
    <x v="10"/>
    <x v="2"/>
    <x v="0"/>
    <x v="4"/>
    <x v="4"/>
    <n v="0"/>
    <x v="72"/>
  </r>
  <r>
    <s v="200645-64"/>
    <x v="10"/>
    <x v="3"/>
    <x v="0"/>
    <x v="4"/>
    <x v="4"/>
    <n v="0"/>
    <x v="73"/>
  </r>
  <r>
    <s v="20065-14"/>
    <x v="10"/>
    <x v="4"/>
    <x v="0"/>
    <x v="4"/>
    <x v="4"/>
    <n v="0"/>
    <x v="74"/>
  </r>
  <r>
    <s v="200665-74"/>
    <x v="10"/>
    <x v="5"/>
    <x v="0"/>
    <x v="4"/>
    <x v="4"/>
    <n v="0"/>
    <x v="75"/>
  </r>
  <r>
    <s v="200675+"/>
    <x v="10"/>
    <x v="6"/>
    <x v="0"/>
    <x v="4"/>
    <x v="4"/>
    <n v="0"/>
    <x v="76"/>
  </r>
  <r>
    <s v="20070-4"/>
    <x v="11"/>
    <x v="0"/>
    <x v="0"/>
    <x v="4"/>
    <x v="4"/>
    <n v="2030"/>
    <x v="77"/>
  </r>
  <r>
    <s v="200715-24"/>
    <x v="11"/>
    <x v="1"/>
    <x v="0"/>
    <x v="4"/>
    <x v="4"/>
    <n v="0"/>
    <x v="78"/>
  </r>
  <r>
    <s v="200725-44"/>
    <x v="11"/>
    <x v="2"/>
    <x v="0"/>
    <x v="4"/>
    <x v="4"/>
    <n v="0"/>
    <x v="79"/>
  </r>
  <r>
    <s v="200745-64"/>
    <x v="11"/>
    <x v="3"/>
    <x v="0"/>
    <x v="4"/>
    <x v="4"/>
    <n v="0"/>
    <x v="80"/>
  </r>
  <r>
    <s v="20075-14"/>
    <x v="11"/>
    <x v="4"/>
    <x v="0"/>
    <x v="4"/>
    <x v="4"/>
    <n v="0"/>
    <x v="81"/>
  </r>
  <r>
    <s v="200765-74"/>
    <x v="11"/>
    <x v="5"/>
    <x v="0"/>
    <x v="4"/>
    <x v="4"/>
    <n v="0"/>
    <x v="82"/>
  </r>
  <r>
    <s v="200775+"/>
    <x v="11"/>
    <x v="6"/>
    <x v="0"/>
    <x v="4"/>
    <x v="4"/>
    <n v="2"/>
    <x v="83"/>
  </r>
  <r>
    <s v="20080-4"/>
    <x v="12"/>
    <x v="0"/>
    <x v="0"/>
    <x v="4"/>
    <x v="4"/>
    <n v="2097"/>
    <x v="84"/>
  </r>
  <r>
    <s v="200815-24"/>
    <x v="12"/>
    <x v="1"/>
    <x v="0"/>
    <x v="4"/>
    <x v="4"/>
    <n v="0"/>
    <x v="85"/>
  </r>
  <r>
    <s v="200825-44"/>
    <x v="12"/>
    <x v="2"/>
    <x v="0"/>
    <x v="4"/>
    <x v="4"/>
    <n v="0"/>
    <x v="86"/>
  </r>
  <r>
    <s v="200845-64"/>
    <x v="12"/>
    <x v="3"/>
    <x v="0"/>
    <x v="4"/>
    <x v="4"/>
    <n v="0"/>
    <x v="87"/>
  </r>
  <r>
    <s v="20085-14"/>
    <x v="12"/>
    <x v="4"/>
    <x v="0"/>
    <x v="4"/>
    <x v="4"/>
    <n v="0"/>
    <x v="88"/>
  </r>
  <r>
    <s v="200865-74"/>
    <x v="12"/>
    <x v="5"/>
    <x v="0"/>
    <x v="4"/>
    <x v="4"/>
    <n v="0"/>
    <x v="89"/>
  </r>
  <r>
    <s v="200875+"/>
    <x v="12"/>
    <x v="6"/>
    <x v="0"/>
    <x v="4"/>
    <x v="4"/>
    <n v="0"/>
    <x v="90"/>
  </r>
  <r>
    <s v="20090-4"/>
    <x v="13"/>
    <x v="0"/>
    <x v="0"/>
    <x v="4"/>
    <x v="4"/>
    <n v="2282"/>
    <x v="91"/>
  </r>
  <r>
    <s v="200915-24"/>
    <x v="13"/>
    <x v="1"/>
    <x v="0"/>
    <x v="4"/>
    <x v="4"/>
    <n v="0"/>
    <x v="92"/>
  </r>
  <r>
    <s v="200925-44"/>
    <x v="13"/>
    <x v="2"/>
    <x v="0"/>
    <x v="4"/>
    <x v="4"/>
    <n v="0"/>
    <x v="93"/>
  </r>
  <r>
    <s v="200945-64"/>
    <x v="13"/>
    <x v="3"/>
    <x v="0"/>
    <x v="4"/>
    <x v="4"/>
    <n v="0"/>
    <x v="94"/>
  </r>
  <r>
    <s v="20095-14"/>
    <x v="13"/>
    <x v="4"/>
    <x v="0"/>
    <x v="4"/>
    <x v="4"/>
    <n v="0"/>
    <x v="95"/>
  </r>
  <r>
    <s v="200965-74"/>
    <x v="13"/>
    <x v="5"/>
    <x v="0"/>
    <x v="4"/>
    <x v="4"/>
    <n v="0"/>
    <x v="96"/>
  </r>
  <r>
    <s v="200975+"/>
    <x v="13"/>
    <x v="6"/>
    <x v="0"/>
    <x v="4"/>
    <x v="4"/>
    <n v="0"/>
    <x v="97"/>
  </r>
  <r>
    <s v="20100-4"/>
    <x v="14"/>
    <x v="0"/>
    <x v="0"/>
    <x v="4"/>
    <x v="4"/>
    <n v="2305"/>
    <x v="98"/>
  </r>
  <r>
    <s v="201015-24"/>
    <x v="14"/>
    <x v="1"/>
    <x v="0"/>
    <x v="4"/>
    <x v="4"/>
    <n v="0"/>
    <x v="99"/>
  </r>
  <r>
    <s v="201025-44"/>
    <x v="14"/>
    <x v="2"/>
    <x v="0"/>
    <x v="4"/>
    <x v="4"/>
    <n v="0"/>
    <x v="100"/>
  </r>
  <r>
    <s v="201045-64"/>
    <x v="14"/>
    <x v="3"/>
    <x v="0"/>
    <x v="4"/>
    <x v="4"/>
    <n v="0"/>
    <x v="101"/>
  </r>
  <r>
    <s v="20105-14"/>
    <x v="14"/>
    <x v="4"/>
    <x v="0"/>
    <x v="4"/>
    <x v="4"/>
    <n v="0"/>
    <x v="102"/>
  </r>
  <r>
    <s v="201065-74"/>
    <x v="14"/>
    <x v="5"/>
    <x v="0"/>
    <x v="4"/>
    <x v="4"/>
    <n v="0"/>
    <x v="103"/>
  </r>
  <r>
    <s v="201075+"/>
    <x v="14"/>
    <x v="6"/>
    <x v="0"/>
    <x v="4"/>
    <x v="4"/>
    <n v="0"/>
    <x v="104"/>
  </r>
  <r>
    <s v="20110-4"/>
    <x v="15"/>
    <x v="0"/>
    <x v="0"/>
    <x v="4"/>
    <x v="4"/>
    <n v="2346"/>
    <x v="105"/>
  </r>
  <r>
    <s v="201115-24"/>
    <x v="15"/>
    <x v="1"/>
    <x v="0"/>
    <x v="4"/>
    <x v="4"/>
    <n v="0"/>
    <x v="106"/>
  </r>
  <r>
    <s v="201125-44"/>
    <x v="15"/>
    <x v="2"/>
    <x v="0"/>
    <x v="4"/>
    <x v="4"/>
    <n v="0"/>
    <x v="107"/>
  </r>
  <r>
    <s v="201145-64"/>
    <x v="15"/>
    <x v="3"/>
    <x v="0"/>
    <x v="4"/>
    <x v="4"/>
    <n v="0"/>
    <x v="108"/>
  </r>
  <r>
    <s v="20115-14"/>
    <x v="15"/>
    <x v="4"/>
    <x v="0"/>
    <x v="4"/>
    <x v="4"/>
    <n v="0"/>
    <x v="109"/>
  </r>
  <r>
    <s v="201165-74"/>
    <x v="15"/>
    <x v="5"/>
    <x v="0"/>
    <x v="4"/>
    <x v="4"/>
    <n v="0"/>
    <x v="110"/>
  </r>
  <r>
    <s v="201175+"/>
    <x v="15"/>
    <x v="6"/>
    <x v="0"/>
    <x v="4"/>
    <x v="4"/>
    <n v="0"/>
    <x v="111"/>
  </r>
  <r>
    <s v="20120-4"/>
    <x v="16"/>
    <x v="0"/>
    <x v="0"/>
    <x v="4"/>
    <x v="4"/>
    <n v="2256"/>
    <x v="112"/>
  </r>
  <r>
    <s v="201215-24"/>
    <x v="16"/>
    <x v="1"/>
    <x v="0"/>
    <x v="4"/>
    <x v="4"/>
    <n v="0"/>
    <x v="113"/>
  </r>
  <r>
    <s v="201225-44"/>
    <x v="16"/>
    <x v="2"/>
    <x v="0"/>
    <x v="4"/>
    <x v="4"/>
    <n v="0"/>
    <x v="114"/>
  </r>
  <r>
    <s v="201245-64"/>
    <x v="16"/>
    <x v="3"/>
    <x v="0"/>
    <x v="4"/>
    <x v="4"/>
    <n v="0"/>
    <x v="115"/>
  </r>
  <r>
    <s v="20125-14"/>
    <x v="16"/>
    <x v="4"/>
    <x v="0"/>
    <x v="4"/>
    <x v="4"/>
    <n v="0"/>
    <x v="116"/>
  </r>
  <r>
    <s v="201265-74"/>
    <x v="16"/>
    <x v="5"/>
    <x v="0"/>
    <x v="4"/>
    <x v="4"/>
    <n v="0"/>
    <x v="117"/>
  </r>
  <r>
    <s v="201275+"/>
    <x v="16"/>
    <x v="6"/>
    <x v="0"/>
    <x v="4"/>
    <x v="4"/>
    <n v="0"/>
    <x v="118"/>
  </r>
  <r>
    <s v="20130-4"/>
    <x v="17"/>
    <x v="0"/>
    <x v="0"/>
    <x v="4"/>
    <x v="4"/>
    <n v="2243"/>
    <x v="119"/>
  </r>
  <r>
    <s v="201315-24"/>
    <x v="17"/>
    <x v="1"/>
    <x v="0"/>
    <x v="4"/>
    <x v="4"/>
    <n v="0"/>
    <x v="120"/>
  </r>
  <r>
    <s v="201325-44"/>
    <x v="17"/>
    <x v="2"/>
    <x v="0"/>
    <x v="4"/>
    <x v="4"/>
    <n v="0"/>
    <x v="121"/>
  </r>
  <r>
    <s v="201345-64"/>
    <x v="17"/>
    <x v="3"/>
    <x v="0"/>
    <x v="4"/>
    <x v="4"/>
    <n v="0"/>
    <x v="122"/>
  </r>
  <r>
    <s v="20135-14"/>
    <x v="17"/>
    <x v="4"/>
    <x v="0"/>
    <x v="4"/>
    <x v="4"/>
    <n v="0"/>
    <x v="123"/>
  </r>
  <r>
    <s v="201365-74"/>
    <x v="17"/>
    <x v="5"/>
    <x v="0"/>
    <x v="4"/>
    <x v="4"/>
    <n v="0"/>
    <x v="124"/>
  </r>
  <r>
    <s v="201375+"/>
    <x v="17"/>
    <x v="6"/>
    <x v="0"/>
    <x v="4"/>
    <x v="4"/>
    <n v="0"/>
    <x v="125"/>
  </r>
  <r>
    <s v="20140-4"/>
    <x v="18"/>
    <x v="0"/>
    <x v="0"/>
    <x v="4"/>
    <x v="4"/>
    <n v="2321"/>
    <x v="126"/>
  </r>
  <r>
    <s v="201415-24"/>
    <x v="18"/>
    <x v="1"/>
    <x v="0"/>
    <x v="4"/>
    <x v="4"/>
    <n v="0"/>
    <x v="127"/>
  </r>
  <r>
    <s v="201425-44"/>
    <x v="18"/>
    <x v="2"/>
    <x v="0"/>
    <x v="4"/>
    <x v="4"/>
    <n v="0"/>
    <x v="128"/>
  </r>
  <r>
    <s v="201445-64"/>
    <x v="18"/>
    <x v="3"/>
    <x v="0"/>
    <x v="4"/>
    <x v="4"/>
    <n v="0"/>
    <x v="129"/>
  </r>
  <r>
    <s v="20145-14"/>
    <x v="18"/>
    <x v="4"/>
    <x v="0"/>
    <x v="4"/>
    <x v="4"/>
    <n v="0"/>
    <x v="130"/>
  </r>
  <r>
    <s v="201465-74"/>
    <x v="18"/>
    <x v="5"/>
    <x v="0"/>
    <x v="4"/>
    <x v="4"/>
    <n v="0"/>
    <x v="131"/>
  </r>
  <r>
    <s v="201475+"/>
    <x v="18"/>
    <x v="6"/>
    <x v="0"/>
    <x v="4"/>
    <x v="4"/>
    <n v="0"/>
    <x v="132"/>
  </r>
  <r>
    <s v="19960-4"/>
    <x v="0"/>
    <x v="0"/>
    <x v="0"/>
    <x v="5"/>
    <x v="5"/>
    <n v="285"/>
    <x v="0"/>
  </r>
  <r>
    <s v="199615-24"/>
    <x v="0"/>
    <x v="1"/>
    <x v="0"/>
    <x v="5"/>
    <x v="5"/>
    <n v="267"/>
    <x v="1"/>
  </r>
  <r>
    <s v="199625-44"/>
    <x v="0"/>
    <x v="2"/>
    <x v="0"/>
    <x v="5"/>
    <x v="5"/>
    <n v="352"/>
    <x v="2"/>
  </r>
  <r>
    <s v="199645-64"/>
    <x v="0"/>
    <x v="3"/>
    <x v="0"/>
    <x v="5"/>
    <x v="5"/>
    <n v="165"/>
    <x v="3"/>
  </r>
  <r>
    <s v="19965-14"/>
    <x v="0"/>
    <x v="4"/>
    <x v="0"/>
    <x v="5"/>
    <x v="5"/>
    <n v="203"/>
    <x v="4"/>
  </r>
  <r>
    <s v="199665-74"/>
    <x v="0"/>
    <x v="5"/>
    <x v="0"/>
    <x v="5"/>
    <x v="5"/>
    <n v="94"/>
    <x v="5"/>
  </r>
  <r>
    <s v="199675+"/>
    <x v="0"/>
    <x v="6"/>
    <x v="0"/>
    <x v="5"/>
    <x v="5"/>
    <n v="249"/>
    <x v="6"/>
  </r>
  <r>
    <s v="19970-4"/>
    <x v="1"/>
    <x v="0"/>
    <x v="0"/>
    <x v="5"/>
    <x v="5"/>
    <n v="339"/>
    <x v="7"/>
  </r>
  <r>
    <s v="199715-24"/>
    <x v="1"/>
    <x v="1"/>
    <x v="0"/>
    <x v="5"/>
    <x v="5"/>
    <n v="241"/>
    <x v="8"/>
  </r>
  <r>
    <s v="199725-44"/>
    <x v="1"/>
    <x v="2"/>
    <x v="0"/>
    <x v="5"/>
    <x v="5"/>
    <n v="363"/>
    <x v="9"/>
  </r>
  <r>
    <s v="199745-64"/>
    <x v="1"/>
    <x v="3"/>
    <x v="0"/>
    <x v="5"/>
    <x v="5"/>
    <n v="194"/>
    <x v="10"/>
  </r>
  <r>
    <s v="19975-14"/>
    <x v="1"/>
    <x v="4"/>
    <x v="0"/>
    <x v="5"/>
    <x v="5"/>
    <n v="200"/>
    <x v="11"/>
  </r>
  <r>
    <s v="199765-74"/>
    <x v="1"/>
    <x v="5"/>
    <x v="0"/>
    <x v="5"/>
    <x v="5"/>
    <n v="110"/>
    <x v="12"/>
  </r>
  <r>
    <s v="199775+"/>
    <x v="1"/>
    <x v="6"/>
    <x v="0"/>
    <x v="5"/>
    <x v="5"/>
    <n v="253"/>
    <x v="13"/>
  </r>
  <r>
    <s v="19980-4"/>
    <x v="2"/>
    <x v="0"/>
    <x v="0"/>
    <x v="5"/>
    <x v="5"/>
    <n v="362"/>
    <x v="14"/>
  </r>
  <r>
    <s v="199815-24"/>
    <x v="2"/>
    <x v="1"/>
    <x v="0"/>
    <x v="5"/>
    <x v="5"/>
    <n v="291"/>
    <x v="15"/>
  </r>
  <r>
    <s v="199825-44"/>
    <x v="2"/>
    <x v="2"/>
    <x v="0"/>
    <x v="5"/>
    <x v="5"/>
    <n v="416"/>
    <x v="16"/>
  </r>
  <r>
    <s v="199845-64"/>
    <x v="2"/>
    <x v="3"/>
    <x v="0"/>
    <x v="5"/>
    <x v="5"/>
    <n v="199"/>
    <x v="17"/>
  </r>
  <r>
    <s v="19985-14"/>
    <x v="2"/>
    <x v="4"/>
    <x v="0"/>
    <x v="5"/>
    <x v="5"/>
    <n v="226"/>
    <x v="18"/>
  </r>
  <r>
    <s v="199865-74"/>
    <x v="2"/>
    <x v="5"/>
    <x v="0"/>
    <x v="5"/>
    <x v="5"/>
    <n v="112"/>
    <x v="19"/>
  </r>
  <r>
    <s v="199875+"/>
    <x v="2"/>
    <x v="6"/>
    <x v="0"/>
    <x v="5"/>
    <x v="5"/>
    <n v="225"/>
    <x v="20"/>
  </r>
  <r>
    <s v="19990-4"/>
    <x v="3"/>
    <x v="0"/>
    <x v="0"/>
    <x v="5"/>
    <x v="5"/>
    <n v="323"/>
    <x v="21"/>
  </r>
  <r>
    <s v="199915-24"/>
    <x v="3"/>
    <x v="1"/>
    <x v="0"/>
    <x v="5"/>
    <x v="5"/>
    <n v="306"/>
    <x v="22"/>
  </r>
  <r>
    <s v="199925-44"/>
    <x v="3"/>
    <x v="2"/>
    <x v="0"/>
    <x v="5"/>
    <x v="5"/>
    <n v="421"/>
    <x v="23"/>
  </r>
  <r>
    <s v="199945-64"/>
    <x v="3"/>
    <x v="3"/>
    <x v="0"/>
    <x v="5"/>
    <x v="5"/>
    <n v="234"/>
    <x v="24"/>
  </r>
  <r>
    <s v="19995-14"/>
    <x v="3"/>
    <x v="4"/>
    <x v="0"/>
    <x v="5"/>
    <x v="5"/>
    <n v="209"/>
    <x v="25"/>
  </r>
  <r>
    <s v="199965-74"/>
    <x v="3"/>
    <x v="5"/>
    <x v="0"/>
    <x v="5"/>
    <x v="5"/>
    <n v="111"/>
    <x v="26"/>
  </r>
  <r>
    <s v="199975+"/>
    <x v="3"/>
    <x v="6"/>
    <x v="0"/>
    <x v="5"/>
    <x v="5"/>
    <n v="260"/>
    <x v="27"/>
  </r>
  <r>
    <s v="20000-4"/>
    <x v="4"/>
    <x v="0"/>
    <x v="0"/>
    <x v="5"/>
    <x v="5"/>
    <n v="262"/>
    <x v="28"/>
  </r>
  <r>
    <s v="200015-24"/>
    <x v="4"/>
    <x v="1"/>
    <x v="0"/>
    <x v="5"/>
    <x v="5"/>
    <n v="300"/>
    <x v="29"/>
  </r>
  <r>
    <s v="200025-44"/>
    <x v="4"/>
    <x v="2"/>
    <x v="0"/>
    <x v="5"/>
    <x v="5"/>
    <n v="378"/>
    <x v="30"/>
  </r>
  <r>
    <s v="200045-64"/>
    <x v="4"/>
    <x v="3"/>
    <x v="0"/>
    <x v="5"/>
    <x v="5"/>
    <n v="222"/>
    <x v="31"/>
  </r>
  <r>
    <s v="20005-14"/>
    <x v="4"/>
    <x v="4"/>
    <x v="0"/>
    <x v="5"/>
    <x v="5"/>
    <n v="196"/>
    <x v="32"/>
  </r>
  <r>
    <s v="200065-74"/>
    <x v="4"/>
    <x v="5"/>
    <x v="0"/>
    <x v="5"/>
    <x v="5"/>
    <n v="115"/>
    <x v="33"/>
  </r>
  <r>
    <s v="200075+"/>
    <x v="4"/>
    <x v="6"/>
    <x v="0"/>
    <x v="5"/>
    <x v="5"/>
    <n v="243"/>
    <x v="34"/>
  </r>
  <r>
    <s v="20010-4"/>
    <x v="5"/>
    <x v="0"/>
    <x v="0"/>
    <x v="5"/>
    <x v="5"/>
    <n v="289"/>
    <x v="35"/>
  </r>
  <r>
    <s v="200115-24"/>
    <x v="5"/>
    <x v="1"/>
    <x v="0"/>
    <x v="5"/>
    <x v="5"/>
    <n v="344"/>
    <x v="36"/>
  </r>
  <r>
    <s v="200125-44"/>
    <x v="5"/>
    <x v="2"/>
    <x v="0"/>
    <x v="5"/>
    <x v="5"/>
    <n v="456"/>
    <x v="37"/>
  </r>
  <r>
    <s v="200145-64"/>
    <x v="5"/>
    <x v="3"/>
    <x v="0"/>
    <x v="5"/>
    <x v="5"/>
    <n v="252"/>
    <x v="38"/>
  </r>
  <r>
    <s v="20015-14"/>
    <x v="5"/>
    <x v="4"/>
    <x v="0"/>
    <x v="5"/>
    <x v="5"/>
    <n v="227"/>
    <x v="39"/>
  </r>
  <r>
    <s v="200165-74"/>
    <x v="5"/>
    <x v="5"/>
    <x v="0"/>
    <x v="5"/>
    <x v="5"/>
    <n v="108"/>
    <x v="40"/>
  </r>
  <r>
    <s v="200175+"/>
    <x v="5"/>
    <x v="6"/>
    <x v="0"/>
    <x v="5"/>
    <x v="5"/>
    <n v="239"/>
    <x v="41"/>
  </r>
  <r>
    <s v="20020-4"/>
    <x v="6"/>
    <x v="0"/>
    <x v="0"/>
    <x v="5"/>
    <x v="5"/>
    <n v="327"/>
    <x v="42"/>
  </r>
  <r>
    <s v="200215-24"/>
    <x v="6"/>
    <x v="1"/>
    <x v="0"/>
    <x v="5"/>
    <x v="5"/>
    <n v="356"/>
    <x v="43"/>
  </r>
  <r>
    <s v="200225-44"/>
    <x v="6"/>
    <x v="2"/>
    <x v="0"/>
    <x v="5"/>
    <x v="5"/>
    <n v="563"/>
    <x v="44"/>
  </r>
  <r>
    <s v="200245-64"/>
    <x v="6"/>
    <x v="3"/>
    <x v="0"/>
    <x v="5"/>
    <x v="5"/>
    <n v="308"/>
    <x v="45"/>
  </r>
  <r>
    <s v="20025-14"/>
    <x v="6"/>
    <x v="4"/>
    <x v="0"/>
    <x v="5"/>
    <x v="5"/>
    <n v="199"/>
    <x v="46"/>
  </r>
  <r>
    <s v="200265-74"/>
    <x v="6"/>
    <x v="5"/>
    <x v="0"/>
    <x v="5"/>
    <x v="5"/>
    <n v="139"/>
    <x v="47"/>
  </r>
  <r>
    <s v="200275+"/>
    <x v="6"/>
    <x v="6"/>
    <x v="0"/>
    <x v="5"/>
    <x v="5"/>
    <n v="257"/>
    <x v="48"/>
  </r>
  <r>
    <s v="20030-4"/>
    <x v="7"/>
    <x v="0"/>
    <x v="0"/>
    <x v="5"/>
    <x v="5"/>
    <n v="350"/>
    <x v="49"/>
  </r>
  <r>
    <s v="200315-24"/>
    <x v="7"/>
    <x v="1"/>
    <x v="0"/>
    <x v="5"/>
    <x v="5"/>
    <n v="340"/>
    <x v="50"/>
  </r>
  <r>
    <s v="200325-44"/>
    <x v="7"/>
    <x v="2"/>
    <x v="0"/>
    <x v="5"/>
    <x v="5"/>
    <n v="446"/>
    <x v="51"/>
  </r>
  <r>
    <s v="200345-64"/>
    <x v="7"/>
    <x v="3"/>
    <x v="0"/>
    <x v="5"/>
    <x v="5"/>
    <n v="286"/>
    <x v="52"/>
  </r>
  <r>
    <s v="20035-14"/>
    <x v="7"/>
    <x v="4"/>
    <x v="0"/>
    <x v="5"/>
    <x v="5"/>
    <n v="210"/>
    <x v="53"/>
  </r>
  <r>
    <s v="200365-74"/>
    <x v="7"/>
    <x v="5"/>
    <x v="0"/>
    <x v="5"/>
    <x v="5"/>
    <n v="121"/>
    <x v="54"/>
  </r>
  <r>
    <s v="200375+"/>
    <x v="7"/>
    <x v="6"/>
    <x v="0"/>
    <x v="5"/>
    <x v="5"/>
    <n v="290"/>
    <x v="55"/>
  </r>
  <r>
    <s v="20040-4"/>
    <x v="8"/>
    <x v="0"/>
    <x v="0"/>
    <x v="5"/>
    <x v="5"/>
    <n v="306"/>
    <x v="56"/>
  </r>
  <r>
    <s v="200415-24"/>
    <x v="8"/>
    <x v="1"/>
    <x v="0"/>
    <x v="5"/>
    <x v="5"/>
    <n v="324"/>
    <x v="57"/>
  </r>
  <r>
    <s v="200425-44"/>
    <x v="8"/>
    <x v="2"/>
    <x v="0"/>
    <x v="5"/>
    <x v="5"/>
    <n v="455"/>
    <x v="58"/>
  </r>
  <r>
    <s v="200445-64"/>
    <x v="8"/>
    <x v="3"/>
    <x v="0"/>
    <x v="5"/>
    <x v="5"/>
    <n v="235"/>
    <x v="59"/>
  </r>
  <r>
    <s v="20045-14"/>
    <x v="8"/>
    <x v="4"/>
    <x v="0"/>
    <x v="5"/>
    <x v="5"/>
    <n v="207"/>
    <x v="60"/>
  </r>
  <r>
    <s v="200465-74"/>
    <x v="8"/>
    <x v="5"/>
    <x v="0"/>
    <x v="5"/>
    <x v="5"/>
    <n v="107"/>
    <x v="61"/>
  </r>
  <r>
    <s v="200475+"/>
    <x v="8"/>
    <x v="6"/>
    <x v="0"/>
    <x v="5"/>
    <x v="5"/>
    <n v="304"/>
    <x v="62"/>
  </r>
  <r>
    <s v="20050-4"/>
    <x v="9"/>
    <x v="0"/>
    <x v="0"/>
    <x v="5"/>
    <x v="5"/>
    <n v="337"/>
    <x v="63"/>
  </r>
  <r>
    <s v="200515-24"/>
    <x v="9"/>
    <x v="1"/>
    <x v="0"/>
    <x v="5"/>
    <x v="5"/>
    <n v="290"/>
    <x v="64"/>
  </r>
  <r>
    <s v="200525-44"/>
    <x v="9"/>
    <x v="2"/>
    <x v="0"/>
    <x v="5"/>
    <x v="5"/>
    <n v="467"/>
    <x v="65"/>
  </r>
  <r>
    <s v="200545-64"/>
    <x v="9"/>
    <x v="3"/>
    <x v="0"/>
    <x v="5"/>
    <x v="5"/>
    <n v="249"/>
    <x v="66"/>
  </r>
  <r>
    <s v="20055-14"/>
    <x v="9"/>
    <x v="4"/>
    <x v="0"/>
    <x v="5"/>
    <x v="5"/>
    <n v="173"/>
    <x v="67"/>
  </r>
  <r>
    <s v="200565-74"/>
    <x v="9"/>
    <x v="5"/>
    <x v="0"/>
    <x v="5"/>
    <x v="5"/>
    <n v="113"/>
    <x v="68"/>
  </r>
  <r>
    <s v="200575+"/>
    <x v="9"/>
    <x v="6"/>
    <x v="0"/>
    <x v="5"/>
    <x v="5"/>
    <n v="306"/>
    <x v="69"/>
  </r>
  <r>
    <s v="20060-4"/>
    <x v="10"/>
    <x v="0"/>
    <x v="0"/>
    <x v="5"/>
    <x v="5"/>
    <n v="263"/>
    <x v="70"/>
  </r>
  <r>
    <s v="200615-24"/>
    <x v="10"/>
    <x v="1"/>
    <x v="0"/>
    <x v="5"/>
    <x v="5"/>
    <n v="346"/>
    <x v="71"/>
  </r>
  <r>
    <s v="200625-44"/>
    <x v="10"/>
    <x v="2"/>
    <x v="0"/>
    <x v="5"/>
    <x v="5"/>
    <n v="519"/>
    <x v="72"/>
  </r>
  <r>
    <s v="200645-64"/>
    <x v="10"/>
    <x v="3"/>
    <x v="0"/>
    <x v="5"/>
    <x v="5"/>
    <n v="334"/>
    <x v="73"/>
  </r>
  <r>
    <s v="20065-14"/>
    <x v="10"/>
    <x v="4"/>
    <x v="0"/>
    <x v="5"/>
    <x v="5"/>
    <n v="211"/>
    <x v="74"/>
  </r>
  <r>
    <s v="200665-74"/>
    <x v="10"/>
    <x v="5"/>
    <x v="0"/>
    <x v="5"/>
    <x v="5"/>
    <n v="124"/>
    <x v="75"/>
  </r>
  <r>
    <s v="200675+"/>
    <x v="10"/>
    <x v="6"/>
    <x v="0"/>
    <x v="5"/>
    <x v="5"/>
    <n v="323"/>
    <x v="76"/>
  </r>
  <r>
    <s v="20070-4"/>
    <x v="11"/>
    <x v="0"/>
    <x v="0"/>
    <x v="5"/>
    <x v="5"/>
    <n v="280"/>
    <x v="77"/>
  </r>
  <r>
    <s v="200715-24"/>
    <x v="11"/>
    <x v="1"/>
    <x v="0"/>
    <x v="5"/>
    <x v="5"/>
    <n v="373"/>
    <x v="78"/>
  </r>
  <r>
    <s v="200725-44"/>
    <x v="11"/>
    <x v="2"/>
    <x v="0"/>
    <x v="5"/>
    <x v="5"/>
    <n v="550"/>
    <x v="79"/>
  </r>
  <r>
    <s v="200745-64"/>
    <x v="11"/>
    <x v="3"/>
    <x v="0"/>
    <x v="5"/>
    <x v="5"/>
    <n v="348"/>
    <x v="80"/>
  </r>
  <r>
    <s v="20075-14"/>
    <x v="11"/>
    <x v="4"/>
    <x v="0"/>
    <x v="5"/>
    <x v="5"/>
    <n v="200"/>
    <x v="81"/>
  </r>
  <r>
    <s v="200765-74"/>
    <x v="11"/>
    <x v="5"/>
    <x v="0"/>
    <x v="5"/>
    <x v="5"/>
    <n v="123"/>
    <x v="82"/>
  </r>
  <r>
    <s v="200775+"/>
    <x v="11"/>
    <x v="6"/>
    <x v="0"/>
    <x v="5"/>
    <x v="5"/>
    <n v="290"/>
    <x v="83"/>
  </r>
  <r>
    <s v="20080-4"/>
    <x v="12"/>
    <x v="0"/>
    <x v="0"/>
    <x v="5"/>
    <x v="5"/>
    <n v="273"/>
    <x v="84"/>
  </r>
  <r>
    <s v="200815-24"/>
    <x v="12"/>
    <x v="1"/>
    <x v="0"/>
    <x v="5"/>
    <x v="5"/>
    <n v="434"/>
    <x v="85"/>
  </r>
  <r>
    <s v="200825-44"/>
    <x v="12"/>
    <x v="2"/>
    <x v="0"/>
    <x v="5"/>
    <x v="5"/>
    <n v="569"/>
    <x v="86"/>
  </r>
  <r>
    <s v="200845-64"/>
    <x v="12"/>
    <x v="3"/>
    <x v="0"/>
    <x v="5"/>
    <x v="5"/>
    <n v="340"/>
    <x v="87"/>
  </r>
  <r>
    <s v="20085-14"/>
    <x v="12"/>
    <x v="4"/>
    <x v="0"/>
    <x v="5"/>
    <x v="5"/>
    <n v="194"/>
    <x v="88"/>
  </r>
  <r>
    <s v="200865-74"/>
    <x v="12"/>
    <x v="5"/>
    <x v="0"/>
    <x v="5"/>
    <x v="5"/>
    <n v="133"/>
    <x v="89"/>
  </r>
  <r>
    <s v="200875+"/>
    <x v="12"/>
    <x v="6"/>
    <x v="0"/>
    <x v="5"/>
    <x v="5"/>
    <n v="348"/>
    <x v="90"/>
  </r>
  <r>
    <s v="20090-4"/>
    <x v="13"/>
    <x v="0"/>
    <x v="0"/>
    <x v="5"/>
    <x v="5"/>
    <n v="294"/>
    <x v="91"/>
  </r>
  <r>
    <s v="200915-24"/>
    <x v="13"/>
    <x v="1"/>
    <x v="0"/>
    <x v="5"/>
    <x v="5"/>
    <n v="353"/>
    <x v="92"/>
  </r>
  <r>
    <s v="200925-44"/>
    <x v="13"/>
    <x v="2"/>
    <x v="0"/>
    <x v="5"/>
    <x v="5"/>
    <n v="563"/>
    <x v="93"/>
  </r>
  <r>
    <s v="200945-64"/>
    <x v="13"/>
    <x v="3"/>
    <x v="0"/>
    <x v="5"/>
    <x v="5"/>
    <n v="344"/>
    <x v="94"/>
  </r>
  <r>
    <s v="20095-14"/>
    <x v="13"/>
    <x v="4"/>
    <x v="0"/>
    <x v="5"/>
    <x v="5"/>
    <n v="196"/>
    <x v="95"/>
  </r>
  <r>
    <s v="200965-74"/>
    <x v="13"/>
    <x v="5"/>
    <x v="0"/>
    <x v="5"/>
    <x v="5"/>
    <n v="139"/>
    <x v="96"/>
  </r>
  <r>
    <s v="200975+"/>
    <x v="13"/>
    <x v="6"/>
    <x v="0"/>
    <x v="5"/>
    <x v="5"/>
    <n v="272"/>
    <x v="97"/>
  </r>
  <r>
    <s v="20100-4"/>
    <x v="14"/>
    <x v="0"/>
    <x v="0"/>
    <x v="5"/>
    <x v="5"/>
    <n v="268"/>
    <x v="98"/>
  </r>
  <r>
    <s v="201015-24"/>
    <x v="14"/>
    <x v="1"/>
    <x v="0"/>
    <x v="5"/>
    <x v="5"/>
    <n v="358"/>
    <x v="99"/>
  </r>
  <r>
    <s v="201025-44"/>
    <x v="14"/>
    <x v="2"/>
    <x v="0"/>
    <x v="5"/>
    <x v="5"/>
    <n v="512"/>
    <x v="100"/>
  </r>
  <r>
    <s v="201045-64"/>
    <x v="14"/>
    <x v="3"/>
    <x v="0"/>
    <x v="5"/>
    <x v="5"/>
    <n v="320"/>
    <x v="101"/>
  </r>
  <r>
    <s v="20105-14"/>
    <x v="14"/>
    <x v="4"/>
    <x v="0"/>
    <x v="5"/>
    <x v="5"/>
    <n v="167"/>
    <x v="102"/>
  </r>
  <r>
    <s v="201065-74"/>
    <x v="14"/>
    <x v="5"/>
    <x v="0"/>
    <x v="5"/>
    <x v="5"/>
    <n v="113"/>
    <x v="103"/>
  </r>
  <r>
    <s v="201075+"/>
    <x v="14"/>
    <x v="6"/>
    <x v="0"/>
    <x v="5"/>
    <x v="5"/>
    <n v="299"/>
    <x v="104"/>
  </r>
  <r>
    <s v="20110-4"/>
    <x v="15"/>
    <x v="0"/>
    <x v="0"/>
    <x v="5"/>
    <x v="5"/>
    <n v="299"/>
    <x v="105"/>
  </r>
  <r>
    <s v="201115-24"/>
    <x v="15"/>
    <x v="1"/>
    <x v="0"/>
    <x v="5"/>
    <x v="5"/>
    <n v="289"/>
    <x v="106"/>
  </r>
  <r>
    <s v="201125-44"/>
    <x v="15"/>
    <x v="2"/>
    <x v="0"/>
    <x v="5"/>
    <x v="5"/>
    <n v="483"/>
    <x v="107"/>
  </r>
  <r>
    <s v="201145-64"/>
    <x v="15"/>
    <x v="3"/>
    <x v="0"/>
    <x v="5"/>
    <x v="5"/>
    <n v="272"/>
    <x v="108"/>
  </r>
  <r>
    <s v="20115-14"/>
    <x v="15"/>
    <x v="4"/>
    <x v="0"/>
    <x v="5"/>
    <x v="5"/>
    <n v="150"/>
    <x v="109"/>
  </r>
  <r>
    <s v="201165-74"/>
    <x v="15"/>
    <x v="5"/>
    <x v="0"/>
    <x v="5"/>
    <x v="5"/>
    <n v="124"/>
    <x v="110"/>
  </r>
  <r>
    <s v="201175+"/>
    <x v="15"/>
    <x v="6"/>
    <x v="0"/>
    <x v="5"/>
    <x v="5"/>
    <n v="318"/>
    <x v="111"/>
  </r>
  <r>
    <s v="20120-4"/>
    <x v="16"/>
    <x v="0"/>
    <x v="0"/>
    <x v="5"/>
    <x v="5"/>
    <n v="284"/>
    <x v="112"/>
  </r>
  <r>
    <s v="201215-24"/>
    <x v="16"/>
    <x v="1"/>
    <x v="0"/>
    <x v="5"/>
    <x v="5"/>
    <n v="339"/>
    <x v="113"/>
  </r>
  <r>
    <s v="201225-44"/>
    <x v="16"/>
    <x v="2"/>
    <x v="0"/>
    <x v="5"/>
    <x v="5"/>
    <n v="483"/>
    <x v="114"/>
  </r>
  <r>
    <s v="201245-64"/>
    <x v="16"/>
    <x v="3"/>
    <x v="0"/>
    <x v="5"/>
    <x v="5"/>
    <n v="315"/>
    <x v="115"/>
  </r>
  <r>
    <s v="20125-14"/>
    <x v="16"/>
    <x v="4"/>
    <x v="0"/>
    <x v="5"/>
    <x v="5"/>
    <n v="149"/>
    <x v="116"/>
  </r>
  <r>
    <s v="201265-74"/>
    <x v="16"/>
    <x v="5"/>
    <x v="0"/>
    <x v="5"/>
    <x v="5"/>
    <n v="99"/>
    <x v="117"/>
  </r>
  <r>
    <s v="201275+"/>
    <x v="16"/>
    <x v="6"/>
    <x v="0"/>
    <x v="5"/>
    <x v="5"/>
    <n v="320"/>
    <x v="118"/>
  </r>
  <r>
    <s v="20130-4"/>
    <x v="17"/>
    <x v="0"/>
    <x v="0"/>
    <x v="5"/>
    <x v="5"/>
    <n v="262"/>
    <x v="119"/>
  </r>
  <r>
    <s v="201315-24"/>
    <x v="17"/>
    <x v="1"/>
    <x v="0"/>
    <x v="5"/>
    <x v="5"/>
    <n v="336"/>
    <x v="120"/>
  </r>
  <r>
    <s v="201325-44"/>
    <x v="17"/>
    <x v="2"/>
    <x v="0"/>
    <x v="5"/>
    <x v="5"/>
    <n v="474"/>
    <x v="121"/>
  </r>
  <r>
    <s v="201345-64"/>
    <x v="17"/>
    <x v="3"/>
    <x v="0"/>
    <x v="5"/>
    <x v="5"/>
    <n v="293"/>
    <x v="122"/>
  </r>
  <r>
    <s v="20135-14"/>
    <x v="17"/>
    <x v="4"/>
    <x v="0"/>
    <x v="5"/>
    <x v="5"/>
    <n v="157"/>
    <x v="123"/>
  </r>
  <r>
    <s v="201365-74"/>
    <x v="17"/>
    <x v="5"/>
    <x v="0"/>
    <x v="5"/>
    <x v="5"/>
    <n v="106"/>
    <x v="124"/>
  </r>
  <r>
    <s v="201375+"/>
    <x v="17"/>
    <x v="6"/>
    <x v="0"/>
    <x v="5"/>
    <x v="5"/>
    <n v="304"/>
    <x v="125"/>
  </r>
  <r>
    <s v="20140-4"/>
    <x v="18"/>
    <x v="0"/>
    <x v="0"/>
    <x v="5"/>
    <x v="5"/>
    <n v="249"/>
    <x v="126"/>
  </r>
  <r>
    <s v="201415-24"/>
    <x v="18"/>
    <x v="1"/>
    <x v="0"/>
    <x v="5"/>
    <x v="5"/>
    <n v="305"/>
    <x v="127"/>
  </r>
  <r>
    <s v="201425-44"/>
    <x v="18"/>
    <x v="2"/>
    <x v="0"/>
    <x v="5"/>
    <x v="5"/>
    <n v="453"/>
    <x v="128"/>
  </r>
  <r>
    <s v="201445-64"/>
    <x v="18"/>
    <x v="3"/>
    <x v="0"/>
    <x v="5"/>
    <x v="5"/>
    <n v="331"/>
    <x v="129"/>
  </r>
  <r>
    <s v="20145-14"/>
    <x v="18"/>
    <x v="4"/>
    <x v="0"/>
    <x v="5"/>
    <x v="5"/>
    <n v="132"/>
    <x v="130"/>
  </r>
  <r>
    <s v="201465-74"/>
    <x v="18"/>
    <x v="5"/>
    <x v="0"/>
    <x v="5"/>
    <x v="5"/>
    <n v="118"/>
    <x v="131"/>
  </r>
  <r>
    <s v="201475+"/>
    <x v="18"/>
    <x v="6"/>
    <x v="0"/>
    <x v="5"/>
    <x v="5"/>
    <n v="310"/>
    <x v="132"/>
  </r>
  <r>
    <s v="19960-4"/>
    <x v="0"/>
    <x v="0"/>
    <x v="0"/>
    <x v="6"/>
    <x v="6"/>
    <n v="63"/>
    <x v="0"/>
  </r>
  <r>
    <s v="199615-24"/>
    <x v="0"/>
    <x v="1"/>
    <x v="0"/>
    <x v="6"/>
    <x v="6"/>
    <n v="17"/>
    <x v="1"/>
  </r>
  <r>
    <s v="199625-44"/>
    <x v="0"/>
    <x v="2"/>
    <x v="0"/>
    <x v="6"/>
    <x v="6"/>
    <n v="50"/>
    <x v="2"/>
  </r>
  <r>
    <s v="199645-64"/>
    <x v="0"/>
    <x v="3"/>
    <x v="0"/>
    <x v="6"/>
    <x v="6"/>
    <n v="194"/>
    <x v="3"/>
  </r>
  <r>
    <s v="19965-14"/>
    <x v="0"/>
    <x v="4"/>
    <x v="0"/>
    <x v="6"/>
    <x v="6"/>
    <n v="8"/>
    <x v="4"/>
  </r>
  <r>
    <s v="199665-74"/>
    <x v="0"/>
    <x v="5"/>
    <x v="0"/>
    <x v="6"/>
    <x v="6"/>
    <n v="233"/>
    <x v="5"/>
  </r>
  <r>
    <s v="199675+"/>
    <x v="0"/>
    <x v="6"/>
    <x v="0"/>
    <x v="6"/>
    <x v="6"/>
    <n v="555"/>
    <x v="6"/>
  </r>
  <r>
    <s v="19970-4"/>
    <x v="1"/>
    <x v="0"/>
    <x v="0"/>
    <x v="6"/>
    <x v="6"/>
    <n v="66"/>
    <x v="7"/>
  </r>
  <r>
    <s v="199715-24"/>
    <x v="1"/>
    <x v="1"/>
    <x v="0"/>
    <x v="6"/>
    <x v="6"/>
    <n v="11"/>
    <x v="8"/>
  </r>
  <r>
    <s v="199725-44"/>
    <x v="1"/>
    <x v="2"/>
    <x v="0"/>
    <x v="6"/>
    <x v="6"/>
    <n v="43"/>
    <x v="9"/>
  </r>
  <r>
    <s v="199745-64"/>
    <x v="1"/>
    <x v="3"/>
    <x v="0"/>
    <x v="6"/>
    <x v="6"/>
    <n v="160"/>
    <x v="10"/>
  </r>
  <r>
    <s v="19975-14"/>
    <x v="1"/>
    <x v="4"/>
    <x v="0"/>
    <x v="6"/>
    <x v="6"/>
    <n v="6"/>
    <x v="11"/>
  </r>
  <r>
    <s v="199765-74"/>
    <x v="1"/>
    <x v="5"/>
    <x v="0"/>
    <x v="6"/>
    <x v="6"/>
    <n v="241"/>
    <x v="12"/>
  </r>
  <r>
    <s v="199775+"/>
    <x v="1"/>
    <x v="6"/>
    <x v="0"/>
    <x v="6"/>
    <x v="6"/>
    <n v="554"/>
    <x v="13"/>
  </r>
  <r>
    <s v="19980-4"/>
    <x v="2"/>
    <x v="0"/>
    <x v="0"/>
    <x v="6"/>
    <x v="6"/>
    <n v="41"/>
    <x v="14"/>
  </r>
  <r>
    <s v="199815-24"/>
    <x v="2"/>
    <x v="1"/>
    <x v="0"/>
    <x v="6"/>
    <x v="6"/>
    <n v="8"/>
    <x v="15"/>
  </r>
  <r>
    <s v="199825-44"/>
    <x v="2"/>
    <x v="2"/>
    <x v="0"/>
    <x v="6"/>
    <x v="6"/>
    <n v="31"/>
    <x v="16"/>
  </r>
  <r>
    <s v="199845-64"/>
    <x v="2"/>
    <x v="3"/>
    <x v="0"/>
    <x v="6"/>
    <x v="6"/>
    <n v="230"/>
    <x v="17"/>
  </r>
  <r>
    <s v="19985-14"/>
    <x v="2"/>
    <x v="4"/>
    <x v="0"/>
    <x v="6"/>
    <x v="6"/>
    <n v="8"/>
    <x v="18"/>
  </r>
  <r>
    <s v="199865-74"/>
    <x v="2"/>
    <x v="5"/>
    <x v="0"/>
    <x v="6"/>
    <x v="6"/>
    <n v="283"/>
    <x v="19"/>
  </r>
  <r>
    <s v="199875+"/>
    <x v="2"/>
    <x v="6"/>
    <x v="0"/>
    <x v="6"/>
    <x v="6"/>
    <n v="646"/>
    <x v="20"/>
  </r>
  <r>
    <s v="19990-4"/>
    <x v="3"/>
    <x v="0"/>
    <x v="0"/>
    <x v="6"/>
    <x v="6"/>
    <n v="54"/>
    <x v="21"/>
  </r>
  <r>
    <s v="199915-24"/>
    <x v="3"/>
    <x v="1"/>
    <x v="0"/>
    <x v="6"/>
    <x v="6"/>
    <n v="9"/>
    <x v="22"/>
  </r>
  <r>
    <s v="199925-44"/>
    <x v="3"/>
    <x v="2"/>
    <x v="0"/>
    <x v="6"/>
    <x v="6"/>
    <n v="40"/>
    <x v="23"/>
  </r>
  <r>
    <s v="199945-64"/>
    <x v="3"/>
    <x v="3"/>
    <x v="0"/>
    <x v="6"/>
    <x v="6"/>
    <n v="250"/>
    <x v="24"/>
  </r>
  <r>
    <s v="19995-14"/>
    <x v="3"/>
    <x v="4"/>
    <x v="0"/>
    <x v="6"/>
    <x v="6"/>
    <n v="7"/>
    <x v="25"/>
  </r>
  <r>
    <s v="199965-74"/>
    <x v="3"/>
    <x v="5"/>
    <x v="0"/>
    <x v="6"/>
    <x v="6"/>
    <n v="289"/>
    <x v="26"/>
  </r>
  <r>
    <s v="199975+"/>
    <x v="3"/>
    <x v="6"/>
    <x v="0"/>
    <x v="6"/>
    <x v="6"/>
    <n v="727"/>
    <x v="27"/>
  </r>
  <r>
    <s v="20000-4"/>
    <x v="4"/>
    <x v="0"/>
    <x v="0"/>
    <x v="6"/>
    <x v="6"/>
    <n v="56"/>
    <x v="28"/>
  </r>
  <r>
    <s v="200015-24"/>
    <x v="4"/>
    <x v="1"/>
    <x v="0"/>
    <x v="6"/>
    <x v="6"/>
    <n v="8"/>
    <x v="29"/>
  </r>
  <r>
    <s v="200025-44"/>
    <x v="4"/>
    <x v="2"/>
    <x v="0"/>
    <x v="6"/>
    <x v="6"/>
    <n v="44"/>
    <x v="30"/>
  </r>
  <r>
    <s v="200045-64"/>
    <x v="4"/>
    <x v="3"/>
    <x v="0"/>
    <x v="6"/>
    <x v="6"/>
    <n v="195"/>
    <x v="31"/>
  </r>
  <r>
    <s v="20005-14"/>
    <x v="4"/>
    <x v="4"/>
    <x v="0"/>
    <x v="6"/>
    <x v="6"/>
    <n v="4"/>
    <x v="32"/>
  </r>
  <r>
    <s v="200065-74"/>
    <x v="4"/>
    <x v="5"/>
    <x v="0"/>
    <x v="6"/>
    <x v="6"/>
    <n v="276"/>
    <x v="33"/>
  </r>
  <r>
    <s v="200075+"/>
    <x v="4"/>
    <x v="6"/>
    <x v="0"/>
    <x v="6"/>
    <x v="6"/>
    <n v="637"/>
    <x v="34"/>
  </r>
  <r>
    <s v="20010-4"/>
    <x v="5"/>
    <x v="0"/>
    <x v="0"/>
    <x v="6"/>
    <x v="6"/>
    <n v="20"/>
    <x v="35"/>
  </r>
  <r>
    <s v="200115-24"/>
    <x v="5"/>
    <x v="1"/>
    <x v="0"/>
    <x v="6"/>
    <x v="6"/>
    <n v="8"/>
    <x v="36"/>
  </r>
  <r>
    <s v="200125-44"/>
    <x v="5"/>
    <x v="2"/>
    <x v="0"/>
    <x v="6"/>
    <x v="6"/>
    <n v="51"/>
    <x v="37"/>
  </r>
  <r>
    <s v="200145-64"/>
    <x v="5"/>
    <x v="3"/>
    <x v="0"/>
    <x v="6"/>
    <x v="6"/>
    <n v="232"/>
    <x v="38"/>
  </r>
  <r>
    <s v="20015-14"/>
    <x v="5"/>
    <x v="4"/>
    <x v="0"/>
    <x v="6"/>
    <x v="6"/>
    <n v="12"/>
    <x v="39"/>
  </r>
  <r>
    <s v="200165-74"/>
    <x v="5"/>
    <x v="5"/>
    <x v="0"/>
    <x v="6"/>
    <x v="6"/>
    <n v="326"/>
    <x v="40"/>
  </r>
  <r>
    <s v="200175+"/>
    <x v="5"/>
    <x v="6"/>
    <x v="0"/>
    <x v="6"/>
    <x v="6"/>
    <n v="835"/>
    <x v="41"/>
  </r>
  <r>
    <s v="20020-4"/>
    <x v="6"/>
    <x v="0"/>
    <x v="0"/>
    <x v="6"/>
    <x v="6"/>
    <n v="27"/>
    <x v="42"/>
  </r>
  <r>
    <s v="200215-24"/>
    <x v="6"/>
    <x v="1"/>
    <x v="0"/>
    <x v="6"/>
    <x v="6"/>
    <n v="15"/>
    <x v="43"/>
  </r>
  <r>
    <s v="200225-44"/>
    <x v="6"/>
    <x v="2"/>
    <x v="0"/>
    <x v="6"/>
    <x v="6"/>
    <n v="52"/>
    <x v="44"/>
  </r>
  <r>
    <s v="200245-64"/>
    <x v="6"/>
    <x v="3"/>
    <x v="0"/>
    <x v="6"/>
    <x v="6"/>
    <n v="197"/>
    <x v="45"/>
  </r>
  <r>
    <s v="20025-14"/>
    <x v="6"/>
    <x v="4"/>
    <x v="0"/>
    <x v="6"/>
    <x v="6"/>
    <n v="8"/>
    <x v="46"/>
  </r>
  <r>
    <s v="200265-74"/>
    <x v="6"/>
    <x v="5"/>
    <x v="0"/>
    <x v="6"/>
    <x v="6"/>
    <n v="277"/>
    <x v="47"/>
  </r>
  <r>
    <s v="200275+"/>
    <x v="6"/>
    <x v="6"/>
    <x v="0"/>
    <x v="6"/>
    <x v="6"/>
    <n v="732"/>
    <x v="48"/>
  </r>
  <r>
    <s v="20030-4"/>
    <x v="7"/>
    <x v="0"/>
    <x v="0"/>
    <x v="6"/>
    <x v="6"/>
    <n v="43"/>
    <x v="49"/>
  </r>
  <r>
    <s v="200315-24"/>
    <x v="7"/>
    <x v="1"/>
    <x v="0"/>
    <x v="6"/>
    <x v="6"/>
    <n v="8"/>
    <x v="50"/>
  </r>
  <r>
    <s v="200325-44"/>
    <x v="7"/>
    <x v="2"/>
    <x v="0"/>
    <x v="6"/>
    <x v="6"/>
    <n v="41"/>
    <x v="51"/>
  </r>
  <r>
    <s v="200345-64"/>
    <x v="7"/>
    <x v="3"/>
    <x v="0"/>
    <x v="6"/>
    <x v="6"/>
    <n v="221"/>
    <x v="52"/>
  </r>
  <r>
    <s v="20035-14"/>
    <x v="7"/>
    <x v="4"/>
    <x v="0"/>
    <x v="6"/>
    <x v="6"/>
    <n v="9"/>
    <x v="53"/>
  </r>
  <r>
    <s v="200365-74"/>
    <x v="7"/>
    <x v="5"/>
    <x v="0"/>
    <x v="6"/>
    <x v="6"/>
    <n v="316"/>
    <x v="54"/>
  </r>
  <r>
    <s v="200375+"/>
    <x v="7"/>
    <x v="6"/>
    <x v="0"/>
    <x v="6"/>
    <x v="6"/>
    <n v="907"/>
    <x v="55"/>
  </r>
  <r>
    <s v="20040-4"/>
    <x v="8"/>
    <x v="0"/>
    <x v="0"/>
    <x v="6"/>
    <x v="6"/>
    <n v="29"/>
    <x v="56"/>
  </r>
  <r>
    <s v="200415-24"/>
    <x v="8"/>
    <x v="1"/>
    <x v="0"/>
    <x v="6"/>
    <x v="6"/>
    <n v="8"/>
    <x v="57"/>
  </r>
  <r>
    <s v="200425-44"/>
    <x v="8"/>
    <x v="2"/>
    <x v="0"/>
    <x v="6"/>
    <x v="6"/>
    <n v="39"/>
    <x v="58"/>
  </r>
  <r>
    <s v="200445-64"/>
    <x v="8"/>
    <x v="3"/>
    <x v="0"/>
    <x v="6"/>
    <x v="6"/>
    <n v="207"/>
    <x v="59"/>
  </r>
  <r>
    <s v="20045-14"/>
    <x v="8"/>
    <x v="4"/>
    <x v="0"/>
    <x v="6"/>
    <x v="6"/>
    <n v="12"/>
    <x v="60"/>
  </r>
  <r>
    <s v="200465-74"/>
    <x v="8"/>
    <x v="5"/>
    <x v="0"/>
    <x v="6"/>
    <x v="6"/>
    <n v="298"/>
    <x v="61"/>
  </r>
  <r>
    <s v="200475+"/>
    <x v="8"/>
    <x v="6"/>
    <x v="0"/>
    <x v="6"/>
    <x v="6"/>
    <n v="842"/>
    <x v="62"/>
  </r>
  <r>
    <s v="20050-4"/>
    <x v="9"/>
    <x v="0"/>
    <x v="0"/>
    <x v="6"/>
    <x v="6"/>
    <n v="9"/>
    <x v="63"/>
  </r>
  <r>
    <s v="200515-24"/>
    <x v="9"/>
    <x v="1"/>
    <x v="0"/>
    <x v="6"/>
    <x v="6"/>
    <n v="13"/>
    <x v="64"/>
  </r>
  <r>
    <s v="200525-44"/>
    <x v="9"/>
    <x v="2"/>
    <x v="0"/>
    <x v="6"/>
    <x v="6"/>
    <n v="40"/>
    <x v="65"/>
  </r>
  <r>
    <s v="200545-64"/>
    <x v="9"/>
    <x v="3"/>
    <x v="0"/>
    <x v="6"/>
    <x v="6"/>
    <n v="256"/>
    <x v="66"/>
  </r>
  <r>
    <s v="20055-14"/>
    <x v="9"/>
    <x v="4"/>
    <x v="0"/>
    <x v="6"/>
    <x v="6"/>
    <n v="5"/>
    <x v="67"/>
  </r>
  <r>
    <s v="200565-74"/>
    <x v="9"/>
    <x v="5"/>
    <x v="0"/>
    <x v="6"/>
    <x v="6"/>
    <n v="304"/>
    <x v="68"/>
  </r>
  <r>
    <s v="200575+"/>
    <x v="9"/>
    <x v="6"/>
    <x v="0"/>
    <x v="6"/>
    <x v="6"/>
    <n v="932"/>
    <x v="69"/>
  </r>
  <r>
    <s v="20060-4"/>
    <x v="10"/>
    <x v="0"/>
    <x v="0"/>
    <x v="6"/>
    <x v="6"/>
    <n v="5"/>
    <x v="70"/>
  </r>
  <r>
    <s v="200615-24"/>
    <x v="10"/>
    <x v="1"/>
    <x v="0"/>
    <x v="6"/>
    <x v="6"/>
    <n v="9"/>
    <x v="71"/>
  </r>
  <r>
    <s v="200625-44"/>
    <x v="10"/>
    <x v="2"/>
    <x v="0"/>
    <x v="6"/>
    <x v="6"/>
    <n v="48"/>
    <x v="72"/>
  </r>
  <r>
    <s v="200645-64"/>
    <x v="10"/>
    <x v="3"/>
    <x v="0"/>
    <x v="6"/>
    <x v="6"/>
    <n v="240"/>
    <x v="73"/>
  </r>
  <r>
    <s v="20065-14"/>
    <x v="10"/>
    <x v="4"/>
    <x v="0"/>
    <x v="6"/>
    <x v="6"/>
    <n v="7"/>
    <x v="74"/>
  </r>
  <r>
    <s v="200665-74"/>
    <x v="10"/>
    <x v="5"/>
    <x v="0"/>
    <x v="6"/>
    <x v="6"/>
    <n v="306"/>
    <x v="75"/>
  </r>
  <r>
    <s v="200675+"/>
    <x v="10"/>
    <x v="6"/>
    <x v="0"/>
    <x v="6"/>
    <x v="6"/>
    <n v="817"/>
    <x v="76"/>
  </r>
  <r>
    <s v="20070-4"/>
    <x v="11"/>
    <x v="0"/>
    <x v="0"/>
    <x v="6"/>
    <x v="6"/>
    <n v="0"/>
    <x v="77"/>
  </r>
  <r>
    <s v="200715-24"/>
    <x v="11"/>
    <x v="1"/>
    <x v="0"/>
    <x v="6"/>
    <x v="6"/>
    <n v="12"/>
    <x v="78"/>
  </r>
  <r>
    <s v="200725-44"/>
    <x v="11"/>
    <x v="2"/>
    <x v="0"/>
    <x v="6"/>
    <x v="6"/>
    <n v="41"/>
    <x v="79"/>
  </r>
  <r>
    <s v="200745-64"/>
    <x v="11"/>
    <x v="3"/>
    <x v="0"/>
    <x v="6"/>
    <x v="6"/>
    <n v="248"/>
    <x v="80"/>
  </r>
  <r>
    <s v="20075-14"/>
    <x v="11"/>
    <x v="4"/>
    <x v="0"/>
    <x v="6"/>
    <x v="6"/>
    <n v="3"/>
    <x v="81"/>
  </r>
  <r>
    <s v="200765-74"/>
    <x v="11"/>
    <x v="5"/>
    <x v="0"/>
    <x v="6"/>
    <x v="6"/>
    <n v="329"/>
    <x v="82"/>
  </r>
  <r>
    <s v="200775+"/>
    <x v="11"/>
    <x v="6"/>
    <x v="0"/>
    <x v="6"/>
    <x v="6"/>
    <n v="967"/>
    <x v="83"/>
  </r>
  <r>
    <s v="20080-4"/>
    <x v="12"/>
    <x v="0"/>
    <x v="0"/>
    <x v="6"/>
    <x v="6"/>
    <n v="5"/>
    <x v="84"/>
  </r>
  <r>
    <s v="200815-24"/>
    <x v="12"/>
    <x v="1"/>
    <x v="0"/>
    <x v="6"/>
    <x v="6"/>
    <n v="12"/>
    <x v="85"/>
  </r>
  <r>
    <s v="200825-44"/>
    <x v="12"/>
    <x v="2"/>
    <x v="0"/>
    <x v="6"/>
    <x v="6"/>
    <n v="40"/>
    <x v="86"/>
  </r>
  <r>
    <s v="200845-64"/>
    <x v="12"/>
    <x v="3"/>
    <x v="0"/>
    <x v="6"/>
    <x v="6"/>
    <n v="277"/>
    <x v="87"/>
  </r>
  <r>
    <s v="20085-14"/>
    <x v="12"/>
    <x v="4"/>
    <x v="0"/>
    <x v="6"/>
    <x v="6"/>
    <n v="2"/>
    <x v="88"/>
  </r>
  <r>
    <s v="200865-74"/>
    <x v="12"/>
    <x v="5"/>
    <x v="0"/>
    <x v="6"/>
    <x v="6"/>
    <n v="324"/>
    <x v="89"/>
  </r>
  <r>
    <s v="200875+"/>
    <x v="12"/>
    <x v="6"/>
    <x v="0"/>
    <x v="6"/>
    <x v="6"/>
    <n v="1019"/>
    <x v="90"/>
  </r>
  <r>
    <s v="20090-4"/>
    <x v="13"/>
    <x v="0"/>
    <x v="0"/>
    <x v="6"/>
    <x v="6"/>
    <n v="4"/>
    <x v="91"/>
  </r>
  <r>
    <s v="200915-24"/>
    <x v="13"/>
    <x v="1"/>
    <x v="0"/>
    <x v="6"/>
    <x v="6"/>
    <n v="15"/>
    <x v="92"/>
  </r>
  <r>
    <s v="200925-44"/>
    <x v="13"/>
    <x v="2"/>
    <x v="0"/>
    <x v="6"/>
    <x v="6"/>
    <n v="45"/>
    <x v="93"/>
  </r>
  <r>
    <s v="200945-64"/>
    <x v="13"/>
    <x v="3"/>
    <x v="0"/>
    <x v="6"/>
    <x v="6"/>
    <n v="261"/>
    <x v="94"/>
  </r>
  <r>
    <s v="20095-14"/>
    <x v="13"/>
    <x v="4"/>
    <x v="0"/>
    <x v="6"/>
    <x v="6"/>
    <n v="6"/>
    <x v="95"/>
  </r>
  <r>
    <s v="200965-74"/>
    <x v="13"/>
    <x v="5"/>
    <x v="0"/>
    <x v="6"/>
    <x v="6"/>
    <n v="313"/>
    <x v="96"/>
  </r>
  <r>
    <s v="200975+"/>
    <x v="13"/>
    <x v="6"/>
    <x v="0"/>
    <x v="6"/>
    <x v="6"/>
    <n v="1001"/>
    <x v="97"/>
  </r>
  <r>
    <s v="20100-4"/>
    <x v="14"/>
    <x v="0"/>
    <x v="0"/>
    <x v="6"/>
    <x v="6"/>
    <n v="2"/>
    <x v="98"/>
  </r>
  <r>
    <s v="201015-24"/>
    <x v="14"/>
    <x v="1"/>
    <x v="0"/>
    <x v="6"/>
    <x v="6"/>
    <n v="6"/>
    <x v="99"/>
  </r>
  <r>
    <s v="201025-44"/>
    <x v="14"/>
    <x v="2"/>
    <x v="0"/>
    <x v="6"/>
    <x v="6"/>
    <n v="48"/>
    <x v="100"/>
  </r>
  <r>
    <s v="201045-64"/>
    <x v="14"/>
    <x v="3"/>
    <x v="0"/>
    <x v="6"/>
    <x v="6"/>
    <n v="261"/>
    <x v="101"/>
  </r>
  <r>
    <s v="20105-14"/>
    <x v="14"/>
    <x v="4"/>
    <x v="0"/>
    <x v="6"/>
    <x v="6"/>
    <n v="3"/>
    <x v="102"/>
  </r>
  <r>
    <s v="201065-74"/>
    <x v="14"/>
    <x v="5"/>
    <x v="0"/>
    <x v="6"/>
    <x v="6"/>
    <n v="332"/>
    <x v="103"/>
  </r>
  <r>
    <s v="201075+"/>
    <x v="14"/>
    <x v="6"/>
    <x v="0"/>
    <x v="6"/>
    <x v="6"/>
    <n v="1132"/>
    <x v="104"/>
  </r>
  <r>
    <s v="20110-4"/>
    <x v="15"/>
    <x v="0"/>
    <x v="0"/>
    <x v="6"/>
    <x v="6"/>
    <n v="6"/>
    <x v="105"/>
  </r>
  <r>
    <s v="201115-24"/>
    <x v="15"/>
    <x v="1"/>
    <x v="0"/>
    <x v="6"/>
    <x v="6"/>
    <n v="8"/>
    <x v="106"/>
  </r>
  <r>
    <s v="201125-44"/>
    <x v="15"/>
    <x v="2"/>
    <x v="0"/>
    <x v="6"/>
    <x v="6"/>
    <n v="52"/>
    <x v="107"/>
  </r>
  <r>
    <s v="201145-64"/>
    <x v="15"/>
    <x v="3"/>
    <x v="0"/>
    <x v="6"/>
    <x v="6"/>
    <n v="282"/>
    <x v="108"/>
  </r>
  <r>
    <s v="20115-14"/>
    <x v="15"/>
    <x v="4"/>
    <x v="0"/>
    <x v="6"/>
    <x v="6"/>
    <n v="11"/>
    <x v="109"/>
  </r>
  <r>
    <s v="201165-74"/>
    <x v="15"/>
    <x v="5"/>
    <x v="0"/>
    <x v="6"/>
    <x v="6"/>
    <n v="353"/>
    <x v="110"/>
  </r>
  <r>
    <s v="201175+"/>
    <x v="15"/>
    <x v="6"/>
    <x v="0"/>
    <x v="6"/>
    <x v="6"/>
    <n v="1290"/>
    <x v="111"/>
  </r>
  <r>
    <s v="20120-4"/>
    <x v="16"/>
    <x v="0"/>
    <x v="0"/>
    <x v="6"/>
    <x v="6"/>
    <n v="3"/>
    <x v="112"/>
  </r>
  <r>
    <s v="201215-24"/>
    <x v="16"/>
    <x v="1"/>
    <x v="0"/>
    <x v="6"/>
    <x v="6"/>
    <n v="15"/>
    <x v="113"/>
  </r>
  <r>
    <s v="201225-44"/>
    <x v="16"/>
    <x v="2"/>
    <x v="0"/>
    <x v="6"/>
    <x v="6"/>
    <n v="53"/>
    <x v="114"/>
  </r>
  <r>
    <s v="201245-64"/>
    <x v="16"/>
    <x v="3"/>
    <x v="0"/>
    <x v="6"/>
    <x v="6"/>
    <n v="294"/>
    <x v="115"/>
  </r>
  <r>
    <s v="20125-14"/>
    <x v="16"/>
    <x v="4"/>
    <x v="0"/>
    <x v="6"/>
    <x v="6"/>
    <n v="9"/>
    <x v="116"/>
  </r>
  <r>
    <s v="201265-74"/>
    <x v="16"/>
    <x v="5"/>
    <x v="0"/>
    <x v="6"/>
    <x v="6"/>
    <n v="360"/>
    <x v="117"/>
  </r>
  <r>
    <s v="201275+"/>
    <x v="16"/>
    <x v="6"/>
    <x v="0"/>
    <x v="6"/>
    <x v="6"/>
    <n v="1192"/>
    <x v="118"/>
  </r>
  <r>
    <s v="20130-4"/>
    <x v="17"/>
    <x v="0"/>
    <x v="0"/>
    <x v="6"/>
    <x v="6"/>
    <n v="4"/>
    <x v="119"/>
  </r>
  <r>
    <s v="201315-24"/>
    <x v="17"/>
    <x v="1"/>
    <x v="0"/>
    <x v="6"/>
    <x v="6"/>
    <n v="12"/>
    <x v="120"/>
  </r>
  <r>
    <s v="201325-44"/>
    <x v="17"/>
    <x v="2"/>
    <x v="0"/>
    <x v="6"/>
    <x v="6"/>
    <n v="62"/>
    <x v="121"/>
  </r>
  <r>
    <s v="201345-64"/>
    <x v="17"/>
    <x v="3"/>
    <x v="0"/>
    <x v="6"/>
    <x v="6"/>
    <n v="317"/>
    <x v="122"/>
  </r>
  <r>
    <s v="20135-14"/>
    <x v="17"/>
    <x v="4"/>
    <x v="0"/>
    <x v="6"/>
    <x v="6"/>
    <n v="5"/>
    <x v="123"/>
  </r>
  <r>
    <s v="201365-74"/>
    <x v="17"/>
    <x v="5"/>
    <x v="0"/>
    <x v="6"/>
    <x v="6"/>
    <n v="390"/>
    <x v="124"/>
  </r>
  <r>
    <s v="201375+"/>
    <x v="17"/>
    <x v="6"/>
    <x v="0"/>
    <x v="6"/>
    <x v="6"/>
    <n v="1278"/>
    <x v="125"/>
  </r>
  <r>
    <s v="20140-4"/>
    <x v="18"/>
    <x v="0"/>
    <x v="0"/>
    <x v="6"/>
    <x v="6"/>
    <n v="4"/>
    <x v="126"/>
  </r>
  <r>
    <s v="201415-24"/>
    <x v="18"/>
    <x v="1"/>
    <x v="0"/>
    <x v="6"/>
    <x v="6"/>
    <n v="7"/>
    <x v="127"/>
  </r>
  <r>
    <s v="201425-44"/>
    <x v="18"/>
    <x v="2"/>
    <x v="0"/>
    <x v="6"/>
    <x v="6"/>
    <n v="32"/>
    <x v="128"/>
  </r>
  <r>
    <s v="201445-64"/>
    <x v="18"/>
    <x v="3"/>
    <x v="0"/>
    <x v="6"/>
    <x v="6"/>
    <n v="342"/>
    <x v="129"/>
  </r>
  <r>
    <s v="20145-14"/>
    <x v="18"/>
    <x v="4"/>
    <x v="0"/>
    <x v="6"/>
    <x v="6"/>
    <n v="4"/>
    <x v="130"/>
  </r>
  <r>
    <s v="201465-74"/>
    <x v="18"/>
    <x v="5"/>
    <x v="0"/>
    <x v="6"/>
    <x v="6"/>
    <n v="415"/>
    <x v="131"/>
  </r>
  <r>
    <s v="201475+"/>
    <x v="18"/>
    <x v="6"/>
    <x v="0"/>
    <x v="6"/>
    <x v="6"/>
    <n v="1460"/>
    <x v="132"/>
  </r>
  <r>
    <s v="19960-4"/>
    <x v="0"/>
    <x v="0"/>
    <x v="0"/>
    <x v="7"/>
    <x v="7"/>
    <n v="367"/>
    <x v="0"/>
  </r>
  <r>
    <s v="199615-24"/>
    <x v="0"/>
    <x v="1"/>
    <x v="0"/>
    <x v="7"/>
    <x v="7"/>
    <n v="34"/>
    <x v="1"/>
  </r>
  <r>
    <s v="199625-44"/>
    <x v="0"/>
    <x v="2"/>
    <x v="0"/>
    <x v="7"/>
    <x v="7"/>
    <n v="67"/>
    <x v="2"/>
  </r>
  <r>
    <s v="199645-64"/>
    <x v="0"/>
    <x v="3"/>
    <x v="0"/>
    <x v="7"/>
    <x v="7"/>
    <n v="78"/>
    <x v="3"/>
  </r>
  <r>
    <s v="19965-14"/>
    <x v="0"/>
    <x v="4"/>
    <x v="0"/>
    <x v="7"/>
    <x v="7"/>
    <n v="37"/>
    <x v="4"/>
  </r>
  <r>
    <s v="199665-74"/>
    <x v="0"/>
    <x v="5"/>
    <x v="0"/>
    <x v="7"/>
    <x v="7"/>
    <n v="106"/>
    <x v="5"/>
  </r>
  <r>
    <s v="199675+"/>
    <x v="0"/>
    <x v="6"/>
    <x v="0"/>
    <x v="7"/>
    <x v="7"/>
    <n v="552"/>
    <x v="6"/>
  </r>
  <r>
    <s v="19970-4"/>
    <x v="1"/>
    <x v="0"/>
    <x v="0"/>
    <x v="7"/>
    <x v="7"/>
    <n v="400"/>
    <x v="7"/>
  </r>
  <r>
    <s v="199715-24"/>
    <x v="1"/>
    <x v="1"/>
    <x v="0"/>
    <x v="7"/>
    <x v="7"/>
    <n v="38"/>
    <x v="8"/>
  </r>
  <r>
    <s v="199725-44"/>
    <x v="1"/>
    <x v="2"/>
    <x v="0"/>
    <x v="7"/>
    <x v="7"/>
    <n v="75"/>
    <x v="9"/>
  </r>
  <r>
    <s v="199745-64"/>
    <x v="1"/>
    <x v="3"/>
    <x v="0"/>
    <x v="7"/>
    <x v="7"/>
    <n v="93"/>
    <x v="10"/>
  </r>
  <r>
    <s v="19975-14"/>
    <x v="1"/>
    <x v="4"/>
    <x v="0"/>
    <x v="7"/>
    <x v="7"/>
    <n v="34"/>
    <x v="11"/>
  </r>
  <r>
    <s v="199765-74"/>
    <x v="1"/>
    <x v="5"/>
    <x v="0"/>
    <x v="7"/>
    <x v="7"/>
    <n v="115"/>
    <x v="12"/>
  </r>
  <r>
    <s v="199775+"/>
    <x v="1"/>
    <x v="6"/>
    <x v="0"/>
    <x v="7"/>
    <x v="7"/>
    <n v="562"/>
    <x v="13"/>
  </r>
  <r>
    <s v="19980-4"/>
    <x v="2"/>
    <x v="0"/>
    <x v="0"/>
    <x v="7"/>
    <x v="7"/>
    <n v="436"/>
    <x v="14"/>
  </r>
  <r>
    <s v="199815-24"/>
    <x v="2"/>
    <x v="1"/>
    <x v="0"/>
    <x v="7"/>
    <x v="7"/>
    <n v="24"/>
    <x v="15"/>
  </r>
  <r>
    <s v="199825-44"/>
    <x v="2"/>
    <x v="2"/>
    <x v="0"/>
    <x v="7"/>
    <x v="7"/>
    <n v="74"/>
    <x v="16"/>
  </r>
  <r>
    <s v="199845-64"/>
    <x v="2"/>
    <x v="3"/>
    <x v="0"/>
    <x v="7"/>
    <x v="7"/>
    <n v="107"/>
    <x v="17"/>
  </r>
  <r>
    <s v="19985-14"/>
    <x v="2"/>
    <x v="4"/>
    <x v="0"/>
    <x v="7"/>
    <x v="7"/>
    <n v="31"/>
    <x v="18"/>
  </r>
  <r>
    <s v="199865-74"/>
    <x v="2"/>
    <x v="5"/>
    <x v="0"/>
    <x v="7"/>
    <x v="7"/>
    <n v="128"/>
    <x v="19"/>
  </r>
  <r>
    <s v="199875+"/>
    <x v="2"/>
    <x v="6"/>
    <x v="0"/>
    <x v="7"/>
    <x v="7"/>
    <n v="633"/>
    <x v="20"/>
  </r>
  <r>
    <s v="19990-4"/>
    <x v="3"/>
    <x v="0"/>
    <x v="0"/>
    <x v="7"/>
    <x v="7"/>
    <n v="334"/>
    <x v="21"/>
  </r>
  <r>
    <s v="199915-24"/>
    <x v="3"/>
    <x v="1"/>
    <x v="0"/>
    <x v="7"/>
    <x v="7"/>
    <n v="31"/>
    <x v="22"/>
  </r>
  <r>
    <s v="199925-44"/>
    <x v="3"/>
    <x v="2"/>
    <x v="0"/>
    <x v="7"/>
    <x v="7"/>
    <n v="72"/>
    <x v="23"/>
  </r>
  <r>
    <s v="199945-64"/>
    <x v="3"/>
    <x v="3"/>
    <x v="0"/>
    <x v="7"/>
    <x v="7"/>
    <n v="89"/>
    <x v="24"/>
  </r>
  <r>
    <s v="19995-14"/>
    <x v="3"/>
    <x v="4"/>
    <x v="0"/>
    <x v="7"/>
    <x v="7"/>
    <n v="32"/>
    <x v="25"/>
  </r>
  <r>
    <s v="199965-74"/>
    <x v="3"/>
    <x v="5"/>
    <x v="0"/>
    <x v="7"/>
    <x v="7"/>
    <n v="130"/>
    <x v="26"/>
  </r>
  <r>
    <s v="199975+"/>
    <x v="3"/>
    <x v="6"/>
    <x v="0"/>
    <x v="7"/>
    <x v="7"/>
    <n v="658"/>
    <x v="27"/>
  </r>
  <r>
    <s v="20000-4"/>
    <x v="4"/>
    <x v="0"/>
    <x v="0"/>
    <x v="7"/>
    <x v="7"/>
    <n v="301"/>
    <x v="28"/>
  </r>
  <r>
    <s v="200015-24"/>
    <x v="4"/>
    <x v="1"/>
    <x v="0"/>
    <x v="7"/>
    <x v="7"/>
    <n v="34"/>
    <x v="29"/>
  </r>
  <r>
    <s v="200025-44"/>
    <x v="4"/>
    <x v="2"/>
    <x v="0"/>
    <x v="7"/>
    <x v="7"/>
    <n v="49"/>
    <x v="30"/>
  </r>
  <r>
    <s v="200045-64"/>
    <x v="4"/>
    <x v="3"/>
    <x v="0"/>
    <x v="7"/>
    <x v="7"/>
    <n v="74"/>
    <x v="31"/>
  </r>
  <r>
    <s v="20005-14"/>
    <x v="4"/>
    <x v="4"/>
    <x v="0"/>
    <x v="7"/>
    <x v="7"/>
    <n v="40"/>
    <x v="32"/>
  </r>
  <r>
    <s v="200065-74"/>
    <x v="4"/>
    <x v="5"/>
    <x v="0"/>
    <x v="7"/>
    <x v="7"/>
    <n v="96"/>
    <x v="33"/>
  </r>
  <r>
    <s v="200075+"/>
    <x v="4"/>
    <x v="6"/>
    <x v="0"/>
    <x v="7"/>
    <x v="7"/>
    <n v="481"/>
    <x v="34"/>
  </r>
  <r>
    <s v="20010-4"/>
    <x v="5"/>
    <x v="0"/>
    <x v="0"/>
    <x v="7"/>
    <x v="7"/>
    <n v="366"/>
    <x v="35"/>
  </r>
  <r>
    <s v="200115-24"/>
    <x v="5"/>
    <x v="1"/>
    <x v="0"/>
    <x v="7"/>
    <x v="7"/>
    <n v="23"/>
    <x v="36"/>
  </r>
  <r>
    <s v="200125-44"/>
    <x v="5"/>
    <x v="2"/>
    <x v="0"/>
    <x v="7"/>
    <x v="7"/>
    <n v="77"/>
    <x v="37"/>
  </r>
  <r>
    <s v="200145-64"/>
    <x v="5"/>
    <x v="3"/>
    <x v="0"/>
    <x v="7"/>
    <x v="7"/>
    <n v="92"/>
    <x v="38"/>
  </r>
  <r>
    <s v="20015-14"/>
    <x v="5"/>
    <x v="4"/>
    <x v="0"/>
    <x v="7"/>
    <x v="7"/>
    <n v="40"/>
    <x v="39"/>
  </r>
  <r>
    <s v="200165-74"/>
    <x v="5"/>
    <x v="5"/>
    <x v="0"/>
    <x v="7"/>
    <x v="7"/>
    <n v="145"/>
    <x v="40"/>
  </r>
  <r>
    <s v="200175+"/>
    <x v="5"/>
    <x v="6"/>
    <x v="0"/>
    <x v="7"/>
    <x v="7"/>
    <n v="625"/>
    <x v="41"/>
  </r>
  <r>
    <s v="20020-4"/>
    <x v="6"/>
    <x v="0"/>
    <x v="0"/>
    <x v="7"/>
    <x v="7"/>
    <n v="268"/>
    <x v="42"/>
  </r>
  <r>
    <s v="200215-24"/>
    <x v="6"/>
    <x v="1"/>
    <x v="0"/>
    <x v="7"/>
    <x v="7"/>
    <n v="39"/>
    <x v="43"/>
  </r>
  <r>
    <s v="200225-44"/>
    <x v="6"/>
    <x v="2"/>
    <x v="0"/>
    <x v="7"/>
    <x v="7"/>
    <n v="75"/>
    <x v="44"/>
  </r>
  <r>
    <s v="200245-64"/>
    <x v="6"/>
    <x v="3"/>
    <x v="0"/>
    <x v="7"/>
    <x v="7"/>
    <n v="99"/>
    <x v="45"/>
  </r>
  <r>
    <s v="20025-14"/>
    <x v="6"/>
    <x v="4"/>
    <x v="0"/>
    <x v="7"/>
    <x v="7"/>
    <n v="33"/>
    <x v="46"/>
  </r>
  <r>
    <s v="200265-74"/>
    <x v="6"/>
    <x v="5"/>
    <x v="0"/>
    <x v="7"/>
    <x v="7"/>
    <n v="119"/>
    <x v="47"/>
  </r>
  <r>
    <s v="200275+"/>
    <x v="6"/>
    <x v="6"/>
    <x v="0"/>
    <x v="7"/>
    <x v="7"/>
    <n v="547"/>
    <x v="48"/>
  </r>
  <r>
    <s v="20030-4"/>
    <x v="7"/>
    <x v="0"/>
    <x v="0"/>
    <x v="7"/>
    <x v="7"/>
    <n v="395"/>
    <x v="49"/>
  </r>
  <r>
    <s v="200315-24"/>
    <x v="7"/>
    <x v="1"/>
    <x v="0"/>
    <x v="7"/>
    <x v="7"/>
    <n v="37"/>
    <x v="50"/>
  </r>
  <r>
    <s v="200325-44"/>
    <x v="7"/>
    <x v="2"/>
    <x v="0"/>
    <x v="7"/>
    <x v="7"/>
    <n v="91"/>
    <x v="51"/>
  </r>
  <r>
    <s v="200345-64"/>
    <x v="7"/>
    <x v="3"/>
    <x v="0"/>
    <x v="7"/>
    <x v="7"/>
    <n v="118"/>
    <x v="52"/>
  </r>
  <r>
    <s v="20035-14"/>
    <x v="7"/>
    <x v="4"/>
    <x v="0"/>
    <x v="7"/>
    <x v="7"/>
    <n v="38"/>
    <x v="53"/>
  </r>
  <r>
    <s v="200365-74"/>
    <x v="7"/>
    <x v="5"/>
    <x v="0"/>
    <x v="7"/>
    <x v="7"/>
    <n v="120"/>
    <x v="54"/>
  </r>
  <r>
    <s v="200375+"/>
    <x v="7"/>
    <x v="6"/>
    <x v="0"/>
    <x v="7"/>
    <x v="7"/>
    <n v="722"/>
    <x v="55"/>
  </r>
  <r>
    <s v="20040-4"/>
    <x v="8"/>
    <x v="0"/>
    <x v="0"/>
    <x v="7"/>
    <x v="7"/>
    <n v="321"/>
    <x v="56"/>
  </r>
  <r>
    <s v="200415-24"/>
    <x v="8"/>
    <x v="1"/>
    <x v="0"/>
    <x v="7"/>
    <x v="7"/>
    <n v="32"/>
    <x v="57"/>
  </r>
  <r>
    <s v="200425-44"/>
    <x v="8"/>
    <x v="2"/>
    <x v="0"/>
    <x v="7"/>
    <x v="7"/>
    <n v="57"/>
    <x v="58"/>
  </r>
  <r>
    <s v="200445-64"/>
    <x v="8"/>
    <x v="3"/>
    <x v="0"/>
    <x v="7"/>
    <x v="7"/>
    <n v="97"/>
    <x v="59"/>
  </r>
  <r>
    <s v="20045-14"/>
    <x v="8"/>
    <x v="4"/>
    <x v="0"/>
    <x v="7"/>
    <x v="7"/>
    <n v="26"/>
    <x v="60"/>
  </r>
  <r>
    <s v="200465-74"/>
    <x v="8"/>
    <x v="5"/>
    <x v="0"/>
    <x v="7"/>
    <x v="7"/>
    <n v="103"/>
    <x v="61"/>
  </r>
  <r>
    <s v="200475+"/>
    <x v="8"/>
    <x v="6"/>
    <x v="0"/>
    <x v="7"/>
    <x v="7"/>
    <n v="698"/>
    <x v="62"/>
  </r>
  <r>
    <s v="20050-4"/>
    <x v="9"/>
    <x v="0"/>
    <x v="0"/>
    <x v="7"/>
    <x v="7"/>
    <n v="204"/>
    <x v="63"/>
  </r>
  <r>
    <s v="200515-24"/>
    <x v="9"/>
    <x v="1"/>
    <x v="0"/>
    <x v="7"/>
    <x v="7"/>
    <n v="19"/>
    <x v="64"/>
  </r>
  <r>
    <s v="200525-44"/>
    <x v="9"/>
    <x v="2"/>
    <x v="0"/>
    <x v="7"/>
    <x v="7"/>
    <n v="72"/>
    <x v="65"/>
  </r>
  <r>
    <s v="200545-64"/>
    <x v="9"/>
    <x v="3"/>
    <x v="0"/>
    <x v="7"/>
    <x v="7"/>
    <n v="99"/>
    <x v="66"/>
  </r>
  <r>
    <s v="20055-14"/>
    <x v="9"/>
    <x v="4"/>
    <x v="0"/>
    <x v="7"/>
    <x v="7"/>
    <n v="27"/>
    <x v="67"/>
  </r>
  <r>
    <s v="200565-74"/>
    <x v="9"/>
    <x v="5"/>
    <x v="0"/>
    <x v="7"/>
    <x v="7"/>
    <n v="111"/>
    <x v="68"/>
  </r>
  <r>
    <s v="200575+"/>
    <x v="9"/>
    <x v="6"/>
    <x v="0"/>
    <x v="7"/>
    <x v="7"/>
    <n v="717"/>
    <x v="69"/>
  </r>
  <r>
    <s v="20060-4"/>
    <x v="10"/>
    <x v="0"/>
    <x v="0"/>
    <x v="7"/>
    <x v="7"/>
    <n v="208"/>
    <x v="70"/>
  </r>
  <r>
    <s v="200615-24"/>
    <x v="10"/>
    <x v="1"/>
    <x v="0"/>
    <x v="7"/>
    <x v="7"/>
    <n v="35"/>
    <x v="71"/>
  </r>
  <r>
    <s v="200625-44"/>
    <x v="10"/>
    <x v="2"/>
    <x v="0"/>
    <x v="7"/>
    <x v="7"/>
    <n v="83"/>
    <x v="72"/>
  </r>
  <r>
    <s v="200645-64"/>
    <x v="10"/>
    <x v="3"/>
    <x v="0"/>
    <x v="7"/>
    <x v="7"/>
    <n v="98"/>
    <x v="73"/>
  </r>
  <r>
    <s v="20065-14"/>
    <x v="10"/>
    <x v="4"/>
    <x v="0"/>
    <x v="7"/>
    <x v="7"/>
    <n v="44"/>
    <x v="74"/>
  </r>
  <r>
    <s v="200665-74"/>
    <x v="10"/>
    <x v="5"/>
    <x v="0"/>
    <x v="7"/>
    <x v="7"/>
    <n v="127"/>
    <x v="75"/>
  </r>
  <r>
    <s v="200675+"/>
    <x v="10"/>
    <x v="6"/>
    <x v="0"/>
    <x v="7"/>
    <x v="7"/>
    <n v="691"/>
    <x v="76"/>
  </r>
  <r>
    <s v="20070-4"/>
    <x v="11"/>
    <x v="0"/>
    <x v="0"/>
    <x v="7"/>
    <x v="7"/>
    <n v="216"/>
    <x v="77"/>
  </r>
  <r>
    <s v="200715-24"/>
    <x v="11"/>
    <x v="1"/>
    <x v="0"/>
    <x v="7"/>
    <x v="7"/>
    <n v="24"/>
    <x v="78"/>
  </r>
  <r>
    <s v="200725-44"/>
    <x v="11"/>
    <x v="2"/>
    <x v="0"/>
    <x v="7"/>
    <x v="7"/>
    <n v="75"/>
    <x v="79"/>
  </r>
  <r>
    <s v="200745-64"/>
    <x v="11"/>
    <x v="3"/>
    <x v="0"/>
    <x v="7"/>
    <x v="7"/>
    <n v="123"/>
    <x v="80"/>
  </r>
  <r>
    <s v="20075-14"/>
    <x v="11"/>
    <x v="4"/>
    <x v="0"/>
    <x v="7"/>
    <x v="7"/>
    <n v="34"/>
    <x v="81"/>
  </r>
  <r>
    <s v="200765-74"/>
    <x v="11"/>
    <x v="5"/>
    <x v="0"/>
    <x v="7"/>
    <x v="7"/>
    <n v="145"/>
    <x v="82"/>
  </r>
  <r>
    <s v="200775+"/>
    <x v="11"/>
    <x v="6"/>
    <x v="0"/>
    <x v="7"/>
    <x v="7"/>
    <n v="844"/>
    <x v="83"/>
  </r>
  <r>
    <s v="20080-4"/>
    <x v="12"/>
    <x v="0"/>
    <x v="0"/>
    <x v="7"/>
    <x v="7"/>
    <n v="208"/>
    <x v="84"/>
  </r>
  <r>
    <s v="200815-24"/>
    <x v="12"/>
    <x v="1"/>
    <x v="0"/>
    <x v="7"/>
    <x v="7"/>
    <n v="24"/>
    <x v="85"/>
  </r>
  <r>
    <s v="200825-44"/>
    <x v="12"/>
    <x v="2"/>
    <x v="0"/>
    <x v="7"/>
    <x v="7"/>
    <n v="86"/>
    <x v="86"/>
  </r>
  <r>
    <s v="200845-64"/>
    <x v="12"/>
    <x v="3"/>
    <x v="0"/>
    <x v="7"/>
    <x v="7"/>
    <n v="117"/>
    <x v="87"/>
  </r>
  <r>
    <s v="20085-14"/>
    <x v="12"/>
    <x v="4"/>
    <x v="0"/>
    <x v="7"/>
    <x v="7"/>
    <n v="28"/>
    <x v="88"/>
  </r>
  <r>
    <s v="200865-74"/>
    <x v="12"/>
    <x v="5"/>
    <x v="0"/>
    <x v="7"/>
    <x v="7"/>
    <n v="122"/>
    <x v="89"/>
  </r>
  <r>
    <s v="200875+"/>
    <x v="12"/>
    <x v="6"/>
    <x v="0"/>
    <x v="7"/>
    <x v="7"/>
    <n v="877"/>
    <x v="90"/>
  </r>
  <r>
    <s v="20090-4"/>
    <x v="13"/>
    <x v="0"/>
    <x v="0"/>
    <x v="7"/>
    <x v="7"/>
    <n v="231"/>
    <x v="91"/>
  </r>
  <r>
    <s v="200915-24"/>
    <x v="13"/>
    <x v="1"/>
    <x v="0"/>
    <x v="7"/>
    <x v="7"/>
    <n v="46"/>
    <x v="92"/>
  </r>
  <r>
    <s v="200925-44"/>
    <x v="13"/>
    <x v="2"/>
    <x v="0"/>
    <x v="7"/>
    <x v="7"/>
    <n v="109"/>
    <x v="93"/>
  </r>
  <r>
    <s v="200945-64"/>
    <x v="13"/>
    <x v="3"/>
    <x v="0"/>
    <x v="7"/>
    <x v="7"/>
    <n v="181"/>
    <x v="94"/>
  </r>
  <r>
    <s v="20095-14"/>
    <x v="13"/>
    <x v="4"/>
    <x v="0"/>
    <x v="7"/>
    <x v="7"/>
    <n v="42"/>
    <x v="95"/>
  </r>
  <r>
    <s v="200965-74"/>
    <x v="13"/>
    <x v="5"/>
    <x v="0"/>
    <x v="7"/>
    <x v="7"/>
    <n v="139"/>
    <x v="96"/>
  </r>
  <r>
    <s v="200975+"/>
    <x v="13"/>
    <x v="6"/>
    <x v="0"/>
    <x v="7"/>
    <x v="7"/>
    <n v="835"/>
    <x v="97"/>
  </r>
  <r>
    <s v="20100-4"/>
    <x v="14"/>
    <x v="0"/>
    <x v="0"/>
    <x v="7"/>
    <x v="7"/>
    <n v="203"/>
    <x v="98"/>
  </r>
  <r>
    <s v="201015-24"/>
    <x v="14"/>
    <x v="1"/>
    <x v="0"/>
    <x v="7"/>
    <x v="7"/>
    <n v="34"/>
    <x v="99"/>
  </r>
  <r>
    <s v="201025-44"/>
    <x v="14"/>
    <x v="2"/>
    <x v="0"/>
    <x v="7"/>
    <x v="7"/>
    <n v="92"/>
    <x v="100"/>
  </r>
  <r>
    <s v="201045-64"/>
    <x v="14"/>
    <x v="3"/>
    <x v="0"/>
    <x v="7"/>
    <x v="7"/>
    <n v="152"/>
    <x v="101"/>
  </r>
  <r>
    <s v="20105-14"/>
    <x v="14"/>
    <x v="4"/>
    <x v="0"/>
    <x v="7"/>
    <x v="7"/>
    <n v="39"/>
    <x v="102"/>
  </r>
  <r>
    <s v="201065-74"/>
    <x v="14"/>
    <x v="5"/>
    <x v="0"/>
    <x v="7"/>
    <x v="7"/>
    <n v="167"/>
    <x v="103"/>
  </r>
  <r>
    <s v="201075+"/>
    <x v="14"/>
    <x v="6"/>
    <x v="0"/>
    <x v="7"/>
    <x v="7"/>
    <n v="1114"/>
    <x v="104"/>
  </r>
  <r>
    <s v="20110-4"/>
    <x v="15"/>
    <x v="0"/>
    <x v="0"/>
    <x v="7"/>
    <x v="7"/>
    <n v="206"/>
    <x v="105"/>
  </r>
  <r>
    <s v="201115-24"/>
    <x v="15"/>
    <x v="1"/>
    <x v="0"/>
    <x v="7"/>
    <x v="7"/>
    <n v="40"/>
    <x v="106"/>
  </r>
  <r>
    <s v="201125-44"/>
    <x v="15"/>
    <x v="2"/>
    <x v="0"/>
    <x v="7"/>
    <x v="7"/>
    <n v="98"/>
    <x v="107"/>
  </r>
  <r>
    <s v="201145-64"/>
    <x v="15"/>
    <x v="3"/>
    <x v="0"/>
    <x v="7"/>
    <x v="7"/>
    <n v="175"/>
    <x v="108"/>
  </r>
  <r>
    <s v="20115-14"/>
    <x v="15"/>
    <x v="4"/>
    <x v="0"/>
    <x v="7"/>
    <x v="7"/>
    <n v="28"/>
    <x v="109"/>
  </r>
  <r>
    <s v="201165-74"/>
    <x v="15"/>
    <x v="5"/>
    <x v="0"/>
    <x v="7"/>
    <x v="7"/>
    <n v="185"/>
    <x v="110"/>
  </r>
  <r>
    <s v="201175+"/>
    <x v="15"/>
    <x v="6"/>
    <x v="0"/>
    <x v="7"/>
    <x v="7"/>
    <n v="1128"/>
    <x v="111"/>
  </r>
  <r>
    <s v="20120-4"/>
    <x v="16"/>
    <x v="0"/>
    <x v="0"/>
    <x v="7"/>
    <x v="7"/>
    <n v="197"/>
    <x v="112"/>
  </r>
  <r>
    <s v="201215-24"/>
    <x v="16"/>
    <x v="1"/>
    <x v="0"/>
    <x v="7"/>
    <x v="7"/>
    <n v="25"/>
    <x v="113"/>
  </r>
  <r>
    <s v="201225-44"/>
    <x v="16"/>
    <x v="2"/>
    <x v="0"/>
    <x v="7"/>
    <x v="7"/>
    <n v="89"/>
    <x v="114"/>
  </r>
  <r>
    <s v="201245-64"/>
    <x v="16"/>
    <x v="3"/>
    <x v="0"/>
    <x v="7"/>
    <x v="7"/>
    <n v="148"/>
    <x v="115"/>
  </r>
  <r>
    <s v="20125-14"/>
    <x v="16"/>
    <x v="4"/>
    <x v="0"/>
    <x v="7"/>
    <x v="7"/>
    <n v="22"/>
    <x v="116"/>
  </r>
  <r>
    <s v="201265-74"/>
    <x v="16"/>
    <x v="5"/>
    <x v="0"/>
    <x v="7"/>
    <x v="7"/>
    <n v="188"/>
    <x v="117"/>
  </r>
  <r>
    <s v="201275+"/>
    <x v="16"/>
    <x v="6"/>
    <x v="0"/>
    <x v="7"/>
    <x v="7"/>
    <n v="1088"/>
    <x v="118"/>
  </r>
  <r>
    <s v="20130-4"/>
    <x v="17"/>
    <x v="0"/>
    <x v="0"/>
    <x v="7"/>
    <x v="7"/>
    <n v="209"/>
    <x v="119"/>
  </r>
  <r>
    <s v="201315-24"/>
    <x v="17"/>
    <x v="1"/>
    <x v="0"/>
    <x v="7"/>
    <x v="7"/>
    <n v="37"/>
    <x v="120"/>
  </r>
  <r>
    <s v="201325-44"/>
    <x v="17"/>
    <x v="2"/>
    <x v="0"/>
    <x v="7"/>
    <x v="7"/>
    <n v="168"/>
    <x v="121"/>
  </r>
  <r>
    <s v="201345-64"/>
    <x v="17"/>
    <x v="3"/>
    <x v="0"/>
    <x v="7"/>
    <x v="7"/>
    <n v="295"/>
    <x v="122"/>
  </r>
  <r>
    <s v="20135-14"/>
    <x v="17"/>
    <x v="4"/>
    <x v="0"/>
    <x v="7"/>
    <x v="7"/>
    <n v="33"/>
    <x v="123"/>
  </r>
  <r>
    <s v="201365-74"/>
    <x v="17"/>
    <x v="5"/>
    <x v="0"/>
    <x v="7"/>
    <x v="7"/>
    <n v="228"/>
    <x v="124"/>
  </r>
  <r>
    <s v="201375+"/>
    <x v="17"/>
    <x v="6"/>
    <x v="0"/>
    <x v="7"/>
    <x v="7"/>
    <n v="1204"/>
    <x v="125"/>
  </r>
  <r>
    <s v="20140-4"/>
    <x v="18"/>
    <x v="0"/>
    <x v="0"/>
    <x v="7"/>
    <x v="7"/>
    <n v="206"/>
    <x v="126"/>
  </r>
  <r>
    <s v="201415-24"/>
    <x v="18"/>
    <x v="1"/>
    <x v="0"/>
    <x v="7"/>
    <x v="7"/>
    <n v="32"/>
    <x v="127"/>
  </r>
  <r>
    <s v="201425-44"/>
    <x v="18"/>
    <x v="2"/>
    <x v="0"/>
    <x v="7"/>
    <x v="7"/>
    <n v="95"/>
    <x v="128"/>
  </r>
  <r>
    <s v="201445-64"/>
    <x v="18"/>
    <x v="3"/>
    <x v="0"/>
    <x v="7"/>
    <x v="7"/>
    <n v="244"/>
    <x v="129"/>
  </r>
  <r>
    <s v="20145-14"/>
    <x v="18"/>
    <x v="4"/>
    <x v="0"/>
    <x v="7"/>
    <x v="7"/>
    <n v="43"/>
    <x v="130"/>
  </r>
  <r>
    <s v="201465-74"/>
    <x v="18"/>
    <x v="5"/>
    <x v="0"/>
    <x v="7"/>
    <x v="7"/>
    <n v="198"/>
    <x v="131"/>
  </r>
  <r>
    <s v="201475+"/>
    <x v="18"/>
    <x v="6"/>
    <x v="0"/>
    <x v="7"/>
    <x v="7"/>
    <n v="1396"/>
    <x v="132"/>
  </r>
  <r>
    <s v="19960-4"/>
    <x v="0"/>
    <x v="0"/>
    <x v="0"/>
    <x v="8"/>
    <x v="8"/>
    <n v="761"/>
    <x v="0"/>
  </r>
  <r>
    <s v="199615-24"/>
    <x v="0"/>
    <x v="1"/>
    <x v="0"/>
    <x v="8"/>
    <x v="8"/>
    <n v="28"/>
    <x v="1"/>
  </r>
  <r>
    <s v="199625-44"/>
    <x v="0"/>
    <x v="2"/>
    <x v="0"/>
    <x v="8"/>
    <x v="8"/>
    <n v="46"/>
    <x v="2"/>
  </r>
  <r>
    <s v="199645-64"/>
    <x v="0"/>
    <x v="3"/>
    <x v="0"/>
    <x v="8"/>
    <x v="8"/>
    <n v="18"/>
    <x v="3"/>
  </r>
  <r>
    <s v="19965-14"/>
    <x v="0"/>
    <x v="4"/>
    <x v="0"/>
    <x v="8"/>
    <x v="8"/>
    <n v="60"/>
    <x v="4"/>
  </r>
  <r>
    <s v="199665-74"/>
    <x v="0"/>
    <x v="5"/>
    <x v="0"/>
    <x v="8"/>
    <x v="8"/>
    <n v="8"/>
    <x v="5"/>
  </r>
  <r>
    <s v="199675+"/>
    <x v="0"/>
    <x v="6"/>
    <x v="0"/>
    <x v="8"/>
    <x v="8"/>
    <n v="12"/>
    <x v="6"/>
  </r>
  <r>
    <s v="19970-4"/>
    <x v="1"/>
    <x v="0"/>
    <x v="0"/>
    <x v="8"/>
    <x v="8"/>
    <n v="754"/>
    <x v="7"/>
  </r>
  <r>
    <s v="199715-24"/>
    <x v="1"/>
    <x v="1"/>
    <x v="0"/>
    <x v="8"/>
    <x v="8"/>
    <n v="30"/>
    <x v="8"/>
  </r>
  <r>
    <s v="199725-44"/>
    <x v="1"/>
    <x v="2"/>
    <x v="0"/>
    <x v="8"/>
    <x v="8"/>
    <n v="46"/>
    <x v="9"/>
  </r>
  <r>
    <s v="199745-64"/>
    <x v="1"/>
    <x v="3"/>
    <x v="0"/>
    <x v="8"/>
    <x v="8"/>
    <n v="25"/>
    <x v="10"/>
  </r>
  <r>
    <s v="19975-14"/>
    <x v="1"/>
    <x v="4"/>
    <x v="0"/>
    <x v="8"/>
    <x v="8"/>
    <n v="42"/>
    <x v="11"/>
  </r>
  <r>
    <s v="199765-74"/>
    <x v="1"/>
    <x v="5"/>
    <x v="0"/>
    <x v="8"/>
    <x v="8"/>
    <n v="1"/>
    <x v="12"/>
  </r>
  <r>
    <s v="199775+"/>
    <x v="1"/>
    <x v="6"/>
    <x v="0"/>
    <x v="8"/>
    <x v="8"/>
    <n v="6"/>
    <x v="13"/>
  </r>
  <r>
    <s v="19980-4"/>
    <x v="2"/>
    <x v="0"/>
    <x v="0"/>
    <x v="8"/>
    <x v="8"/>
    <n v="680"/>
    <x v="14"/>
  </r>
  <r>
    <s v="199815-24"/>
    <x v="2"/>
    <x v="1"/>
    <x v="0"/>
    <x v="8"/>
    <x v="8"/>
    <n v="38"/>
    <x v="15"/>
  </r>
  <r>
    <s v="199825-44"/>
    <x v="2"/>
    <x v="2"/>
    <x v="0"/>
    <x v="8"/>
    <x v="8"/>
    <n v="43"/>
    <x v="16"/>
  </r>
  <r>
    <s v="199845-64"/>
    <x v="2"/>
    <x v="3"/>
    <x v="0"/>
    <x v="8"/>
    <x v="8"/>
    <n v="22"/>
    <x v="17"/>
  </r>
  <r>
    <s v="19985-14"/>
    <x v="2"/>
    <x v="4"/>
    <x v="0"/>
    <x v="8"/>
    <x v="8"/>
    <n v="52"/>
    <x v="18"/>
  </r>
  <r>
    <s v="199865-74"/>
    <x v="2"/>
    <x v="5"/>
    <x v="0"/>
    <x v="8"/>
    <x v="8"/>
    <n v="0"/>
    <x v="19"/>
  </r>
  <r>
    <s v="199875+"/>
    <x v="2"/>
    <x v="6"/>
    <x v="0"/>
    <x v="8"/>
    <x v="8"/>
    <n v="7"/>
    <x v="20"/>
  </r>
  <r>
    <s v="19990-4"/>
    <x v="3"/>
    <x v="0"/>
    <x v="0"/>
    <x v="8"/>
    <x v="8"/>
    <n v="779"/>
    <x v="21"/>
  </r>
  <r>
    <s v="199915-24"/>
    <x v="3"/>
    <x v="1"/>
    <x v="0"/>
    <x v="8"/>
    <x v="8"/>
    <n v="36"/>
    <x v="22"/>
  </r>
  <r>
    <s v="199925-44"/>
    <x v="3"/>
    <x v="2"/>
    <x v="0"/>
    <x v="8"/>
    <x v="8"/>
    <n v="46"/>
    <x v="23"/>
  </r>
  <r>
    <s v="199945-64"/>
    <x v="3"/>
    <x v="3"/>
    <x v="0"/>
    <x v="8"/>
    <x v="8"/>
    <n v="25"/>
    <x v="24"/>
  </r>
  <r>
    <s v="19995-14"/>
    <x v="3"/>
    <x v="4"/>
    <x v="0"/>
    <x v="8"/>
    <x v="8"/>
    <n v="72"/>
    <x v="25"/>
  </r>
  <r>
    <s v="199965-74"/>
    <x v="3"/>
    <x v="5"/>
    <x v="0"/>
    <x v="8"/>
    <x v="8"/>
    <n v="7"/>
    <x v="26"/>
  </r>
  <r>
    <s v="199975+"/>
    <x v="3"/>
    <x v="6"/>
    <x v="0"/>
    <x v="8"/>
    <x v="8"/>
    <n v="7"/>
    <x v="27"/>
  </r>
  <r>
    <s v="20000-4"/>
    <x v="4"/>
    <x v="0"/>
    <x v="0"/>
    <x v="8"/>
    <x v="8"/>
    <n v="774"/>
    <x v="28"/>
  </r>
  <r>
    <s v="200015-24"/>
    <x v="4"/>
    <x v="1"/>
    <x v="0"/>
    <x v="8"/>
    <x v="8"/>
    <n v="38"/>
    <x v="29"/>
  </r>
  <r>
    <s v="200025-44"/>
    <x v="4"/>
    <x v="2"/>
    <x v="0"/>
    <x v="8"/>
    <x v="8"/>
    <n v="40"/>
    <x v="30"/>
  </r>
  <r>
    <s v="200045-64"/>
    <x v="4"/>
    <x v="3"/>
    <x v="0"/>
    <x v="8"/>
    <x v="8"/>
    <n v="19"/>
    <x v="31"/>
  </r>
  <r>
    <s v="20005-14"/>
    <x v="4"/>
    <x v="4"/>
    <x v="0"/>
    <x v="8"/>
    <x v="8"/>
    <n v="69"/>
    <x v="32"/>
  </r>
  <r>
    <s v="200065-74"/>
    <x v="4"/>
    <x v="5"/>
    <x v="0"/>
    <x v="8"/>
    <x v="8"/>
    <n v="5"/>
    <x v="33"/>
  </r>
  <r>
    <s v="200075+"/>
    <x v="4"/>
    <x v="6"/>
    <x v="0"/>
    <x v="8"/>
    <x v="8"/>
    <n v="9"/>
    <x v="34"/>
  </r>
  <r>
    <s v="20010-4"/>
    <x v="5"/>
    <x v="0"/>
    <x v="0"/>
    <x v="8"/>
    <x v="8"/>
    <n v="774"/>
    <x v="35"/>
  </r>
  <r>
    <s v="200115-24"/>
    <x v="5"/>
    <x v="1"/>
    <x v="0"/>
    <x v="8"/>
    <x v="8"/>
    <n v="45"/>
    <x v="36"/>
  </r>
  <r>
    <s v="200125-44"/>
    <x v="5"/>
    <x v="2"/>
    <x v="0"/>
    <x v="8"/>
    <x v="8"/>
    <n v="39"/>
    <x v="37"/>
  </r>
  <r>
    <s v="200145-64"/>
    <x v="5"/>
    <x v="3"/>
    <x v="0"/>
    <x v="8"/>
    <x v="8"/>
    <n v="18"/>
    <x v="38"/>
  </r>
  <r>
    <s v="20015-14"/>
    <x v="5"/>
    <x v="4"/>
    <x v="0"/>
    <x v="8"/>
    <x v="8"/>
    <n v="76"/>
    <x v="39"/>
  </r>
  <r>
    <s v="200165-74"/>
    <x v="5"/>
    <x v="5"/>
    <x v="0"/>
    <x v="8"/>
    <x v="8"/>
    <n v="4"/>
    <x v="40"/>
  </r>
  <r>
    <s v="200175+"/>
    <x v="5"/>
    <x v="6"/>
    <x v="0"/>
    <x v="8"/>
    <x v="8"/>
    <n v="1"/>
    <x v="41"/>
  </r>
  <r>
    <s v="20020-4"/>
    <x v="6"/>
    <x v="0"/>
    <x v="0"/>
    <x v="8"/>
    <x v="8"/>
    <n v="847"/>
    <x v="42"/>
  </r>
  <r>
    <s v="200215-24"/>
    <x v="6"/>
    <x v="1"/>
    <x v="0"/>
    <x v="8"/>
    <x v="8"/>
    <n v="42"/>
    <x v="43"/>
  </r>
  <r>
    <s v="200225-44"/>
    <x v="6"/>
    <x v="2"/>
    <x v="0"/>
    <x v="8"/>
    <x v="8"/>
    <n v="39"/>
    <x v="44"/>
  </r>
  <r>
    <s v="200245-64"/>
    <x v="6"/>
    <x v="3"/>
    <x v="0"/>
    <x v="8"/>
    <x v="8"/>
    <n v="20"/>
    <x v="45"/>
  </r>
  <r>
    <s v="20025-14"/>
    <x v="6"/>
    <x v="4"/>
    <x v="0"/>
    <x v="8"/>
    <x v="8"/>
    <n v="73"/>
    <x v="46"/>
  </r>
  <r>
    <s v="200265-74"/>
    <x v="6"/>
    <x v="5"/>
    <x v="0"/>
    <x v="8"/>
    <x v="8"/>
    <n v="5"/>
    <x v="47"/>
  </r>
  <r>
    <s v="200275+"/>
    <x v="6"/>
    <x v="6"/>
    <x v="0"/>
    <x v="8"/>
    <x v="8"/>
    <n v="12"/>
    <x v="48"/>
  </r>
  <r>
    <s v="20030-4"/>
    <x v="7"/>
    <x v="0"/>
    <x v="0"/>
    <x v="8"/>
    <x v="8"/>
    <n v="791"/>
    <x v="49"/>
  </r>
  <r>
    <s v="200315-24"/>
    <x v="7"/>
    <x v="1"/>
    <x v="0"/>
    <x v="8"/>
    <x v="8"/>
    <n v="50"/>
    <x v="50"/>
  </r>
  <r>
    <s v="200325-44"/>
    <x v="7"/>
    <x v="2"/>
    <x v="0"/>
    <x v="8"/>
    <x v="8"/>
    <n v="48"/>
    <x v="51"/>
  </r>
  <r>
    <s v="200345-64"/>
    <x v="7"/>
    <x v="3"/>
    <x v="0"/>
    <x v="8"/>
    <x v="8"/>
    <n v="28"/>
    <x v="52"/>
  </r>
  <r>
    <s v="20035-14"/>
    <x v="7"/>
    <x v="4"/>
    <x v="0"/>
    <x v="8"/>
    <x v="8"/>
    <n v="54"/>
    <x v="53"/>
  </r>
  <r>
    <s v="200365-74"/>
    <x v="7"/>
    <x v="5"/>
    <x v="0"/>
    <x v="8"/>
    <x v="8"/>
    <n v="4"/>
    <x v="54"/>
  </r>
  <r>
    <s v="200375+"/>
    <x v="7"/>
    <x v="6"/>
    <x v="0"/>
    <x v="8"/>
    <x v="8"/>
    <n v="20"/>
    <x v="55"/>
  </r>
  <r>
    <s v="20040-4"/>
    <x v="8"/>
    <x v="0"/>
    <x v="0"/>
    <x v="8"/>
    <x v="8"/>
    <n v="756"/>
    <x v="56"/>
  </r>
  <r>
    <s v="200415-24"/>
    <x v="8"/>
    <x v="1"/>
    <x v="0"/>
    <x v="8"/>
    <x v="8"/>
    <n v="37"/>
    <x v="57"/>
  </r>
  <r>
    <s v="200425-44"/>
    <x v="8"/>
    <x v="2"/>
    <x v="0"/>
    <x v="8"/>
    <x v="8"/>
    <n v="42"/>
    <x v="58"/>
  </r>
  <r>
    <s v="200445-64"/>
    <x v="8"/>
    <x v="3"/>
    <x v="0"/>
    <x v="8"/>
    <x v="8"/>
    <n v="25"/>
    <x v="59"/>
  </r>
  <r>
    <s v="20045-14"/>
    <x v="8"/>
    <x v="4"/>
    <x v="0"/>
    <x v="8"/>
    <x v="8"/>
    <n v="62"/>
    <x v="60"/>
  </r>
  <r>
    <s v="200465-74"/>
    <x v="8"/>
    <x v="5"/>
    <x v="0"/>
    <x v="8"/>
    <x v="8"/>
    <n v="4"/>
    <x v="61"/>
  </r>
  <r>
    <s v="200475+"/>
    <x v="8"/>
    <x v="6"/>
    <x v="0"/>
    <x v="8"/>
    <x v="8"/>
    <n v="9"/>
    <x v="62"/>
  </r>
  <r>
    <s v="20050-4"/>
    <x v="9"/>
    <x v="0"/>
    <x v="0"/>
    <x v="8"/>
    <x v="8"/>
    <n v="837"/>
    <x v="63"/>
  </r>
  <r>
    <s v="200515-24"/>
    <x v="9"/>
    <x v="1"/>
    <x v="0"/>
    <x v="8"/>
    <x v="8"/>
    <n v="47"/>
    <x v="64"/>
  </r>
  <r>
    <s v="200525-44"/>
    <x v="9"/>
    <x v="2"/>
    <x v="0"/>
    <x v="8"/>
    <x v="8"/>
    <n v="40"/>
    <x v="65"/>
  </r>
  <r>
    <s v="200545-64"/>
    <x v="9"/>
    <x v="3"/>
    <x v="0"/>
    <x v="8"/>
    <x v="8"/>
    <n v="16"/>
    <x v="66"/>
  </r>
  <r>
    <s v="20055-14"/>
    <x v="9"/>
    <x v="4"/>
    <x v="0"/>
    <x v="8"/>
    <x v="8"/>
    <n v="66"/>
    <x v="67"/>
  </r>
  <r>
    <s v="200565-74"/>
    <x v="9"/>
    <x v="5"/>
    <x v="0"/>
    <x v="8"/>
    <x v="8"/>
    <n v="5"/>
    <x v="68"/>
  </r>
  <r>
    <s v="200575+"/>
    <x v="9"/>
    <x v="6"/>
    <x v="0"/>
    <x v="8"/>
    <x v="8"/>
    <n v="12"/>
    <x v="69"/>
  </r>
  <r>
    <s v="20060-4"/>
    <x v="10"/>
    <x v="0"/>
    <x v="0"/>
    <x v="8"/>
    <x v="8"/>
    <n v="847"/>
    <x v="70"/>
  </r>
  <r>
    <s v="200615-24"/>
    <x v="10"/>
    <x v="1"/>
    <x v="0"/>
    <x v="8"/>
    <x v="8"/>
    <n v="46"/>
    <x v="71"/>
  </r>
  <r>
    <s v="200625-44"/>
    <x v="10"/>
    <x v="2"/>
    <x v="0"/>
    <x v="8"/>
    <x v="8"/>
    <n v="44"/>
    <x v="72"/>
  </r>
  <r>
    <s v="200645-64"/>
    <x v="10"/>
    <x v="3"/>
    <x v="0"/>
    <x v="8"/>
    <x v="8"/>
    <n v="22"/>
    <x v="73"/>
  </r>
  <r>
    <s v="20065-14"/>
    <x v="10"/>
    <x v="4"/>
    <x v="0"/>
    <x v="8"/>
    <x v="8"/>
    <n v="66"/>
    <x v="74"/>
  </r>
  <r>
    <s v="200665-74"/>
    <x v="10"/>
    <x v="5"/>
    <x v="0"/>
    <x v="8"/>
    <x v="8"/>
    <n v="6"/>
    <x v="75"/>
  </r>
  <r>
    <s v="200675+"/>
    <x v="10"/>
    <x v="6"/>
    <x v="0"/>
    <x v="8"/>
    <x v="8"/>
    <n v="10"/>
    <x v="76"/>
  </r>
  <r>
    <s v="20070-4"/>
    <x v="11"/>
    <x v="0"/>
    <x v="0"/>
    <x v="8"/>
    <x v="8"/>
    <n v="825"/>
    <x v="77"/>
  </r>
  <r>
    <s v="200715-24"/>
    <x v="11"/>
    <x v="1"/>
    <x v="0"/>
    <x v="8"/>
    <x v="8"/>
    <n v="37"/>
    <x v="78"/>
  </r>
  <r>
    <s v="200725-44"/>
    <x v="11"/>
    <x v="2"/>
    <x v="0"/>
    <x v="8"/>
    <x v="8"/>
    <n v="33"/>
    <x v="79"/>
  </r>
  <r>
    <s v="200745-64"/>
    <x v="11"/>
    <x v="3"/>
    <x v="0"/>
    <x v="8"/>
    <x v="8"/>
    <n v="22"/>
    <x v="80"/>
  </r>
  <r>
    <s v="20075-14"/>
    <x v="11"/>
    <x v="4"/>
    <x v="0"/>
    <x v="8"/>
    <x v="8"/>
    <n v="65"/>
    <x v="81"/>
  </r>
  <r>
    <s v="200765-74"/>
    <x v="11"/>
    <x v="5"/>
    <x v="0"/>
    <x v="8"/>
    <x v="8"/>
    <n v="7"/>
    <x v="82"/>
  </r>
  <r>
    <s v="200775+"/>
    <x v="11"/>
    <x v="6"/>
    <x v="0"/>
    <x v="8"/>
    <x v="8"/>
    <n v="19"/>
    <x v="83"/>
  </r>
  <r>
    <s v="20080-4"/>
    <x v="12"/>
    <x v="0"/>
    <x v="0"/>
    <x v="8"/>
    <x v="8"/>
    <n v="800"/>
    <x v="84"/>
  </r>
  <r>
    <s v="200815-24"/>
    <x v="12"/>
    <x v="1"/>
    <x v="0"/>
    <x v="8"/>
    <x v="8"/>
    <n v="29"/>
    <x v="85"/>
  </r>
  <r>
    <s v="200825-44"/>
    <x v="12"/>
    <x v="2"/>
    <x v="0"/>
    <x v="8"/>
    <x v="8"/>
    <n v="54"/>
    <x v="86"/>
  </r>
  <r>
    <s v="200845-64"/>
    <x v="12"/>
    <x v="3"/>
    <x v="0"/>
    <x v="8"/>
    <x v="8"/>
    <n v="20"/>
    <x v="87"/>
  </r>
  <r>
    <s v="20085-14"/>
    <x v="12"/>
    <x v="4"/>
    <x v="0"/>
    <x v="8"/>
    <x v="8"/>
    <n v="60"/>
    <x v="88"/>
  </r>
  <r>
    <s v="200865-74"/>
    <x v="12"/>
    <x v="5"/>
    <x v="0"/>
    <x v="8"/>
    <x v="8"/>
    <n v="6"/>
    <x v="89"/>
  </r>
  <r>
    <s v="200875+"/>
    <x v="12"/>
    <x v="6"/>
    <x v="0"/>
    <x v="8"/>
    <x v="8"/>
    <n v="0"/>
    <x v="90"/>
  </r>
  <r>
    <s v="20090-4"/>
    <x v="13"/>
    <x v="0"/>
    <x v="0"/>
    <x v="8"/>
    <x v="8"/>
    <n v="792"/>
    <x v="91"/>
  </r>
  <r>
    <s v="200915-24"/>
    <x v="13"/>
    <x v="1"/>
    <x v="0"/>
    <x v="8"/>
    <x v="8"/>
    <n v="47"/>
    <x v="92"/>
  </r>
  <r>
    <s v="200925-44"/>
    <x v="13"/>
    <x v="2"/>
    <x v="0"/>
    <x v="8"/>
    <x v="8"/>
    <n v="45"/>
    <x v="93"/>
  </r>
  <r>
    <s v="200945-64"/>
    <x v="13"/>
    <x v="3"/>
    <x v="0"/>
    <x v="8"/>
    <x v="8"/>
    <n v="27"/>
    <x v="94"/>
  </r>
  <r>
    <s v="20095-14"/>
    <x v="13"/>
    <x v="4"/>
    <x v="0"/>
    <x v="8"/>
    <x v="8"/>
    <n v="48"/>
    <x v="95"/>
  </r>
  <r>
    <s v="200965-74"/>
    <x v="13"/>
    <x v="5"/>
    <x v="0"/>
    <x v="8"/>
    <x v="8"/>
    <n v="5"/>
    <x v="96"/>
  </r>
  <r>
    <s v="200975+"/>
    <x v="13"/>
    <x v="6"/>
    <x v="0"/>
    <x v="8"/>
    <x v="8"/>
    <n v="6"/>
    <x v="97"/>
  </r>
  <r>
    <s v="20100-4"/>
    <x v="14"/>
    <x v="0"/>
    <x v="0"/>
    <x v="8"/>
    <x v="8"/>
    <n v="931"/>
    <x v="98"/>
  </r>
  <r>
    <s v="201015-24"/>
    <x v="14"/>
    <x v="1"/>
    <x v="0"/>
    <x v="8"/>
    <x v="8"/>
    <n v="40"/>
    <x v="99"/>
  </r>
  <r>
    <s v="201025-44"/>
    <x v="14"/>
    <x v="2"/>
    <x v="0"/>
    <x v="8"/>
    <x v="8"/>
    <n v="46"/>
    <x v="100"/>
  </r>
  <r>
    <s v="201045-64"/>
    <x v="14"/>
    <x v="3"/>
    <x v="0"/>
    <x v="8"/>
    <x v="8"/>
    <n v="37"/>
    <x v="101"/>
  </r>
  <r>
    <s v="20105-14"/>
    <x v="14"/>
    <x v="4"/>
    <x v="0"/>
    <x v="8"/>
    <x v="8"/>
    <n v="51"/>
    <x v="102"/>
  </r>
  <r>
    <s v="201065-74"/>
    <x v="14"/>
    <x v="5"/>
    <x v="0"/>
    <x v="8"/>
    <x v="8"/>
    <n v="7"/>
    <x v="103"/>
  </r>
  <r>
    <s v="201075+"/>
    <x v="14"/>
    <x v="6"/>
    <x v="0"/>
    <x v="8"/>
    <x v="8"/>
    <n v="7"/>
    <x v="104"/>
  </r>
  <r>
    <s v="20110-4"/>
    <x v="15"/>
    <x v="0"/>
    <x v="0"/>
    <x v="8"/>
    <x v="8"/>
    <n v="874"/>
    <x v="105"/>
  </r>
  <r>
    <s v="201115-24"/>
    <x v="15"/>
    <x v="1"/>
    <x v="0"/>
    <x v="8"/>
    <x v="8"/>
    <n v="41"/>
    <x v="106"/>
  </r>
  <r>
    <s v="201125-44"/>
    <x v="15"/>
    <x v="2"/>
    <x v="0"/>
    <x v="8"/>
    <x v="8"/>
    <n v="47"/>
    <x v="107"/>
  </r>
  <r>
    <s v="201145-64"/>
    <x v="15"/>
    <x v="3"/>
    <x v="0"/>
    <x v="8"/>
    <x v="8"/>
    <n v="24"/>
    <x v="108"/>
  </r>
  <r>
    <s v="20115-14"/>
    <x v="15"/>
    <x v="4"/>
    <x v="0"/>
    <x v="8"/>
    <x v="8"/>
    <n v="56"/>
    <x v="109"/>
  </r>
  <r>
    <s v="201165-74"/>
    <x v="15"/>
    <x v="5"/>
    <x v="0"/>
    <x v="8"/>
    <x v="8"/>
    <n v="3"/>
    <x v="110"/>
  </r>
  <r>
    <s v="201175+"/>
    <x v="15"/>
    <x v="6"/>
    <x v="0"/>
    <x v="8"/>
    <x v="8"/>
    <n v="10"/>
    <x v="111"/>
  </r>
  <r>
    <s v="20120-4"/>
    <x v="16"/>
    <x v="0"/>
    <x v="0"/>
    <x v="8"/>
    <x v="8"/>
    <n v="931"/>
    <x v="112"/>
  </r>
  <r>
    <s v="201215-24"/>
    <x v="16"/>
    <x v="1"/>
    <x v="0"/>
    <x v="8"/>
    <x v="8"/>
    <n v="50"/>
    <x v="113"/>
  </r>
  <r>
    <s v="201225-44"/>
    <x v="16"/>
    <x v="2"/>
    <x v="0"/>
    <x v="8"/>
    <x v="8"/>
    <n v="40"/>
    <x v="114"/>
  </r>
  <r>
    <s v="201245-64"/>
    <x v="16"/>
    <x v="3"/>
    <x v="0"/>
    <x v="8"/>
    <x v="8"/>
    <n v="33"/>
    <x v="115"/>
  </r>
  <r>
    <s v="20125-14"/>
    <x v="16"/>
    <x v="4"/>
    <x v="0"/>
    <x v="8"/>
    <x v="8"/>
    <n v="59"/>
    <x v="116"/>
  </r>
  <r>
    <s v="201265-74"/>
    <x v="16"/>
    <x v="5"/>
    <x v="0"/>
    <x v="8"/>
    <x v="8"/>
    <n v="2"/>
    <x v="117"/>
  </r>
  <r>
    <s v="201275+"/>
    <x v="16"/>
    <x v="6"/>
    <x v="0"/>
    <x v="8"/>
    <x v="8"/>
    <n v="4"/>
    <x v="118"/>
  </r>
  <r>
    <s v="20130-4"/>
    <x v="17"/>
    <x v="0"/>
    <x v="0"/>
    <x v="8"/>
    <x v="8"/>
    <n v="900"/>
    <x v="119"/>
  </r>
  <r>
    <s v="201315-24"/>
    <x v="17"/>
    <x v="1"/>
    <x v="0"/>
    <x v="8"/>
    <x v="8"/>
    <n v="49"/>
    <x v="120"/>
  </r>
  <r>
    <s v="201325-44"/>
    <x v="17"/>
    <x v="2"/>
    <x v="0"/>
    <x v="8"/>
    <x v="8"/>
    <n v="49"/>
    <x v="121"/>
  </r>
  <r>
    <s v="201345-64"/>
    <x v="17"/>
    <x v="3"/>
    <x v="0"/>
    <x v="8"/>
    <x v="8"/>
    <n v="39"/>
    <x v="122"/>
  </r>
  <r>
    <s v="20135-14"/>
    <x v="17"/>
    <x v="4"/>
    <x v="0"/>
    <x v="8"/>
    <x v="8"/>
    <n v="56"/>
    <x v="123"/>
  </r>
  <r>
    <s v="201365-74"/>
    <x v="17"/>
    <x v="5"/>
    <x v="0"/>
    <x v="8"/>
    <x v="8"/>
    <n v="3"/>
    <x v="124"/>
  </r>
  <r>
    <s v="201375+"/>
    <x v="17"/>
    <x v="6"/>
    <x v="0"/>
    <x v="8"/>
    <x v="8"/>
    <n v="1"/>
    <x v="125"/>
  </r>
  <r>
    <s v="20140-4"/>
    <x v="18"/>
    <x v="0"/>
    <x v="0"/>
    <x v="8"/>
    <x v="8"/>
    <n v="912"/>
    <x v="126"/>
  </r>
  <r>
    <s v="201415-24"/>
    <x v="18"/>
    <x v="1"/>
    <x v="0"/>
    <x v="8"/>
    <x v="8"/>
    <n v="40"/>
    <x v="127"/>
  </r>
  <r>
    <s v="201425-44"/>
    <x v="18"/>
    <x v="2"/>
    <x v="0"/>
    <x v="8"/>
    <x v="8"/>
    <n v="58"/>
    <x v="128"/>
  </r>
  <r>
    <s v="201445-64"/>
    <x v="18"/>
    <x v="3"/>
    <x v="0"/>
    <x v="8"/>
    <x v="8"/>
    <n v="59"/>
    <x v="129"/>
  </r>
  <r>
    <s v="20145-14"/>
    <x v="18"/>
    <x v="4"/>
    <x v="0"/>
    <x v="8"/>
    <x v="8"/>
    <n v="67"/>
    <x v="130"/>
  </r>
  <r>
    <s v="201465-74"/>
    <x v="18"/>
    <x v="5"/>
    <x v="0"/>
    <x v="8"/>
    <x v="8"/>
    <n v="2"/>
    <x v="131"/>
  </r>
  <r>
    <s v="201475+"/>
    <x v="18"/>
    <x v="6"/>
    <x v="0"/>
    <x v="8"/>
    <x v="8"/>
    <n v="6"/>
    <x v="132"/>
  </r>
  <r>
    <s v="19960-4"/>
    <x v="0"/>
    <x v="0"/>
    <x v="0"/>
    <x v="9"/>
    <x v="9"/>
    <n v="1081"/>
    <x v="0"/>
  </r>
  <r>
    <s v="199615-24"/>
    <x v="0"/>
    <x v="1"/>
    <x v="0"/>
    <x v="9"/>
    <x v="9"/>
    <n v="13"/>
    <x v="1"/>
  </r>
  <r>
    <s v="199625-44"/>
    <x v="0"/>
    <x v="2"/>
    <x v="0"/>
    <x v="9"/>
    <x v="9"/>
    <n v="29"/>
    <x v="2"/>
  </r>
  <r>
    <s v="199645-64"/>
    <x v="0"/>
    <x v="3"/>
    <x v="0"/>
    <x v="9"/>
    <x v="9"/>
    <n v="75"/>
    <x v="3"/>
  </r>
  <r>
    <s v="19965-14"/>
    <x v="0"/>
    <x v="4"/>
    <x v="0"/>
    <x v="9"/>
    <x v="9"/>
    <n v="38"/>
    <x v="4"/>
  </r>
  <r>
    <s v="199665-74"/>
    <x v="0"/>
    <x v="5"/>
    <x v="0"/>
    <x v="9"/>
    <x v="9"/>
    <n v="63"/>
    <x v="5"/>
  </r>
  <r>
    <s v="199675+"/>
    <x v="0"/>
    <x v="6"/>
    <x v="0"/>
    <x v="9"/>
    <x v="9"/>
    <n v="226"/>
    <x v="6"/>
  </r>
  <r>
    <s v="19970-4"/>
    <x v="1"/>
    <x v="0"/>
    <x v="0"/>
    <x v="9"/>
    <x v="9"/>
    <n v="785"/>
    <x v="7"/>
  </r>
  <r>
    <s v="199715-24"/>
    <x v="1"/>
    <x v="1"/>
    <x v="0"/>
    <x v="9"/>
    <x v="9"/>
    <n v="15"/>
    <x v="8"/>
  </r>
  <r>
    <s v="199725-44"/>
    <x v="1"/>
    <x v="2"/>
    <x v="0"/>
    <x v="9"/>
    <x v="9"/>
    <n v="36"/>
    <x v="9"/>
  </r>
  <r>
    <s v="199745-64"/>
    <x v="1"/>
    <x v="3"/>
    <x v="0"/>
    <x v="9"/>
    <x v="9"/>
    <n v="55"/>
    <x v="10"/>
  </r>
  <r>
    <s v="19975-14"/>
    <x v="1"/>
    <x v="4"/>
    <x v="0"/>
    <x v="9"/>
    <x v="9"/>
    <n v="18"/>
    <x v="11"/>
  </r>
  <r>
    <s v="199765-74"/>
    <x v="1"/>
    <x v="5"/>
    <x v="0"/>
    <x v="9"/>
    <x v="9"/>
    <n v="73"/>
    <x v="12"/>
  </r>
  <r>
    <s v="199775+"/>
    <x v="1"/>
    <x v="6"/>
    <x v="0"/>
    <x v="9"/>
    <x v="9"/>
    <n v="169"/>
    <x v="13"/>
  </r>
  <r>
    <s v="19980-4"/>
    <x v="2"/>
    <x v="0"/>
    <x v="0"/>
    <x v="9"/>
    <x v="9"/>
    <n v="780"/>
    <x v="14"/>
  </r>
  <r>
    <s v="199815-24"/>
    <x v="2"/>
    <x v="1"/>
    <x v="0"/>
    <x v="9"/>
    <x v="9"/>
    <n v="6"/>
    <x v="15"/>
  </r>
  <r>
    <s v="199825-44"/>
    <x v="2"/>
    <x v="2"/>
    <x v="0"/>
    <x v="9"/>
    <x v="9"/>
    <n v="32"/>
    <x v="16"/>
  </r>
  <r>
    <s v="199845-64"/>
    <x v="2"/>
    <x v="3"/>
    <x v="0"/>
    <x v="9"/>
    <x v="9"/>
    <n v="61"/>
    <x v="17"/>
  </r>
  <r>
    <s v="19985-14"/>
    <x v="2"/>
    <x v="4"/>
    <x v="0"/>
    <x v="9"/>
    <x v="9"/>
    <n v="23"/>
    <x v="18"/>
  </r>
  <r>
    <s v="199865-74"/>
    <x v="2"/>
    <x v="5"/>
    <x v="0"/>
    <x v="9"/>
    <x v="9"/>
    <n v="56"/>
    <x v="19"/>
  </r>
  <r>
    <s v="199875+"/>
    <x v="2"/>
    <x v="6"/>
    <x v="0"/>
    <x v="9"/>
    <x v="9"/>
    <n v="185"/>
    <x v="20"/>
  </r>
  <r>
    <s v="19990-4"/>
    <x v="3"/>
    <x v="0"/>
    <x v="0"/>
    <x v="9"/>
    <x v="9"/>
    <n v="631"/>
    <x v="21"/>
  </r>
  <r>
    <s v="199915-24"/>
    <x v="3"/>
    <x v="1"/>
    <x v="0"/>
    <x v="9"/>
    <x v="9"/>
    <n v="5"/>
    <x v="22"/>
  </r>
  <r>
    <s v="199925-44"/>
    <x v="3"/>
    <x v="2"/>
    <x v="0"/>
    <x v="9"/>
    <x v="9"/>
    <n v="27"/>
    <x v="23"/>
  </r>
  <r>
    <s v="199945-64"/>
    <x v="3"/>
    <x v="3"/>
    <x v="0"/>
    <x v="9"/>
    <x v="9"/>
    <n v="35"/>
    <x v="24"/>
  </r>
  <r>
    <s v="19995-14"/>
    <x v="3"/>
    <x v="4"/>
    <x v="0"/>
    <x v="9"/>
    <x v="9"/>
    <n v="15"/>
    <x v="25"/>
  </r>
  <r>
    <s v="199965-74"/>
    <x v="3"/>
    <x v="5"/>
    <x v="0"/>
    <x v="9"/>
    <x v="9"/>
    <n v="57"/>
    <x v="26"/>
  </r>
  <r>
    <s v="199975+"/>
    <x v="3"/>
    <x v="6"/>
    <x v="0"/>
    <x v="9"/>
    <x v="9"/>
    <n v="182"/>
    <x v="27"/>
  </r>
  <r>
    <s v="20000-4"/>
    <x v="4"/>
    <x v="0"/>
    <x v="0"/>
    <x v="9"/>
    <x v="9"/>
    <n v="510"/>
    <x v="28"/>
  </r>
  <r>
    <s v="200015-24"/>
    <x v="4"/>
    <x v="1"/>
    <x v="0"/>
    <x v="9"/>
    <x v="9"/>
    <n v="9"/>
    <x v="29"/>
  </r>
  <r>
    <s v="200025-44"/>
    <x v="4"/>
    <x v="2"/>
    <x v="0"/>
    <x v="9"/>
    <x v="9"/>
    <n v="22"/>
    <x v="30"/>
  </r>
  <r>
    <s v="200045-64"/>
    <x v="4"/>
    <x v="3"/>
    <x v="0"/>
    <x v="9"/>
    <x v="9"/>
    <n v="33"/>
    <x v="31"/>
  </r>
  <r>
    <s v="20005-14"/>
    <x v="4"/>
    <x v="4"/>
    <x v="0"/>
    <x v="9"/>
    <x v="9"/>
    <n v="12"/>
    <x v="32"/>
  </r>
  <r>
    <s v="200065-74"/>
    <x v="4"/>
    <x v="5"/>
    <x v="0"/>
    <x v="9"/>
    <x v="9"/>
    <n v="34"/>
    <x v="33"/>
  </r>
  <r>
    <s v="200075+"/>
    <x v="4"/>
    <x v="6"/>
    <x v="0"/>
    <x v="9"/>
    <x v="9"/>
    <n v="144"/>
    <x v="34"/>
  </r>
  <r>
    <s v="20010-4"/>
    <x v="5"/>
    <x v="0"/>
    <x v="0"/>
    <x v="9"/>
    <x v="9"/>
    <n v="506"/>
    <x v="35"/>
  </r>
  <r>
    <s v="200115-24"/>
    <x v="5"/>
    <x v="1"/>
    <x v="0"/>
    <x v="9"/>
    <x v="9"/>
    <n v="11"/>
    <x v="36"/>
  </r>
  <r>
    <s v="200125-44"/>
    <x v="5"/>
    <x v="2"/>
    <x v="0"/>
    <x v="9"/>
    <x v="9"/>
    <n v="28"/>
    <x v="37"/>
  </r>
  <r>
    <s v="200145-64"/>
    <x v="5"/>
    <x v="3"/>
    <x v="0"/>
    <x v="9"/>
    <x v="9"/>
    <n v="51"/>
    <x v="38"/>
  </r>
  <r>
    <s v="20015-14"/>
    <x v="5"/>
    <x v="4"/>
    <x v="0"/>
    <x v="9"/>
    <x v="9"/>
    <n v="15"/>
    <x v="39"/>
  </r>
  <r>
    <s v="200165-74"/>
    <x v="5"/>
    <x v="5"/>
    <x v="0"/>
    <x v="9"/>
    <x v="9"/>
    <n v="36"/>
    <x v="40"/>
  </r>
  <r>
    <s v="200175+"/>
    <x v="5"/>
    <x v="6"/>
    <x v="0"/>
    <x v="9"/>
    <x v="9"/>
    <n v="183"/>
    <x v="41"/>
  </r>
  <r>
    <s v="20020-4"/>
    <x v="6"/>
    <x v="0"/>
    <x v="0"/>
    <x v="9"/>
    <x v="9"/>
    <n v="495"/>
    <x v="42"/>
  </r>
  <r>
    <s v="200215-24"/>
    <x v="6"/>
    <x v="1"/>
    <x v="0"/>
    <x v="9"/>
    <x v="9"/>
    <n v="16"/>
    <x v="43"/>
  </r>
  <r>
    <s v="200225-44"/>
    <x v="6"/>
    <x v="2"/>
    <x v="0"/>
    <x v="9"/>
    <x v="9"/>
    <n v="20"/>
    <x v="44"/>
  </r>
  <r>
    <s v="200245-64"/>
    <x v="6"/>
    <x v="3"/>
    <x v="0"/>
    <x v="9"/>
    <x v="9"/>
    <n v="43"/>
    <x v="45"/>
  </r>
  <r>
    <s v="20025-14"/>
    <x v="6"/>
    <x v="4"/>
    <x v="0"/>
    <x v="9"/>
    <x v="9"/>
    <n v="10"/>
    <x v="46"/>
  </r>
  <r>
    <s v="200265-74"/>
    <x v="6"/>
    <x v="5"/>
    <x v="0"/>
    <x v="9"/>
    <x v="9"/>
    <n v="46"/>
    <x v="47"/>
  </r>
  <r>
    <s v="200275+"/>
    <x v="6"/>
    <x v="6"/>
    <x v="0"/>
    <x v="9"/>
    <x v="9"/>
    <n v="153"/>
    <x v="48"/>
  </r>
  <r>
    <s v="20030-4"/>
    <x v="7"/>
    <x v="0"/>
    <x v="0"/>
    <x v="9"/>
    <x v="9"/>
    <n v="763"/>
    <x v="49"/>
  </r>
  <r>
    <s v="200315-24"/>
    <x v="7"/>
    <x v="1"/>
    <x v="0"/>
    <x v="9"/>
    <x v="9"/>
    <n v="15"/>
    <x v="50"/>
  </r>
  <r>
    <s v="200325-44"/>
    <x v="7"/>
    <x v="2"/>
    <x v="0"/>
    <x v="9"/>
    <x v="9"/>
    <n v="34"/>
    <x v="51"/>
  </r>
  <r>
    <s v="200345-64"/>
    <x v="7"/>
    <x v="3"/>
    <x v="0"/>
    <x v="9"/>
    <x v="9"/>
    <n v="36"/>
    <x v="52"/>
  </r>
  <r>
    <s v="20035-14"/>
    <x v="7"/>
    <x v="4"/>
    <x v="0"/>
    <x v="9"/>
    <x v="9"/>
    <n v="19"/>
    <x v="53"/>
  </r>
  <r>
    <s v="200365-74"/>
    <x v="7"/>
    <x v="5"/>
    <x v="0"/>
    <x v="9"/>
    <x v="9"/>
    <n v="72"/>
    <x v="54"/>
  </r>
  <r>
    <s v="200375+"/>
    <x v="7"/>
    <x v="6"/>
    <x v="0"/>
    <x v="9"/>
    <x v="9"/>
    <n v="228"/>
    <x v="55"/>
  </r>
  <r>
    <s v="20040-4"/>
    <x v="8"/>
    <x v="0"/>
    <x v="0"/>
    <x v="9"/>
    <x v="9"/>
    <n v="454"/>
    <x v="56"/>
  </r>
  <r>
    <s v="200415-24"/>
    <x v="8"/>
    <x v="1"/>
    <x v="0"/>
    <x v="9"/>
    <x v="9"/>
    <n v="9"/>
    <x v="57"/>
  </r>
  <r>
    <s v="200425-44"/>
    <x v="8"/>
    <x v="2"/>
    <x v="0"/>
    <x v="9"/>
    <x v="9"/>
    <n v="32"/>
    <x v="58"/>
  </r>
  <r>
    <s v="200445-64"/>
    <x v="8"/>
    <x v="3"/>
    <x v="0"/>
    <x v="9"/>
    <x v="9"/>
    <n v="59"/>
    <x v="59"/>
  </r>
  <r>
    <s v="20045-14"/>
    <x v="8"/>
    <x v="4"/>
    <x v="0"/>
    <x v="9"/>
    <x v="9"/>
    <n v="20"/>
    <x v="60"/>
  </r>
  <r>
    <s v="200465-74"/>
    <x v="8"/>
    <x v="5"/>
    <x v="0"/>
    <x v="9"/>
    <x v="9"/>
    <n v="62"/>
    <x v="61"/>
  </r>
  <r>
    <s v="200475+"/>
    <x v="8"/>
    <x v="6"/>
    <x v="0"/>
    <x v="9"/>
    <x v="9"/>
    <n v="229"/>
    <x v="62"/>
  </r>
  <r>
    <s v="20050-4"/>
    <x v="9"/>
    <x v="0"/>
    <x v="0"/>
    <x v="9"/>
    <x v="9"/>
    <n v="391"/>
    <x v="63"/>
  </r>
  <r>
    <s v="200515-24"/>
    <x v="9"/>
    <x v="1"/>
    <x v="0"/>
    <x v="9"/>
    <x v="9"/>
    <n v="6"/>
    <x v="64"/>
  </r>
  <r>
    <s v="200525-44"/>
    <x v="9"/>
    <x v="2"/>
    <x v="0"/>
    <x v="9"/>
    <x v="9"/>
    <n v="27"/>
    <x v="65"/>
  </r>
  <r>
    <s v="200545-64"/>
    <x v="9"/>
    <x v="3"/>
    <x v="0"/>
    <x v="9"/>
    <x v="9"/>
    <n v="51"/>
    <x v="66"/>
  </r>
  <r>
    <s v="20055-14"/>
    <x v="9"/>
    <x v="4"/>
    <x v="0"/>
    <x v="9"/>
    <x v="9"/>
    <n v="12"/>
    <x v="67"/>
  </r>
  <r>
    <s v="200565-74"/>
    <x v="9"/>
    <x v="5"/>
    <x v="0"/>
    <x v="9"/>
    <x v="9"/>
    <n v="58"/>
    <x v="68"/>
  </r>
  <r>
    <s v="200575+"/>
    <x v="9"/>
    <x v="6"/>
    <x v="0"/>
    <x v="9"/>
    <x v="9"/>
    <n v="218"/>
    <x v="69"/>
  </r>
  <r>
    <s v="20060-4"/>
    <x v="10"/>
    <x v="0"/>
    <x v="0"/>
    <x v="9"/>
    <x v="9"/>
    <n v="322"/>
    <x v="70"/>
  </r>
  <r>
    <s v="200615-24"/>
    <x v="10"/>
    <x v="1"/>
    <x v="0"/>
    <x v="9"/>
    <x v="9"/>
    <n v="11"/>
    <x v="71"/>
  </r>
  <r>
    <s v="200625-44"/>
    <x v="10"/>
    <x v="2"/>
    <x v="0"/>
    <x v="9"/>
    <x v="9"/>
    <n v="17"/>
    <x v="72"/>
  </r>
  <r>
    <s v="200645-64"/>
    <x v="10"/>
    <x v="3"/>
    <x v="0"/>
    <x v="9"/>
    <x v="9"/>
    <n v="65"/>
    <x v="73"/>
  </r>
  <r>
    <s v="20065-14"/>
    <x v="10"/>
    <x v="4"/>
    <x v="0"/>
    <x v="9"/>
    <x v="9"/>
    <n v="13"/>
    <x v="74"/>
  </r>
  <r>
    <s v="200665-74"/>
    <x v="10"/>
    <x v="5"/>
    <x v="0"/>
    <x v="9"/>
    <x v="9"/>
    <n v="48"/>
    <x v="75"/>
  </r>
  <r>
    <s v="200675+"/>
    <x v="10"/>
    <x v="6"/>
    <x v="0"/>
    <x v="9"/>
    <x v="9"/>
    <n v="195"/>
    <x v="76"/>
  </r>
  <r>
    <s v="20070-4"/>
    <x v="11"/>
    <x v="0"/>
    <x v="0"/>
    <x v="9"/>
    <x v="9"/>
    <n v="266"/>
    <x v="77"/>
  </r>
  <r>
    <s v="200715-24"/>
    <x v="11"/>
    <x v="1"/>
    <x v="0"/>
    <x v="9"/>
    <x v="9"/>
    <n v="5"/>
    <x v="78"/>
  </r>
  <r>
    <s v="200725-44"/>
    <x v="11"/>
    <x v="2"/>
    <x v="0"/>
    <x v="9"/>
    <x v="9"/>
    <n v="16"/>
    <x v="79"/>
  </r>
  <r>
    <s v="200745-64"/>
    <x v="11"/>
    <x v="3"/>
    <x v="0"/>
    <x v="9"/>
    <x v="9"/>
    <n v="64"/>
    <x v="80"/>
  </r>
  <r>
    <s v="20075-14"/>
    <x v="11"/>
    <x v="4"/>
    <x v="0"/>
    <x v="9"/>
    <x v="9"/>
    <n v="13"/>
    <x v="81"/>
  </r>
  <r>
    <s v="200765-74"/>
    <x v="11"/>
    <x v="5"/>
    <x v="0"/>
    <x v="9"/>
    <x v="9"/>
    <n v="58"/>
    <x v="82"/>
  </r>
  <r>
    <s v="200775+"/>
    <x v="11"/>
    <x v="6"/>
    <x v="0"/>
    <x v="9"/>
    <x v="9"/>
    <n v="199"/>
    <x v="83"/>
  </r>
  <r>
    <s v="20080-4"/>
    <x v="12"/>
    <x v="0"/>
    <x v="0"/>
    <x v="9"/>
    <x v="9"/>
    <n v="191"/>
    <x v="84"/>
  </r>
  <r>
    <s v="200815-24"/>
    <x v="12"/>
    <x v="1"/>
    <x v="0"/>
    <x v="9"/>
    <x v="9"/>
    <n v="8"/>
    <x v="85"/>
  </r>
  <r>
    <s v="200825-44"/>
    <x v="12"/>
    <x v="2"/>
    <x v="0"/>
    <x v="9"/>
    <x v="9"/>
    <n v="17"/>
    <x v="86"/>
  </r>
  <r>
    <s v="200845-64"/>
    <x v="12"/>
    <x v="3"/>
    <x v="0"/>
    <x v="9"/>
    <x v="9"/>
    <n v="54"/>
    <x v="87"/>
  </r>
  <r>
    <s v="20085-14"/>
    <x v="12"/>
    <x v="4"/>
    <x v="0"/>
    <x v="9"/>
    <x v="9"/>
    <n v="12"/>
    <x v="88"/>
  </r>
  <r>
    <s v="200865-74"/>
    <x v="12"/>
    <x v="5"/>
    <x v="0"/>
    <x v="9"/>
    <x v="9"/>
    <n v="45"/>
    <x v="89"/>
  </r>
  <r>
    <s v="200875+"/>
    <x v="12"/>
    <x v="6"/>
    <x v="0"/>
    <x v="9"/>
    <x v="9"/>
    <n v="197"/>
    <x v="90"/>
  </r>
  <r>
    <s v="20090-4"/>
    <x v="13"/>
    <x v="0"/>
    <x v="0"/>
    <x v="9"/>
    <x v="9"/>
    <n v="193"/>
    <x v="91"/>
  </r>
  <r>
    <s v="200915-24"/>
    <x v="13"/>
    <x v="1"/>
    <x v="0"/>
    <x v="9"/>
    <x v="9"/>
    <n v="7"/>
    <x v="92"/>
  </r>
  <r>
    <s v="200925-44"/>
    <x v="13"/>
    <x v="2"/>
    <x v="0"/>
    <x v="9"/>
    <x v="9"/>
    <n v="22"/>
    <x v="93"/>
  </r>
  <r>
    <s v="200945-64"/>
    <x v="13"/>
    <x v="3"/>
    <x v="0"/>
    <x v="9"/>
    <x v="9"/>
    <n v="47"/>
    <x v="94"/>
  </r>
  <r>
    <s v="20095-14"/>
    <x v="13"/>
    <x v="4"/>
    <x v="0"/>
    <x v="9"/>
    <x v="9"/>
    <n v="7"/>
    <x v="95"/>
  </r>
  <r>
    <s v="200965-74"/>
    <x v="13"/>
    <x v="5"/>
    <x v="0"/>
    <x v="9"/>
    <x v="9"/>
    <n v="47"/>
    <x v="96"/>
  </r>
  <r>
    <s v="200975+"/>
    <x v="13"/>
    <x v="6"/>
    <x v="0"/>
    <x v="9"/>
    <x v="9"/>
    <n v="169"/>
    <x v="97"/>
  </r>
  <r>
    <s v="20100-4"/>
    <x v="14"/>
    <x v="0"/>
    <x v="0"/>
    <x v="9"/>
    <x v="9"/>
    <n v="193"/>
    <x v="98"/>
  </r>
  <r>
    <s v="201015-24"/>
    <x v="14"/>
    <x v="1"/>
    <x v="0"/>
    <x v="9"/>
    <x v="9"/>
    <n v="3"/>
    <x v="99"/>
  </r>
  <r>
    <s v="201025-44"/>
    <x v="14"/>
    <x v="2"/>
    <x v="0"/>
    <x v="9"/>
    <x v="9"/>
    <n v="14"/>
    <x v="100"/>
  </r>
  <r>
    <s v="201045-64"/>
    <x v="14"/>
    <x v="3"/>
    <x v="0"/>
    <x v="9"/>
    <x v="9"/>
    <n v="63"/>
    <x v="101"/>
  </r>
  <r>
    <s v="20105-14"/>
    <x v="14"/>
    <x v="4"/>
    <x v="0"/>
    <x v="9"/>
    <x v="9"/>
    <n v="9"/>
    <x v="102"/>
  </r>
  <r>
    <s v="201065-74"/>
    <x v="14"/>
    <x v="5"/>
    <x v="0"/>
    <x v="9"/>
    <x v="9"/>
    <n v="46"/>
    <x v="103"/>
  </r>
  <r>
    <s v="201075+"/>
    <x v="14"/>
    <x v="6"/>
    <x v="0"/>
    <x v="9"/>
    <x v="9"/>
    <n v="151"/>
    <x v="104"/>
  </r>
  <r>
    <s v="20110-4"/>
    <x v="15"/>
    <x v="0"/>
    <x v="0"/>
    <x v="9"/>
    <x v="9"/>
    <n v="192"/>
    <x v="105"/>
  </r>
  <r>
    <s v="201115-24"/>
    <x v="15"/>
    <x v="1"/>
    <x v="0"/>
    <x v="9"/>
    <x v="9"/>
    <n v="7"/>
    <x v="106"/>
  </r>
  <r>
    <s v="201125-44"/>
    <x v="15"/>
    <x v="2"/>
    <x v="0"/>
    <x v="9"/>
    <x v="9"/>
    <n v="18"/>
    <x v="107"/>
  </r>
  <r>
    <s v="201145-64"/>
    <x v="15"/>
    <x v="3"/>
    <x v="0"/>
    <x v="9"/>
    <x v="9"/>
    <n v="60"/>
    <x v="108"/>
  </r>
  <r>
    <s v="20115-14"/>
    <x v="15"/>
    <x v="4"/>
    <x v="0"/>
    <x v="9"/>
    <x v="9"/>
    <n v="11"/>
    <x v="109"/>
  </r>
  <r>
    <s v="201165-74"/>
    <x v="15"/>
    <x v="5"/>
    <x v="0"/>
    <x v="9"/>
    <x v="9"/>
    <n v="42"/>
    <x v="110"/>
  </r>
  <r>
    <s v="201175+"/>
    <x v="15"/>
    <x v="6"/>
    <x v="0"/>
    <x v="9"/>
    <x v="9"/>
    <n v="191"/>
    <x v="111"/>
  </r>
  <r>
    <s v="20120-4"/>
    <x v="16"/>
    <x v="0"/>
    <x v="0"/>
    <x v="9"/>
    <x v="9"/>
    <n v="173"/>
    <x v="112"/>
  </r>
  <r>
    <s v="201215-24"/>
    <x v="16"/>
    <x v="1"/>
    <x v="0"/>
    <x v="9"/>
    <x v="9"/>
    <n v="5"/>
    <x v="113"/>
  </r>
  <r>
    <s v="201225-44"/>
    <x v="16"/>
    <x v="2"/>
    <x v="0"/>
    <x v="9"/>
    <x v="9"/>
    <n v="28"/>
    <x v="114"/>
  </r>
  <r>
    <s v="201245-64"/>
    <x v="16"/>
    <x v="3"/>
    <x v="0"/>
    <x v="9"/>
    <x v="9"/>
    <n v="55"/>
    <x v="115"/>
  </r>
  <r>
    <s v="20125-14"/>
    <x v="16"/>
    <x v="4"/>
    <x v="0"/>
    <x v="9"/>
    <x v="9"/>
    <n v="10"/>
    <x v="116"/>
  </r>
  <r>
    <s v="201265-74"/>
    <x v="16"/>
    <x v="5"/>
    <x v="0"/>
    <x v="9"/>
    <x v="9"/>
    <n v="52"/>
    <x v="117"/>
  </r>
  <r>
    <s v="201275+"/>
    <x v="16"/>
    <x v="6"/>
    <x v="0"/>
    <x v="9"/>
    <x v="9"/>
    <n v="183"/>
    <x v="118"/>
  </r>
  <r>
    <s v="20130-4"/>
    <x v="17"/>
    <x v="0"/>
    <x v="0"/>
    <x v="9"/>
    <x v="9"/>
    <n v="181"/>
    <x v="119"/>
  </r>
  <r>
    <s v="201315-24"/>
    <x v="17"/>
    <x v="1"/>
    <x v="0"/>
    <x v="9"/>
    <x v="9"/>
    <n v="11"/>
    <x v="120"/>
  </r>
  <r>
    <s v="201325-44"/>
    <x v="17"/>
    <x v="2"/>
    <x v="0"/>
    <x v="9"/>
    <x v="9"/>
    <n v="26"/>
    <x v="121"/>
  </r>
  <r>
    <s v="201345-64"/>
    <x v="17"/>
    <x v="3"/>
    <x v="0"/>
    <x v="9"/>
    <x v="9"/>
    <n v="61"/>
    <x v="122"/>
  </r>
  <r>
    <s v="20135-14"/>
    <x v="17"/>
    <x v="4"/>
    <x v="0"/>
    <x v="9"/>
    <x v="9"/>
    <n v="9"/>
    <x v="123"/>
  </r>
  <r>
    <s v="201365-74"/>
    <x v="17"/>
    <x v="5"/>
    <x v="0"/>
    <x v="9"/>
    <x v="9"/>
    <n v="49"/>
    <x v="124"/>
  </r>
  <r>
    <s v="201375+"/>
    <x v="17"/>
    <x v="6"/>
    <x v="0"/>
    <x v="9"/>
    <x v="9"/>
    <n v="188"/>
    <x v="125"/>
  </r>
  <r>
    <s v="20140-4"/>
    <x v="18"/>
    <x v="0"/>
    <x v="0"/>
    <x v="9"/>
    <x v="9"/>
    <n v="210"/>
    <x v="126"/>
  </r>
  <r>
    <s v="201415-24"/>
    <x v="18"/>
    <x v="1"/>
    <x v="0"/>
    <x v="9"/>
    <x v="9"/>
    <n v="7"/>
    <x v="127"/>
  </r>
  <r>
    <s v="201425-44"/>
    <x v="18"/>
    <x v="2"/>
    <x v="0"/>
    <x v="9"/>
    <x v="9"/>
    <n v="23"/>
    <x v="128"/>
  </r>
  <r>
    <s v="201445-64"/>
    <x v="18"/>
    <x v="3"/>
    <x v="0"/>
    <x v="9"/>
    <x v="9"/>
    <n v="81"/>
    <x v="129"/>
  </r>
  <r>
    <s v="20145-14"/>
    <x v="18"/>
    <x v="4"/>
    <x v="0"/>
    <x v="9"/>
    <x v="9"/>
    <n v="8"/>
    <x v="130"/>
  </r>
  <r>
    <s v="201465-74"/>
    <x v="18"/>
    <x v="5"/>
    <x v="0"/>
    <x v="9"/>
    <x v="9"/>
    <n v="61"/>
    <x v="131"/>
  </r>
  <r>
    <s v="201475+"/>
    <x v="18"/>
    <x v="6"/>
    <x v="0"/>
    <x v="9"/>
    <x v="9"/>
    <n v="295"/>
    <x v="132"/>
  </r>
  <r>
    <s v="19960-4"/>
    <x v="0"/>
    <x v="0"/>
    <x v="0"/>
    <x v="10"/>
    <x v="10"/>
    <n v="12"/>
    <x v="0"/>
  </r>
  <r>
    <s v="199615-24"/>
    <x v="0"/>
    <x v="1"/>
    <x v="0"/>
    <x v="10"/>
    <x v="10"/>
    <n v="33"/>
    <x v="1"/>
  </r>
  <r>
    <s v="199625-44"/>
    <x v="0"/>
    <x v="2"/>
    <x v="0"/>
    <x v="10"/>
    <x v="10"/>
    <n v="106"/>
    <x v="2"/>
  </r>
  <r>
    <s v="199645-64"/>
    <x v="0"/>
    <x v="3"/>
    <x v="0"/>
    <x v="10"/>
    <x v="10"/>
    <n v="145"/>
    <x v="3"/>
  </r>
  <r>
    <s v="19965-14"/>
    <x v="0"/>
    <x v="4"/>
    <x v="0"/>
    <x v="10"/>
    <x v="10"/>
    <n v="10"/>
    <x v="4"/>
  </r>
  <r>
    <s v="199665-74"/>
    <x v="0"/>
    <x v="5"/>
    <x v="0"/>
    <x v="10"/>
    <x v="10"/>
    <n v="125"/>
    <x v="5"/>
  </r>
  <r>
    <s v="199675+"/>
    <x v="0"/>
    <x v="6"/>
    <x v="0"/>
    <x v="10"/>
    <x v="10"/>
    <n v="182"/>
    <x v="6"/>
  </r>
  <r>
    <s v="19970-4"/>
    <x v="1"/>
    <x v="0"/>
    <x v="0"/>
    <x v="10"/>
    <x v="10"/>
    <n v="10"/>
    <x v="7"/>
  </r>
  <r>
    <s v="199715-24"/>
    <x v="1"/>
    <x v="1"/>
    <x v="0"/>
    <x v="10"/>
    <x v="10"/>
    <n v="30"/>
    <x v="8"/>
  </r>
  <r>
    <s v="199725-44"/>
    <x v="1"/>
    <x v="2"/>
    <x v="0"/>
    <x v="10"/>
    <x v="10"/>
    <n v="119"/>
    <x v="9"/>
  </r>
  <r>
    <s v="199745-64"/>
    <x v="1"/>
    <x v="3"/>
    <x v="0"/>
    <x v="10"/>
    <x v="10"/>
    <n v="176"/>
    <x v="10"/>
  </r>
  <r>
    <s v="19975-14"/>
    <x v="1"/>
    <x v="4"/>
    <x v="0"/>
    <x v="10"/>
    <x v="10"/>
    <n v="20"/>
    <x v="11"/>
  </r>
  <r>
    <s v="199765-74"/>
    <x v="1"/>
    <x v="5"/>
    <x v="0"/>
    <x v="10"/>
    <x v="10"/>
    <n v="113"/>
    <x v="12"/>
  </r>
  <r>
    <s v="199775+"/>
    <x v="1"/>
    <x v="6"/>
    <x v="0"/>
    <x v="10"/>
    <x v="10"/>
    <n v="197"/>
    <x v="13"/>
  </r>
  <r>
    <s v="19980-4"/>
    <x v="2"/>
    <x v="0"/>
    <x v="0"/>
    <x v="10"/>
    <x v="10"/>
    <n v="10"/>
    <x v="14"/>
  </r>
  <r>
    <s v="199815-24"/>
    <x v="2"/>
    <x v="1"/>
    <x v="0"/>
    <x v="10"/>
    <x v="10"/>
    <n v="32"/>
    <x v="15"/>
  </r>
  <r>
    <s v="199825-44"/>
    <x v="2"/>
    <x v="2"/>
    <x v="0"/>
    <x v="10"/>
    <x v="10"/>
    <n v="81"/>
    <x v="16"/>
  </r>
  <r>
    <s v="199845-64"/>
    <x v="2"/>
    <x v="3"/>
    <x v="0"/>
    <x v="10"/>
    <x v="10"/>
    <n v="176"/>
    <x v="17"/>
  </r>
  <r>
    <s v="19985-14"/>
    <x v="2"/>
    <x v="4"/>
    <x v="0"/>
    <x v="10"/>
    <x v="10"/>
    <n v="19"/>
    <x v="18"/>
  </r>
  <r>
    <s v="199865-74"/>
    <x v="2"/>
    <x v="5"/>
    <x v="0"/>
    <x v="10"/>
    <x v="10"/>
    <n v="112"/>
    <x v="19"/>
  </r>
  <r>
    <s v="199875+"/>
    <x v="2"/>
    <x v="6"/>
    <x v="0"/>
    <x v="10"/>
    <x v="10"/>
    <n v="161"/>
    <x v="20"/>
  </r>
  <r>
    <s v="19990-4"/>
    <x v="3"/>
    <x v="0"/>
    <x v="0"/>
    <x v="10"/>
    <x v="10"/>
    <n v="14"/>
    <x v="21"/>
  </r>
  <r>
    <s v="199915-24"/>
    <x v="3"/>
    <x v="1"/>
    <x v="0"/>
    <x v="10"/>
    <x v="10"/>
    <n v="16"/>
    <x v="22"/>
  </r>
  <r>
    <s v="199925-44"/>
    <x v="3"/>
    <x v="2"/>
    <x v="0"/>
    <x v="10"/>
    <x v="10"/>
    <n v="109"/>
    <x v="23"/>
  </r>
  <r>
    <s v="199945-64"/>
    <x v="3"/>
    <x v="3"/>
    <x v="0"/>
    <x v="10"/>
    <x v="10"/>
    <n v="201"/>
    <x v="24"/>
  </r>
  <r>
    <s v="19995-14"/>
    <x v="3"/>
    <x v="4"/>
    <x v="0"/>
    <x v="10"/>
    <x v="10"/>
    <n v="14"/>
    <x v="25"/>
  </r>
  <r>
    <s v="199965-74"/>
    <x v="3"/>
    <x v="5"/>
    <x v="0"/>
    <x v="10"/>
    <x v="10"/>
    <n v="109"/>
    <x v="26"/>
  </r>
  <r>
    <s v="199975+"/>
    <x v="3"/>
    <x v="6"/>
    <x v="0"/>
    <x v="10"/>
    <x v="10"/>
    <n v="202"/>
    <x v="27"/>
  </r>
  <r>
    <s v="20000-4"/>
    <x v="4"/>
    <x v="0"/>
    <x v="0"/>
    <x v="10"/>
    <x v="10"/>
    <n v="13"/>
    <x v="28"/>
  </r>
  <r>
    <s v="200015-24"/>
    <x v="4"/>
    <x v="1"/>
    <x v="0"/>
    <x v="10"/>
    <x v="10"/>
    <n v="24"/>
    <x v="29"/>
  </r>
  <r>
    <s v="200025-44"/>
    <x v="4"/>
    <x v="2"/>
    <x v="0"/>
    <x v="10"/>
    <x v="10"/>
    <n v="88"/>
    <x v="30"/>
  </r>
  <r>
    <s v="200045-64"/>
    <x v="4"/>
    <x v="3"/>
    <x v="0"/>
    <x v="10"/>
    <x v="10"/>
    <n v="148"/>
    <x v="31"/>
  </r>
  <r>
    <s v="20005-14"/>
    <x v="4"/>
    <x v="4"/>
    <x v="0"/>
    <x v="10"/>
    <x v="10"/>
    <n v="17"/>
    <x v="32"/>
  </r>
  <r>
    <s v="200065-74"/>
    <x v="4"/>
    <x v="5"/>
    <x v="0"/>
    <x v="10"/>
    <x v="10"/>
    <n v="97"/>
    <x v="33"/>
  </r>
  <r>
    <s v="200075+"/>
    <x v="4"/>
    <x v="6"/>
    <x v="0"/>
    <x v="10"/>
    <x v="10"/>
    <n v="204"/>
    <x v="34"/>
  </r>
  <r>
    <s v="20010-4"/>
    <x v="5"/>
    <x v="0"/>
    <x v="0"/>
    <x v="10"/>
    <x v="10"/>
    <n v="7"/>
    <x v="35"/>
  </r>
  <r>
    <s v="200115-24"/>
    <x v="5"/>
    <x v="1"/>
    <x v="0"/>
    <x v="10"/>
    <x v="10"/>
    <n v="20"/>
    <x v="36"/>
  </r>
  <r>
    <s v="200125-44"/>
    <x v="5"/>
    <x v="2"/>
    <x v="0"/>
    <x v="10"/>
    <x v="10"/>
    <n v="76"/>
    <x v="37"/>
  </r>
  <r>
    <s v="200145-64"/>
    <x v="5"/>
    <x v="3"/>
    <x v="0"/>
    <x v="10"/>
    <x v="10"/>
    <n v="172"/>
    <x v="38"/>
  </r>
  <r>
    <s v="20015-14"/>
    <x v="5"/>
    <x v="4"/>
    <x v="0"/>
    <x v="10"/>
    <x v="10"/>
    <n v="18"/>
    <x v="39"/>
  </r>
  <r>
    <s v="200165-74"/>
    <x v="5"/>
    <x v="5"/>
    <x v="0"/>
    <x v="10"/>
    <x v="10"/>
    <n v="112"/>
    <x v="40"/>
  </r>
  <r>
    <s v="200175+"/>
    <x v="5"/>
    <x v="6"/>
    <x v="0"/>
    <x v="10"/>
    <x v="10"/>
    <n v="197"/>
    <x v="41"/>
  </r>
  <r>
    <s v="20020-4"/>
    <x v="6"/>
    <x v="0"/>
    <x v="0"/>
    <x v="10"/>
    <x v="10"/>
    <n v="11"/>
    <x v="42"/>
  </r>
  <r>
    <s v="200215-24"/>
    <x v="6"/>
    <x v="1"/>
    <x v="0"/>
    <x v="10"/>
    <x v="10"/>
    <n v="18"/>
    <x v="43"/>
  </r>
  <r>
    <s v="200225-44"/>
    <x v="6"/>
    <x v="2"/>
    <x v="0"/>
    <x v="10"/>
    <x v="10"/>
    <n v="87"/>
    <x v="44"/>
  </r>
  <r>
    <s v="200245-64"/>
    <x v="6"/>
    <x v="3"/>
    <x v="0"/>
    <x v="10"/>
    <x v="10"/>
    <n v="155"/>
    <x v="45"/>
  </r>
  <r>
    <s v="20025-14"/>
    <x v="6"/>
    <x v="4"/>
    <x v="0"/>
    <x v="10"/>
    <x v="10"/>
    <n v="12"/>
    <x v="46"/>
  </r>
  <r>
    <s v="200265-74"/>
    <x v="6"/>
    <x v="5"/>
    <x v="0"/>
    <x v="10"/>
    <x v="10"/>
    <n v="97"/>
    <x v="47"/>
  </r>
  <r>
    <s v="200275+"/>
    <x v="6"/>
    <x v="6"/>
    <x v="0"/>
    <x v="10"/>
    <x v="10"/>
    <n v="200"/>
    <x v="48"/>
  </r>
  <r>
    <s v="20030-4"/>
    <x v="7"/>
    <x v="0"/>
    <x v="0"/>
    <x v="10"/>
    <x v="10"/>
    <n v="22"/>
    <x v="49"/>
  </r>
  <r>
    <s v="200315-24"/>
    <x v="7"/>
    <x v="1"/>
    <x v="0"/>
    <x v="10"/>
    <x v="10"/>
    <n v="27"/>
    <x v="50"/>
  </r>
  <r>
    <s v="200325-44"/>
    <x v="7"/>
    <x v="2"/>
    <x v="0"/>
    <x v="10"/>
    <x v="10"/>
    <n v="80"/>
    <x v="51"/>
  </r>
  <r>
    <s v="200345-64"/>
    <x v="7"/>
    <x v="3"/>
    <x v="0"/>
    <x v="10"/>
    <x v="10"/>
    <n v="185"/>
    <x v="52"/>
  </r>
  <r>
    <s v="20035-14"/>
    <x v="7"/>
    <x v="4"/>
    <x v="0"/>
    <x v="10"/>
    <x v="10"/>
    <n v="15"/>
    <x v="53"/>
  </r>
  <r>
    <s v="200365-74"/>
    <x v="7"/>
    <x v="5"/>
    <x v="0"/>
    <x v="10"/>
    <x v="10"/>
    <n v="111"/>
    <x v="54"/>
  </r>
  <r>
    <s v="200375+"/>
    <x v="7"/>
    <x v="6"/>
    <x v="0"/>
    <x v="10"/>
    <x v="10"/>
    <n v="228"/>
    <x v="55"/>
  </r>
  <r>
    <s v="20040-4"/>
    <x v="8"/>
    <x v="0"/>
    <x v="0"/>
    <x v="10"/>
    <x v="10"/>
    <n v="10"/>
    <x v="56"/>
  </r>
  <r>
    <s v="200415-24"/>
    <x v="8"/>
    <x v="1"/>
    <x v="0"/>
    <x v="10"/>
    <x v="10"/>
    <n v="19"/>
    <x v="57"/>
  </r>
  <r>
    <s v="200425-44"/>
    <x v="8"/>
    <x v="2"/>
    <x v="0"/>
    <x v="10"/>
    <x v="10"/>
    <n v="91"/>
    <x v="58"/>
  </r>
  <r>
    <s v="200445-64"/>
    <x v="8"/>
    <x v="3"/>
    <x v="0"/>
    <x v="10"/>
    <x v="10"/>
    <n v="153"/>
    <x v="59"/>
  </r>
  <r>
    <s v="20045-14"/>
    <x v="8"/>
    <x v="4"/>
    <x v="0"/>
    <x v="10"/>
    <x v="10"/>
    <n v="16"/>
    <x v="60"/>
  </r>
  <r>
    <s v="200465-74"/>
    <x v="8"/>
    <x v="5"/>
    <x v="0"/>
    <x v="10"/>
    <x v="10"/>
    <n v="111"/>
    <x v="61"/>
  </r>
  <r>
    <s v="200475+"/>
    <x v="8"/>
    <x v="6"/>
    <x v="0"/>
    <x v="10"/>
    <x v="10"/>
    <n v="220"/>
    <x v="62"/>
  </r>
  <r>
    <s v="20050-4"/>
    <x v="9"/>
    <x v="0"/>
    <x v="0"/>
    <x v="10"/>
    <x v="10"/>
    <n v="3"/>
    <x v="63"/>
  </r>
  <r>
    <s v="200515-24"/>
    <x v="9"/>
    <x v="1"/>
    <x v="0"/>
    <x v="10"/>
    <x v="10"/>
    <n v="16"/>
    <x v="64"/>
  </r>
  <r>
    <s v="200525-44"/>
    <x v="9"/>
    <x v="2"/>
    <x v="0"/>
    <x v="10"/>
    <x v="10"/>
    <n v="68"/>
    <x v="65"/>
  </r>
  <r>
    <s v="200545-64"/>
    <x v="9"/>
    <x v="3"/>
    <x v="0"/>
    <x v="10"/>
    <x v="10"/>
    <n v="150"/>
    <x v="66"/>
  </r>
  <r>
    <s v="20055-14"/>
    <x v="9"/>
    <x v="4"/>
    <x v="0"/>
    <x v="10"/>
    <x v="10"/>
    <n v="13"/>
    <x v="67"/>
  </r>
  <r>
    <s v="200565-74"/>
    <x v="9"/>
    <x v="5"/>
    <x v="0"/>
    <x v="10"/>
    <x v="10"/>
    <n v="115"/>
    <x v="68"/>
  </r>
  <r>
    <s v="200575+"/>
    <x v="9"/>
    <x v="6"/>
    <x v="0"/>
    <x v="10"/>
    <x v="10"/>
    <n v="236"/>
    <x v="69"/>
  </r>
  <r>
    <s v="20060-4"/>
    <x v="10"/>
    <x v="0"/>
    <x v="0"/>
    <x v="10"/>
    <x v="10"/>
    <n v="10"/>
    <x v="70"/>
  </r>
  <r>
    <s v="200615-24"/>
    <x v="10"/>
    <x v="1"/>
    <x v="0"/>
    <x v="10"/>
    <x v="10"/>
    <n v="23"/>
    <x v="71"/>
  </r>
  <r>
    <s v="200625-44"/>
    <x v="10"/>
    <x v="2"/>
    <x v="0"/>
    <x v="10"/>
    <x v="10"/>
    <n v="89"/>
    <x v="72"/>
  </r>
  <r>
    <s v="200645-64"/>
    <x v="10"/>
    <x v="3"/>
    <x v="0"/>
    <x v="10"/>
    <x v="10"/>
    <n v="154"/>
    <x v="73"/>
  </r>
  <r>
    <s v="20065-14"/>
    <x v="10"/>
    <x v="4"/>
    <x v="0"/>
    <x v="10"/>
    <x v="10"/>
    <n v="18"/>
    <x v="74"/>
  </r>
  <r>
    <s v="200665-74"/>
    <x v="10"/>
    <x v="5"/>
    <x v="0"/>
    <x v="10"/>
    <x v="10"/>
    <n v="105"/>
    <x v="75"/>
  </r>
  <r>
    <s v="200675+"/>
    <x v="10"/>
    <x v="6"/>
    <x v="0"/>
    <x v="10"/>
    <x v="10"/>
    <n v="238"/>
    <x v="76"/>
  </r>
  <r>
    <s v="20070-4"/>
    <x v="11"/>
    <x v="0"/>
    <x v="0"/>
    <x v="10"/>
    <x v="10"/>
    <n v="8"/>
    <x v="77"/>
  </r>
  <r>
    <s v="200715-24"/>
    <x v="11"/>
    <x v="1"/>
    <x v="0"/>
    <x v="10"/>
    <x v="10"/>
    <n v="19"/>
    <x v="78"/>
  </r>
  <r>
    <s v="200725-44"/>
    <x v="11"/>
    <x v="2"/>
    <x v="0"/>
    <x v="10"/>
    <x v="10"/>
    <n v="78"/>
    <x v="79"/>
  </r>
  <r>
    <s v="200745-64"/>
    <x v="11"/>
    <x v="3"/>
    <x v="0"/>
    <x v="10"/>
    <x v="10"/>
    <n v="198"/>
    <x v="80"/>
  </r>
  <r>
    <s v="20075-14"/>
    <x v="11"/>
    <x v="4"/>
    <x v="0"/>
    <x v="10"/>
    <x v="10"/>
    <n v="14"/>
    <x v="81"/>
  </r>
  <r>
    <s v="200765-74"/>
    <x v="11"/>
    <x v="5"/>
    <x v="0"/>
    <x v="10"/>
    <x v="10"/>
    <n v="107"/>
    <x v="82"/>
  </r>
  <r>
    <s v="200775+"/>
    <x v="11"/>
    <x v="6"/>
    <x v="0"/>
    <x v="10"/>
    <x v="10"/>
    <n v="256"/>
    <x v="83"/>
  </r>
  <r>
    <s v="20080-4"/>
    <x v="12"/>
    <x v="0"/>
    <x v="0"/>
    <x v="10"/>
    <x v="10"/>
    <n v="9"/>
    <x v="84"/>
  </r>
  <r>
    <s v="200815-24"/>
    <x v="12"/>
    <x v="1"/>
    <x v="0"/>
    <x v="10"/>
    <x v="10"/>
    <n v="19"/>
    <x v="85"/>
  </r>
  <r>
    <s v="200825-44"/>
    <x v="12"/>
    <x v="2"/>
    <x v="0"/>
    <x v="10"/>
    <x v="10"/>
    <n v="94"/>
    <x v="86"/>
  </r>
  <r>
    <s v="200845-64"/>
    <x v="12"/>
    <x v="3"/>
    <x v="0"/>
    <x v="10"/>
    <x v="10"/>
    <n v="211"/>
    <x v="87"/>
  </r>
  <r>
    <s v="20085-14"/>
    <x v="12"/>
    <x v="4"/>
    <x v="0"/>
    <x v="10"/>
    <x v="10"/>
    <n v="14"/>
    <x v="88"/>
  </r>
  <r>
    <s v="200865-74"/>
    <x v="12"/>
    <x v="5"/>
    <x v="0"/>
    <x v="10"/>
    <x v="10"/>
    <n v="144"/>
    <x v="89"/>
  </r>
  <r>
    <s v="200875+"/>
    <x v="12"/>
    <x v="6"/>
    <x v="0"/>
    <x v="10"/>
    <x v="10"/>
    <n v="328"/>
    <x v="90"/>
  </r>
  <r>
    <s v="20090-4"/>
    <x v="13"/>
    <x v="0"/>
    <x v="0"/>
    <x v="10"/>
    <x v="10"/>
    <n v="9"/>
    <x v="91"/>
  </r>
  <r>
    <s v="200915-24"/>
    <x v="13"/>
    <x v="1"/>
    <x v="0"/>
    <x v="10"/>
    <x v="10"/>
    <n v="33"/>
    <x v="92"/>
  </r>
  <r>
    <s v="200925-44"/>
    <x v="13"/>
    <x v="2"/>
    <x v="0"/>
    <x v="10"/>
    <x v="10"/>
    <n v="106"/>
    <x v="93"/>
  </r>
  <r>
    <s v="200945-64"/>
    <x v="13"/>
    <x v="3"/>
    <x v="0"/>
    <x v="10"/>
    <x v="10"/>
    <n v="275"/>
    <x v="94"/>
  </r>
  <r>
    <s v="20095-14"/>
    <x v="13"/>
    <x v="4"/>
    <x v="0"/>
    <x v="10"/>
    <x v="10"/>
    <n v="12"/>
    <x v="95"/>
  </r>
  <r>
    <s v="200965-74"/>
    <x v="13"/>
    <x v="5"/>
    <x v="0"/>
    <x v="10"/>
    <x v="10"/>
    <n v="166"/>
    <x v="96"/>
  </r>
  <r>
    <s v="200975+"/>
    <x v="13"/>
    <x v="6"/>
    <x v="0"/>
    <x v="10"/>
    <x v="10"/>
    <n v="358"/>
    <x v="97"/>
  </r>
  <r>
    <s v="20100-4"/>
    <x v="14"/>
    <x v="0"/>
    <x v="0"/>
    <x v="10"/>
    <x v="10"/>
    <n v="8"/>
    <x v="98"/>
  </r>
  <r>
    <s v="201015-24"/>
    <x v="14"/>
    <x v="1"/>
    <x v="0"/>
    <x v="10"/>
    <x v="10"/>
    <n v="27"/>
    <x v="99"/>
  </r>
  <r>
    <s v="201025-44"/>
    <x v="14"/>
    <x v="2"/>
    <x v="0"/>
    <x v="10"/>
    <x v="10"/>
    <n v="85"/>
    <x v="100"/>
  </r>
  <r>
    <s v="201045-64"/>
    <x v="14"/>
    <x v="3"/>
    <x v="0"/>
    <x v="10"/>
    <x v="10"/>
    <n v="274"/>
    <x v="101"/>
  </r>
  <r>
    <s v="20105-14"/>
    <x v="14"/>
    <x v="4"/>
    <x v="0"/>
    <x v="10"/>
    <x v="10"/>
    <n v="8"/>
    <x v="102"/>
  </r>
  <r>
    <s v="201065-74"/>
    <x v="14"/>
    <x v="5"/>
    <x v="0"/>
    <x v="10"/>
    <x v="10"/>
    <n v="163"/>
    <x v="103"/>
  </r>
  <r>
    <s v="201075+"/>
    <x v="14"/>
    <x v="6"/>
    <x v="0"/>
    <x v="10"/>
    <x v="10"/>
    <n v="402"/>
    <x v="104"/>
  </r>
  <r>
    <s v="20110-4"/>
    <x v="15"/>
    <x v="0"/>
    <x v="0"/>
    <x v="10"/>
    <x v="10"/>
    <n v="10"/>
    <x v="105"/>
  </r>
  <r>
    <s v="201115-24"/>
    <x v="15"/>
    <x v="1"/>
    <x v="0"/>
    <x v="10"/>
    <x v="10"/>
    <n v="23"/>
    <x v="106"/>
  </r>
  <r>
    <s v="201125-44"/>
    <x v="15"/>
    <x v="2"/>
    <x v="0"/>
    <x v="10"/>
    <x v="10"/>
    <n v="97"/>
    <x v="107"/>
  </r>
  <r>
    <s v="201145-64"/>
    <x v="15"/>
    <x v="3"/>
    <x v="0"/>
    <x v="10"/>
    <x v="10"/>
    <n v="214"/>
    <x v="108"/>
  </r>
  <r>
    <s v="20115-14"/>
    <x v="15"/>
    <x v="4"/>
    <x v="0"/>
    <x v="10"/>
    <x v="10"/>
    <n v="13"/>
    <x v="109"/>
  </r>
  <r>
    <s v="201165-74"/>
    <x v="15"/>
    <x v="5"/>
    <x v="0"/>
    <x v="10"/>
    <x v="10"/>
    <n v="128"/>
    <x v="110"/>
  </r>
  <r>
    <s v="201175+"/>
    <x v="15"/>
    <x v="6"/>
    <x v="0"/>
    <x v="10"/>
    <x v="10"/>
    <n v="376"/>
    <x v="111"/>
  </r>
  <r>
    <s v="20120-4"/>
    <x v="16"/>
    <x v="0"/>
    <x v="0"/>
    <x v="10"/>
    <x v="10"/>
    <n v="7"/>
    <x v="112"/>
  </r>
  <r>
    <s v="201215-24"/>
    <x v="16"/>
    <x v="1"/>
    <x v="0"/>
    <x v="10"/>
    <x v="10"/>
    <n v="21"/>
    <x v="113"/>
  </r>
  <r>
    <s v="201225-44"/>
    <x v="16"/>
    <x v="2"/>
    <x v="0"/>
    <x v="10"/>
    <x v="10"/>
    <n v="76"/>
    <x v="114"/>
  </r>
  <r>
    <s v="201245-64"/>
    <x v="16"/>
    <x v="3"/>
    <x v="0"/>
    <x v="10"/>
    <x v="10"/>
    <n v="226"/>
    <x v="115"/>
  </r>
  <r>
    <s v="20125-14"/>
    <x v="16"/>
    <x v="4"/>
    <x v="0"/>
    <x v="10"/>
    <x v="10"/>
    <n v="8"/>
    <x v="116"/>
  </r>
  <r>
    <s v="201265-74"/>
    <x v="16"/>
    <x v="5"/>
    <x v="0"/>
    <x v="10"/>
    <x v="10"/>
    <n v="145"/>
    <x v="117"/>
  </r>
  <r>
    <s v="201275+"/>
    <x v="16"/>
    <x v="6"/>
    <x v="0"/>
    <x v="10"/>
    <x v="10"/>
    <n v="333"/>
    <x v="118"/>
  </r>
  <r>
    <s v="20130-4"/>
    <x v="17"/>
    <x v="0"/>
    <x v="0"/>
    <x v="10"/>
    <x v="10"/>
    <n v="6"/>
    <x v="119"/>
  </r>
  <r>
    <s v="201315-24"/>
    <x v="17"/>
    <x v="1"/>
    <x v="0"/>
    <x v="10"/>
    <x v="10"/>
    <n v="21"/>
    <x v="120"/>
  </r>
  <r>
    <s v="201325-44"/>
    <x v="17"/>
    <x v="2"/>
    <x v="0"/>
    <x v="10"/>
    <x v="10"/>
    <n v="99"/>
    <x v="121"/>
  </r>
  <r>
    <s v="201345-64"/>
    <x v="17"/>
    <x v="3"/>
    <x v="0"/>
    <x v="10"/>
    <x v="10"/>
    <n v="246"/>
    <x v="122"/>
  </r>
  <r>
    <s v="20135-14"/>
    <x v="17"/>
    <x v="4"/>
    <x v="0"/>
    <x v="10"/>
    <x v="10"/>
    <n v="7"/>
    <x v="123"/>
  </r>
  <r>
    <s v="201365-74"/>
    <x v="17"/>
    <x v="5"/>
    <x v="0"/>
    <x v="10"/>
    <x v="10"/>
    <n v="158"/>
    <x v="124"/>
  </r>
  <r>
    <s v="201375+"/>
    <x v="17"/>
    <x v="6"/>
    <x v="0"/>
    <x v="10"/>
    <x v="10"/>
    <n v="365"/>
    <x v="125"/>
  </r>
  <r>
    <s v="20140-4"/>
    <x v="18"/>
    <x v="0"/>
    <x v="0"/>
    <x v="10"/>
    <x v="10"/>
    <n v="6"/>
    <x v="126"/>
  </r>
  <r>
    <s v="201415-24"/>
    <x v="18"/>
    <x v="1"/>
    <x v="0"/>
    <x v="10"/>
    <x v="10"/>
    <n v="27"/>
    <x v="127"/>
  </r>
  <r>
    <s v="201425-44"/>
    <x v="18"/>
    <x v="2"/>
    <x v="0"/>
    <x v="10"/>
    <x v="10"/>
    <n v="98"/>
    <x v="128"/>
  </r>
  <r>
    <s v="201445-64"/>
    <x v="18"/>
    <x v="3"/>
    <x v="0"/>
    <x v="10"/>
    <x v="10"/>
    <n v="295"/>
    <x v="129"/>
  </r>
  <r>
    <s v="20145-14"/>
    <x v="18"/>
    <x v="4"/>
    <x v="0"/>
    <x v="10"/>
    <x v="10"/>
    <n v="11"/>
    <x v="130"/>
  </r>
  <r>
    <s v="201465-74"/>
    <x v="18"/>
    <x v="5"/>
    <x v="0"/>
    <x v="10"/>
    <x v="10"/>
    <n v="175"/>
    <x v="131"/>
  </r>
  <r>
    <s v="201475+"/>
    <x v="18"/>
    <x v="6"/>
    <x v="0"/>
    <x v="10"/>
    <x v="10"/>
    <n v="448"/>
    <x v="132"/>
  </r>
  <r>
    <s v="19960-4"/>
    <x v="0"/>
    <x v="0"/>
    <x v="0"/>
    <x v="11"/>
    <x v="11"/>
    <n v="12"/>
    <x v="0"/>
  </r>
  <r>
    <s v="199615-24"/>
    <x v="0"/>
    <x v="1"/>
    <x v="0"/>
    <x v="11"/>
    <x v="11"/>
    <n v="11"/>
    <x v="1"/>
  </r>
  <r>
    <s v="199625-44"/>
    <x v="0"/>
    <x v="2"/>
    <x v="0"/>
    <x v="11"/>
    <x v="11"/>
    <n v="42"/>
    <x v="2"/>
  </r>
  <r>
    <s v="199645-64"/>
    <x v="0"/>
    <x v="3"/>
    <x v="0"/>
    <x v="11"/>
    <x v="11"/>
    <n v="103"/>
    <x v="3"/>
  </r>
  <r>
    <s v="19965-14"/>
    <x v="0"/>
    <x v="4"/>
    <x v="0"/>
    <x v="11"/>
    <x v="11"/>
    <n v="16"/>
    <x v="4"/>
  </r>
  <r>
    <s v="199665-74"/>
    <x v="0"/>
    <x v="5"/>
    <x v="0"/>
    <x v="11"/>
    <x v="11"/>
    <n v="78"/>
    <x v="5"/>
  </r>
  <r>
    <s v="199675+"/>
    <x v="0"/>
    <x v="6"/>
    <x v="0"/>
    <x v="11"/>
    <x v="11"/>
    <n v="96"/>
    <x v="6"/>
  </r>
  <r>
    <s v="19970-4"/>
    <x v="1"/>
    <x v="0"/>
    <x v="0"/>
    <x v="11"/>
    <x v="11"/>
    <n v="14"/>
    <x v="7"/>
  </r>
  <r>
    <s v="199715-24"/>
    <x v="1"/>
    <x v="1"/>
    <x v="0"/>
    <x v="11"/>
    <x v="11"/>
    <n v="19"/>
    <x v="8"/>
  </r>
  <r>
    <s v="199725-44"/>
    <x v="1"/>
    <x v="2"/>
    <x v="0"/>
    <x v="11"/>
    <x v="11"/>
    <n v="65"/>
    <x v="9"/>
  </r>
  <r>
    <s v="199745-64"/>
    <x v="1"/>
    <x v="3"/>
    <x v="0"/>
    <x v="11"/>
    <x v="11"/>
    <n v="111"/>
    <x v="10"/>
  </r>
  <r>
    <s v="19975-14"/>
    <x v="1"/>
    <x v="4"/>
    <x v="0"/>
    <x v="11"/>
    <x v="11"/>
    <n v="18"/>
    <x v="11"/>
  </r>
  <r>
    <s v="199765-74"/>
    <x v="1"/>
    <x v="5"/>
    <x v="0"/>
    <x v="11"/>
    <x v="11"/>
    <n v="72"/>
    <x v="12"/>
  </r>
  <r>
    <s v="199775+"/>
    <x v="1"/>
    <x v="6"/>
    <x v="0"/>
    <x v="11"/>
    <x v="11"/>
    <n v="73"/>
    <x v="13"/>
  </r>
  <r>
    <s v="19980-4"/>
    <x v="2"/>
    <x v="0"/>
    <x v="0"/>
    <x v="11"/>
    <x v="11"/>
    <n v="20"/>
    <x v="14"/>
  </r>
  <r>
    <s v="199815-24"/>
    <x v="2"/>
    <x v="1"/>
    <x v="0"/>
    <x v="11"/>
    <x v="11"/>
    <n v="22"/>
    <x v="15"/>
  </r>
  <r>
    <s v="199825-44"/>
    <x v="2"/>
    <x v="2"/>
    <x v="0"/>
    <x v="11"/>
    <x v="11"/>
    <n v="54"/>
    <x v="16"/>
  </r>
  <r>
    <s v="199845-64"/>
    <x v="2"/>
    <x v="3"/>
    <x v="0"/>
    <x v="11"/>
    <x v="11"/>
    <n v="107"/>
    <x v="17"/>
  </r>
  <r>
    <s v="19985-14"/>
    <x v="2"/>
    <x v="4"/>
    <x v="0"/>
    <x v="11"/>
    <x v="11"/>
    <n v="13"/>
    <x v="18"/>
  </r>
  <r>
    <s v="199865-74"/>
    <x v="2"/>
    <x v="5"/>
    <x v="0"/>
    <x v="11"/>
    <x v="11"/>
    <n v="89"/>
    <x v="19"/>
  </r>
  <r>
    <s v="199875+"/>
    <x v="2"/>
    <x v="6"/>
    <x v="0"/>
    <x v="11"/>
    <x v="11"/>
    <n v="116"/>
    <x v="20"/>
  </r>
  <r>
    <s v="19990-4"/>
    <x v="3"/>
    <x v="0"/>
    <x v="0"/>
    <x v="11"/>
    <x v="11"/>
    <n v="18"/>
    <x v="21"/>
  </r>
  <r>
    <s v="199915-24"/>
    <x v="3"/>
    <x v="1"/>
    <x v="0"/>
    <x v="11"/>
    <x v="11"/>
    <n v="17"/>
    <x v="22"/>
  </r>
  <r>
    <s v="199925-44"/>
    <x v="3"/>
    <x v="2"/>
    <x v="0"/>
    <x v="11"/>
    <x v="11"/>
    <n v="57"/>
    <x v="23"/>
  </r>
  <r>
    <s v="199945-64"/>
    <x v="3"/>
    <x v="3"/>
    <x v="0"/>
    <x v="11"/>
    <x v="11"/>
    <n v="128"/>
    <x v="24"/>
  </r>
  <r>
    <s v="19995-14"/>
    <x v="3"/>
    <x v="4"/>
    <x v="0"/>
    <x v="11"/>
    <x v="11"/>
    <n v="18"/>
    <x v="25"/>
  </r>
  <r>
    <s v="199965-74"/>
    <x v="3"/>
    <x v="5"/>
    <x v="0"/>
    <x v="11"/>
    <x v="11"/>
    <n v="95"/>
    <x v="26"/>
  </r>
  <r>
    <s v="199975+"/>
    <x v="3"/>
    <x v="6"/>
    <x v="0"/>
    <x v="11"/>
    <x v="11"/>
    <n v="108"/>
    <x v="27"/>
  </r>
  <r>
    <s v="20000-4"/>
    <x v="4"/>
    <x v="0"/>
    <x v="0"/>
    <x v="11"/>
    <x v="11"/>
    <n v="18"/>
    <x v="28"/>
  </r>
  <r>
    <s v="200015-24"/>
    <x v="4"/>
    <x v="1"/>
    <x v="0"/>
    <x v="11"/>
    <x v="11"/>
    <n v="20"/>
    <x v="29"/>
  </r>
  <r>
    <s v="200025-44"/>
    <x v="4"/>
    <x v="2"/>
    <x v="0"/>
    <x v="11"/>
    <x v="11"/>
    <n v="60"/>
    <x v="30"/>
  </r>
  <r>
    <s v="200045-64"/>
    <x v="4"/>
    <x v="3"/>
    <x v="0"/>
    <x v="11"/>
    <x v="11"/>
    <n v="118"/>
    <x v="31"/>
  </r>
  <r>
    <s v="20005-14"/>
    <x v="4"/>
    <x v="4"/>
    <x v="0"/>
    <x v="11"/>
    <x v="11"/>
    <n v="16"/>
    <x v="32"/>
  </r>
  <r>
    <s v="200065-74"/>
    <x v="4"/>
    <x v="5"/>
    <x v="0"/>
    <x v="11"/>
    <x v="11"/>
    <n v="110"/>
    <x v="33"/>
  </r>
  <r>
    <s v="200075+"/>
    <x v="4"/>
    <x v="6"/>
    <x v="0"/>
    <x v="11"/>
    <x v="11"/>
    <n v="131"/>
    <x v="34"/>
  </r>
  <r>
    <s v="20010-4"/>
    <x v="5"/>
    <x v="0"/>
    <x v="0"/>
    <x v="11"/>
    <x v="11"/>
    <n v="11"/>
    <x v="35"/>
  </r>
  <r>
    <s v="200115-24"/>
    <x v="5"/>
    <x v="1"/>
    <x v="0"/>
    <x v="11"/>
    <x v="11"/>
    <n v="16"/>
    <x v="36"/>
  </r>
  <r>
    <s v="200125-44"/>
    <x v="5"/>
    <x v="2"/>
    <x v="0"/>
    <x v="11"/>
    <x v="11"/>
    <n v="66"/>
    <x v="37"/>
  </r>
  <r>
    <s v="200145-64"/>
    <x v="5"/>
    <x v="3"/>
    <x v="0"/>
    <x v="11"/>
    <x v="11"/>
    <n v="145"/>
    <x v="38"/>
  </r>
  <r>
    <s v="20015-14"/>
    <x v="5"/>
    <x v="4"/>
    <x v="0"/>
    <x v="11"/>
    <x v="11"/>
    <n v="21"/>
    <x v="39"/>
  </r>
  <r>
    <s v="200165-74"/>
    <x v="5"/>
    <x v="5"/>
    <x v="0"/>
    <x v="11"/>
    <x v="11"/>
    <n v="113"/>
    <x v="40"/>
  </r>
  <r>
    <s v="200175+"/>
    <x v="5"/>
    <x v="6"/>
    <x v="0"/>
    <x v="11"/>
    <x v="11"/>
    <n v="150"/>
    <x v="41"/>
  </r>
  <r>
    <s v="20020-4"/>
    <x v="6"/>
    <x v="0"/>
    <x v="0"/>
    <x v="11"/>
    <x v="11"/>
    <n v="17"/>
    <x v="42"/>
  </r>
  <r>
    <s v="200215-24"/>
    <x v="6"/>
    <x v="1"/>
    <x v="0"/>
    <x v="11"/>
    <x v="11"/>
    <n v="16"/>
    <x v="43"/>
  </r>
  <r>
    <s v="200225-44"/>
    <x v="6"/>
    <x v="2"/>
    <x v="0"/>
    <x v="11"/>
    <x v="11"/>
    <n v="75"/>
    <x v="44"/>
  </r>
  <r>
    <s v="200245-64"/>
    <x v="6"/>
    <x v="3"/>
    <x v="0"/>
    <x v="11"/>
    <x v="11"/>
    <n v="155"/>
    <x v="45"/>
  </r>
  <r>
    <s v="20025-14"/>
    <x v="6"/>
    <x v="4"/>
    <x v="0"/>
    <x v="11"/>
    <x v="11"/>
    <n v="26"/>
    <x v="46"/>
  </r>
  <r>
    <s v="200265-74"/>
    <x v="6"/>
    <x v="5"/>
    <x v="0"/>
    <x v="11"/>
    <x v="11"/>
    <n v="101"/>
    <x v="47"/>
  </r>
  <r>
    <s v="200275+"/>
    <x v="6"/>
    <x v="6"/>
    <x v="0"/>
    <x v="11"/>
    <x v="11"/>
    <n v="139"/>
    <x v="48"/>
  </r>
  <r>
    <s v="20030-4"/>
    <x v="7"/>
    <x v="0"/>
    <x v="0"/>
    <x v="11"/>
    <x v="11"/>
    <n v="14"/>
    <x v="49"/>
  </r>
  <r>
    <s v="200315-24"/>
    <x v="7"/>
    <x v="1"/>
    <x v="0"/>
    <x v="11"/>
    <x v="11"/>
    <n v="13"/>
    <x v="50"/>
  </r>
  <r>
    <s v="200325-44"/>
    <x v="7"/>
    <x v="2"/>
    <x v="0"/>
    <x v="11"/>
    <x v="11"/>
    <n v="88"/>
    <x v="51"/>
  </r>
  <r>
    <s v="200345-64"/>
    <x v="7"/>
    <x v="3"/>
    <x v="0"/>
    <x v="11"/>
    <x v="11"/>
    <n v="143"/>
    <x v="52"/>
  </r>
  <r>
    <s v="20035-14"/>
    <x v="7"/>
    <x v="4"/>
    <x v="0"/>
    <x v="11"/>
    <x v="11"/>
    <n v="17"/>
    <x v="53"/>
  </r>
  <r>
    <s v="200365-74"/>
    <x v="7"/>
    <x v="5"/>
    <x v="0"/>
    <x v="11"/>
    <x v="11"/>
    <n v="95"/>
    <x v="54"/>
  </r>
  <r>
    <s v="200375+"/>
    <x v="7"/>
    <x v="6"/>
    <x v="0"/>
    <x v="11"/>
    <x v="11"/>
    <n v="154"/>
    <x v="55"/>
  </r>
  <r>
    <s v="20040-4"/>
    <x v="8"/>
    <x v="0"/>
    <x v="0"/>
    <x v="11"/>
    <x v="11"/>
    <n v="16"/>
    <x v="56"/>
  </r>
  <r>
    <s v="200415-24"/>
    <x v="8"/>
    <x v="1"/>
    <x v="0"/>
    <x v="11"/>
    <x v="11"/>
    <n v="16"/>
    <x v="57"/>
  </r>
  <r>
    <s v="200425-44"/>
    <x v="8"/>
    <x v="2"/>
    <x v="0"/>
    <x v="11"/>
    <x v="11"/>
    <n v="66"/>
    <x v="58"/>
  </r>
  <r>
    <s v="200445-64"/>
    <x v="8"/>
    <x v="3"/>
    <x v="0"/>
    <x v="11"/>
    <x v="11"/>
    <n v="151"/>
    <x v="59"/>
  </r>
  <r>
    <s v="20045-14"/>
    <x v="8"/>
    <x v="4"/>
    <x v="0"/>
    <x v="11"/>
    <x v="11"/>
    <n v="19"/>
    <x v="60"/>
  </r>
  <r>
    <s v="200465-74"/>
    <x v="8"/>
    <x v="5"/>
    <x v="0"/>
    <x v="11"/>
    <x v="11"/>
    <n v="106"/>
    <x v="61"/>
  </r>
  <r>
    <s v="200475+"/>
    <x v="8"/>
    <x v="6"/>
    <x v="0"/>
    <x v="11"/>
    <x v="11"/>
    <n v="185"/>
    <x v="62"/>
  </r>
  <r>
    <s v="20050-4"/>
    <x v="9"/>
    <x v="0"/>
    <x v="0"/>
    <x v="11"/>
    <x v="11"/>
    <n v="23"/>
    <x v="63"/>
  </r>
  <r>
    <s v="200515-24"/>
    <x v="9"/>
    <x v="1"/>
    <x v="0"/>
    <x v="11"/>
    <x v="11"/>
    <n v="24"/>
    <x v="64"/>
  </r>
  <r>
    <s v="200525-44"/>
    <x v="9"/>
    <x v="2"/>
    <x v="0"/>
    <x v="11"/>
    <x v="11"/>
    <n v="82"/>
    <x v="65"/>
  </r>
  <r>
    <s v="200545-64"/>
    <x v="9"/>
    <x v="3"/>
    <x v="0"/>
    <x v="11"/>
    <x v="11"/>
    <n v="212"/>
    <x v="66"/>
  </r>
  <r>
    <s v="20055-14"/>
    <x v="9"/>
    <x v="4"/>
    <x v="0"/>
    <x v="11"/>
    <x v="11"/>
    <n v="18"/>
    <x v="67"/>
  </r>
  <r>
    <s v="200565-74"/>
    <x v="9"/>
    <x v="5"/>
    <x v="0"/>
    <x v="11"/>
    <x v="11"/>
    <n v="128"/>
    <x v="68"/>
  </r>
  <r>
    <s v="200575+"/>
    <x v="9"/>
    <x v="6"/>
    <x v="0"/>
    <x v="11"/>
    <x v="11"/>
    <n v="185"/>
    <x v="69"/>
  </r>
  <r>
    <s v="20060-4"/>
    <x v="10"/>
    <x v="0"/>
    <x v="0"/>
    <x v="11"/>
    <x v="11"/>
    <n v="20"/>
    <x v="70"/>
  </r>
  <r>
    <s v="200615-24"/>
    <x v="10"/>
    <x v="1"/>
    <x v="0"/>
    <x v="11"/>
    <x v="11"/>
    <n v="18"/>
    <x v="71"/>
  </r>
  <r>
    <s v="200625-44"/>
    <x v="10"/>
    <x v="2"/>
    <x v="0"/>
    <x v="11"/>
    <x v="11"/>
    <n v="84"/>
    <x v="72"/>
  </r>
  <r>
    <s v="200645-64"/>
    <x v="10"/>
    <x v="3"/>
    <x v="0"/>
    <x v="11"/>
    <x v="11"/>
    <n v="196"/>
    <x v="73"/>
  </r>
  <r>
    <s v="20065-14"/>
    <x v="10"/>
    <x v="4"/>
    <x v="0"/>
    <x v="11"/>
    <x v="11"/>
    <n v="18"/>
    <x v="74"/>
  </r>
  <r>
    <s v="200665-74"/>
    <x v="10"/>
    <x v="5"/>
    <x v="0"/>
    <x v="11"/>
    <x v="11"/>
    <n v="126"/>
    <x v="75"/>
  </r>
  <r>
    <s v="200675+"/>
    <x v="10"/>
    <x v="6"/>
    <x v="0"/>
    <x v="11"/>
    <x v="11"/>
    <n v="230"/>
    <x v="76"/>
  </r>
  <r>
    <s v="20070-4"/>
    <x v="11"/>
    <x v="0"/>
    <x v="0"/>
    <x v="11"/>
    <x v="11"/>
    <n v="18"/>
    <x v="77"/>
  </r>
  <r>
    <s v="200715-24"/>
    <x v="11"/>
    <x v="1"/>
    <x v="0"/>
    <x v="11"/>
    <x v="11"/>
    <n v="25"/>
    <x v="78"/>
  </r>
  <r>
    <s v="200725-44"/>
    <x v="11"/>
    <x v="2"/>
    <x v="0"/>
    <x v="11"/>
    <x v="11"/>
    <n v="92"/>
    <x v="79"/>
  </r>
  <r>
    <s v="200745-64"/>
    <x v="11"/>
    <x v="3"/>
    <x v="0"/>
    <x v="11"/>
    <x v="11"/>
    <n v="214"/>
    <x v="80"/>
  </r>
  <r>
    <s v="20075-14"/>
    <x v="11"/>
    <x v="4"/>
    <x v="0"/>
    <x v="11"/>
    <x v="11"/>
    <n v="20"/>
    <x v="81"/>
  </r>
  <r>
    <s v="200765-74"/>
    <x v="11"/>
    <x v="5"/>
    <x v="0"/>
    <x v="11"/>
    <x v="11"/>
    <n v="159"/>
    <x v="82"/>
  </r>
  <r>
    <s v="200775+"/>
    <x v="11"/>
    <x v="6"/>
    <x v="0"/>
    <x v="11"/>
    <x v="11"/>
    <n v="241"/>
    <x v="83"/>
  </r>
  <r>
    <s v="20080-4"/>
    <x v="12"/>
    <x v="0"/>
    <x v="0"/>
    <x v="11"/>
    <x v="11"/>
    <n v="20"/>
    <x v="84"/>
  </r>
  <r>
    <s v="200815-24"/>
    <x v="12"/>
    <x v="1"/>
    <x v="0"/>
    <x v="11"/>
    <x v="11"/>
    <n v="19"/>
    <x v="85"/>
  </r>
  <r>
    <s v="200825-44"/>
    <x v="12"/>
    <x v="2"/>
    <x v="0"/>
    <x v="11"/>
    <x v="11"/>
    <n v="69"/>
    <x v="86"/>
  </r>
  <r>
    <s v="200845-64"/>
    <x v="12"/>
    <x v="3"/>
    <x v="0"/>
    <x v="11"/>
    <x v="11"/>
    <n v="241"/>
    <x v="87"/>
  </r>
  <r>
    <s v="20085-14"/>
    <x v="12"/>
    <x v="4"/>
    <x v="0"/>
    <x v="11"/>
    <x v="11"/>
    <n v="18"/>
    <x v="88"/>
  </r>
  <r>
    <s v="200865-74"/>
    <x v="12"/>
    <x v="5"/>
    <x v="0"/>
    <x v="11"/>
    <x v="11"/>
    <n v="192"/>
    <x v="89"/>
  </r>
  <r>
    <s v="200875+"/>
    <x v="12"/>
    <x v="6"/>
    <x v="0"/>
    <x v="11"/>
    <x v="11"/>
    <n v="250"/>
    <x v="90"/>
  </r>
  <r>
    <s v="20090-4"/>
    <x v="13"/>
    <x v="0"/>
    <x v="0"/>
    <x v="11"/>
    <x v="11"/>
    <n v="19"/>
    <x v="91"/>
  </r>
  <r>
    <s v="200915-24"/>
    <x v="13"/>
    <x v="1"/>
    <x v="0"/>
    <x v="11"/>
    <x v="11"/>
    <n v="27"/>
    <x v="92"/>
  </r>
  <r>
    <s v="200925-44"/>
    <x v="13"/>
    <x v="2"/>
    <x v="0"/>
    <x v="11"/>
    <x v="11"/>
    <n v="75"/>
    <x v="93"/>
  </r>
  <r>
    <s v="200945-64"/>
    <x v="13"/>
    <x v="3"/>
    <x v="0"/>
    <x v="11"/>
    <x v="11"/>
    <n v="272"/>
    <x v="94"/>
  </r>
  <r>
    <s v="20095-14"/>
    <x v="13"/>
    <x v="4"/>
    <x v="0"/>
    <x v="11"/>
    <x v="11"/>
    <n v="24"/>
    <x v="95"/>
  </r>
  <r>
    <s v="200965-74"/>
    <x v="13"/>
    <x v="5"/>
    <x v="0"/>
    <x v="11"/>
    <x v="11"/>
    <n v="154"/>
    <x v="96"/>
  </r>
  <r>
    <s v="200975+"/>
    <x v="13"/>
    <x v="6"/>
    <x v="0"/>
    <x v="11"/>
    <x v="11"/>
    <n v="255"/>
    <x v="97"/>
  </r>
  <r>
    <s v="20100-4"/>
    <x v="14"/>
    <x v="0"/>
    <x v="0"/>
    <x v="11"/>
    <x v="11"/>
    <n v="18"/>
    <x v="98"/>
  </r>
  <r>
    <s v="201015-24"/>
    <x v="14"/>
    <x v="1"/>
    <x v="0"/>
    <x v="11"/>
    <x v="11"/>
    <n v="24"/>
    <x v="99"/>
  </r>
  <r>
    <s v="201025-44"/>
    <x v="14"/>
    <x v="2"/>
    <x v="0"/>
    <x v="11"/>
    <x v="11"/>
    <n v="92"/>
    <x v="100"/>
  </r>
  <r>
    <s v="201045-64"/>
    <x v="14"/>
    <x v="3"/>
    <x v="0"/>
    <x v="11"/>
    <x v="11"/>
    <n v="300"/>
    <x v="101"/>
  </r>
  <r>
    <s v="20105-14"/>
    <x v="14"/>
    <x v="4"/>
    <x v="0"/>
    <x v="11"/>
    <x v="11"/>
    <n v="19"/>
    <x v="102"/>
  </r>
  <r>
    <s v="201065-74"/>
    <x v="14"/>
    <x v="5"/>
    <x v="0"/>
    <x v="11"/>
    <x v="11"/>
    <n v="177"/>
    <x v="103"/>
  </r>
  <r>
    <s v="201075+"/>
    <x v="14"/>
    <x v="6"/>
    <x v="0"/>
    <x v="11"/>
    <x v="11"/>
    <n v="294"/>
    <x v="104"/>
  </r>
  <r>
    <s v="20110-4"/>
    <x v="15"/>
    <x v="0"/>
    <x v="0"/>
    <x v="11"/>
    <x v="11"/>
    <n v="21"/>
    <x v="105"/>
  </r>
  <r>
    <s v="201115-24"/>
    <x v="15"/>
    <x v="1"/>
    <x v="0"/>
    <x v="11"/>
    <x v="11"/>
    <n v="29"/>
    <x v="106"/>
  </r>
  <r>
    <s v="201125-44"/>
    <x v="15"/>
    <x v="2"/>
    <x v="0"/>
    <x v="11"/>
    <x v="11"/>
    <n v="115"/>
    <x v="107"/>
  </r>
  <r>
    <s v="201145-64"/>
    <x v="15"/>
    <x v="3"/>
    <x v="0"/>
    <x v="11"/>
    <x v="11"/>
    <n v="308"/>
    <x v="108"/>
  </r>
  <r>
    <s v="20115-14"/>
    <x v="15"/>
    <x v="4"/>
    <x v="0"/>
    <x v="11"/>
    <x v="11"/>
    <n v="12"/>
    <x v="109"/>
  </r>
  <r>
    <s v="201165-74"/>
    <x v="15"/>
    <x v="5"/>
    <x v="0"/>
    <x v="11"/>
    <x v="11"/>
    <n v="171"/>
    <x v="110"/>
  </r>
  <r>
    <s v="201175+"/>
    <x v="15"/>
    <x v="6"/>
    <x v="0"/>
    <x v="11"/>
    <x v="11"/>
    <n v="309"/>
    <x v="111"/>
  </r>
  <r>
    <s v="20120-4"/>
    <x v="16"/>
    <x v="0"/>
    <x v="0"/>
    <x v="11"/>
    <x v="11"/>
    <n v="22"/>
    <x v="112"/>
  </r>
  <r>
    <s v="201215-24"/>
    <x v="16"/>
    <x v="1"/>
    <x v="0"/>
    <x v="11"/>
    <x v="11"/>
    <n v="24"/>
    <x v="113"/>
  </r>
  <r>
    <s v="201225-44"/>
    <x v="16"/>
    <x v="2"/>
    <x v="0"/>
    <x v="11"/>
    <x v="11"/>
    <n v="106"/>
    <x v="114"/>
  </r>
  <r>
    <s v="201245-64"/>
    <x v="16"/>
    <x v="3"/>
    <x v="0"/>
    <x v="11"/>
    <x v="11"/>
    <n v="322"/>
    <x v="115"/>
  </r>
  <r>
    <s v="20125-14"/>
    <x v="16"/>
    <x v="4"/>
    <x v="0"/>
    <x v="11"/>
    <x v="11"/>
    <n v="20"/>
    <x v="116"/>
  </r>
  <r>
    <s v="201265-74"/>
    <x v="16"/>
    <x v="5"/>
    <x v="0"/>
    <x v="11"/>
    <x v="11"/>
    <n v="189"/>
    <x v="117"/>
  </r>
  <r>
    <s v="201275+"/>
    <x v="16"/>
    <x v="6"/>
    <x v="0"/>
    <x v="11"/>
    <x v="11"/>
    <n v="350"/>
    <x v="118"/>
  </r>
  <r>
    <s v="20130-4"/>
    <x v="17"/>
    <x v="0"/>
    <x v="0"/>
    <x v="11"/>
    <x v="11"/>
    <n v="34"/>
    <x v="119"/>
  </r>
  <r>
    <s v="201315-24"/>
    <x v="17"/>
    <x v="1"/>
    <x v="0"/>
    <x v="11"/>
    <x v="11"/>
    <n v="22"/>
    <x v="120"/>
  </r>
  <r>
    <s v="201325-44"/>
    <x v="17"/>
    <x v="2"/>
    <x v="0"/>
    <x v="11"/>
    <x v="11"/>
    <n v="118"/>
    <x v="121"/>
  </r>
  <r>
    <s v="201345-64"/>
    <x v="17"/>
    <x v="3"/>
    <x v="0"/>
    <x v="11"/>
    <x v="11"/>
    <n v="344"/>
    <x v="122"/>
  </r>
  <r>
    <s v="20135-14"/>
    <x v="17"/>
    <x v="4"/>
    <x v="0"/>
    <x v="11"/>
    <x v="11"/>
    <n v="10"/>
    <x v="123"/>
  </r>
  <r>
    <s v="201365-74"/>
    <x v="17"/>
    <x v="5"/>
    <x v="0"/>
    <x v="11"/>
    <x v="11"/>
    <n v="221"/>
    <x v="124"/>
  </r>
  <r>
    <s v="201375+"/>
    <x v="17"/>
    <x v="6"/>
    <x v="0"/>
    <x v="11"/>
    <x v="11"/>
    <n v="357"/>
    <x v="125"/>
  </r>
  <r>
    <s v="20140-4"/>
    <x v="18"/>
    <x v="0"/>
    <x v="0"/>
    <x v="11"/>
    <x v="11"/>
    <n v="22"/>
    <x v="126"/>
  </r>
  <r>
    <s v="201415-24"/>
    <x v="18"/>
    <x v="1"/>
    <x v="0"/>
    <x v="11"/>
    <x v="11"/>
    <n v="26"/>
    <x v="127"/>
  </r>
  <r>
    <s v="201425-44"/>
    <x v="18"/>
    <x v="2"/>
    <x v="0"/>
    <x v="11"/>
    <x v="11"/>
    <n v="93"/>
    <x v="128"/>
  </r>
  <r>
    <s v="201445-64"/>
    <x v="18"/>
    <x v="3"/>
    <x v="0"/>
    <x v="11"/>
    <x v="11"/>
    <n v="322"/>
    <x v="129"/>
  </r>
  <r>
    <s v="20145-14"/>
    <x v="18"/>
    <x v="4"/>
    <x v="0"/>
    <x v="11"/>
    <x v="11"/>
    <n v="19"/>
    <x v="130"/>
  </r>
  <r>
    <s v="201465-74"/>
    <x v="18"/>
    <x v="5"/>
    <x v="0"/>
    <x v="11"/>
    <x v="11"/>
    <n v="213"/>
    <x v="131"/>
  </r>
  <r>
    <s v="201475+"/>
    <x v="18"/>
    <x v="6"/>
    <x v="0"/>
    <x v="11"/>
    <x v="11"/>
    <n v="393"/>
    <x v="132"/>
  </r>
  <r>
    <s v="19960-4"/>
    <x v="0"/>
    <x v="0"/>
    <x v="0"/>
    <x v="12"/>
    <x v="12"/>
    <n v="0"/>
    <x v="0"/>
  </r>
  <r>
    <s v="199615-24"/>
    <x v="0"/>
    <x v="1"/>
    <x v="0"/>
    <x v="12"/>
    <x v="12"/>
    <n v="2"/>
    <x v="1"/>
  </r>
  <r>
    <s v="199625-44"/>
    <x v="0"/>
    <x v="2"/>
    <x v="0"/>
    <x v="12"/>
    <x v="12"/>
    <n v="24"/>
    <x v="2"/>
  </r>
  <r>
    <s v="199645-64"/>
    <x v="0"/>
    <x v="3"/>
    <x v="0"/>
    <x v="12"/>
    <x v="12"/>
    <n v="81"/>
    <x v="3"/>
  </r>
  <r>
    <s v="19965-14"/>
    <x v="0"/>
    <x v="4"/>
    <x v="0"/>
    <x v="12"/>
    <x v="12"/>
    <n v="0"/>
    <x v="4"/>
  </r>
  <r>
    <s v="199665-74"/>
    <x v="0"/>
    <x v="5"/>
    <x v="0"/>
    <x v="12"/>
    <x v="12"/>
    <n v="97"/>
    <x v="5"/>
  </r>
  <r>
    <s v="199675+"/>
    <x v="0"/>
    <x v="6"/>
    <x v="0"/>
    <x v="12"/>
    <x v="12"/>
    <n v="188"/>
    <x v="6"/>
  </r>
  <r>
    <s v="19970-4"/>
    <x v="1"/>
    <x v="0"/>
    <x v="0"/>
    <x v="12"/>
    <x v="12"/>
    <n v="1"/>
    <x v="7"/>
  </r>
  <r>
    <s v="199715-24"/>
    <x v="1"/>
    <x v="1"/>
    <x v="0"/>
    <x v="12"/>
    <x v="12"/>
    <n v="7"/>
    <x v="8"/>
  </r>
  <r>
    <s v="199725-44"/>
    <x v="1"/>
    <x v="2"/>
    <x v="0"/>
    <x v="12"/>
    <x v="12"/>
    <n v="47"/>
    <x v="9"/>
  </r>
  <r>
    <s v="199745-64"/>
    <x v="1"/>
    <x v="3"/>
    <x v="0"/>
    <x v="12"/>
    <x v="12"/>
    <n v="124"/>
    <x v="10"/>
  </r>
  <r>
    <s v="19975-14"/>
    <x v="1"/>
    <x v="4"/>
    <x v="0"/>
    <x v="12"/>
    <x v="12"/>
    <n v="2"/>
    <x v="11"/>
  </r>
  <r>
    <s v="199765-74"/>
    <x v="1"/>
    <x v="5"/>
    <x v="0"/>
    <x v="12"/>
    <x v="12"/>
    <n v="133"/>
    <x v="12"/>
  </r>
  <r>
    <s v="199775+"/>
    <x v="1"/>
    <x v="6"/>
    <x v="0"/>
    <x v="12"/>
    <x v="12"/>
    <n v="286"/>
    <x v="13"/>
  </r>
  <r>
    <s v="19980-4"/>
    <x v="2"/>
    <x v="0"/>
    <x v="0"/>
    <x v="12"/>
    <x v="12"/>
    <n v="0"/>
    <x v="14"/>
  </r>
  <r>
    <s v="199815-24"/>
    <x v="2"/>
    <x v="1"/>
    <x v="0"/>
    <x v="12"/>
    <x v="12"/>
    <n v="3"/>
    <x v="15"/>
  </r>
  <r>
    <s v="199825-44"/>
    <x v="2"/>
    <x v="2"/>
    <x v="0"/>
    <x v="12"/>
    <x v="12"/>
    <n v="45"/>
    <x v="16"/>
  </r>
  <r>
    <s v="199845-64"/>
    <x v="2"/>
    <x v="3"/>
    <x v="0"/>
    <x v="12"/>
    <x v="12"/>
    <n v="134"/>
    <x v="17"/>
  </r>
  <r>
    <s v="19985-14"/>
    <x v="2"/>
    <x v="4"/>
    <x v="0"/>
    <x v="12"/>
    <x v="12"/>
    <n v="0"/>
    <x v="18"/>
  </r>
  <r>
    <s v="199865-74"/>
    <x v="2"/>
    <x v="5"/>
    <x v="0"/>
    <x v="12"/>
    <x v="12"/>
    <n v="134"/>
    <x v="19"/>
  </r>
  <r>
    <s v="199875+"/>
    <x v="2"/>
    <x v="6"/>
    <x v="0"/>
    <x v="12"/>
    <x v="12"/>
    <n v="268"/>
    <x v="20"/>
  </r>
  <r>
    <s v="19990-4"/>
    <x v="3"/>
    <x v="0"/>
    <x v="0"/>
    <x v="12"/>
    <x v="12"/>
    <n v="3"/>
    <x v="21"/>
  </r>
  <r>
    <s v="199915-24"/>
    <x v="3"/>
    <x v="1"/>
    <x v="0"/>
    <x v="12"/>
    <x v="12"/>
    <n v="4"/>
    <x v="22"/>
  </r>
  <r>
    <s v="199925-44"/>
    <x v="3"/>
    <x v="2"/>
    <x v="0"/>
    <x v="12"/>
    <x v="12"/>
    <n v="47"/>
    <x v="23"/>
  </r>
  <r>
    <s v="199945-64"/>
    <x v="3"/>
    <x v="3"/>
    <x v="0"/>
    <x v="12"/>
    <x v="12"/>
    <n v="118"/>
    <x v="24"/>
  </r>
  <r>
    <s v="19995-14"/>
    <x v="3"/>
    <x v="4"/>
    <x v="0"/>
    <x v="12"/>
    <x v="12"/>
    <n v="0"/>
    <x v="25"/>
  </r>
  <r>
    <s v="199965-74"/>
    <x v="3"/>
    <x v="5"/>
    <x v="0"/>
    <x v="12"/>
    <x v="12"/>
    <n v="123"/>
    <x v="26"/>
  </r>
  <r>
    <s v="199975+"/>
    <x v="3"/>
    <x v="6"/>
    <x v="0"/>
    <x v="12"/>
    <x v="12"/>
    <n v="274"/>
    <x v="27"/>
  </r>
  <r>
    <s v="20000-4"/>
    <x v="4"/>
    <x v="0"/>
    <x v="0"/>
    <x v="12"/>
    <x v="12"/>
    <n v="0"/>
    <x v="28"/>
  </r>
  <r>
    <s v="200015-24"/>
    <x v="4"/>
    <x v="1"/>
    <x v="0"/>
    <x v="12"/>
    <x v="12"/>
    <n v="6"/>
    <x v="29"/>
  </r>
  <r>
    <s v="200025-44"/>
    <x v="4"/>
    <x v="2"/>
    <x v="0"/>
    <x v="12"/>
    <x v="12"/>
    <n v="40"/>
    <x v="30"/>
  </r>
  <r>
    <s v="200045-64"/>
    <x v="4"/>
    <x v="3"/>
    <x v="0"/>
    <x v="12"/>
    <x v="12"/>
    <n v="95"/>
    <x v="31"/>
  </r>
  <r>
    <s v="20005-14"/>
    <x v="4"/>
    <x v="4"/>
    <x v="0"/>
    <x v="12"/>
    <x v="12"/>
    <n v="3"/>
    <x v="32"/>
  </r>
  <r>
    <s v="200065-74"/>
    <x v="4"/>
    <x v="5"/>
    <x v="0"/>
    <x v="12"/>
    <x v="12"/>
    <n v="94"/>
    <x v="33"/>
  </r>
  <r>
    <s v="200075+"/>
    <x v="4"/>
    <x v="6"/>
    <x v="0"/>
    <x v="12"/>
    <x v="12"/>
    <n v="284"/>
    <x v="34"/>
  </r>
  <r>
    <s v="20010-4"/>
    <x v="5"/>
    <x v="0"/>
    <x v="0"/>
    <x v="12"/>
    <x v="12"/>
    <n v="0"/>
    <x v="35"/>
  </r>
  <r>
    <s v="200115-24"/>
    <x v="5"/>
    <x v="1"/>
    <x v="0"/>
    <x v="12"/>
    <x v="12"/>
    <n v="4"/>
    <x v="36"/>
  </r>
  <r>
    <s v="200125-44"/>
    <x v="5"/>
    <x v="2"/>
    <x v="0"/>
    <x v="12"/>
    <x v="12"/>
    <n v="42"/>
    <x v="37"/>
  </r>
  <r>
    <s v="200145-64"/>
    <x v="5"/>
    <x v="3"/>
    <x v="0"/>
    <x v="12"/>
    <x v="12"/>
    <n v="128"/>
    <x v="38"/>
  </r>
  <r>
    <s v="20015-14"/>
    <x v="5"/>
    <x v="4"/>
    <x v="0"/>
    <x v="12"/>
    <x v="12"/>
    <n v="2"/>
    <x v="39"/>
  </r>
  <r>
    <s v="200165-74"/>
    <x v="5"/>
    <x v="5"/>
    <x v="0"/>
    <x v="12"/>
    <x v="12"/>
    <n v="134"/>
    <x v="40"/>
  </r>
  <r>
    <s v="200175+"/>
    <x v="5"/>
    <x v="6"/>
    <x v="0"/>
    <x v="12"/>
    <x v="12"/>
    <n v="317"/>
    <x v="41"/>
  </r>
  <r>
    <s v="20020-4"/>
    <x v="6"/>
    <x v="0"/>
    <x v="0"/>
    <x v="12"/>
    <x v="12"/>
    <n v="1"/>
    <x v="42"/>
  </r>
  <r>
    <s v="200215-24"/>
    <x v="6"/>
    <x v="1"/>
    <x v="0"/>
    <x v="12"/>
    <x v="12"/>
    <n v="4"/>
    <x v="43"/>
  </r>
  <r>
    <s v="200225-44"/>
    <x v="6"/>
    <x v="2"/>
    <x v="0"/>
    <x v="12"/>
    <x v="12"/>
    <n v="37"/>
    <x v="44"/>
  </r>
  <r>
    <s v="200245-64"/>
    <x v="6"/>
    <x v="3"/>
    <x v="0"/>
    <x v="12"/>
    <x v="12"/>
    <n v="126"/>
    <x v="45"/>
  </r>
  <r>
    <s v="20025-14"/>
    <x v="6"/>
    <x v="4"/>
    <x v="0"/>
    <x v="12"/>
    <x v="12"/>
    <n v="1"/>
    <x v="46"/>
  </r>
  <r>
    <s v="200265-74"/>
    <x v="6"/>
    <x v="5"/>
    <x v="0"/>
    <x v="12"/>
    <x v="12"/>
    <n v="136"/>
    <x v="47"/>
  </r>
  <r>
    <s v="200275+"/>
    <x v="6"/>
    <x v="6"/>
    <x v="0"/>
    <x v="12"/>
    <x v="12"/>
    <n v="307"/>
    <x v="48"/>
  </r>
  <r>
    <s v="20030-4"/>
    <x v="7"/>
    <x v="0"/>
    <x v="0"/>
    <x v="12"/>
    <x v="12"/>
    <n v="0"/>
    <x v="49"/>
  </r>
  <r>
    <s v="200315-24"/>
    <x v="7"/>
    <x v="1"/>
    <x v="0"/>
    <x v="12"/>
    <x v="12"/>
    <n v="5"/>
    <x v="50"/>
  </r>
  <r>
    <s v="200325-44"/>
    <x v="7"/>
    <x v="2"/>
    <x v="0"/>
    <x v="12"/>
    <x v="12"/>
    <n v="41"/>
    <x v="51"/>
  </r>
  <r>
    <s v="200345-64"/>
    <x v="7"/>
    <x v="3"/>
    <x v="0"/>
    <x v="12"/>
    <x v="12"/>
    <n v="171"/>
    <x v="52"/>
  </r>
  <r>
    <s v="20035-14"/>
    <x v="7"/>
    <x v="4"/>
    <x v="0"/>
    <x v="12"/>
    <x v="12"/>
    <n v="1"/>
    <x v="53"/>
  </r>
  <r>
    <s v="200365-74"/>
    <x v="7"/>
    <x v="5"/>
    <x v="0"/>
    <x v="12"/>
    <x v="12"/>
    <n v="144"/>
    <x v="54"/>
  </r>
  <r>
    <s v="200375+"/>
    <x v="7"/>
    <x v="6"/>
    <x v="0"/>
    <x v="12"/>
    <x v="12"/>
    <n v="343"/>
    <x v="55"/>
  </r>
  <r>
    <s v="20040-4"/>
    <x v="8"/>
    <x v="0"/>
    <x v="0"/>
    <x v="12"/>
    <x v="12"/>
    <n v="0"/>
    <x v="56"/>
  </r>
  <r>
    <s v="200415-24"/>
    <x v="8"/>
    <x v="1"/>
    <x v="0"/>
    <x v="12"/>
    <x v="12"/>
    <n v="1"/>
    <x v="57"/>
  </r>
  <r>
    <s v="200425-44"/>
    <x v="8"/>
    <x v="2"/>
    <x v="0"/>
    <x v="12"/>
    <x v="12"/>
    <n v="48"/>
    <x v="58"/>
  </r>
  <r>
    <s v="200445-64"/>
    <x v="8"/>
    <x v="3"/>
    <x v="0"/>
    <x v="12"/>
    <x v="12"/>
    <n v="151"/>
    <x v="59"/>
  </r>
  <r>
    <s v="20045-14"/>
    <x v="8"/>
    <x v="4"/>
    <x v="0"/>
    <x v="12"/>
    <x v="12"/>
    <n v="3"/>
    <x v="60"/>
  </r>
  <r>
    <s v="200465-74"/>
    <x v="8"/>
    <x v="5"/>
    <x v="0"/>
    <x v="12"/>
    <x v="12"/>
    <n v="156"/>
    <x v="61"/>
  </r>
  <r>
    <s v="200475+"/>
    <x v="8"/>
    <x v="6"/>
    <x v="0"/>
    <x v="12"/>
    <x v="12"/>
    <n v="362"/>
    <x v="62"/>
  </r>
  <r>
    <s v="20050-4"/>
    <x v="9"/>
    <x v="0"/>
    <x v="0"/>
    <x v="12"/>
    <x v="12"/>
    <n v="1"/>
    <x v="63"/>
  </r>
  <r>
    <s v="200515-24"/>
    <x v="9"/>
    <x v="1"/>
    <x v="0"/>
    <x v="12"/>
    <x v="12"/>
    <n v="4"/>
    <x v="64"/>
  </r>
  <r>
    <s v="200525-44"/>
    <x v="9"/>
    <x v="2"/>
    <x v="0"/>
    <x v="12"/>
    <x v="12"/>
    <n v="28"/>
    <x v="65"/>
  </r>
  <r>
    <s v="200545-64"/>
    <x v="9"/>
    <x v="3"/>
    <x v="0"/>
    <x v="12"/>
    <x v="12"/>
    <n v="139"/>
    <x v="66"/>
  </r>
  <r>
    <s v="20055-14"/>
    <x v="9"/>
    <x v="4"/>
    <x v="0"/>
    <x v="12"/>
    <x v="12"/>
    <n v="4"/>
    <x v="67"/>
  </r>
  <r>
    <s v="200565-74"/>
    <x v="9"/>
    <x v="5"/>
    <x v="0"/>
    <x v="12"/>
    <x v="12"/>
    <n v="123"/>
    <x v="68"/>
  </r>
  <r>
    <s v="200575+"/>
    <x v="9"/>
    <x v="6"/>
    <x v="0"/>
    <x v="12"/>
    <x v="12"/>
    <n v="409"/>
    <x v="69"/>
  </r>
  <r>
    <s v="20060-4"/>
    <x v="10"/>
    <x v="0"/>
    <x v="0"/>
    <x v="12"/>
    <x v="12"/>
    <n v="0"/>
    <x v="70"/>
  </r>
  <r>
    <s v="200615-24"/>
    <x v="10"/>
    <x v="1"/>
    <x v="0"/>
    <x v="12"/>
    <x v="12"/>
    <n v="0"/>
    <x v="71"/>
  </r>
  <r>
    <s v="200625-44"/>
    <x v="10"/>
    <x v="2"/>
    <x v="0"/>
    <x v="12"/>
    <x v="12"/>
    <n v="0"/>
    <x v="72"/>
  </r>
  <r>
    <s v="200645-64"/>
    <x v="10"/>
    <x v="3"/>
    <x v="0"/>
    <x v="12"/>
    <x v="12"/>
    <n v="0"/>
    <x v="73"/>
  </r>
  <r>
    <s v="20065-14"/>
    <x v="10"/>
    <x v="4"/>
    <x v="0"/>
    <x v="12"/>
    <x v="12"/>
    <n v="0"/>
    <x v="74"/>
  </r>
  <r>
    <s v="200665-74"/>
    <x v="10"/>
    <x v="5"/>
    <x v="0"/>
    <x v="12"/>
    <x v="12"/>
    <n v="0"/>
    <x v="75"/>
  </r>
  <r>
    <s v="200675+"/>
    <x v="10"/>
    <x v="6"/>
    <x v="0"/>
    <x v="12"/>
    <x v="12"/>
    <n v="0"/>
    <x v="76"/>
  </r>
  <r>
    <s v="20070-4"/>
    <x v="11"/>
    <x v="0"/>
    <x v="0"/>
    <x v="12"/>
    <x v="12"/>
    <n v="0"/>
    <x v="77"/>
  </r>
  <r>
    <s v="200715-24"/>
    <x v="11"/>
    <x v="1"/>
    <x v="0"/>
    <x v="12"/>
    <x v="12"/>
    <n v="0"/>
    <x v="78"/>
  </r>
  <r>
    <s v="200725-44"/>
    <x v="11"/>
    <x v="2"/>
    <x v="0"/>
    <x v="12"/>
    <x v="12"/>
    <n v="0"/>
    <x v="79"/>
  </r>
  <r>
    <s v="200745-64"/>
    <x v="11"/>
    <x v="3"/>
    <x v="0"/>
    <x v="12"/>
    <x v="12"/>
    <n v="0"/>
    <x v="80"/>
  </r>
  <r>
    <s v="20075-14"/>
    <x v="11"/>
    <x v="4"/>
    <x v="0"/>
    <x v="12"/>
    <x v="12"/>
    <n v="0"/>
    <x v="81"/>
  </r>
  <r>
    <s v="200765-74"/>
    <x v="11"/>
    <x v="5"/>
    <x v="0"/>
    <x v="12"/>
    <x v="12"/>
    <n v="0"/>
    <x v="82"/>
  </r>
  <r>
    <s v="200775+"/>
    <x v="11"/>
    <x v="6"/>
    <x v="0"/>
    <x v="12"/>
    <x v="12"/>
    <n v="0"/>
    <x v="83"/>
  </r>
  <r>
    <s v="20080-4"/>
    <x v="12"/>
    <x v="0"/>
    <x v="0"/>
    <x v="12"/>
    <x v="12"/>
    <n v="0"/>
    <x v="84"/>
  </r>
  <r>
    <s v="200815-24"/>
    <x v="12"/>
    <x v="1"/>
    <x v="0"/>
    <x v="12"/>
    <x v="12"/>
    <n v="7"/>
    <x v="85"/>
  </r>
  <r>
    <s v="200825-44"/>
    <x v="12"/>
    <x v="2"/>
    <x v="0"/>
    <x v="12"/>
    <x v="12"/>
    <n v="27"/>
    <x v="86"/>
  </r>
  <r>
    <s v="200845-64"/>
    <x v="12"/>
    <x v="3"/>
    <x v="0"/>
    <x v="12"/>
    <x v="12"/>
    <n v="145"/>
    <x v="87"/>
  </r>
  <r>
    <s v="20085-14"/>
    <x v="12"/>
    <x v="4"/>
    <x v="0"/>
    <x v="12"/>
    <x v="12"/>
    <n v="2"/>
    <x v="88"/>
  </r>
  <r>
    <s v="200865-74"/>
    <x v="12"/>
    <x v="5"/>
    <x v="0"/>
    <x v="12"/>
    <x v="12"/>
    <n v="166"/>
    <x v="89"/>
  </r>
  <r>
    <s v="200875+"/>
    <x v="12"/>
    <x v="6"/>
    <x v="0"/>
    <x v="12"/>
    <x v="12"/>
    <n v="484"/>
    <x v="90"/>
  </r>
  <r>
    <s v="20090-4"/>
    <x v="13"/>
    <x v="0"/>
    <x v="0"/>
    <x v="12"/>
    <x v="12"/>
    <n v="0"/>
    <x v="91"/>
  </r>
  <r>
    <s v="200915-24"/>
    <x v="13"/>
    <x v="1"/>
    <x v="0"/>
    <x v="12"/>
    <x v="12"/>
    <n v="2"/>
    <x v="92"/>
  </r>
  <r>
    <s v="200925-44"/>
    <x v="13"/>
    <x v="2"/>
    <x v="0"/>
    <x v="12"/>
    <x v="12"/>
    <n v="34"/>
    <x v="93"/>
  </r>
  <r>
    <s v="200945-64"/>
    <x v="13"/>
    <x v="3"/>
    <x v="0"/>
    <x v="12"/>
    <x v="12"/>
    <n v="131"/>
    <x v="94"/>
  </r>
  <r>
    <s v="20095-14"/>
    <x v="13"/>
    <x v="4"/>
    <x v="0"/>
    <x v="12"/>
    <x v="12"/>
    <n v="2"/>
    <x v="95"/>
  </r>
  <r>
    <s v="200965-74"/>
    <x v="13"/>
    <x v="5"/>
    <x v="0"/>
    <x v="12"/>
    <x v="12"/>
    <n v="139"/>
    <x v="96"/>
  </r>
  <r>
    <s v="200975+"/>
    <x v="13"/>
    <x v="6"/>
    <x v="0"/>
    <x v="12"/>
    <x v="12"/>
    <n v="526"/>
    <x v="97"/>
  </r>
  <r>
    <s v="20100-4"/>
    <x v="14"/>
    <x v="0"/>
    <x v="0"/>
    <x v="12"/>
    <x v="12"/>
    <n v="0"/>
    <x v="98"/>
  </r>
  <r>
    <s v="201015-24"/>
    <x v="14"/>
    <x v="1"/>
    <x v="0"/>
    <x v="12"/>
    <x v="12"/>
    <n v="3"/>
    <x v="99"/>
  </r>
  <r>
    <s v="201025-44"/>
    <x v="14"/>
    <x v="2"/>
    <x v="0"/>
    <x v="12"/>
    <x v="12"/>
    <n v="37"/>
    <x v="100"/>
  </r>
  <r>
    <s v="201045-64"/>
    <x v="14"/>
    <x v="3"/>
    <x v="0"/>
    <x v="12"/>
    <x v="12"/>
    <n v="167"/>
    <x v="101"/>
  </r>
  <r>
    <s v="20105-14"/>
    <x v="14"/>
    <x v="4"/>
    <x v="0"/>
    <x v="12"/>
    <x v="12"/>
    <n v="3"/>
    <x v="102"/>
  </r>
  <r>
    <s v="201065-74"/>
    <x v="14"/>
    <x v="5"/>
    <x v="0"/>
    <x v="12"/>
    <x v="12"/>
    <n v="125"/>
    <x v="103"/>
  </r>
  <r>
    <s v="201075+"/>
    <x v="14"/>
    <x v="6"/>
    <x v="0"/>
    <x v="12"/>
    <x v="12"/>
    <n v="486"/>
    <x v="104"/>
  </r>
  <r>
    <s v="20110-4"/>
    <x v="15"/>
    <x v="0"/>
    <x v="0"/>
    <x v="12"/>
    <x v="12"/>
    <n v="0"/>
    <x v="105"/>
  </r>
  <r>
    <s v="201115-24"/>
    <x v="15"/>
    <x v="1"/>
    <x v="0"/>
    <x v="12"/>
    <x v="12"/>
    <n v="5"/>
    <x v="106"/>
  </r>
  <r>
    <s v="201125-44"/>
    <x v="15"/>
    <x v="2"/>
    <x v="0"/>
    <x v="12"/>
    <x v="12"/>
    <n v="53"/>
    <x v="107"/>
  </r>
  <r>
    <s v="201145-64"/>
    <x v="15"/>
    <x v="3"/>
    <x v="0"/>
    <x v="12"/>
    <x v="12"/>
    <n v="185"/>
    <x v="108"/>
  </r>
  <r>
    <s v="20115-14"/>
    <x v="15"/>
    <x v="4"/>
    <x v="0"/>
    <x v="12"/>
    <x v="12"/>
    <n v="0"/>
    <x v="109"/>
  </r>
  <r>
    <s v="201165-74"/>
    <x v="15"/>
    <x v="5"/>
    <x v="0"/>
    <x v="12"/>
    <x v="12"/>
    <n v="142"/>
    <x v="110"/>
  </r>
  <r>
    <s v="201175+"/>
    <x v="15"/>
    <x v="6"/>
    <x v="0"/>
    <x v="12"/>
    <x v="12"/>
    <n v="534"/>
    <x v="111"/>
  </r>
  <r>
    <s v="20120-4"/>
    <x v="16"/>
    <x v="0"/>
    <x v="0"/>
    <x v="12"/>
    <x v="12"/>
    <n v="0"/>
    <x v="112"/>
  </r>
  <r>
    <s v="201215-24"/>
    <x v="16"/>
    <x v="1"/>
    <x v="0"/>
    <x v="12"/>
    <x v="12"/>
    <n v="3"/>
    <x v="113"/>
  </r>
  <r>
    <s v="201225-44"/>
    <x v="16"/>
    <x v="2"/>
    <x v="0"/>
    <x v="12"/>
    <x v="12"/>
    <n v="43"/>
    <x v="114"/>
  </r>
  <r>
    <s v="201245-64"/>
    <x v="16"/>
    <x v="3"/>
    <x v="0"/>
    <x v="12"/>
    <x v="12"/>
    <n v="177"/>
    <x v="115"/>
  </r>
  <r>
    <s v="20125-14"/>
    <x v="16"/>
    <x v="4"/>
    <x v="0"/>
    <x v="12"/>
    <x v="12"/>
    <n v="4"/>
    <x v="116"/>
  </r>
  <r>
    <s v="201265-74"/>
    <x v="16"/>
    <x v="5"/>
    <x v="0"/>
    <x v="12"/>
    <x v="12"/>
    <n v="160"/>
    <x v="117"/>
  </r>
  <r>
    <s v="201275+"/>
    <x v="16"/>
    <x v="6"/>
    <x v="0"/>
    <x v="12"/>
    <x v="12"/>
    <n v="532"/>
    <x v="118"/>
  </r>
  <r>
    <s v="20130-4"/>
    <x v="17"/>
    <x v="0"/>
    <x v="0"/>
    <x v="12"/>
    <x v="12"/>
    <n v="0"/>
    <x v="119"/>
  </r>
  <r>
    <s v="201315-24"/>
    <x v="17"/>
    <x v="1"/>
    <x v="0"/>
    <x v="12"/>
    <x v="12"/>
    <n v="3"/>
    <x v="120"/>
  </r>
  <r>
    <s v="201325-44"/>
    <x v="17"/>
    <x v="2"/>
    <x v="0"/>
    <x v="12"/>
    <x v="12"/>
    <n v="41"/>
    <x v="121"/>
  </r>
  <r>
    <s v="201345-64"/>
    <x v="17"/>
    <x v="3"/>
    <x v="0"/>
    <x v="12"/>
    <x v="12"/>
    <n v="199"/>
    <x v="122"/>
  </r>
  <r>
    <s v="20135-14"/>
    <x v="17"/>
    <x v="4"/>
    <x v="0"/>
    <x v="12"/>
    <x v="12"/>
    <n v="0"/>
    <x v="123"/>
  </r>
  <r>
    <s v="201365-74"/>
    <x v="17"/>
    <x v="5"/>
    <x v="0"/>
    <x v="12"/>
    <x v="12"/>
    <n v="176"/>
    <x v="124"/>
  </r>
  <r>
    <s v="201375+"/>
    <x v="17"/>
    <x v="6"/>
    <x v="0"/>
    <x v="12"/>
    <x v="12"/>
    <n v="600"/>
    <x v="125"/>
  </r>
  <r>
    <s v="20140-4"/>
    <x v="18"/>
    <x v="0"/>
    <x v="0"/>
    <x v="12"/>
    <x v="12"/>
    <n v="0"/>
    <x v="126"/>
  </r>
  <r>
    <s v="201415-24"/>
    <x v="18"/>
    <x v="1"/>
    <x v="0"/>
    <x v="12"/>
    <x v="12"/>
    <n v="8"/>
    <x v="127"/>
  </r>
  <r>
    <s v="201425-44"/>
    <x v="18"/>
    <x v="2"/>
    <x v="0"/>
    <x v="12"/>
    <x v="12"/>
    <n v="75"/>
    <x v="128"/>
  </r>
  <r>
    <s v="201445-64"/>
    <x v="18"/>
    <x v="3"/>
    <x v="0"/>
    <x v="12"/>
    <x v="12"/>
    <n v="249"/>
    <x v="129"/>
  </r>
  <r>
    <s v="20145-14"/>
    <x v="18"/>
    <x v="4"/>
    <x v="0"/>
    <x v="12"/>
    <x v="12"/>
    <n v="2"/>
    <x v="130"/>
  </r>
  <r>
    <s v="201465-74"/>
    <x v="18"/>
    <x v="5"/>
    <x v="0"/>
    <x v="12"/>
    <x v="12"/>
    <n v="230"/>
    <x v="131"/>
  </r>
  <r>
    <s v="201475+"/>
    <x v="18"/>
    <x v="6"/>
    <x v="0"/>
    <x v="12"/>
    <x v="12"/>
    <n v="815"/>
    <x v="132"/>
  </r>
  <r>
    <s v="19960-4"/>
    <x v="0"/>
    <x v="0"/>
    <x v="0"/>
    <x v="13"/>
    <x v="13"/>
    <n v="11"/>
    <x v="0"/>
  </r>
  <r>
    <s v="199615-24"/>
    <x v="0"/>
    <x v="1"/>
    <x v="0"/>
    <x v="13"/>
    <x v="13"/>
    <n v="137"/>
    <x v="1"/>
  </r>
  <r>
    <s v="199625-44"/>
    <x v="0"/>
    <x v="2"/>
    <x v="0"/>
    <x v="13"/>
    <x v="13"/>
    <n v="151"/>
    <x v="2"/>
  </r>
  <r>
    <s v="199645-64"/>
    <x v="0"/>
    <x v="3"/>
    <x v="0"/>
    <x v="13"/>
    <x v="13"/>
    <n v="45"/>
    <x v="3"/>
  </r>
  <r>
    <s v="19965-14"/>
    <x v="0"/>
    <x v="4"/>
    <x v="0"/>
    <x v="13"/>
    <x v="13"/>
    <n v="27"/>
    <x v="4"/>
  </r>
  <r>
    <s v="199665-74"/>
    <x v="0"/>
    <x v="5"/>
    <x v="0"/>
    <x v="13"/>
    <x v="13"/>
    <n v="16"/>
    <x v="5"/>
  </r>
  <r>
    <s v="199675+"/>
    <x v="0"/>
    <x v="6"/>
    <x v="0"/>
    <x v="13"/>
    <x v="13"/>
    <n v="12"/>
    <x v="6"/>
  </r>
  <r>
    <s v="19970-4"/>
    <x v="1"/>
    <x v="0"/>
    <x v="0"/>
    <x v="13"/>
    <x v="13"/>
    <n v="19"/>
    <x v="7"/>
  </r>
  <r>
    <s v="199715-24"/>
    <x v="1"/>
    <x v="1"/>
    <x v="0"/>
    <x v="13"/>
    <x v="13"/>
    <n v="140"/>
    <x v="8"/>
  </r>
  <r>
    <s v="199725-44"/>
    <x v="1"/>
    <x v="2"/>
    <x v="0"/>
    <x v="13"/>
    <x v="13"/>
    <n v="148"/>
    <x v="9"/>
  </r>
  <r>
    <s v="199745-64"/>
    <x v="1"/>
    <x v="3"/>
    <x v="0"/>
    <x v="13"/>
    <x v="13"/>
    <n v="59"/>
    <x v="10"/>
  </r>
  <r>
    <s v="19975-14"/>
    <x v="1"/>
    <x v="4"/>
    <x v="0"/>
    <x v="13"/>
    <x v="13"/>
    <n v="34"/>
    <x v="11"/>
  </r>
  <r>
    <s v="199765-74"/>
    <x v="1"/>
    <x v="5"/>
    <x v="0"/>
    <x v="13"/>
    <x v="13"/>
    <n v="17"/>
    <x v="12"/>
  </r>
  <r>
    <s v="199775+"/>
    <x v="1"/>
    <x v="6"/>
    <x v="0"/>
    <x v="13"/>
    <x v="13"/>
    <n v="12"/>
    <x v="13"/>
  </r>
  <r>
    <s v="19980-4"/>
    <x v="2"/>
    <x v="0"/>
    <x v="0"/>
    <x v="13"/>
    <x v="13"/>
    <n v="17"/>
    <x v="14"/>
  </r>
  <r>
    <s v="199815-24"/>
    <x v="2"/>
    <x v="1"/>
    <x v="0"/>
    <x v="13"/>
    <x v="13"/>
    <n v="139"/>
    <x v="15"/>
  </r>
  <r>
    <s v="199825-44"/>
    <x v="2"/>
    <x v="2"/>
    <x v="0"/>
    <x v="13"/>
    <x v="13"/>
    <n v="156"/>
    <x v="16"/>
  </r>
  <r>
    <s v="199845-64"/>
    <x v="2"/>
    <x v="3"/>
    <x v="0"/>
    <x v="13"/>
    <x v="13"/>
    <n v="54"/>
    <x v="17"/>
  </r>
  <r>
    <s v="19985-14"/>
    <x v="2"/>
    <x v="4"/>
    <x v="0"/>
    <x v="13"/>
    <x v="13"/>
    <n v="31"/>
    <x v="18"/>
  </r>
  <r>
    <s v="199865-74"/>
    <x v="2"/>
    <x v="5"/>
    <x v="0"/>
    <x v="13"/>
    <x v="13"/>
    <n v="17"/>
    <x v="19"/>
  </r>
  <r>
    <s v="199875+"/>
    <x v="2"/>
    <x v="6"/>
    <x v="0"/>
    <x v="13"/>
    <x v="13"/>
    <n v="12"/>
    <x v="20"/>
  </r>
  <r>
    <s v="19990-4"/>
    <x v="3"/>
    <x v="0"/>
    <x v="0"/>
    <x v="13"/>
    <x v="13"/>
    <n v="9"/>
    <x v="21"/>
  </r>
  <r>
    <s v="199915-24"/>
    <x v="3"/>
    <x v="1"/>
    <x v="0"/>
    <x v="13"/>
    <x v="13"/>
    <n v="183"/>
    <x v="22"/>
  </r>
  <r>
    <s v="199925-44"/>
    <x v="3"/>
    <x v="2"/>
    <x v="0"/>
    <x v="13"/>
    <x v="13"/>
    <n v="174"/>
    <x v="23"/>
  </r>
  <r>
    <s v="199945-64"/>
    <x v="3"/>
    <x v="3"/>
    <x v="0"/>
    <x v="13"/>
    <x v="13"/>
    <n v="73"/>
    <x v="24"/>
  </r>
  <r>
    <s v="19995-14"/>
    <x v="3"/>
    <x v="4"/>
    <x v="0"/>
    <x v="13"/>
    <x v="13"/>
    <n v="41"/>
    <x v="25"/>
  </r>
  <r>
    <s v="199965-74"/>
    <x v="3"/>
    <x v="5"/>
    <x v="0"/>
    <x v="13"/>
    <x v="13"/>
    <n v="13"/>
    <x v="26"/>
  </r>
  <r>
    <s v="199975+"/>
    <x v="3"/>
    <x v="6"/>
    <x v="0"/>
    <x v="13"/>
    <x v="13"/>
    <n v="9"/>
    <x v="27"/>
  </r>
  <r>
    <s v="20000-4"/>
    <x v="4"/>
    <x v="0"/>
    <x v="0"/>
    <x v="13"/>
    <x v="13"/>
    <n v="13"/>
    <x v="28"/>
  </r>
  <r>
    <s v="200015-24"/>
    <x v="4"/>
    <x v="1"/>
    <x v="0"/>
    <x v="13"/>
    <x v="13"/>
    <n v="197"/>
    <x v="29"/>
  </r>
  <r>
    <s v="200025-44"/>
    <x v="4"/>
    <x v="2"/>
    <x v="0"/>
    <x v="13"/>
    <x v="13"/>
    <n v="232"/>
    <x v="30"/>
  </r>
  <r>
    <s v="200045-64"/>
    <x v="4"/>
    <x v="3"/>
    <x v="0"/>
    <x v="13"/>
    <x v="13"/>
    <n v="85"/>
    <x v="31"/>
  </r>
  <r>
    <s v="20005-14"/>
    <x v="4"/>
    <x v="4"/>
    <x v="0"/>
    <x v="13"/>
    <x v="13"/>
    <n v="37"/>
    <x v="32"/>
  </r>
  <r>
    <s v="200065-74"/>
    <x v="4"/>
    <x v="5"/>
    <x v="0"/>
    <x v="13"/>
    <x v="13"/>
    <n v="22"/>
    <x v="33"/>
  </r>
  <r>
    <s v="200075+"/>
    <x v="4"/>
    <x v="6"/>
    <x v="0"/>
    <x v="13"/>
    <x v="13"/>
    <n v="13"/>
    <x v="34"/>
  </r>
  <r>
    <s v="20010-4"/>
    <x v="5"/>
    <x v="0"/>
    <x v="0"/>
    <x v="13"/>
    <x v="13"/>
    <n v="28"/>
    <x v="35"/>
  </r>
  <r>
    <s v="200115-24"/>
    <x v="5"/>
    <x v="1"/>
    <x v="0"/>
    <x v="13"/>
    <x v="13"/>
    <n v="182"/>
    <x v="36"/>
  </r>
  <r>
    <s v="200125-44"/>
    <x v="5"/>
    <x v="2"/>
    <x v="0"/>
    <x v="13"/>
    <x v="13"/>
    <n v="257"/>
    <x v="37"/>
  </r>
  <r>
    <s v="200145-64"/>
    <x v="5"/>
    <x v="3"/>
    <x v="0"/>
    <x v="13"/>
    <x v="13"/>
    <n v="91"/>
    <x v="38"/>
  </r>
  <r>
    <s v="20015-14"/>
    <x v="5"/>
    <x v="4"/>
    <x v="0"/>
    <x v="13"/>
    <x v="13"/>
    <n v="37"/>
    <x v="39"/>
  </r>
  <r>
    <s v="200165-74"/>
    <x v="5"/>
    <x v="5"/>
    <x v="0"/>
    <x v="13"/>
    <x v="13"/>
    <n v="13"/>
    <x v="40"/>
  </r>
  <r>
    <s v="200175+"/>
    <x v="5"/>
    <x v="6"/>
    <x v="0"/>
    <x v="13"/>
    <x v="13"/>
    <n v="16"/>
    <x v="41"/>
  </r>
  <r>
    <s v="20020-4"/>
    <x v="6"/>
    <x v="0"/>
    <x v="0"/>
    <x v="13"/>
    <x v="13"/>
    <n v="13"/>
    <x v="42"/>
  </r>
  <r>
    <s v="200215-24"/>
    <x v="6"/>
    <x v="1"/>
    <x v="0"/>
    <x v="13"/>
    <x v="13"/>
    <n v="312"/>
    <x v="43"/>
  </r>
  <r>
    <s v="200225-44"/>
    <x v="6"/>
    <x v="2"/>
    <x v="0"/>
    <x v="13"/>
    <x v="13"/>
    <n v="343"/>
    <x v="44"/>
  </r>
  <r>
    <s v="200245-64"/>
    <x v="6"/>
    <x v="3"/>
    <x v="0"/>
    <x v="13"/>
    <x v="13"/>
    <n v="119"/>
    <x v="45"/>
  </r>
  <r>
    <s v="20025-14"/>
    <x v="6"/>
    <x v="4"/>
    <x v="0"/>
    <x v="13"/>
    <x v="13"/>
    <n v="50"/>
    <x v="46"/>
  </r>
  <r>
    <s v="200265-74"/>
    <x v="6"/>
    <x v="5"/>
    <x v="0"/>
    <x v="13"/>
    <x v="13"/>
    <n v="28"/>
    <x v="47"/>
  </r>
  <r>
    <s v="200275+"/>
    <x v="6"/>
    <x v="6"/>
    <x v="0"/>
    <x v="13"/>
    <x v="13"/>
    <n v="17"/>
    <x v="48"/>
  </r>
  <r>
    <s v="20030-4"/>
    <x v="7"/>
    <x v="0"/>
    <x v="0"/>
    <x v="13"/>
    <x v="13"/>
    <n v="15"/>
    <x v="49"/>
  </r>
  <r>
    <s v="200315-24"/>
    <x v="7"/>
    <x v="1"/>
    <x v="0"/>
    <x v="13"/>
    <x v="13"/>
    <n v="252"/>
    <x v="50"/>
  </r>
  <r>
    <s v="200325-44"/>
    <x v="7"/>
    <x v="2"/>
    <x v="0"/>
    <x v="13"/>
    <x v="13"/>
    <n v="294"/>
    <x v="51"/>
  </r>
  <r>
    <s v="200345-64"/>
    <x v="7"/>
    <x v="3"/>
    <x v="0"/>
    <x v="13"/>
    <x v="13"/>
    <n v="100"/>
    <x v="52"/>
  </r>
  <r>
    <s v="20035-14"/>
    <x v="7"/>
    <x v="4"/>
    <x v="0"/>
    <x v="13"/>
    <x v="13"/>
    <n v="45"/>
    <x v="53"/>
  </r>
  <r>
    <s v="200365-74"/>
    <x v="7"/>
    <x v="5"/>
    <x v="0"/>
    <x v="13"/>
    <x v="13"/>
    <n v="20"/>
    <x v="54"/>
  </r>
  <r>
    <s v="200375+"/>
    <x v="7"/>
    <x v="6"/>
    <x v="0"/>
    <x v="13"/>
    <x v="13"/>
    <n v="26"/>
    <x v="55"/>
  </r>
  <r>
    <s v="20040-4"/>
    <x v="8"/>
    <x v="0"/>
    <x v="0"/>
    <x v="13"/>
    <x v="13"/>
    <n v="16"/>
    <x v="56"/>
  </r>
  <r>
    <s v="200415-24"/>
    <x v="8"/>
    <x v="1"/>
    <x v="0"/>
    <x v="13"/>
    <x v="13"/>
    <n v="225"/>
    <x v="57"/>
  </r>
  <r>
    <s v="200425-44"/>
    <x v="8"/>
    <x v="2"/>
    <x v="0"/>
    <x v="13"/>
    <x v="13"/>
    <n v="259"/>
    <x v="58"/>
  </r>
  <r>
    <s v="200445-64"/>
    <x v="8"/>
    <x v="3"/>
    <x v="0"/>
    <x v="13"/>
    <x v="13"/>
    <n v="70"/>
    <x v="59"/>
  </r>
  <r>
    <s v="20045-14"/>
    <x v="8"/>
    <x v="4"/>
    <x v="0"/>
    <x v="13"/>
    <x v="13"/>
    <n v="58"/>
    <x v="60"/>
  </r>
  <r>
    <s v="200465-74"/>
    <x v="8"/>
    <x v="5"/>
    <x v="0"/>
    <x v="13"/>
    <x v="13"/>
    <n v="16"/>
    <x v="61"/>
  </r>
  <r>
    <s v="200475+"/>
    <x v="8"/>
    <x v="6"/>
    <x v="0"/>
    <x v="13"/>
    <x v="13"/>
    <n v="10"/>
    <x v="62"/>
  </r>
  <r>
    <s v="20050-4"/>
    <x v="9"/>
    <x v="0"/>
    <x v="0"/>
    <x v="13"/>
    <x v="13"/>
    <n v="6"/>
    <x v="63"/>
  </r>
  <r>
    <s v="200515-24"/>
    <x v="9"/>
    <x v="1"/>
    <x v="0"/>
    <x v="13"/>
    <x v="13"/>
    <n v="227"/>
    <x v="64"/>
  </r>
  <r>
    <s v="200525-44"/>
    <x v="9"/>
    <x v="2"/>
    <x v="0"/>
    <x v="13"/>
    <x v="13"/>
    <n v="227"/>
    <x v="65"/>
  </r>
  <r>
    <s v="200545-64"/>
    <x v="9"/>
    <x v="3"/>
    <x v="0"/>
    <x v="13"/>
    <x v="13"/>
    <n v="93"/>
    <x v="66"/>
  </r>
  <r>
    <s v="20055-14"/>
    <x v="9"/>
    <x v="4"/>
    <x v="0"/>
    <x v="13"/>
    <x v="13"/>
    <n v="33"/>
    <x v="67"/>
  </r>
  <r>
    <s v="200565-74"/>
    <x v="9"/>
    <x v="5"/>
    <x v="0"/>
    <x v="13"/>
    <x v="13"/>
    <n v="15"/>
    <x v="68"/>
  </r>
  <r>
    <s v="200575+"/>
    <x v="9"/>
    <x v="6"/>
    <x v="0"/>
    <x v="13"/>
    <x v="13"/>
    <n v="10"/>
    <x v="69"/>
  </r>
  <r>
    <s v="20060-4"/>
    <x v="10"/>
    <x v="0"/>
    <x v="0"/>
    <x v="13"/>
    <x v="13"/>
    <n v="7"/>
    <x v="70"/>
  </r>
  <r>
    <s v="200615-24"/>
    <x v="10"/>
    <x v="1"/>
    <x v="0"/>
    <x v="13"/>
    <x v="13"/>
    <n v="214"/>
    <x v="71"/>
  </r>
  <r>
    <s v="200625-44"/>
    <x v="10"/>
    <x v="2"/>
    <x v="0"/>
    <x v="13"/>
    <x v="13"/>
    <n v="266"/>
    <x v="72"/>
  </r>
  <r>
    <s v="200645-64"/>
    <x v="10"/>
    <x v="3"/>
    <x v="0"/>
    <x v="13"/>
    <x v="13"/>
    <n v="84"/>
    <x v="73"/>
  </r>
  <r>
    <s v="20065-14"/>
    <x v="10"/>
    <x v="4"/>
    <x v="0"/>
    <x v="13"/>
    <x v="13"/>
    <n v="37"/>
    <x v="74"/>
  </r>
  <r>
    <s v="200665-74"/>
    <x v="10"/>
    <x v="5"/>
    <x v="0"/>
    <x v="13"/>
    <x v="13"/>
    <n v="21"/>
    <x v="75"/>
  </r>
  <r>
    <s v="200675+"/>
    <x v="10"/>
    <x v="6"/>
    <x v="0"/>
    <x v="13"/>
    <x v="13"/>
    <n v="15"/>
    <x v="76"/>
  </r>
  <r>
    <s v="20070-4"/>
    <x v="11"/>
    <x v="0"/>
    <x v="0"/>
    <x v="13"/>
    <x v="13"/>
    <n v="12"/>
    <x v="77"/>
  </r>
  <r>
    <s v="200715-24"/>
    <x v="11"/>
    <x v="1"/>
    <x v="0"/>
    <x v="13"/>
    <x v="13"/>
    <n v="199"/>
    <x v="78"/>
  </r>
  <r>
    <s v="200725-44"/>
    <x v="11"/>
    <x v="2"/>
    <x v="0"/>
    <x v="13"/>
    <x v="13"/>
    <n v="264"/>
    <x v="79"/>
  </r>
  <r>
    <s v="200745-64"/>
    <x v="11"/>
    <x v="3"/>
    <x v="0"/>
    <x v="13"/>
    <x v="13"/>
    <n v="102"/>
    <x v="80"/>
  </r>
  <r>
    <s v="20075-14"/>
    <x v="11"/>
    <x v="4"/>
    <x v="0"/>
    <x v="13"/>
    <x v="13"/>
    <n v="43"/>
    <x v="81"/>
  </r>
  <r>
    <s v="200765-74"/>
    <x v="11"/>
    <x v="5"/>
    <x v="0"/>
    <x v="13"/>
    <x v="13"/>
    <n v="13"/>
    <x v="82"/>
  </r>
  <r>
    <s v="200775+"/>
    <x v="11"/>
    <x v="6"/>
    <x v="0"/>
    <x v="13"/>
    <x v="13"/>
    <n v="16"/>
    <x v="83"/>
  </r>
  <r>
    <s v="20080-4"/>
    <x v="12"/>
    <x v="0"/>
    <x v="0"/>
    <x v="13"/>
    <x v="13"/>
    <n v="16"/>
    <x v="84"/>
  </r>
  <r>
    <s v="200815-24"/>
    <x v="12"/>
    <x v="1"/>
    <x v="0"/>
    <x v="13"/>
    <x v="13"/>
    <n v="233"/>
    <x v="85"/>
  </r>
  <r>
    <s v="200825-44"/>
    <x v="12"/>
    <x v="2"/>
    <x v="0"/>
    <x v="13"/>
    <x v="13"/>
    <n v="294"/>
    <x v="86"/>
  </r>
  <r>
    <s v="200845-64"/>
    <x v="12"/>
    <x v="3"/>
    <x v="0"/>
    <x v="13"/>
    <x v="13"/>
    <n v="111"/>
    <x v="87"/>
  </r>
  <r>
    <s v="20085-14"/>
    <x v="12"/>
    <x v="4"/>
    <x v="0"/>
    <x v="13"/>
    <x v="13"/>
    <n v="44"/>
    <x v="88"/>
  </r>
  <r>
    <s v="200865-74"/>
    <x v="12"/>
    <x v="5"/>
    <x v="0"/>
    <x v="13"/>
    <x v="13"/>
    <n v="23"/>
    <x v="89"/>
  </r>
  <r>
    <s v="200875+"/>
    <x v="12"/>
    <x v="6"/>
    <x v="0"/>
    <x v="13"/>
    <x v="13"/>
    <n v="9"/>
    <x v="90"/>
  </r>
  <r>
    <s v="20090-4"/>
    <x v="13"/>
    <x v="0"/>
    <x v="0"/>
    <x v="13"/>
    <x v="13"/>
    <n v="15"/>
    <x v="91"/>
  </r>
  <r>
    <s v="200915-24"/>
    <x v="13"/>
    <x v="1"/>
    <x v="0"/>
    <x v="13"/>
    <x v="13"/>
    <n v="200"/>
    <x v="92"/>
  </r>
  <r>
    <s v="200925-44"/>
    <x v="13"/>
    <x v="2"/>
    <x v="0"/>
    <x v="13"/>
    <x v="13"/>
    <n v="300"/>
    <x v="93"/>
  </r>
  <r>
    <s v="200945-64"/>
    <x v="13"/>
    <x v="3"/>
    <x v="0"/>
    <x v="13"/>
    <x v="13"/>
    <n v="91"/>
    <x v="94"/>
  </r>
  <r>
    <s v="20095-14"/>
    <x v="13"/>
    <x v="4"/>
    <x v="0"/>
    <x v="13"/>
    <x v="13"/>
    <n v="35"/>
    <x v="95"/>
  </r>
  <r>
    <s v="200965-74"/>
    <x v="13"/>
    <x v="5"/>
    <x v="0"/>
    <x v="13"/>
    <x v="13"/>
    <n v="15"/>
    <x v="96"/>
  </r>
  <r>
    <s v="200975+"/>
    <x v="13"/>
    <x v="6"/>
    <x v="0"/>
    <x v="13"/>
    <x v="13"/>
    <n v="12"/>
    <x v="97"/>
  </r>
  <r>
    <s v="20100-4"/>
    <x v="14"/>
    <x v="0"/>
    <x v="0"/>
    <x v="13"/>
    <x v="13"/>
    <n v="10"/>
    <x v="98"/>
  </r>
  <r>
    <s v="201015-24"/>
    <x v="14"/>
    <x v="1"/>
    <x v="0"/>
    <x v="13"/>
    <x v="13"/>
    <n v="229"/>
    <x v="99"/>
  </r>
  <r>
    <s v="201025-44"/>
    <x v="14"/>
    <x v="2"/>
    <x v="0"/>
    <x v="13"/>
    <x v="13"/>
    <n v="289"/>
    <x v="100"/>
  </r>
  <r>
    <s v="201045-64"/>
    <x v="14"/>
    <x v="3"/>
    <x v="0"/>
    <x v="13"/>
    <x v="13"/>
    <n v="100"/>
    <x v="101"/>
  </r>
  <r>
    <s v="20105-14"/>
    <x v="14"/>
    <x v="4"/>
    <x v="0"/>
    <x v="13"/>
    <x v="13"/>
    <n v="41"/>
    <x v="102"/>
  </r>
  <r>
    <s v="201065-74"/>
    <x v="14"/>
    <x v="5"/>
    <x v="0"/>
    <x v="13"/>
    <x v="13"/>
    <n v="15"/>
    <x v="103"/>
  </r>
  <r>
    <s v="201075+"/>
    <x v="14"/>
    <x v="6"/>
    <x v="0"/>
    <x v="13"/>
    <x v="13"/>
    <n v="7"/>
    <x v="104"/>
  </r>
  <r>
    <s v="20110-4"/>
    <x v="15"/>
    <x v="0"/>
    <x v="0"/>
    <x v="13"/>
    <x v="13"/>
    <n v="16"/>
    <x v="105"/>
  </r>
  <r>
    <s v="201115-24"/>
    <x v="15"/>
    <x v="1"/>
    <x v="0"/>
    <x v="13"/>
    <x v="13"/>
    <n v="205"/>
    <x v="106"/>
  </r>
  <r>
    <s v="201125-44"/>
    <x v="15"/>
    <x v="2"/>
    <x v="0"/>
    <x v="13"/>
    <x v="13"/>
    <n v="251"/>
    <x v="107"/>
  </r>
  <r>
    <s v="201145-64"/>
    <x v="15"/>
    <x v="3"/>
    <x v="0"/>
    <x v="13"/>
    <x v="13"/>
    <n v="89"/>
    <x v="108"/>
  </r>
  <r>
    <s v="20115-14"/>
    <x v="15"/>
    <x v="4"/>
    <x v="0"/>
    <x v="13"/>
    <x v="13"/>
    <n v="37"/>
    <x v="109"/>
  </r>
  <r>
    <s v="201165-74"/>
    <x v="15"/>
    <x v="5"/>
    <x v="0"/>
    <x v="13"/>
    <x v="13"/>
    <n v="14"/>
    <x v="110"/>
  </r>
  <r>
    <s v="201175+"/>
    <x v="15"/>
    <x v="6"/>
    <x v="0"/>
    <x v="13"/>
    <x v="13"/>
    <n v="15"/>
    <x v="111"/>
  </r>
  <r>
    <s v="20120-4"/>
    <x v="16"/>
    <x v="0"/>
    <x v="0"/>
    <x v="13"/>
    <x v="13"/>
    <n v="13"/>
    <x v="112"/>
  </r>
  <r>
    <s v="201215-24"/>
    <x v="16"/>
    <x v="1"/>
    <x v="0"/>
    <x v="13"/>
    <x v="13"/>
    <n v="201"/>
    <x v="113"/>
  </r>
  <r>
    <s v="201225-44"/>
    <x v="16"/>
    <x v="2"/>
    <x v="0"/>
    <x v="13"/>
    <x v="13"/>
    <n v="301"/>
    <x v="114"/>
  </r>
  <r>
    <s v="201245-64"/>
    <x v="16"/>
    <x v="3"/>
    <x v="0"/>
    <x v="13"/>
    <x v="13"/>
    <n v="117"/>
    <x v="115"/>
  </r>
  <r>
    <s v="20125-14"/>
    <x v="16"/>
    <x v="4"/>
    <x v="0"/>
    <x v="13"/>
    <x v="13"/>
    <n v="41"/>
    <x v="116"/>
  </r>
  <r>
    <s v="201265-74"/>
    <x v="16"/>
    <x v="5"/>
    <x v="0"/>
    <x v="13"/>
    <x v="13"/>
    <n v="24"/>
    <x v="117"/>
  </r>
  <r>
    <s v="201275+"/>
    <x v="16"/>
    <x v="6"/>
    <x v="0"/>
    <x v="13"/>
    <x v="13"/>
    <n v="15"/>
    <x v="118"/>
  </r>
  <r>
    <s v="20130-4"/>
    <x v="17"/>
    <x v="0"/>
    <x v="0"/>
    <x v="13"/>
    <x v="13"/>
    <n v="16"/>
    <x v="119"/>
  </r>
  <r>
    <s v="201315-24"/>
    <x v="17"/>
    <x v="1"/>
    <x v="0"/>
    <x v="13"/>
    <x v="13"/>
    <n v="198"/>
    <x v="120"/>
  </r>
  <r>
    <s v="201325-44"/>
    <x v="17"/>
    <x v="2"/>
    <x v="0"/>
    <x v="13"/>
    <x v="13"/>
    <n v="254"/>
    <x v="121"/>
  </r>
  <r>
    <s v="201345-64"/>
    <x v="17"/>
    <x v="3"/>
    <x v="0"/>
    <x v="13"/>
    <x v="13"/>
    <n v="72"/>
    <x v="122"/>
  </r>
  <r>
    <s v="20135-14"/>
    <x v="17"/>
    <x v="4"/>
    <x v="0"/>
    <x v="13"/>
    <x v="13"/>
    <n v="40"/>
    <x v="123"/>
  </r>
  <r>
    <s v="201365-74"/>
    <x v="17"/>
    <x v="5"/>
    <x v="0"/>
    <x v="13"/>
    <x v="13"/>
    <n v="19"/>
    <x v="124"/>
  </r>
  <r>
    <s v="201375+"/>
    <x v="17"/>
    <x v="6"/>
    <x v="0"/>
    <x v="13"/>
    <x v="13"/>
    <n v="10"/>
    <x v="125"/>
  </r>
  <r>
    <s v="20140-4"/>
    <x v="18"/>
    <x v="0"/>
    <x v="0"/>
    <x v="13"/>
    <x v="13"/>
    <n v="10"/>
    <x v="126"/>
  </r>
  <r>
    <s v="201415-24"/>
    <x v="18"/>
    <x v="1"/>
    <x v="0"/>
    <x v="13"/>
    <x v="13"/>
    <n v="192"/>
    <x v="127"/>
  </r>
  <r>
    <s v="201425-44"/>
    <x v="18"/>
    <x v="2"/>
    <x v="0"/>
    <x v="13"/>
    <x v="13"/>
    <n v="261"/>
    <x v="128"/>
  </r>
  <r>
    <s v="201445-64"/>
    <x v="18"/>
    <x v="3"/>
    <x v="0"/>
    <x v="13"/>
    <x v="13"/>
    <n v="93"/>
    <x v="129"/>
  </r>
  <r>
    <s v="20145-14"/>
    <x v="18"/>
    <x v="4"/>
    <x v="0"/>
    <x v="13"/>
    <x v="13"/>
    <n v="47"/>
    <x v="130"/>
  </r>
  <r>
    <s v="201465-74"/>
    <x v="18"/>
    <x v="5"/>
    <x v="0"/>
    <x v="13"/>
    <x v="13"/>
    <n v="12"/>
    <x v="131"/>
  </r>
  <r>
    <s v="201475+"/>
    <x v="18"/>
    <x v="6"/>
    <x v="0"/>
    <x v="13"/>
    <x v="13"/>
    <n v="6"/>
    <x v="132"/>
  </r>
  <r>
    <s v="19960-4"/>
    <x v="0"/>
    <x v="0"/>
    <x v="0"/>
    <x v="14"/>
    <x v="14"/>
    <n v="23"/>
    <x v="0"/>
  </r>
  <r>
    <s v="199615-24"/>
    <x v="0"/>
    <x v="1"/>
    <x v="0"/>
    <x v="14"/>
    <x v="14"/>
    <n v="16"/>
    <x v="1"/>
  </r>
  <r>
    <s v="199625-44"/>
    <x v="0"/>
    <x v="2"/>
    <x v="0"/>
    <x v="14"/>
    <x v="14"/>
    <n v="54"/>
    <x v="2"/>
  </r>
  <r>
    <s v="199645-64"/>
    <x v="0"/>
    <x v="3"/>
    <x v="0"/>
    <x v="14"/>
    <x v="14"/>
    <n v="142"/>
    <x v="3"/>
  </r>
  <r>
    <s v="19965-14"/>
    <x v="0"/>
    <x v="4"/>
    <x v="0"/>
    <x v="14"/>
    <x v="14"/>
    <n v="11"/>
    <x v="4"/>
  </r>
  <r>
    <s v="199665-74"/>
    <x v="0"/>
    <x v="5"/>
    <x v="0"/>
    <x v="14"/>
    <x v="14"/>
    <n v="124"/>
    <x v="5"/>
  </r>
  <r>
    <s v="199675+"/>
    <x v="0"/>
    <x v="6"/>
    <x v="0"/>
    <x v="14"/>
    <x v="14"/>
    <n v="112"/>
    <x v="6"/>
  </r>
  <r>
    <s v="19970-4"/>
    <x v="1"/>
    <x v="0"/>
    <x v="0"/>
    <x v="14"/>
    <x v="14"/>
    <n v="16"/>
    <x v="7"/>
  </r>
  <r>
    <s v="199715-24"/>
    <x v="1"/>
    <x v="1"/>
    <x v="0"/>
    <x v="14"/>
    <x v="14"/>
    <n v="13"/>
    <x v="8"/>
  </r>
  <r>
    <s v="199725-44"/>
    <x v="1"/>
    <x v="2"/>
    <x v="0"/>
    <x v="14"/>
    <x v="14"/>
    <n v="45"/>
    <x v="9"/>
  </r>
  <r>
    <s v="199745-64"/>
    <x v="1"/>
    <x v="3"/>
    <x v="0"/>
    <x v="14"/>
    <x v="14"/>
    <n v="142"/>
    <x v="10"/>
  </r>
  <r>
    <s v="19975-14"/>
    <x v="1"/>
    <x v="4"/>
    <x v="0"/>
    <x v="14"/>
    <x v="14"/>
    <n v="11"/>
    <x v="11"/>
  </r>
  <r>
    <s v="199765-74"/>
    <x v="1"/>
    <x v="5"/>
    <x v="0"/>
    <x v="14"/>
    <x v="14"/>
    <n v="105"/>
    <x v="12"/>
  </r>
  <r>
    <s v="199775+"/>
    <x v="1"/>
    <x v="6"/>
    <x v="0"/>
    <x v="14"/>
    <x v="14"/>
    <n v="104"/>
    <x v="13"/>
  </r>
  <r>
    <s v="19980-4"/>
    <x v="2"/>
    <x v="0"/>
    <x v="0"/>
    <x v="14"/>
    <x v="14"/>
    <n v="13"/>
    <x v="14"/>
  </r>
  <r>
    <s v="199815-24"/>
    <x v="2"/>
    <x v="1"/>
    <x v="0"/>
    <x v="14"/>
    <x v="14"/>
    <n v="10"/>
    <x v="15"/>
  </r>
  <r>
    <s v="199825-44"/>
    <x v="2"/>
    <x v="2"/>
    <x v="0"/>
    <x v="14"/>
    <x v="14"/>
    <n v="57"/>
    <x v="16"/>
  </r>
  <r>
    <s v="199845-64"/>
    <x v="2"/>
    <x v="3"/>
    <x v="0"/>
    <x v="14"/>
    <x v="14"/>
    <n v="140"/>
    <x v="17"/>
  </r>
  <r>
    <s v="19985-14"/>
    <x v="2"/>
    <x v="4"/>
    <x v="0"/>
    <x v="14"/>
    <x v="14"/>
    <n v="9"/>
    <x v="18"/>
  </r>
  <r>
    <s v="199865-74"/>
    <x v="2"/>
    <x v="5"/>
    <x v="0"/>
    <x v="14"/>
    <x v="14"/>
    <n v="96"/>
    <x v="19"/>
  </r>
  <r>
    <s v="199875+"/>
    <x v="2"/>
    <x v="6"/>
    <x v="0"/>
    <x v="14"/>
    <x v="14"/>
    <n v="102"/>
    <x v="20"/>
  </r>
  <r>
    <s v="19990-4"/>
    <x v="3"/>
    <x v="0"/>
    <x v="0"/>
    <x v="14"/>
    <x v="14"/>
    <n v="10"/>
    <x v="21"/>
  </r>
  <r>
    <s v="199915-24"/>
    <x v="3"/>
    <x v="1"/>
    <x v="0"/>
    <x v="14"/>
    <x v="14"/>
    <n v="18"/>
    <x v="22"/>
  </r>
  <r>
    <s v="199925-44"/>
    <x v="3"/>
    <x v="2"/>
    <x v="0"/>
    <x v="14"/>
    <x v="14"/>
    <n v="65"/>
    <x v="23"/>
  </r>
  <r>
    <s v="199945-64"/>
    <x v="3"/>
    <x v="3"/>
    <x v="0"/>
    <x v="14"/>
    <x v="14"/>
    <n v="156"/>
    <x v="24"/>
  </r>
  <r>
    <s v="19995-14"/>
    <x v="3"/>
    <x v="4"/>
    <x v="0"/>
    <x v="14"/>
    <x v="14"/>
    <n v="3"/>
    <x v="25"/>
  </r>
  <r>
    <s v="199965-74"/>
    <x v="3"/>
    <x v="5"/>
    <x v="0"/>
    <x v="14"/>
    <x v="14"/>
    <n v="107"/>
    <x v="26"/>
  </r>
  <r>
    <s v="199975+"/>
    <x v="3"/>
    <x v="6"/>
    <x v="0"/>
    <x v="14"/>
    <x v="14"/>
    <n v="107"/>
    <x v="27"/>
  </r>
  <r>
    <s v="20000-4"/>
    <x v="4"/>
    <x v="0"/>
    <x v="0"/>
    <x v="14"/>
    <x v="14"/>
    <n v="18"/>
    <x v="28"/>
  </r>
  <r>
    <s v="200015-24"/>
    <x v="4"/>
    <x v="1"/>
    <x v="0"/>
    <x v="14"/>
    <x v="14"/>
    <n v="10"/>
    <x v="29"/>
  </r>
  <r>
    <s v="200025-44"/>
    <x v="4"/>
    <x v="2"/>
    <x v="0"/>
    <x v="14"/>
    <x v="14"/>
    <n v="45"/>
    <x v="30"/>
  </r>
  <r>
    <s v="200045-64"/>
    <x v="4"/>
    <x v="3"/>
    <x v="0"/>
    <x v="14"/>
    <x v="14"/>
    <n v="169"/>
    <x v="31"/>
  </r>
  <r>
    <s v="20005-14"/>
    <x v="4"/>
    <x v="4"/>
    <x v="0"/>
    <x v="14"/>
    <x v="14"/>
    <n v="6"/>
    <x v="32"/>
  </r>
  <r>
    <s v="200065-74"/>
    <x v="4"/>
    <x v="5"/>
    <x v="0"/>
    <x v="14"/>
    <x v="14"/>
    <n v="103"/>
    <x v="33"/>
  </r>
  <r>
    <s v="200075+"/>
    <x v="4"/>
    <x v="6"/>
    <x v="0"/>
    <x v="14"/>
    <x v="14"/>
    <n v="109"/>
    <x v="34"/>
  </r>
  <r>
    <s v="20010-4"/>
    <x v="5"/>
    <x v="0"/>
    <x v="0"/>
    <x v="14"/>
    <x v="14"/>
    <n v="18"/>
    <x v="35"/>
  </r>
  <r>
    <s v="200115-24"/>
    <x v="5"/>
    <x v="1"/>
    <x v="0"/>
    <x v="14"/>
    <x v="14"/>
    <n v="12"/>
    <x v="36"/>
  </r>
  <r>
    <s v="200125-44"/>
    <x v="5"/>
    <x v="2"/>
    <x v="0"/>
    <x v="14"/>
    <x v="14"/>
    <n v="54"/>
    <x v="37"/>
  </r>
  <r>
    <s v="200145-64"/>
    <x v="5"/>
    <x v="3"/>
    <x v="0"/>
    <x v="14"/>
    <x v="14"/>
    <n v="175"/>
    <x v="38"/>
  </r>
  <r>
    <s v="20015-14"/>
    <x v="5"/>
    <x v="4"/>
    <x v="0"/>
    <x v="14"/>
    <x v="14"/>
    <n v="12"/>
    <x v="39"/>
  </r>
  <r>
    <s v="200165-74"/>
    <x v="5"/>
    <x v="5"/>
    <x v="0"/>
    <x v="14"/>
    <x v="14"/>
    <n v="119"/>
    <x v="40"/>
  </r>
  <r>
    <s v="200175+"/>
    <x v="5"/>
    <x v="6"/>
    <x v="0"/>
    <x v="14"/>
    <x v="14"/>
    <n v="89"/>
    <x v="41"/>
  </r>
  <r>
    <s v="20020-4"/>
    <x v="6"/>
    <x v="0"/>
    <x v="0"/>
    <x v="14"/>
    <x v="14"/>
    <n v="11"/>
    <x v="42"/>
  </r>
  <r>
    <s v="200215-24"/>
    <x v="6"/>
    <x v="1"/>
    <x v="0"/>
    <x v="14"/>
    <x v="14"/>
    <n v="12"/>
    <x v="43"/>
  </r>
  <r>
    <s v="200225-44"/>
    <x v="6"/>
    <x v="2"/>
    <x v="0"/>
    <x v="14"/>
    <x v="14"/>
    <n v="49"/>
    <x v="44"/>
  </r>
  <r>
    <s v="200245-64"/>
    <x v="6"/>
    <x v="3"/>
    <x v="0"/>
    <x v="14"/>
    <x v="14"/>
    <n v="198"/>
    <x v="45"/>
  </r>
  <r>
    <s v="20025-14"/>
    <x v="6"/>
    <x v="4"/>
    <x v="0"/>
    <x v="14"/>
    <x v="14"/>
    <n v="4"/>
    <x v="46"/>
  </r>
  <r>
    <s v="200265-74"/>
    <x v="6"/>
    <x v="5"/>
    <x v="0"/>
    <x v="14"/>
    <x v="14"/>
    <n v="135"/>
    <x v="47"/>
  </r>
  <r>
    <s v="200275+"/>
    <x v="6"/>
    <x v="6"/>
    <x v="0"/>
    <x v="14"/>
    <x v="14"/>
    <n v="111"/>
    <x v="48"/>
  </r>
  <r>
    <s v="20030-4"/>
    <x v="7"/>
    <x v="0"/>
    <x v="0"/>
    <x v="14"/>
    <x v="14"/>
    <n v="14"/>
    <x v="49"/>
  </r>
  <r>
    <s v="200315-24"/>
    <x v="7"/>
    <x v="1"/>
    <x v="0"/>
    <x v="14"/>
    <x v="14"/>
    <n v="16"/>
    <x v="50"/>
  </r>
  <r>
    <s v="200325-44"/>
    <x v="7"/>
    <x v="2"/>
    <x v="0"/>
    <x v="14"/>
    <x v="14"/>
    <n v="48"/>
    <x v="51"/>
  </r>
  <r>
    <s v="200345-64"/>
    <x v="7"/>
    <x v="3"/>
    <x v="0"/>
    <x v="14"/>
    <x v="14"/>
    <n v="190"/>
    <x v="52"/>
  </r>
  <r>
    <s v="20035-14"/>
    <x v="7"/>
    <x v="4"/>
    <x v="0"/>
    <x v="14"/>
    <x v="14"/>
    <n v="12"/>
    <x v="53"/>
  </r>
  <r>
    <s v="200365-74"/>
    <x v="7"/>
    <x v="5"/>
    <x v="0"/>
    <x v="14"/>
    <x v="14"/>
    <n v="135"/>
    <x v="54"/>
  </r>
  <r>
    <s v="200375+"/>
    <x v="7"/>
    <x v="6"/>
    <x v="0"/>
    <x v="14"/>
    <x v="14"/>
    <n v="135"/>
    <x v="55"/>
  </r>
  <r>
    <s v="20040-4"/>
    <x v="8"/>
    <x v="0"/>
    <x v="0"/>
    <x v="14"/>
    <x v="14"/>
    <n v="6"/>
    <x v="56"/>
  </r>
  <r>
    <s v="200415-24"/>
    <x v="8"/>
    <x v="1"/>
    <x v="0"/>
    <x v="14"/>
    <x v="14"/>
    <n v="10"/>
    <x v="57"/>
  </r>
  <r>
    <s v="200425-44"/>
    <x v="8"/>
    <x v="2"/>
    <x v="0"/>
    <x v="14"/>
    <x v="14"/>
    <n v="49"/>
    <x v="58"/>
  </r>
  <r>
    <s v="200445-64"/>
    <x v="8"/>
    <x v="3"/>
    <x v="0"/>
    <x v="14"/>
    <x v="14"/>
    <n v="205"/>
    <x v="59"/>
  </r>
  <r>
    <s v="20045-14"/>
    <x v="8"/>
    <x v="4"/>
    <x v="0"/>
    <x v="14"/>
    <x v="14"/>
    <n v="8"/>
    <x v="60"/>
  </r>
  <r>
    <s v="200465-74"/>
    <x v="8"/>
    <x v="5"/>
    <x v="0"/>
    <x v="14"/>
    <x v="14"/>
    <n v="122"/>
    <x v="61"/>
  </r>
  <r>
    <s v="200475+"/>
    <x v="8"/>
    <x v="6"/>
    <x v="0"/>
    <x v="14"/>
    <x v="14"/>
    <n v="132"/>
    <x v="62"/>
  </r>
  <r>
    <s v="20050-4"/>
    <x v="9"/>
    <x v="0"/>
    <x v="0"/>
    <x v="14"/>
    <x v="14"/>
    <n v="7"/>
    <x v="63"/>
  </r>
  <r>
    <s v="200515-24"/>
    <x v="9"/>
    <x v="1"/>
    <x v="0"/>
    <x v="14"/>
    <x v="14"/>
    <n v="12"/>
    <x v="64"/>
  </r>
  <r>
    <s v="200525-44"/>
    <x v="9"/>
    <x v="2"/>
    <x v="0"/>
    <x v="14"/>
    <x v="14"/>
    <n v="45"/>
    <x v="65"/>
  </r>
  <r>
    <s v="200545-64"/>
    <x v="9"/>
    <x v="3"/>
    <x v="0"/>
    <x v="14"/>
    <x v="14"/>
    <n v="211"/>
    <x v="66"/>
  </r>
  <r>
    <s v="20055-14"/>
    <x v="9"/>
    <x v="4"/>
    <x v="0"/>
    <x v="14"/>
    <x v="14"/>
    <n v="8"/>
    <x v="67"/>
  </r>
  <r>
    <s v="200565-74"/>
    <x v="9"/>
    <x v="5"/>
    <x v="0"/>
    <x v="14"/>
    <x v="14"/>
    <n v="139"/>
    <x v="68"/>
  </r>
  <r>
    <s v="200575+"/>
    <x v="9"/>
    <x v="6"/>
    <x v="0"/>
    <x v="14"/>
    <x v="14"/>
    <n v="143"/>
    <x v="69"/>
  </r>
  <r>
    <s v="20060-4"/>
    <x v="10"/>
    <x v="0"/>
    <x v="0"/>
    <x v="14"/>
    <x v="14"/>
    <n v="7"/>
    <x v="70"/>
  </r>
  <r>
    <s v="200615-24"/>
    <x v="10"/>
    <x v="1"/>
    <x v="0"/>
    <x v="14"/>
    <x v="14"/>
    <n v="15"/>
    <x v="71"/>
  </r>
  <r>
    <s v="200625-44"/>
    <x v="10"/>
    <x v="2"/>
    <x v="0"/>
    <x v="14"/>
    <x v="14"/>
    <n v="48"/>
    <x v="72"/>
  </r>
  <r>
    <s v="200645-64"/>
    <x v="10"/>
    <x v="3"/>
    <x v="0"/>
    <x v="14"/>
    <x v="14"/>
    <n v="182"/>
    <x v="73"/>
  </r>
  <r>
    <s v="20065-14"/>
    <x v="10"/>
    <x v="4"/>
    <x v="0"/>
    <x v="14"/>
    <x v="14"/>
    <n v="9"/>
    <x v="74"/>
  </r>
  <r>
    <s v="200665-74"/>
    <x v="10"/>
    <x v="5"/>
    <x v="0"/>
    <x v="14"/>
    <x v="14"/>
    <n v="123"/>
    <x v="75"/>
  </r>
  <r>
    <s v="200675+"/>
    <x v="10"/>
    <x v="6"/>
    <x v="0"/>
    <x v="14"/>
    <x v="14"/>
    <n v="142"/>
    <x v="76"/>
  </r>
  <r>
    <s v="20070-4"/>
    <x v="11"/>
    <x v="0"/>
    <x v="0"/>
    <x v="14"/>
    <x v="14"/>
    <n v="4"/>
    <x v="77"/>
  </r>
  <r>
    <s v="200715-24"/>
    <x v="11"/>
    <x v="1"/>
    <x v="0"/>
    <x v="14"/>
    <x v="14"/>
    <n v="8"/>
    <x v="78"/>
  </r>
  <r>
    <s v="200725-44"/>
    <x v="11"/>
    <x v="2"/>
    <x v="0"/>
    <x v="14"/>
    <x v="14"/>
    <n v="58"/>
    <x v="79"/>
  </r>
  <r>
    <s v="200745-64"/>
    <x v="11"/>
    <x v="3"/>
    <x v="0"/>
    <x v="14"/>
    <x v="14"/>
    <n v="192"/>
    <x v="80"/>
  </r>
  <r>
    <s v="20075-14"/>
    <x v="11"/>
    <x v="4"/>
    <x v="0"/>
    <x v="14"/>
    <x v="14"/>
    <n v="7"/>
    <x v="81"/>
  </r>
  <r>
    <s v="200765-74"/>
    <x v="11"/>
    <x v="5"/>
    <x v="0"/>
    <x v="14"/>
    <x v="14"/>
    <n v="115"/>
    <x v="82"/>
  </r>
  <r>
    <s v="200775+"/>
    <x v="11"/>
    <x v="6"/>
    <x v="0"/>
    <x v="14"/>
    <x v="14"/>
    <n v="133"/>
    <x v="83"/>
  </r>
  <r>
    <s v="20080-4"/>
    <x v="12"/>
    <x v="0"/>
    <x v="0"/>
    <x v="14"/>
    <x v="14"/>
    <n v="3"/>
    <x v="84"/>
  </r>
  <r>
    <s v="200815-24"/>
    <x v="12"/>
    <x v="1"/>
    <x v="0"/>
    <x v="14"/>
    <x v="14"/>
    <n v="12"/>
    <x v="85"/>
  </r>
  <r>
    <s v="200825-44"/>
    <x v="12"/>
    <x v="2"/>
    <x v="0"/>
    <x v="14"/>
    <x v="14"/>
    <n v="49"/>
    <x v="86"/>
  </r>
  <r>
    <s v="200845-64"/>
    <x v="12"/>
    <x v="3"/>
    <x v="0"/>
    <x v="14"/>
    <x v="14"/>
    <n v="174"/>
    <x v="87"/>
  </r>
  <r>
    <s v="20085-14"/>
    <x v="12"/>
    <x v="4"/>
    <x v="0"/>
    <x v="14"/>
    <x v="14"/>
    <n v="5"/>
    <x v="88"/>
  </r>
  <r>
    <s v="200865-74"/>
    <x v="12"/>
    <x v="5"/>
    <x v="0"/>
    <x v="14"/>
    <x v="14"/>
    <n v="114"/>
    <x v="89"/>
  </r>
  <r>
    <s v="200875+"/>
    <x v="12"/>
    <x v="6"/>
    <x v="0"/>
    <x v="14"/>
    <x v="14"/>
    <n v="135"/>
    <x v="90"/>
  </r>
  <r>
    <s v="20090-4"/>
    <x v="13"/>
    <x v="0"/>
    <x v="0"/>
    <x v="14"/>
    <x v="14"/>
    <n v="6"/>
    <x v="91"/>
  </r>
  <r>
    <s v="200915-24"/>
    <x v="13"/>
    <x v="1"/>
    <x v="0"/>
    <x v="14"/>
    <x v="14"/>
    <n v="10"/>
    <x v="92"/>
  </r>
  <r>
    <s v="200925-44"/>
    <x v="13"/>
    <x v="2"/>
    <x v="0"/>
    <x v="14"/>
    <x v="14"/>
    <n v="46"/>
    <x v="93"/>
  </r>
  <r>
    <s v="200945-64"/>
    <x v="13"/>
    <x v="3"/>
    <x v="0"/>
    <x v="14"/>
    <x v="14"/>
    <n v="220"/>
    <x v="94"/>
  </r>
  <r>
    <s v="20095-14"/>
    <x v="13"/>
    <x v="4"/>
    <x v="0"/>
    <x v="14"/>
    <x v="14"/>
    <n v="5"/>
    <x v="95"/>
  </r>
  <r>
    <s v="200965-74"/>
    <x v="13"/>
    <x v="5"/>
    <x v="0"/>
    <x v="14"/>
    <x v="14"/>
    <n v="107"/>
    <x v="96"/>
  </r>
  <r>
    <s v="200975+"/>
    <x v="13"/>
    <x v="6"/>
    <x v="0"/>
    <x v="14"/>
    <x v="14"/>
    <n v="157"/>
    <x v="97"/>
  </r>
  <r>
    <s v="20100-4"/>
    <x v="14"/>
    <x v="0"/>
    <x v="0"/>
    <x v="14"/>
    <x v="14"/>
    <n v="5"/>
    <x v="98"/>
  </r>
  <r>
    <s v="201015-24"/>
    <x v="14"/>
    <x v="1"/>
    <x v="0"/>
    <x v="14"/>
    <x v="14"/>
    <n v="14"/>
    <x v="99"/>
  </r>
  <r>
    <s v="201025-44"/>
    <x v="14"/>
    <x v="2"/>
    <x v="0"/>
    <x v="14"/>
    <x v="14"/>
    <n v="61"/>
    <x v="100"/>
  </r>
  <r>
    <s v="201045-64"/>
    <x v="14"/>
    <x v="3"/>
    <x v="0"/>
    <x v="14"/>
    <x v="14"/>
    <n v="190"/>
    <x v="101"/>
  </r>
  <r>
    <s v="20105-14"/>
    <x v="14"/>
    <x v="4"/>
    <x v="0"/>
    <x v="14"/>
    <x v="14"/>
    <n v="7"/>
    <x v="102"/>
  </r>
  <r>
    <s v="201065-74"/>
    <x v="14"/>
    <x v="5"/>
    <x v="0"/>
    <x v="14"/>
    <x v="14"/>
    <n v="140"/>
    <x v="103"/>
  </r>
  <r>
    <s v="201075+"/>
    <x v="14"/>
    <x v="6"/>
    <x v="0"/>
    <x v="14"/>
    <x v="14"/>
    <n v="160"/>
    <x v="104"/>
  </r>
  <r>
    <s v="20110-4"/>
    <x v="15"/>
    <x v="0"/>
    <x v="0"/>
    <x v="14"/>
    <x v="14"/>
    <n v="8"/>
    <x v="105"/>
  </r>
  <r>
    <s v="201115-24"/>
    <x v="15"/>
    <x v="1"/>
    <x v="0"/>
    <x v="14"/>
    <x v="14"/>
    <n v="9"/>
    <x v="106"/>
  </r>
  <r>
    <s v="201125-44"/>
    <x v="15"/>
    <x v="2"/>
    <x v="0"/>
    <x v="14"/>
    <x v="14"/>
    <n v="54"/>
    <x v="107"/>
  </r>
  <r>
    <s v="201145-64"/>
    <x v="15"/>
    <x v="3"/>
    <x v="0"/>
    <x v="14"/>
    <x v="14"/>
    <n v="213"/>
    <x v="108"/>
  </r>
  <r>
    <s v="20115-14"/>
    <x v="15"/>
    <x v="4"/>
    <x v="0"/>
    <x v="14"/>
    <x v="14"/>
    <n v="1"/>
    <x v="109"/>
  </r>
  <r>
    <s v="201165-74"/>
    <x v="15"/>
    <x v="5"/>
    <x v="0"/>
    <x v="14"/>
    <x v="14"/>
    <n v="126"/>
    <x v="110"/>
  </r>
  <r>
    <s v="201175+"/>
    <x v="15"/>
    <x v="6"/>
    <x v="0"/>
    <x v="14"/>
    <x v="14"/>
    <n v="161"/>
    <x v="111"/>
  </r>
  <r>
    <s v="20120-4"/>
    <x v="16"/>
    <x v="0"/>
    <x v="0"/>
    <x v="14"/>
    <x v="14"/>
    <n v="2"/>
    <x v="112"/>
  </r>
  <r>
    <s v="201215-24"/>
    <x v="16"/>
    <x v="1"/>
    <x v="0"/>
    <x v="14"/>
    <x v="14"/>
    <n v="13"/>
    <x v="113"/>
  </r>
  <r>
    <s v="201225-44"/>
    <x v="16"/>
    <x v="2"/>
    <x v="0"/>
    <x v="14"/>
    <x v="14"/>
    <n v="51"/>
    <x v="114"/>
  </r>
  <r>
    <s v="201245-64"/>
    <x v="16"/>
    <x v="3"/>
    <x v="0"/>
    <x v="14"/>
    <x v="14"/>
    <n v="209"/>
    <x v="115"/>
  </r>
  <r>
    <s v="20125-14"/>
    <x v="16"/>
    <x v="4"/>
    <x v="0"/>
    <x v="14"/>
    <x v="14"/>
    <n v="5"/>
    <x v="116"/>
  </r>
  <r>
    <s v="201265-74"/>
    <x v="16"/>
    <x v="5"/>
    <x v="0"/>
    <x v="14"/>
    <x v="14"/>
    <n v="135"/>
    <x v="117"/>
  </r>
  <r>
    <s v="201275+"/>
    <x v="16"/>
    <x v="6"/>
    <x v="0"/>
    <x v="14"/>
    <x v="14"/>
    <n v="156"/>
    <x v="118"/>
  </r>
  <r>
    <s v="20130-4"/>
    <x v="17"/>
    <x v="0"/>
    <x v="0"/>
    <x v="14"/>
    <x v="14"/>
    <n v="5"/>
    <x v="119"/>
  </r>
  <r>
    <s v="201315-24"/>
    <x v="17"/>
    <x v="1"/>
    <x v="0"/>
    <x v="14"/>
    <x v="14"/>
    <n v="12"/>
    <x v="120"/>
  </r>
  <r>
    <s v="201325-44"/>
    <x v="17"/>
    <x v="2"/>
    <x v="0"/>
    <x v="14"/>
    <x v="14"/>
    <n v="57"/>
    <x v="121"/>
  </r>
  <r>
    <s v="201345-64"/>
    <x v="17"/>
    <x v="3"/>
    <x v="0"/>
    <x v="14"/>
    <x v="14"/>
    <n v="235"/>
    <x v="122"/>
  </r>
  <r>
    <s v="20135-14"/>
    <x v="17"/>
    <x v="4"/>
    <x v="0"/>
    <x v="14"/>
    <x v="14"/>
    <n v="6"/>
    <x v="123"/>
  </r>
  <r>
    <s v="201365-74"/>
    <x v="17"/>
    <x v="5"/>
    <x v="0"/>
    <x v="14"/>
    <x v="14"/>
    <n v="134"/>
    <x v="124"/>
  </r>
  <r>
    <s v="201375+"/>
    <x v="17"/>
    <x v="6"/>
    <x v="0"/>
    <x v="14"/>
    <x v="14"/>
    <n v="170"/>
    <x v="125"/>
  </r>
  <r>
    <s v="20140-4"/>
    <x v="18"/>
    <x v="0"/>
    <x v="0"/>
    <x v="14"/>
    <x v="14"/>
    <n v="4"/>
    <x v="126"/>
  </r>
  <r>
    <s v="201415-24"/>
    <x v="18"/>
    <x v="1"/>
    <x v="0"/>
    <x v="14"/>
    <x v="14"/>
    <n v="10"/>
    <x v="127"/>
  </r>
  <r>
    <s v="201425-44"/>
    <x v="18"/>
    <x v="2"/>
    <x v="0"/>
    <x v="14"/>
    <x v="14"/>
    <n v="64"/>
    <x v="128"/>
  </r>
  <r>
    <s v="201445-64"/>
    <x v="18"/>
    <x v="3"/>
    <x v="0"/>
    <x v="14"/>
    <x v="14"/>
    <n v="286"/>
    <x v="129"/>
  </r>
  <r>
    <s v="20145-14"/>
    <x v="18"/>
    <x v="4"/>
    <x v="0"/>
    <x v="14"/>
    <x v="14"/>
    <n v="7"/>
    <x v="130"/>
  </r>
  <r>
    <s v="201465-74"/>
    <x v="18"/>
    <x v="5"/>
    <x v="0"/>
    <x v="14"/>
    <x v="14"/>
    <n v="184"/>
    <x v="131"/>
  </r>
  <r>
    <s v="201475+"/>
    <x v="18"/>
    <x v="6"/>
    <x v="0"/>
    <x v="14"/>
    <x v="14"/>
    <n v="197"/>
    <x v="1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995">
  <r>
    <s v="19960-4"/>
    <x v="0"/>
    <x v="0"/>
    <s v="T"/>
    <x v="0"/>
    <x v="0"/>
    <n v="82"/>
    <x v="0"/>
  </r>
  <r>
    <s v="19965-14"/>
    <x v="0"/>
    <x v="1"/>
    <s v="T"/>
    <x v="0"/>
    <x v="0"/>
    <n v="50"/>
    <x v="1"/>
  </r>
  <r>
    <s v="199615-24"/>
    <x v="0"/>
    <x v="2"/>
    <s v="T"/>
    <x v="0"/>
    <x v="0"/>
    <n v="101"/>
    <x v="2"/>
  </r>
  <r>
    <s v="199625-44"/>
    <x v="0"/>
    <x v="3"/>
    <s v="T"/>
    <x v="0"/>
    <x v="0"/>
    <n v="1265"/>
    <x v="3"/>
  </r>
  <r>
    <s v="199645-64"/>
    <x v="0"/>
    <x v="4"/>
    <s v="T"/>
    <x v="0"/>
    <x v="0"/>
    <n v="5170"/>
    <x v="4"/>
  </r>
  <r>
    <s v="199665-74"/>
    <x v="0"/>
    <x v="5"/>
    <s v="T"/>
    <x v="0"/>
    <x v="0"/>
    <n v="5212"/>
    <x v="5"/>
  </r>
  <r>
    <s v="199675+"/>
    <x v="0"/>
    <x v="6"/>
    <s v="T"/>
    <x v="0"/>
    <x v="0"/>
    <n v="9429"/>
    <x v="5"/>
  </r>
  <r>
    <s v="19970-4"/>
    <x v="1"/>
    <x v="0"/>
    <s v="T"/>
    <x v="0"/>
    <x v="0"/>
    <n v="61"/>
    <x v="6"/>
  </r>
  <r>
    <s v="19975-14"/>
    <x v="1"/>
    <x v="1"/>
    <s v="T"/>
    <x v="0"/>
    <x v="0"/>
    <n v="52"/>
    <x v="7"/>
  </r>
  <r>
    <s v="199715-24"/>
    <x v="1"/>
    <x v="2"/>
    <s v="T"/>
    <x v="0"/>
    <x v="0"/>
    <n v="170"/>
    <x v="8"/>
  </r>
  <r>
    <s v="199725-44"/>
    <x v="1"/>
    <x v="3"/>
    <s v="T"/>
    <x v="0"/>
    <x v="0"/>
    <n v="1242"/>
    <x v="9"/>
  </r>
  <r>
    <s v="199745-64"/>
    <x v="1"/>
    <x v="4"/>
    <s v="T"/>
    <x v="0"/>
    <x v="0"/>
    <n v="5061"/>
    <x v="10"/>
  </r>
  <r>
    <s v="199765-74"/>
    <x v="1"/>
    <x v="5"/>
    <s v="T"/>
    <x v="0"/>
    <x v="0"/>
    <n v="5052"/>
    <x v="11"/>
  </r>
  <r>
    <s v="199775+"/>
    <x v="1"/>
    <x v="6"/>
    <s v="T"/>
    <x v="0"/>
    <x v="0"/>
    <n v="9193"/>
    <x v="11"/>
  </r>
  <r>
    <s v="19980-4"/>
    <x v="2"/>
    <x v="0"/>
    <s v="T"/>
    <x v="0"/>
    <x v="0"/>
    <n v="85"/>
    <x v="12"/>
  </r>
  <r>
    <s v="19985-14"/>
    <x v="2"/>
    <x v="1"/>
    <s v="T"/>
    <x v="0"/>
    <x v="0"/>
    <n v="46"/>
    <x v="13"/>
  </r>
  <r>
    <s v="199815-24"/>
    <x v="2"/>
    <x v="2"/>
    <s v="T"/>
    <x v="0"/>
    <x v="0"/>
    <n v="142"/>
    <x v="14"/>
  </r>
  <r>
    <s v="199825-44"/>
    <x v="2"/>
    <x v="3"/>
    <s v="T"/>
    <x v="0"/>
    <x v="0"/>
    <n v="1325"/>
    <x v="15"/>
  </r>
  <r>
    <s v="199845-64"/>
    <x v="2"/>
    <x v="4"/>
    <s v="T"/>
    <x v="0"/>
    <x v="0"/>
    <n v="5378"/>
    <x v="16"/>
  </r>
  <r>
    <s v="199865-74"/>
    <x v="2"/>
    <x v="5"/>
    <s v="T"/>
    <x v="0"/>
    <x v="0"/>
    <n v="5403"/>
    <x v="17"/>
  </r>
  <r>
    <s v="199875+"/>
    <x v="2"/>
    <x v="6"/>
    <s v="T"/>
    <x v="0"/>
    <x v="0"/>
    <n v="9227"/>
    <x v="17"/>
  </r>
  <r>
    <s v="19990-4"/>
    <x v="3"/>
    <x v="0"/>
    <s v="T"/>
    <x v="0"/>
    <x v="0"/>
    <n v="72"/>
    <x v="18"/>
  </r>
  <r>
    <s v="19995-14"/>
    <x v="3"/>
    <x v="1"/>
    <s v="T"/>
    <x v="0"/>
    <x v="0"/>
    <n v="63"/>
    <x v="19"/>
  </r>
  <r>
    <s v="199915-24"/>
    <x v="3"/>
    <x v="2"/>
    <s v="T"/>
    <x v="0"/>
    <x v="0"/>
    <n v="139"/>
    <x v="20"/>
  </r>
  <r>
    <s v="199925-44"/>
    <x v="3"/>
    <x v="3"/>
    <s v="T"/>
    <x v="0"/>
    <x v="0"/>
    <n v="1237"/>
    <x v="21"/>
  </r>
  <r>
    <s v="199945-64"/>
    <x v="3"/>
    <x v="4"/>
    <s v="T"/>
    <x v="0"/>
    <x v="0"/>
    <n v="5499"/>
    <x v="22"/>
  </r>
  <r>
    <s v="199965-74"/>
    <x v="3"/>
    <x v="5"/>
    <s v="T"/>
    <x v="0"/>
    <x v="0"/>
    <n v="5263"/>
    <x v="23"/>
  </r>
  <r>
    <s v="199975+"/>
    <x v="3"/>
    <x v="6"/>
    <s v="T"/>
    <x v="0"/>
    <x v="0"/>
    <n v="9504"/>
    <x v="23"/>
  </r>
  <r>
    <s v="20000-4"/>
    <x v="4"/>
    <x v="0"/>
    <s v="T"/>
    <x v="0"/>
    <x v="0"/>
    <n v="34"/>
    <x v="24"/>
  </r>
  <r>
    <s v="20005-14"/>
    <x v="4"/>
    <x v="1"/>
    <s v="T"/>
    <x v="0"/>
    <x v="0"/>
    <n v="33"/>
    <x v="25"/>
  </r>
  <r>
    <s v="200015-24"/>
    <x v="4"/>
    <x v="2"/>
    <s v="T"/>
    <x v="0"/>
    <x v="0"/>
    <n v="155"/>
    <x v="26"/>
  </r>
  <r>
    <s v="200025-44"/>
    <x v="4"/>
    <x v="3"/>
    <s v="T"/>
    <x v="0"/>
    <x v="0"/>
    <n v="1405"/>
    <x v="27"/>
  </r>
  <r>
    <s v="200045-64"/>
    <x v="4"/>
    <x v="4"/>
    <s v="T"/>
    <x v="0"/>
    <x v="0"/>
    <n v="5710"/>
    <x v="28"/>
  </r>
  <r>
    <s v="200065-74"/>
    <x v="4"/>
    <x v="5"/>
    <s v="T"/>
    <x v="0"/>
    <x v="0"/>
    <n v="5269"/>
    <x v="29"/>
  </r>
  <r>
    <s v="200075+"/>
    <x v="4"/>
    <x v="6"/>
    <s v="T"/>
    <x v="0"/>
    <x v="0"/>
    <n v="9485"/>
    <x v="29"/>
  </r>
  <r>
    <s v="20010-4"/>
    <x v="5"/>
    <x v="0"/>
    <s v="T"/>
    <x v="0"/>
    <x v="0"/>
    <n v="48"/>
    <x v="30"/>
  </r>
  <r>
    <s v="20015-14"/>
    <x v="5"/>
    <x v="1"/>
    <s v="T"/>
    <x v="0"/>
    <x v="0"/>
    <n v="51"/>
    <x v="31"/>
  </r>
  <r>
    <s v="200115-24"/>
    <x v="5"/>
    <x v="2"/>
    <s v="T"/>
    <x v="0"/>
    <x v="0"/>
    <n v="137"/>
    <x v="32"/>
  </r>
  <r>
    <s v="200125-44"/>
    <x v="5"/>
    <x v="3"/>
    <s v="T"/>
    <x v="0"/>
    <x v="0"/>
    <n v="1451"/>
    <x v="33"/>
  </r>
  <r>
    <s v="200145-64"/>
    <x v="5"/>
    <x v="4"/>
    <s v="T"/>
    <x v="0"/>
    <x v="0"/>
    <n v="5765"/>
    <x v="34"/>
  </r>
  <r>
    <s v="200165-74"/>
    <x v="5"/>
    <x v="5"/>
    <s v="T"/>
    <x v="0"/>
    <x v="0"/>
    <n v="5463"/>
    <x v="35"/>
  </r>
  <r>
    <s v="200175+"/>
    <x v="5"/>
    <x v="6"/>
    <s v="T"/>
    <x v="0"/>
    <x v="0"/>
    <n v="10336"/>
    <x v="35"/>
  </r>
  <r>
    <s v="20020-4"/>
    <x v="6"/>
    <x v="0"/>
    <s v="T"/>
    <x v="0"/>
    <x v="0"/>
    <n v="16"/>
    <x v="36"/>
  </r>
  <r>
    <s v="20025-14"/>
    <x v="6"/>
    <x v="1"/>
    <s v="T"/>
    <x v="0"/>
    <x v="0"/>
    <n v="35"/>
    <x v="37"/>
  </r>
  <r>
    <s v="200215-24"/>
    <x v="6"/>
    <x v="2"/>
    <s v="T"/>
    <x v="0"/>
    <x v="0"/>
    <n v="146"/>
    <x v="38"/>
  </r>
  <r>
    <s v="200225-44"/>
    <x v="6"/>
    <x v="3"/>
    <s v="T"/>
    <x v="0"/>
    <x v="0"/>
    <n v="1315"/>
    <x v="39"/>
  </r>
  <r>
    <s v="200245-64"/>
    <x v="6"/>
    <x v="4"/>
    <s v="T"/>
    <x v="0"/>
    <x v="0"/>
    <n v="5659"/>
    <x v="40"/>
  </r>
  <r>
    <s v="200265-74"/>
    <x v="6"/>
    <x v="5"/>
    <s v="T"/>
    <x v="0"/>
    <x v="0"/>
    <n v="5165"/>
    <x v="41"/>
  </r>
  <r>
    <s v="200275+"/>
    <x v="6"/>
    <x v="6"/>
    <s v="T"/>
    <x v="0"/>
    <x v="0"/>
    <n v="10013"/>
    <x v="41"/>
  </r>
  <r>
    <s v="20030-4"/>
    <x v="7"/>
    <x v="0"/>
    <s v="T"/>
    <x v="0"/>
    <x v="0"/>
    <n v="46"/>
    <x v="42"/>
  </r>
  <r>
    <s v="20035-14"/>
    <x v="7"/>
    <x v="1"/>
    <s v="T"/>
    <x v="0"/>
    <x v="0"/>
    <n v="34"/>
    <x v="43"/>
  </r>
  <r>
    <s v="200315-24"/>
    <x v="7"/>
    <x v="2"/>
    <s v="T"/>
    <x v="0"/>
    <x v="0"/>
    <n v="148"/>
    <x v="44"/>
  </r>
  <r>
    <s v="200325-44"/>
    <x v="7"/>
    <x v="3"/>
    <s v="T"/>
    <x v="0"/>
    <x v="0"/>
    <n v="1302"/>
    <x v="45"/>
  </r>
  <r>
    <s v="200345-64"/>
    <x v="7"/>
    <x v="4"/>
    <s v="T"/>
    <x v="0"/>
    <x v="0"/>
    <n v="5920"/>
    <x v="46"/>
  </r>
  <r>
    <s v="200365-74"/>
    <x v="7"/>
    <x v="5"/>
    <s v="T"/>
    <x v="0"/>
    <x v="0"/>
    <n v="5686"/>
    <x v="47"/>
  </r>
  <r>
    <s v="200375+"/>
    <x v="7"/>
    <x v="6"/>
    <s v="T"/>
    <x v="0"/>
    <x v="0"/>
    <n v="11428"/>
    <x v="47"/>
  </r>
  <r>
    <s v="20040-4"/>
    <x v="8"/>
    <x v="0"/>
    <s v="T"/>
    <x v="0"/>
    <x v="0"/>
    <n v="10"/>
    <x v="48"/>
  </r>
  <r>
    <s v="20045-14"/>
    <x v="8"/>
    <x v="1"/>
    <s v="T"/>
    <x v="0"/>
    <x v="0"/>
    <n v="18"/>
    <x v="49"/>
  </r>
  <r>
    <s v="200415-24"/>
    <x v="8"/>
    <x v="2"/>
    <s v="T"/>
    <x v="0"/>
    <x v="0"/>
    <n v="136"/>
    <x v="50"/>
  </r>
  <r>
    <s v="200425-44"/>
    <x v="8"/>
    <x v="3"/>
    <s v="T"/>
    <x v="0"/>
    <x v="0"/>
    <n v="1187"/>
    <x v="51"/>
  </r>
  <r>
    <s v="200445-64"/>
    <x v="8"/>
    <x v="4"/>
    <s v="T"/>
    <x v="0"/>
    <x v="0"/>
    <n v="6015"/>
    <x v="52"/>
  </r>
  <r>
    <s v="200465-74"/>
    <x v="8"/>
    <x v="5"/>
    <s v="T"/>
    <x v="0"/>
    <x v="0"/>
    <n v="5472"/>
    <x v="53"/>
  </r>
  <r>
    <s v="200475+"/>
    <x v="8"/>
    <x v="6"/>
    <s v="T"/>
    <x v="0"/>
    <x v="0"/>
    <n v="11443"/>
    <x v="53"/>
  </r>
  <r>
    <s v="20050-4"/>
    <x v="9"/>
    <x v="0"/>
    <s v="T"/>
    <x v="0"/>
    <x v="0"/>
    <n v="11"/>
    <x v="54"/>
  </r>
  <r>
    <s v="20055-14"/>
    <x v="9"/>
    <x v="1"/>
    <s v="T"/>
    <x v="0"/>
    <x v="0"/>
    <n v="10"/>
    <x v="55"/>
  </r>
  <r>
    <s v="200515-24"/>
    <x v="9"/>
    <x v="2"/>
    <s v="T"/>
    <x v="0"/>
    <x v="0"/>
    <n v="141"/>
    <x v="56"/>
  </r>
  <r>
    <s v="200525-44"/>
    <x v="9"/>
    <x v="3"/>
    <s v="T"/>
    <x v="0"/>
    <x v="0"/>
    <n v="1303"/>
    <x v="57"/>
  </r>
  <r>
    <s v="200545-64"/>
    <x v="9"/>
    <x v="4"/>
    <s v="T"/>
    <x v="0"/>
    <x v="0"/>
    <n v="6096"/>
    <x v="58"/>
  </r>
  <r>
    <s v="200565-74"/>
    <x v="9"/>
    <x v="5"/>
    <s v="T"/>
    <x v="0"/>
    <x v="0"/>
    <n v="5307"/>
    <x v="59"/>
  </r>
  <r>
    <s v="200575+"/>
    <x v="9"/>
    <x v="6"/>
    <s v="T"/>
    <x v="0"/>
    <x v="0"/>
    <n v="11485"/>
    <x v="59"/>
  </r>
  <r>
    <s v="20060-4"/>
    <x v="10"/>
    <x v="0"/>
    <s v="T"/>
    <x v="0"/>
    <x v="0"/>
    <n v="2"/>
    <x v="60"/>
  </r>
  <r>
    <s v="20065-14"/>
    <x v="10"/>
    <x v="1"/>
    <s v="T"/>
    <x v="0"/>
    <x v="0"/>
    <n v="15"/>
    <x v="61"/>
  </r>
  <r>
    <s v="200615-24"/>
    <x v="10"/>
    <x v="2"/>
    <s v="T"/>
    <x v="0"/>
    <x v="0"/>
    <n v="146"/>
    <x v="62"/>
  </r>
  <r>
    <s v="200625-44"/>
    <x v="10"/>
    <x v="3"/>
    <s v="T"/>
    <x v="0"/>
    <x v="0"/>
    <n v="1265"/>
    <x v="63"/>
  </r>
  <r>
    <s v="200645-64"/>
    <x v="10"/>
    <x v="4"/>
    <s v="T"/>
    <x v="0"/>
    <x v="0"/>
    <n v="6338"/>
    <x v="64"/>
  </r>
  <r>
    <s v="200665-74"/>
    <x v="10"/>
    <x v="5"/>
    <s v="T"/>
    <x v="0"/>
    <x v="0"/>
    <n v="5585"/>
    <x v="65"/>
  </r>
  <r>
    <s v="200675+"/>
    <x v="10"/>
    <x v="6"/>
    <s v="T"/>
    <x v="0"/>
    <x v="0"/>
    <n v="11626"/>
    <x v="65"/>
  </r>
  <r>
    <s v="20070-4"/>
    <x v="11"/>
    <x v="0"/>
    <s v="T"/>
    <x v="0"/>
    <x v="0"/>
    <n v="1"/>
    <x v="66"/>
  </r>
  <r>
    <s v="20075-14"/>
    <x v="11"/>
    <x v="1"/>
    <s v="T"/>
    <x v="0"/>
    <x v="0"/>
    <n v="14"/>
    <x v="67"/>
  </r>
  <r>
    <s v="200715-24"/>
    <x v="11"/>
    <x v="2"/>
    <s v="T"/>
    <x v="0"/>
    <x v="0"/>
    <n v="119"/>
    <x v="68"/>
  </r>
  <r>
    <s v="200725-44"/>
    <x v="11"/>
    <x v="3"/>
    <s v="T"/>
    <x v="0"/>
    <x v="0"/>
    <n v="1359"/>
    <x v="69"/>
  </r>
  <r>
    <s v="200745-64"/>
    <x v="11"/>
    <x v="4"/>
    <s v="T"/>
    <x v="0"/>
    <x v="0"/>
    <n v="6578"/>
    <x v="70"/>
  </r>
  <r>
    <s v="200765-74"/>
    <x v="11"/>
    <x v="5"/>
    <s v="T"/>
    <x v="0"/>
    <x v="0"/>
    <n v="5606"/>
    <x v="71"/>
  </r>
  <r>
    <s v="200775+"/>
    <x v="11"/>
    <x v="6"/>
    <s v="T"/>
    <x v="0"/>
    <x v="0"/>
    <n v="11923"/>
    <x v="71"/>
  </r>
  <r>
    <s v="20080-4"/>
    <x v="12"/>
    <x v="0"/>
    <s v="T"/>
    <x v="0"/>
    <x v="0"/>
    <n v="4"/>
    <x v="72"/>
  </r>
  <r>
    <s v="20085-14"/>
    <x v="12"/>
    <x v="1"/>
    <s v="T"/>
    <x v="0"/>
    <x v="0"/>
    <n v="7"/>
    <x v="73"/>
  </r>
  <r>
    <s v="200815-24"/>
    <x v="12"/>
    <x v="2"/>
    <s v="T"/>
    <x v="0"/>
    <x v="0"/>
    <n v="154"/>
    <x v="74"/>
  </r>
  <r>
    <s v="200825-44"/>
    <x v="12"/>
    <x v="3"/>
    <s v="T"/>
    <x v="0"/>
    <x v="0"/>
    <n v="1387"/>
    <x v="75"/>
  </r>
  <r>
    <s v="200845-64"/>
    <x v="12"/>
    <x v="4"/>
    <s v="T"/>
    <x v="0"/>
    <x v="0"/>
    <n v="7062"/>
    <x v="76"/>
  </r>
  <r>
    <s v="200865-74"/>
    <x v="12"/>
    <x v="5"/>
    <s v="T"/>
    <x v="0"/>
    <x v="0"/>
    <n v="5687"/>
    <x v="77"/>
  </r>
  <r>
    <s v="200875+"/>
    <x v="12"/>
    <x v="6"/>
    <s v="T"/>
    <x v="0"/>
    <x v="0"/>
    <n v="13241"/>
    <x v="77"/>
  </r>
  <r>
    <s v="20090-4"/>
    <x v="13"/>
    <x v="0"/>
    <s v="T"/>
    <x v="0"/>
    <x v="0"/>
    <n v="2"/>
    <x v="78"/>
  </r>
  <r>
    <s v="20095-14"/>
    <x v="13"/>
    <x v="1"/>
    <s v="T"/>
    <x v="0"/>
    <x v="0"/>
    <n v="9"/>
    <x v="79"/>
  </r>
  <r>
    <s v="200915-24"/>
    <x v="13"/>
    <x v="2"/>
    <s v="T"/>
    <x v="0"/>
    <x v="0"/>
    <n v="139"/>
    <x v="80"/>
  </r>
  <r>
    <s v="200925-44"/>
    <x v="13"/>
    <x v="3"/>
    <s v="T"/>
    <x v="0"/>
    <x v="0"/>
    <n v="1442"/>
    <x v="81"/>
  </r>
  <r>
    <s v="200945-64"/>
    <x v="13"/>
    <x v="4"/>
    <s v="T"/>
    <x v="0"/>
    <x v="0"/>
    <n v="7200"/>
    <x v="82"/>
  </r>
  <r>
    <s v="200965-74"/>
    <x v="13"/>
    <x v="5"/>
    <s v="T"/>
    <x v="0"/>
    <x v="0"/>
    <n v="5657"/>
    <x v="83"/>
  </r>
  <r>
    <s v="200975+"/>
    <x v="13"/>
    <x v="6"/>
    <s v="T"/>
    <x v="0"/>
    <x v="0"/>
    <n v="12904"/>
    <x v="83"/>
  </r>
  <r>
    <s v="20100-4"/>
    <x v="14"/>
    <x v="0"/>
    <s v="T"/>
    <x v="0"/>
    <x v="0"/>
    <n v="5"/>
    <x v="84"/>
  </r>
  <r>
    <s v="20105-14"/>
    <x v="14"/>
    <x v="1"/>
    <s v="T"/>
    <x v="0"/>
    <x v="0"/>
    <n v="10"/>
    <x v="85"/>
  </r>
  <r>
    <s v="201015-24"/>
    <x v="14"/>
    <x v="2"/>
    <s v="T"/>
    <x v="0"/>
    <x v="0"/>
    <n v="153"/>
    <x v="86"/>
  </r>
  <r>
    <s v="201025-44"/>
    <x v="14"/>
    <x v="3"/>
    <s v="T"/>
    <x v="0"/>
    <x v="0"/>
    <n v="1461"/>
    <x v="87"/>
  </r>
  <r>
    <s v="201045-64"/>
    <x v="14"/>
    <x v="4"/>
    <s v="T"/>
    <x v="0"/>
    <x v="0"/>
    <n v="7511"/>
    <x v="88"/>
  </r>
  <r>
    <s v="201065-74"/>
    <x v="14"/>
    <x v="5"/>
    <s v="T"/>
    <x v="0"/>
    <x v="0"/>
    <n v="6015"/>
    <x v="89"/>
  </r>
  <r>
    <s v="201075+"/>
    <x v="14"/>
    <x v="6"/>
    <s v="T"/>
    <x v="0"/>
    <x v="0"/>
    <n v="13923"/>
    <x v="89"/>
  </r>
  <r>
    <s v="20110-4"/>
    <x v="15"/>
    <x v="0"/>
    <s v="T"/>
    <x v="0"/>
    <x v="0"/>
    <n v="8"/>
    <x v="90"/>
  </r>
  <r>
    <s v="20115-14"/>
    <x v="15"/>
    <x v="1"/>
    <s v="T"/>
    <x v="0"/>
    <x v="0"/>
    <n v="24"/>
    <x v="91"/>
  </r>
  <r>
    <s v="201115-24"/>
    <x v="15"/>
    <x v="2"/>
    <s v="T"/>
    <x v="0"/>
    <x v="0"/>
    <n v="154"/>
    <x v="92"/>
  </r>
  <r>
    <s v="201125-44"/>
    <x v="15"/>
    <x v="3"/>
    <s v="T"/>
    <x v="0"/>
    <x v="0"/>
    <n v="1430"/>
    <x v="93"/>
  </r>
  <r>
    <s v="201145-64"/>
    <x v="15"/>
    <x v="4"/>
    <s v="T"/>
    <x v="0"/>
    <x v="0"/>
    <n v="7764"/>
    <x v="94"/>
  </r>
  <r>
    <s v="201165-74"/>
    <x v="15"/>
    <x v="5"/>
    <s v="T"/>
    <x v="0"/>
    <x v="0"/>
    <n v="6295"/>
    <x v="95"/>
  </r>
  <r>
    <s v="201175+"/>
    <x v="15"/>
    <x v="6"/>
    <s v="T"/>
    <x v="0"/>
    <x v="0"/>
    <n v="14873"/>
    <x v="95"/>
  </r>
  <r>
    <s v="20120-4"/>
    <x v="16"/>
    <x v="0"/>
    <s v="T"/>
    <x v="0"/>
    <x v="0"/>
    <n v="8"/>
    <x v="96"/>
  </r>
  <r>
    <s v="20125-14"/>
    <x v="16"/>
    <x v="1"/>
    <s v="T"/>
    <x v="0"/>
    <x v="0"/>
    <n v="13"/>
    <x v="97"/>
  </r>
  <r>
    <s v="201215-24"/>
    <x v="16"/>
    <x v="2"/>
    <s v="T"/>
    <x v="0"/>
    <x v="0"/>
    <n v="155"/>
    <x v="98"/>
  </r>
  <r>
    <s v="201225-44"/>
    <x v="16"/>
    <x v="3"/>
    <s v="T"/>
    <x v="0"/>
    <x v="0"/>
    <n v="1346"/>
    <x v="99"/>
  </r>
  <r>
    <s v="201245-64"/>
    <x v="16"/>
    <x v="4"/>
    <s v="T"/>
    <x v="0"/>
    <x v="0"/>
    <n v="7771"/>
    <x v="100"/>
  </r>
  <r>
    <s v="201265-74"/>
    <x v="16"/>
    <x v="5"/>
    <s v="T"/>
    <x v="0"/>
    <x v="0"/>
    <n v="6235"/>
    <x v="101"/>
  </r>
  <r>
    <s v="201275+"/>
    <x v="16"/>
    <x v="6"/>
    <s v="T"/>
    <x v="0"/>
    <x v="0"/>
    <n v="14939"/>
    <x v="101"/>
  </r>
  <r>
    <s v="20130-4"/>
    <x v="17"/>
    <x v="0"/>
    <s v="T"/>
    <x v="0"/>
    <x v="0"/>
    <n v="33"/>
    <x v="102"/>
  </r>
  <r>
    <s v="20135-14"/>
    <x v="17"/>
    <x v="1"/>
    <s v="T"/>
    <x v="0"/>
    <x v="0"/>
    <n v="9"/>
    <x v="103"/>
  </r>
  <r>
    <s v="201315-24"/>
    <x v="17"/>
    <x v="2"/>
    <s v="T"/>
    <x v="0"/>
    <x v="0"/>
    <n v="134"/>
    <x v="104"/>
  </r>
  <r>
    <s v="201325-44"/>
    <x v="17"/>
    <x v="3"/>
    <s v="T"/>
    <x v="0"/>
    <x v="0"/>
    <n v="1416"/>
    <x v="105"/>
  </r>
  <r>
    <s v="201345-64"/>
    <x v="17"/>
    <x v="4"/>
    <s v="T"/>
    <x v="0"/>
    <x v="0"/>
    <n v="7918"/>
    <x v="106"/>
  </r>
  <r>
    <s v="201365-74"/>
    <x v="17"/>
    <x v="5"/>
    <s v="T"/>
    <x v="0"/>
    <x v="0"/>
    <n v="6459"/>
    <x v="107"/>
  </r>
  <r>
    <s v="201375+"/>
    <x v="17"/>
    <x v="6"/>
    <s v="T"/>
    <x v="0"/>
    <x v="0"/>
    <n v="14930"/>
    <x v="107"/>
  </r>
  <r>
    <s v="20140-4"/>
    <x v="18"/>
    <x v="0"/>
    <s v="T"/>
    <x v="0"/>
    <x v="0"/>
    <n v="11"/>
    <x v="108"/>
  </r>
  <r>
    <s v="20145-14"/>
    <x v="18"/>
    <x v="1"/>
    <s v="T"/>
    <x v="0"/>
    <x v="0"/>
    <n v="18"/>
    <x v="109"/>
  </r>
  <r>
    <s v="201415-24"/>
    <x v="18"/>
    <x v="2"/>
    <s v="T"/>
    <x v="0"/>
    <x v="0"/>
    <n v="147"/>
    <x v="110"/>
  </r>
  <r>
    <s v="201425-44"/>
    <x v="18"/>
    <x v="3"/>
    <s v="T"/>
    <x v="0"/>
    <x v="0"/>
    <n v="1494"/>
    <x v="111"/>
  </r>
  <r>
    <s v="201445-64"/>
    <x v="18"/>
    <x v="4"/>
    <s v="T"/>
    <x v="0"/>
    <x v="0"/>
    <n v="8477"/>
    <x v="112"/>
  </r>
  <r>
    <s v="201465-74"/>
    <x v="18"/>
    <x v="5"/>
    <s v="T"/>
    <x v="0"/>
    <x v="0"/>
    <n v="7077"/>
    <x v="113"/>
  </r>
  <r>
    <s v="201475+"/>
    <x v="18"/>
    <x v="6"/>
    <s v="T"/>
    <x v="0"/>
    <x v="0"/>
    <n v="17448"/>
    <x v="113"/>
  </r>
  <r>
    <s v="19960-4"/>
    <x v="0"/>
    <x v="0"/>
    <s v="T"/>
    <x v="1"/>
    <x v="1"/>
    <n v="159"/>
    <x v="0"/>
  </r>
  <r>
    <s v="19965-14"/>
    <x v="0"/>
    <x v="1"/>
    <s v="T"/>
    <x v="1"/>
    <x v="1"/>
    <n v="266"/>
    <x v="1"/>
  </r>
  <r>
    <s v="199615-24"/>
    <x v="0"/>
    <x v="2"/>
    <s v="T"/>
    <x v="1"/>
    <x v="1"/>
    <n v="301"/>
    <x v="2"/>
  </r>
  <r>
    <s v="199625-44"/>
    <x v="0"/>
    <x v="3"/>
    <s v="T"/>
    <x v="1"/>
    <x v="1"/>
    <n v="1734"/>
    <x v="3"/>
  </r>
  <r>
    <s v="199645-64"/>
    <x v="0"/>
    <x v="4"/>
    <s v="T"/>
    <x v="1"/>
    <x v="1"/>
    <n v="4424"/>
    <x v="4"/>
  </r>
  <r>
    <s v="199665-74"/>
    <x v="0"/>
    <x v="5"/>
    <s v="T"/>
    <x v="1"/>
    <x v="1"/>
    <n v="3335"/>
    <x v="5"/>
  </r>
  <r>
    <s v="199675+"/>
    <x v="0"/>
    <x v="6"/>
    <s v="T"/>
    <x v="1"/>
    <x v="1"/>
    <n v="3401"/>
    <x v="5"/>
  </r>
  <r>
    <s v="19970-4"/>
    <x v="1"/>
    <x v="0"/>
    <s v="T"/>
    <x v="1"/>
    <x v="1"/>
    <n v="130"/>
    <x v="6"/>
  </r>
  <r>
    <s v="19975-14"/>
    <x v="1"/>
    <x v="1"/>
    <s v="T"/>
    <x v="1"/>
    <x v="1"/>
    <n v="242"/>
    <x v="7"/>
  </r>
  <r>
    <s v="199715-24"/>
    <x v="1"/>
    <x v="2"/>
    <s v="T"/>
    <x v="1"/>
    <x v="1"/>
    <n v="276"/>
    <x v="8"/>
  </r>
  <r>
    <s v="199725-44"/>
    <x v="1"/>
    <x v="3"/>
    <s v="T"/>
    <x v="1"/>
    <x v="1"/>
    <n v="1792"/>
    <x v="9"/>
  </r>
  <r>
    <s v="199745-64"/>
    <x v="1"/>
    <x v="4"/>
    <s v="T"/>
    <x v="1"/>
    <x v="1"/>
    <n v="4686"/>
    <x v="10"/>
  </r>
  <r>
    <s v="199765-74"/>
    <x v="1"/>
    <x v="5"/>
    <s v="T"/>
    <x v="1"/>
    <x v="1"/>
    <n v="3420"/>
    <x v="11"/>
  </r>
  <r>
    <s v="199775+"/>
    <x v="1"/>
    <x v="6"/>
    <s v="T"/>
    <x v="1"/>
    <x v="1"/>
    <n v="3478"/>
    <x v="11"/>
  </r>
  <r>
    <s v="19980-4"/>
    <x v="2"/>
    <x v="0"/>
    <s v="T"/>
    <x v="1"/>
    <x v="1"/>
    <n v="119"/>
    <x v="12"/>
  </r>
  <r>
    <s v="19985-14"/>
    <x v="2"/>
    <x v="1"/>
    <s v="T"/>
    <x v="1"/>
    <x v="1"/>
    <n v="215"/>
    <x v="13"/>
  </r>
  <r>
    <s v="199815-24"/>
    <x v="2"/>
    <x v="2"/>
    <s v="T"/>
    <x v="1"/>
    <x v="1"/>
    <n v="252"/>
    <x v="14"/>
  </r>
  <r>
    <s v="199825-44"/>
    <x v="2"/>
    <x v="3"/>
    <s v="T"/>
    <x v="1"/>
    <x v="1"/>
    <n v="1694"/>
    <x v="15"/>
  </r>
  <r>
    <s v="199845-64"/>
    <x v="2"/>
    <x v="4"/>
    <s v="T"/>
    <x v="1"/>
    <x v="1"/>
    <n v="4797"/>
    <x v="16"/>
  </r>
  <r>
    <s v="199865-74"/>
    <x v="2"/>
    <x v="5"/>
    <s v="T"/>
    <x v="1"/>
    <x v="1"/>
    <n v="3477"/>
    <x v="17"/>
  </r>
  <r>
    <s v="199875+"/>
    <x v="2"/>
    <x v="6"/>
    <s v="T"/>
    <x v="1"/>
    <x v="1"/>
    <n v="3607"/>
    <x v="17"/>
  </r>
  <r>
    <s v="19990-4"/>
    <x v="3"/>
    <x v="0"/>
    <s v="T"/>
    <x v="1"/>
    <x v="1"/>
    <n v="113"/>
    <x v="18"/>
  </r>
  <r>
    <s v="19995-14"/>
    <x v="3"/>
    <x v="1"/>
    <s v="T"/>
    <x v="1"/>
    <x v="1"/>
    <n v="252"/>
    <x v="19"/>
  </r>
  <r>
    <s v="199915-24"/>
    <x v="3"/>
    <x v="2"/>
    <s v="T"/>
    <x v="1"/>
    <x v="1"/>
    <n v="336"/>
    <x v="20"/>
  </r>
  <r>
    <s v="199925-44"/>
    <x v="3"/>
    <x v="3"/>
    <s v="T"/>
    <x v="1"/>
    <x v="1"/>
    <n v="1734"/>
    <x v="21"/>
  </r>
  <r>
    <s v="199945-64"/>
    <x v="3"/>
    <x v="4"/>
    <s v="T"/>
    <x v="1"/>
    <x v="1"/>
    <n v="4963"/>
    <x v="22"/>
  </r>
  <r>
    <s v="199965-74"/>
    <x v="3"/>
    <x v="5"/>
    <s v="T"/>
    <x v="1"/>
    <x v="1"/>
    <n v="3645"/>
    <x v="23"/>
  </r>
  <r>
    <s v="199975+"/>
    <x v="3"/>
    <x v="6"/>
    <s v="T"/>
    <x v="1"/>
    <x v="1"/>
    <n v="3849"/>
    <x v="23"/>
  </r>
  <r>
    <s v="20000-4"/>
    <x v="4"/>
    <x v="0"/>
    <s v="T"/>
    <x v="1"/>
    <x v="1"/>
    <n v="131"/>
    <x v="24"/>
  </r>
  <r>
    <s v="20005-14"/>
    <x v="4"/>
    <x v="1"/>
    <s v="T"/>
    <x v="1"/>
    <x v="1"/>
    <n v="244"/>
    <x v="25"/>
  </r>
  <r>
    <s v="200015-24"/>
    <x v="4"/>
    <x v="2"/>
    <s v="T"/>
    <x v="1"/>
    <x v="1"/>
    <n v="326"/>
    <x v="26"/>
  </r>
  <r>
    <s v="200025-44"/>
    <x v="4"/>
    <x v="3"/>
    <s v="T"/>
    <x v="1"/>
    <x v="1"/>
    <n v="1746"/>
    <x v="27"/>
  </r>
  <r>
    <s v="200045-64"/>
    <x v="4"/>
    <x v="4"/>
    <s v="T"/>
    <x v="1"/>
    <x v="1"/>
    <n v="4986"/>
    <x v="28"/>
  </r>
  <r>
    <s v="200065-74"/>
    <x v="4"/>
    <x v="5"/>
    <s v="T"/>
    <x v="1"/>
    <x v="1"/>
    <n v="3739"/>
    <x v="29"/>
  </r>
  <r>
    <s v="200075+"/>
    <x v="4"/>
    <x v="6"/>
    <s v="T"/>
    <x v="1"/>
    <x v="1"/>
    <n v="4039"/>
    <x v="29"/>
  </r>
  <r>
    <s v="20010-4"/>
    <x v="5"/>
    <x v="0"/>
    <s v="T"/>
    <x v="1"/>
    <x v="1"/>
    <n v="155"/>
    <x v="30"/>
  </r>
  <r>
    <s v="20015-14"/>
    <x v="5"/>
    <x v="1"/>
    <s v="T"/>
    <x v="1"/>
    <x v="1"/>
    <n v="235"/>
    <x v="31"/>
  </r>
  <r>
    <s v="200115-24"/>
    <x v="5"/>
    <x v="2"/>
    <s v="T"/>
    <x v="1"/>
    <x v="1"/>
    <n v="298"/>
    <x v="32"/>
  </r>
  <r>
    <s v="200125-44"/>
    <x v="5"/>
    <x v="3"/>
    <s v="T"/>
    <x v="1"/>
    <x v="1"/>
    <n v="1780"/>
    <x v="33"/>
  </r>
  <r>
    <s v="200145-64"/>
    <x v="5"/>
    <x v="4"/>
    <s v="T"/>
    <x v="1"/>
    <x v="1"/>
    <n v="5260"/>
    <x v="34"/>
  </r>
  <r>
    <s v="200165-74"/>
    <x v="5"/>
    <x v="5"/>
    <s v="T"/>
    <x v="1"/>
    <x v="1"/>
    <n v="3908"/>
    <x v="35"/>
  </r>
  <r>
    <s v="200175+"/>
    <x v="5"/>
    <x v="6"/>
    <s v="T"/>
    <x v="1"/>
    <x v="1"/>
    <n v="4093"/>
    <x v="35"/>
  </r>
  <r>
    <s v="20020-4"/>
    <x v="6"/>
    <x v="0"/>
    <s v="T"/>
    <x v="1"/>
    <x v="1"/>
    <n v="122"/>
    <x v="36"/>
  </r>
  <r>
    <s v="20025-14"/>
    <x v="6"/>
    <x v="1"/>
    <s v="T"/>
    <x v="1"/>
    <x v="1"/>
    <n v="240"/>
    <x v="37"/>
  </r>
  <r>
    <s v="200215-24"/>
    <x v="6"/>
    <x v="2"/>
    <s v="T"/>
    <x v="1"/>
    <x v="1"/>
    <n v="325"/>
    <x v="38"/>
  </r>
  <r>
    <s v="200225-44"/>
    <x v="6"/>
    <x v="3"/>
    <s v="T"/>
    <x v="1"/>
    <x v="1"/>
    <n v="1848"/>
    <x v="39"/>
  </r>
  <r>
    <s v="200245-64"/>
    <x v="6"/>
    <x v="4"/>
    <s v="T"/>
    <x v="1"/>
    <x v="1"/>
    <n v="5597"/>
    <x v="40"/>
  </r>
  <r>
    <s v="200265-74"/>
    <x v="6"/>
    <x v="5"/>
    <s v="T"/>
    <x v="1"/>
    <x v="1"/>
    <n v="3962"/>
    <x v="41"/>
  </r>
  <r>
    <s v="200275+"/>
    <x v="6"/>
    <x v="6"/>
    <s v="T"/>
    <x v="1"/>
    <x v="1"/>
    <n v="4297"/>
    <x v="41"/>
  </r>
  <r>
    <s v="20030-4"/>
    <x v="7"/>
    <x v="0"/>
    <s v="T"/>
    <x v="1"/>
    <x v="1"/>
    <n v="134"/>
    <x v="42"/>
  </r>
  <r>
    <s v="20035-14"/>
    <x v="7"/>
    <x v="1"/>
    <s v="T"/>
    <x v="1"/>
    <x v="1"/>
    <n v="209"/>
    <x v="43"/>
  </r>
  <r>
    <s v="200315-24"/>
    <x v="7"/>
    <x v="2"/>
    <s v="T"/>
    <x v="1"/>
    <x v="1"/>
    <n v="344"/>
    <x v="44"/>
  </r>
  <r>
    <s v="200325-44"/>
    <x v="7"/>
    <x v="3"/>
    <s v="T"/>
    <x v="1"/>
    <x v="1"/>
    <n v="1885"/>
    <x v="45"/>
  </r>
  <r>
    <s v="200345-64"/>
    <x v="7"/>
    <x v="4"/>
    <s v="T"/>
    <x v="1"/>
    <x v="1"/>
    <n v="5904"/>
    <x v="46"/>
  </r>
  <r>
    <s v="200365-74"/>
    <x v="7"/>
    <x v="5"/>
    <s v="T"/>
    <x v="1"/>
    <x v="1"/>
    <n v="4147"/>
    <x v="47"/>
  </r>
  <r>
    <s v="200375+"/>
    <x v="7"/>
    <x v="6"/>
    <s v="T"/>
    <x v="1"/>
    <x v="1"/>
    <n v="4611"/>
    <x v="47"/>
  </r>
  <r>
    <s v="20040-4"/>
    <x v="8"/>
    <x v="0"/>
    <s v="T"/>
    <x v="1"/>
    <x v="1"/>
    <n v="123"/>
    <x v="48"/>
  </r>
  <r>
    <s v="20045-14"/>
    <x v="8"/>
    <x v="1"/>
    <s v="T"/>
    <x v="1"/>
    <x v="1"/>
    <n v="246"/>
    <x v="49"/>
  </r>
  <r>
    <s v="200415-24"/>
    <x v="8"/>
    <x v="2"/>
    <s v="T"/>
    <x v="1"/>
    <x v="1"/>
    <n v="348"/>
    <x v="50"/>
  </r>
  <r>
    <s v="200425-44"/>
    <x v="8"/>
    <x v="3"/>
    <s v="T"/>
    <x v="1"/>
    <x v="1"/>
    <n v="1819"/>
    <x v="51"/>
  </r>
  <r>
    <s v="200445-64"/>
    <x v="8"/>
    <x v="4"/>
    <s v="T"/>
    <x v="1"/>
    <x v="1"/>
    <n v="6051"/>
    <x v="52"/>
  </r>
  <r>
    <s v="200465-74"/>
    <x v="8"/>
    <x v="5"/>
    <s v="T"/>
    <x v="1"/>
    <x v="1"/>
    <n v="4153"/>
    <x v="53"/>
  </r>
  <r>
    <s v="200475+"/>
    <x v="8"/>
    <x v="6"/>
    <s v="T"/>
    <x v="1"/>
    <x v="1"/>
    <n v="4767"/>
    <x v="53"/>
  </r>
  <r>
    <s v="20050-4"/>
    <x v="9"/>
    <x v="0"/>
    <s v="T"/>
    <x v="1"/>
    <x v="1"/>
    <n v="112"/>
    <x v="54"/>
  </r>
  <r>
    <s v="20055-14"/>
    <x v="9"/>
    <x v="1"/>
    <s v="T"/>
    <x v="1"/>
    <x v="1"/>
    <n v="210"/>
    <x v="55"/>
  </r>
  <r>
    <s v="200515-24"/>
    <x v="9"/>
    <x v="2"/>
    <s v="T"/>
    <x v="1"/>
    <x v="1"/>
    <n v="351"/>
    <x v="56"/>
  </r>
  <r>
    <s v="200525-44"/>
    <x v="9"/>
    <x v="3"/>
    <s v="T"/>
    <x v="1"/>
    <x v="1"/>
    <n v="1877"/>
    <x v="57"/>
  </r>
  <r>
    <s v="200545-64"/>
    <x v="9"/>
    <x v="4"/>
    <s v="T"/>
    <x v="1"/>
    <x v="1"/>
    <n v="6340"/>
    <x v="58"/>
  </r>
  <r>
    <s v="200565-74"/>
    <x v="9"/>
    <x v="5"/>
    <s v="T"/>
    <x v="1"/>
    <x v="1"/>
    <n v="4173"/>
    <x v="59"/>
  </r>
  <r>
    <s v="200575+"/>
    <x v="9"/>
    <x v="6"/>
    <s v="T"/>
    <x v="1"/>
    <x v="1"/>
    <n v="5092"/>
    <x v="59"/>
  </r>
  <r>
    <s v="20060-4"/>
    <x v="10"/>
    <x v="0"/>
    <s v="T"/>
    <x v="1"/>
    <x v="1"/>
    <n v="132"/>
    <x v="60"/>
  </r>
  <r>
    <s v="20065-14"/>
    <x v="10"/>
    <x v="1"/>
    <s v="T"/>
    <x v="1"/>
    <x v="1"/>
    <n v="239"/>
    <x v="61"/>
  </r>
  <r>
    <s v="200615-24"/>
    <x v="10"/>
    <x v="2"/>
    <s v="T"/>
    <x v="1"/>
    <x v="1"/>
    <n v="332"/>
    <x v="62"/>
  </r>
  <r>
    <s v="200625-44"/>
    <x v="10"/>
    <x v="3"/>
    <s v="T"/>
    <x v="1"/>
    <x v="1"/>
    <n v="1896"/>
    <x v="63"/>
  </r>
  <r>
    <s v="200645-64"/>
    <x v="10"/>
    <x v="4"/>
    <s v="T"/>
    <x v="1"/>
    <x v="1"/>
    <n v="6587"/>
    <x v="64"/>
  </r>
  <r>
    <s v="200665-74"/>
    <x v="10"/>
    <x v="5"/>
    <s v="T"/>
    <x v="1"/>
    <x v="1"/>
    <n v="4107"/>
    <x v="65"/>
  </r>
  <r>
    <s v="200675+"/>
    <x v="10"/>
    <x v="6"/>
    <s v="T"/>
    <x v="1"/>
    <x v="1"/>
    <n v="5250"/>
    <x v="65"/>
  </r>
  <r>
    <s v="20070-4"/>
    <x v="11"/>
    <x v="0"/>
    <s v="T"/>
    <x v="1"/>
    <x v="1"/>
    <n v="110"/>
    <x v="66"/>
  </r>
  <r>
    <s v="20075-14"/>
    <x v="11"/>
    <x v="1"/>
    <s v="T"/>
    <x v="1"/>
    <x v="1"/>
    <n v="225"/>
    <x v="67"/>
  </r>
  <r>
    <s v="200715-24"/>
    <x v="11"/>
    <x v="2"/>
    <s v="T"/>
    <x v="1"/>
    <x v="1"/>
    <n v="338"/>
    <x v="68"/>
  </r>
  <r>
    <s v="200725-44"/>
    <x v="11"/>
    <x v="3"/>
    <s v="T"/>
    <x v="1"/>
    <x v="1"/>
    <n v="1904"/>
    <x v="69"/>
  </r>
  <r>
    <s v="200745-64"/>
    <x v="11"/>
    <x v="4"/>
    <s v="T"/>
    <x v="1"/>
    <x v="1"/>
    <n v="6649"/>
    <x v="70"/>
  </r>
  <r>
    <s v="200765-74"/>
    <x v="11"/>
    <x v="5"/>
    <s v="T"/>
    <x v="1"/>
    <x v="1"/>
    <n v="4491"/>
    <x v="71"/>
  </r>
  <r>
    <s v="200775+"/>
    <x v="11"/>
    <x v="6"/>
    <s v="T"/>
    <x v="1"/>
    <x v="1"/>
    <n v="5537"/>
    <x v="71"/>
  </r>
  <r>
    <s v="20080-4"/>
    <x v="12"/>
    <x v="0"/>
    <s v="T"/>
    <x v="1"/>
    <x v="1"/>
    <n v="112"/>
    <x v="72"/>
  </r>
  <r>
    <s v="20085-14"/>
    <x v="12"/>
    <x v="1"/>
    <s v="T"/>
    <x v="1"/>
    <x v="1"/>
    <n v="226"/>
    <x v="73"/>
  </r>
  <r>
    <s v="200815-24"/>
    <x v="12"/>
    <x v="2"/>
    <s v="T"/>
    <x v="1"/>
    <x v="1"/>
    <n v="367"/>
    <x v="74"/>
  </r>
  <r>
    <s v="200825-44"/>
    <x v="12"/>
    <x v="3"/>
    <s v="T"/>
    <x v="1"/>
    <x v="1"/>
    <n v="1851"/>
    <x v="75"/>
  </r>
  <r>
    <s v="200845-64"/>
    <x v="12"/>
    <x v="4"/>
    <s v="T"/>
    <x v="1"/>
    <x v="1"/>
    <n v="6920"/>
    <x v="76"/>
  </r>
  <r>
    <s v="200865-74"/>
    <x v="12"/>
    <x v="5"/>
    <s v="T"/>
    <x v="1"/>
    <x v="1"/>
    <n v="4526"/>
    <x v="77"/>
  </r>
  <r>
    <s v="200875+"/>
    <x v="12"/>
    <x v="6"/>
    <s v="T"/>
    <x v="1"/>
    <x v="1"/>
    <n v="5794"/>
    <x v="77"/>
  </r>
  <r>
    <s v="20090-4"/>
    <x v="13"/>
    <x v="0"/>
    <s v="T"/>
    <x v="1"/>
    <x v="1"/>
    <n v="134"/>
    <x v="78"/>
  </r>
  <r>
    <s v="20095-14"/>
    <x v="13"/>
    <x v="1"/>
    <s v="T"/>
    <x v="1"/>
    <x v="1"/>
    <n v="213"/>
    <x v="79"/>
  </r>
  <r>
    <s v="200915-24"/>
    <x v="13"/>
    <x v="2"/>
    <s v="T"/>
    <x v="1"/>
    <x v="1"/>
    <n v="316"/>
    <x v="80"/>
  </r>
  <r>
    <s v="200925-44"/>
    <x v="13"/>
    <x v="3"/>
    <s v="T"/>
    <x v="1"/>
    <x v="1"/>
    <n v="1933"/>
    <x v="81"/>
  </r>
  <r>
    <s v="200945-64"/>
    <x v="13"/>
    <x v="4"/>
    <s v="T"/>
    <x v="1"/>
    <x v="1"/>
    <n v="7281"/>
    <x v="82"/>
  </r>
  <r>
    <s v="200965-74"/>
    <x v="13"/>
    <x v="5"/>
    <s v="T"/>
    <x v="1"/>
    <x v="1"/>
    <n v="4630"/>
    <x v="83"/>
  </r>
  <r>
    <s v="200975+"/>
    <x v="13"/>
    <x v="6"/>
    <s v="T"/>
    <x v="1"/>
    <x v="1"/>
    <n v="5781"/>
    <x v="83"/>
  </r>
  <r>
    <s v="20100-4"/>
    <x v="14"/>
    <x v="0"/>
    <s v="T"/>
    <x v="1"/>
    <x v="1"/>
    <n v="130"/>
    <x v="84"/>
  </r>
  <r>
    <s v="20105-14"/>
    <x v="14"/>
    <x v="1"/>
    <s v="T"/>
    <x v="1"/>
    <x v="1"/>
    <n v="212"/>
    <x v="85"/>
  </r>
  <r>
    <s v="201015-24"/>
    <x v="14"/>
    <x v="2"/>
    <s v="T"/>
    <x v="1"/>
    <x v="1"/>
    <n v="322"/>
    <x v="86"/>
  </r>
  <r>
    <s v="201025-44"/>
    <x v="14"/>
    <x v="3"/>
    <s v="T"/>
    <x v="1"/>
    <x v="1"/>
    <n v="2022"/>
    <x v="87"/>
  </r>
  <r>
    <s v="201045-64"/>
    <x v="14"/>
    <x v="4"/>
    <s v="T"/>
    <x v="1"/>
    <x v="1"/>
    <n v="7472"/>
    <x v="88"/>
  </r>
  <r>
    <s v="201065-74"/>
    <x v="14"/>
    <x v="5"/>
    <s v="T"/>
    <x v="1"/>
    <x v="1"/>
    <n v="4788"/>
    <x v="89"/>
  </r>
  <r>
    <s v="201075+"/>
    <x v="14"/>
    <x v="6"/>
    <s v="T"/>
    <x v="1"/>
    <x v="1"/>
    <n v="6239"/>
    <x v="89"/>
  </r>
  <r>
    <s v="20110-4"/>
    <x v="15"/>
    <x v="0"/>
    <s v="T"/>
    <x v="1"/>
    <x v="1"/>
    <n v="138"/>
    <x v="90"/>
  </r>
  <r>
    <s v="20115-14"/>
    <x v="15"/>
    <x v="1"/>
    <s v="T"/>
    <x v="1"/>
    <x v="1"/>
    <n v="265"/>
    <x v="91"/>
  </r>
  <r>
    <s v="201115-24"/>
    <x v="15"/>
    <x v="2"/>
    <s v="T"/>
    <x v="1"/>
    <x v="1"/>
    <n v="338"/>
    <x v="92"/>
  </r>
  <r>
    <s v="201125-44"/>
    <x v="15"/>
    <x v="3"/>
    <s v="T"/>
    <x v="1"/>
    <x v="1"/>
    <n v="2114"/>
    <x v="93"/>
  </r>
  <r>
    <s v="201145-64"/>
    <x v="15"/>
    <x v="4"/>
    <s v="T"/>
    <x v="1"/>
    <x v="1"/>
    <n v="7995"/>
    <x v="94"/>
  </r>
  <r>
    <s v="201165-74"/>
    <x v="15"/>
    <x v="5"/>
    <s v="T"/>
    <x v="1"/>
    <x v="1"/>
    <n v="5093"/>
    <x v="95"/>
  </r>
  <r>
    <s v="201175+"/>
    <x v="15"/>
    <x v="6"/>
    <s v="T"/>
    <x v="1"/>
    <x v="1"/>
    <n v="6384"/>
    <x v="95"/>
  </r>
  <r>
    <s v="20120-4"/>
    <x v="16"/>
    <x v="0"/>
    <s v="T"/>
    <x v="1"/>
    <x v="1"/>
    <n v="165"/>
    <x v="96"/>
  </r>
  <r>
    <s v="20125-14"/>
    <x v="16"/>
    <x v="1"/>
    <s v="T"/>
    <x v="1"/>
    <x v="1"/>
    <n v="254"/>
    <x v="97"/>
  </r>
  <r>
    <s v="201215-24"/>
    <x v="16"/>
    <x v="2"/>
    <s v="T"/>
    <x v="1"/>
    <x v="1"/>
    <n v="355"/>
    <x v="98"/>
  </r>
  <r>
    <s v="201225-44"/>
    <x v="16"/>
    <x v="3"/>
    <s v="T"/>
    <x v="1"/>
    <x v="1"/>
    <n v="2012"/>
    <x v="99"/>
  </r>
  <r>
    <s v="201245-64"/>
    <x v="16"/>
    <x v="4"/>
    <s v="T"/>
    <x v="1"/>
    <x v="1"/>
    <n v="8430"/>
    <x v="100"/>
  </r>
  <r>
    <s v="201265-74"/>
    <x v="16"/>
    <x v="5"/>
    <s v="T"/>
    <x v="1"/>
    <x v="1"/>
    <n v="5022"/>
    <x v="101"/>
  </r>
  <r>
    <s v="201275+"/>
    <x v="16"/>
    <x v="6"/>
    <s v="T"/>
    <x v="1"/>
    <x v="1"/>
    <n v="6576"/>
    <x v="101"/>
  </r>
  <r>
    <s v="20130-4"/>
    <x v="17"/>
    <x v="0"/>
    <s v="T"/>
    <x v="1"/>
    <x v="1"/>
    <n v="113"/>
    <x v="102"/>
  </r>
  <r>
    <s v="20135-14"/>
    <x v="17"/>
    <x v="1"/>
    <s v="T"/>
    <x v="1"/>
    <x v="1"/>
    <n v="239"/>
    <x v="103"/>
  </r>
  <r>
    <s v="201315-24"/>
    <x v="17"/>
    <x v="2"/>
    <s v="T"/>
    <x v="1"/>
    <x v="1"/>
    <n v="375"/>
    <x v="104"/>
  </r>
  <r>
    <s v="201325-44"/>
    <x v="17"/>
    <x v="3"/>
    <s v="T"/>
    <x v="1"/>
    <x v="1"/>
    <n v="2058"/>
    <x v="105"/>
  </r>
  <r>
    <s v="201345-64"/>
    <x v="17"/>
    <x v="4"/>
    <s v="T"/>
    <x v="1"/>
    <x v="1"/>
    <n v="8302"/>
    <x v="106"/>
  </r>
  <r>
    <s v="201365-74"/>
    <x v="17"/>
    <x v="5"/>
    <s v="T"/>
    <x v="1"/>
    <x v="1"/>
    <n v="5389"/>
    <x v="107"/>
  </r>
  <r>
    <s v="201375+"/>
    <x v="17"/>
    <x v="6"/>
    <s v="T"/>
    <x v="1"/>
    <x v="1"/>
    <n v="6643"/>
    <x v="107"/>
  </r>
  <r>
    <s v="20140-4"/>
    <x v="18"/>
    <x v="0"/>
    <s v="T"/>
    <x v="1"/>
    <x v="1"/>
    <n v="137"/>
    <x v="108"/>
  </r>
  <r>
    <s v="20145-14"/>
    <x v="18"/>
    <x v="1"/>
    <s v="T"/>
    <x v="1"/>
    <x v="1"/>
    <n v="219"/>
    <x v="109"/>
  </r>
  <r>
    <s v="201415-24"/>
    <x v="18"/>
    <x v="2"/>
    <s v="T"/>
    <x v="1"/>
    <x v="1"/>
    <n v="356"/>
    <x v="110"/>
  </r>
  <r>
    <s v="201425-44"/>
    <x v="18"/>
    <x v="3"/>
    <s v="T"/>
    <x v="1"/>
    <x v="1"/>
    <n v="2117"/>
    <x v="111"/>
  </r>
  <r>
    <s v="201445-64"/>
    <x v="18"/>
    <x v="4"/>
    <s v="T"/>
    <x v="1"/>
    <x v="1"/>
    <n v="8578"/>
    <x v="112"/>
  </r>
  <r>
    <s v="201465-74"/>
    <x v="18"/>
    <x v="5"/>
    <s v="T"/>
    <x v="1"/>
    <x v="1"/>
    <n v="5608"/>
    <x v="113"/>
  </r>
  <r>
    <s v="201475+"/>
    <x v="18"/>
    <x v="6"/>
    <s v="T"/>
    <x v="1"/>
    <x v="1"/>
    <n v="7184"/>
    <x v="113"/>
  </r>
  <r>
    <s v="19960-4"/>
    <x v="0"/>
    <x v="0"/>
    <s v="T"/>
    <x v="2"/>
    <x v="2"/>
    <n v="14"/>
    <x v="0"/>
  </r>
  <r>
    <s v="19965-14"/>
    <x v="0"/>
    <x v="1"/>
    <s v="T"/>
    <x v="2"/>
    <x v="2"/>
    <n v="18"/>
    <x v="1"/>
  </r>
  <r>
    <s v="199615-24"/>
    <x v="0"/>
    <x v="2"/>
    <s v="T"/>
    <x v="2"/>
    <x v="2"/>
    <n v="64"/>
    <x v="2"/>
  </r>
  <r>
    <s v="199625-44"/>
    <x v="0"/>
    <x v="3"/>
    <s v="T"/>
    <x v="2"/>
    <x v="2"/>
    <n v="517"/>
    <x v="3"/>
  </r>
  <r>
    <s v="199645-64"/>
    <x v="0"/>
    <x v="4"/>
    <s v="T"/>
    <x v="2"/>
    <x v="2"/>
    <n v="1783"/>
    <x v="4"/>
  </r>
  <r>
    <s v="199665-74"/>
    <x v="0"/>
    <x v="5"/>
    <s v="T"/>
    <x v="2"/>
    <x v="2"/>
    <n v="1780"/>
    <x v="5"/>
  </r>
  <r>
    <s v="199675+"/>
    <x v="0"/>
    <x v="6"/>
    <s v="T"/>
    <x v="2"/>
    <x v="2"/>
    <n v="3442"/>
    <x v="5"/>
  </r>
  <r>
    <s v="19970-4"/>
    <x v="1"/>
    <x v="0"/>
    <s v="T"/>
    <x v="2"/>
    <x v="2"/>
    <n v="16"/>
    <x v="6"/>
  </r>
  <r>
    <s v="19975-14"/>
    <x v="1"/>
    <x v="1"/>
    <s v="T"/>
    <x v="2"/>
    <x v="2"/>
    <n v="27"/>
    <x v="7"/>
  </r>
  <r>
    <s v="199715-24"/>
    <x v="1"/>
    <x v="2"/>
    <s v="T"/>
    <x v="2"/>
    <x v="2"/>
    <n v="63"/>
    <x v="8"/>
  </r>
  <r>
    <s v="199725-44"/>
    <x v="1"/>
    <x v="3"/>
    <s v="T"/>
    <x v="2"/>
    <x v="2"/>
    <n v="532"/>
    <x v="9"/>
  </r>
  <r>
    <s v="199745-64"/>
    <x v="1"/>
    <x v="4"/>
    <s v="T"/>
    <x v="2"/>
    <x v="2"/>
    <n v="1690"/>
    <x v="10"/>
  </r>
  <r>
    <s v="199765-74"/>
    <x v="1"/>
    <x v="5"/>
    <s v="T"/>
    <x v="2"/>
    <x v="2"/>
    <n v="1779"/>
    <x v="11"/>
  </r>
  <r>
    <s v="199775+"/>
    <x v="1"/>
    <x v="6"/>
    <s v="T"/>
    <x v="2"/>
    <x v="2"/>
    <n v="3419"/>
    <x v="11"/>
  </r>
  <r>
    <s v="19980-4"/>
    <x v="2"/>
    <x v="0"/>
    <s v="T"/>
    <x v="2"/>
    <x v="2"/>
    <n v="18"/>
    <x v="12"/>
  </r>
  <r>
    <s v="19985-14"/>
    <x v="2"/>
    <x v="1"/>
    <s v="T"/>
    <x v="2"/>
    <x v="2"/>
    <n v="35"/>
    <x v="13"/>
  </r>
  <r>
    <s v="199815-24"/>
    <x v="2"/>
    <x v="2"/>
    <s v="T"/>
    <x v="2"/>
    <x v="2"/>
    <n v="57"/>
    <x v="14"/>
  </r>
  <r>
    <s v="199825-44"/>
    <x v="2"/>
    <x v="3"/>
    <s v="T"/>
    <x v="2"/>
    <x v="2"/>
    <n v="513"/>
    <x v="15"/>
  </r>
  <r>
    <s v="199845-64"/>
    <x v="2"/>
    <x v="4"/>
    <s v="T"/>
    <x v="2"/>
    <x v="2"/>
    <n v="1787"/>
    <x v="16"/>
  </r>
  <r>
    <s v="199865-74"/>
    <x v="2"/>
    <x v="5"/>
    <s v="T"/>
    <x v="2"/>
    <x v="2"/>
    <n v="1817"/>
    <x v="17"/>
  </r>
  <r>
    <s v="199875+"/>
    <x v="2"/>
    <x v="6"/>
    <s v="T"/>
    <x v="2"/>
    <x v="2"/>
    <n v="3380"/>
    <x v="17"/>
  </r>
  <r>
    <s v="19990-4"/>
    <x v="3"/>
    <x v="0"/>
    <s v="T"/>
    <x v="2"/>
    <x v="2"/>
    <n v="29"/>
    <x v="18"/>
  </r>
  <r>
    <s v="19995-14"/>
    <x v="3"/>
    <x v="1"/>
    <s v="T"/>
    <x v="2"/>
    <x v="2"/>
    <n v="22"/>
    <x v="19"/>
  </r>
  <r>
    <s v="199915-24"/>
    <x v="3"/>
    <x v="2"/>
    <s v="T"/>
    <x v="2"/>
    <x v="2"/>
    <n v="63"/>
    <x v="20"/>
  </r>
  <r>
    <s v="199925-44"/>
    <x v="3"/>
    <x v="3"/>
    <s v="T"/>
    <x v="2"/>
    <x v="2"/>
    <n v="542"/>
    <x v="21"/>
  </r>
  <r>
    <s v="199945-64"/>
    <x v="3"/>
    <x v="4"/>
    <s v="T"/>
    <x v="2"/>
    <x v="2"/>
    <n v="1938"/>
    <x v="22"/>
  </r>
  <r>
    <s v="199965-74"/>
    <x v="3"/>
    <x v="5"/>
    <s v="T"/>
    <x v="2"/>
    <x v="2"/>
    <n v="1835"/>
    <x v="23"/>
  </r>
  <r>
    <s v="199975+"/>
    <x v="3"/>
    <x v="6"/>
    <s v="T"/>
    <x v="2"/>
    <x v="2"/>
    <n v="3736"/>
    <x v="23"/>
  </r>
  <r>
    <s v="20000-4"/>
    <x v="4"/>
    <x v="0"/>
    <s v="T"/>
    <x v="2"/>
    <x v="2"/>
    <n v="13"/>
    <x v="24"/>
  </r>
  <r>
    <s v="20005-14"/>
    <x v="4"/>
    <x v="1"/>
    <s v="T"/>
    <x v="2"/>
    <x v="2"/>
    <n v="22"/>
    <x v="25"/>
  </r>
  <r>
    <s v="200015-24"/>
    <x v="4"/>
    <x v="2"/>
    <s v="T"/>
    <x v="2"/>
    <x v="2"/>
    <n v="60"/>
    <x v="26"/>
  </r>
  <r>
    <s v="200025-44"/>
    <x v="4"/>
    <x v="3"/>
    <s v="T"/>
    <x v="2"/>
    <x v="2"/>
    <n v="571"/>
    <x v="27"/>
  </r>
  <r>
    <s v="200045-64"/>
    <x v="4"/>
    <x v="4"/>
    <s v="T"/>
    <x v="2"/>
    <x v="2"/>
    <n v="1810"/>
    <x v="28"/>
  </r>
  <r>
    <s v="200065-74"/>
    <x v="4"/>
    <x v="5"/>
    <s v="T"/>
    <x v="2"/>
    <x v="2"/>
    <n v="1798"/>
    <x v="29"/>
  </r>
  <r>
    <s v="200075+"/>
    <x v="4"/>
    <x v="6"/>
    <s v="T"/>
    <x v="2"/>
    <x v="2"/>
    <n v="3726"/>
    <x v="29"/>
  </r>
  <r>
    <s v="20010-4"/>
    <x v="5"/>
    <x v="0"/>
    <s v="T"/>
    <x v="2"/>
    <x v="2"/>
    <n v="10"/>
    <x v="30"/>
  </r>
  <r>
    <s v="20015-14"/>
    <x v="5"/>
    <x v="1"/>
    <s v="T"/>
    <x v="2"/>
    <x v="2"/>
    <n v="18"/>
    <x v="31"/>
  </r>
  <r>
    <s v="200115-24"/>
    <x v="5"/>
    <x v="2"/>
    <s v="T"/>
    <x v="2"/>
    <x v="2"/>
    <n v="59"/>
    <x v="32"/>
  </r>
  <r>
    <s v="200125-44"/>
    <x v="5"/>
    <x v="3"/>
    <s v="T"/>
    <x v="2"/>
    <x v="2"/>
    <n v="522"/>
    <x v="33"/>
  </r>
  <r>
    <s v="200145-64"/>
    <x v="5"/>
    <x v="4"/>
    <s v="T"/>
    <x v="2"/>
    <x v="2"/>
    <n v="1861"/>
    <x v="34"/>
  </r>
  <r>
    <s v="200165-74"/>
    <x v="5"/>
    <x v="5"/>
    <s v="T"/>
    <x v="2"/>
    <x v="2"/>
    <n v="1876"/>
    <x v="35"/>
  </r>
  <r>
    <s v="200175+"/>
    <x v="5"/>
    <x v="6"/>
    <s v="T"/>
    <x v="2"/>
    <x v="2"/>
    <n v="3971"/>
    <x v="35"/>
  </r>
  <r>
    <s v="20020-4"/>
    <x v="6"/>
    <x v="0"/>
    <s v="T"/>
    <x v="2"/>
    <x v="2"/>
    <n v="10"/>
    <x v="36"/>
  </r>
  <r>
    <s v="20025-14"/>
    <x v="6"/>
    <x v="1"/>
    <s v="T"/>
    <x v="2"/>
    <x v="2"/>
    <n v="30"/>
    <x v="37"/>
  </r>
  <r>
    <s v="200215-24"/>
    <x v="6"/>
    <x v="2"/>
    <s v="T"/>
    <x v="2"/>
    <x v="2"/>
    <n v="51"/>
    <x v="38"/>
  </r>
  <r>
    <s v="200225-44"/>
    <x v="6"/>
    <x v="3"/>
    <s v="T"/>
    <x v="2"/>
    <x v="2"/>
    <n v="486"/>
    <x v="39"/>
  </r>
  <r>
    <s v="200245-64"/>
    <x v="6"/>
    <x v="4"/>
    <s v="T"/>
    <x v="2"/>
    <x v="2"/>
    <n v="1908"/>
    <x v="40"/>
  </r>
  <r>
    <s v="200265-74"/>
    <x v="6"/>
    <x v="5"/>
    <s v="T"/>
    <x v="2"/>
    <x v="2"/>
    <n v="1832"/>
    <x v="41"/>
  </r>
  <r>
    <s v="200275+"/>
    <x v="6"/>
    <x v="6"/>
    <s v="T"/>
    <x v="2"/>
    <x v="2"/>
    <n v="3814"/>
    <x v="41"/>
  </r>
  <r>
    <s v="20030-4"/>
    <x v="7"/>
    <x v="0"/>
    <s v="T"/>
    <x v="2"/>
    <x v="2"/>
    <n v="5"/>
    <x v="42"/>
  </r>
  <r>
    <s v="20035-14"/>
    <x v="7"/>
    <x v="1"/>
    <s v="T"/>
    <x v="2"/>
    <x v="2"/>
    <n v="10"/>
    <x v="43"/>
  </r>
  <r>
    <s v="200315-24"/>
    <x v="7"/>
    <x v="2"/>
    <s v="T"/>
    <x v="2"/>
    <x v="2"/>
    <n v="62"/>
    <x v="44"/>
  </r>
  <r>
    <s v="200325-44"/>
    <x v="7"/>
    <x v="3"/>
    <s v="T"/>
    <x v="2"/>
    <x v="2"/>
    <n v="528"/>
    <x v="45"/>
  </r>
  <r>
    <s v="200345-64"/>
    <x v="7"/>
    <x v="4"/>
    <s v="T"/>
    <x v="2"/>
    <x v="2"/>
    <n v="1959"/>
    <x v="46"/>
  </r>
  <r>
    <s v="200365-74"/>
    <x v="7"/>
    <x v="5"/>
    <s v="T"/>
    <x v="2"/>
    <x v="2"/>
    <n v="1925"/>
    <x v="47"/>
  </r>
  <r>
    <s v="200375+"/>
    <x v="7"/>
    <x v="6"/>
    <s v="T"/>
    <x v="2"/>
    <x v="2"/>
    <n v="4293"/>
    <x v="47"/>
  </r>
  <r>
    <s v="20040-4"/>
    <x v="8"/>
    <x v="0"/>
    <s v="T"/>
    <x v="2"/>
    <x v="2"/>
    <n v="1"/>
    <x v="48"/>
  </r>
  <r>
    <s v="20045-14"/>
    <x v="8"/>
    <x v="1"/>
    <s v="T"/>
    <x v="2"/>
    <x v="2"/>
    <n v="7"/>
    <x v="49"/>
  </r>
  <r>
    <s v="200415-24"/>
    <x v="8"/>
    <x v="2"/>
    <s v="T"/>
    <x v="2"/>
    <x v="2"/>
    <n v="59"/>
    <x v="50"/>
  </r>
  <r>
    <s v="200425-44"/>
    <x v="8"/>
    <x v="3"/>
    <s v="T"/>
    <x v="2"/>
    <x v="2"/>
    <n v="477"/>
    <x v="51"/>
  </r>
  <r>
    <s v="200445-64"/>
    <x v="8"/>
    <x v="4"/>
    <s v="T"/>
    <x v="2"/>
    <x v="2"/>
    <n v="1909"/>
    <x v="52"/>
  </r>
  <r>
    <s v="200465-74"/>
    <x v="8"/>
    <x v="5"/>
    <s v="T"/>
    <x v="2"/>
    <x v="2"/>
    <n v="1735"/>
    <x v="53"/>
  </r>
  <r>
    <s v="200475+"/>
    <x v="8"/>
    <x v="6"/>
    <s v="T"/>
    <x v="2"/>
    <x v="2"/>
    <n v="4098"/>
    <x v="53"/>
  </r>
  <r>
    <s v="20050-4"/>
    <x v="9"/>
    <x v="0"/>
    <s v="T"/>
    <x v="2"/>
    <x v="2"/>
    <n v="3"/>
    <x v="54"/>
  </r>
  <r>
    <s v="20055-14"/>
    <x v="9"/>
    <x v="1"/>
    <s v="T"/>
    <x v="2"/>
    <x v="2"/>
    <n v="4"/>
    <x v="55"/>
  </r>
  <r>
    <s v="200515-24"/>
    <x v="9"/>
    <x v="2"/>
    <s v="T"/>
    <x v="2"/>
    <x v="2"/>
    <n v="74"/>
    <x v="56"/>
  </r>
  <r>
    <s v="200525-44"/>
    <x v="9"/>
    <x v="3"/>
    <s v="T"/>
    <x v="2"/>
    <x v="2"/>
    <n v="471"/>
    <x v="57"/>
  </r>
  <r>
    <s v="200545-64"/>
    <x v="9"/>
    <x v="4"/>
    <s v="T"/>
    <x v="2"/>
    <x v="2"/>
    <n v="1994"/>
    <x v="58"/>
  </r>
  <r>
    <s v="200565-74"/>
    <x v="9"/>
    <x v="5"/>
    <s v="T"/>
    <x v="2"/>
    <x v="2"/>
    <n v="1792"/>
    <x v="59"/>
  </r>
  <r>
    <s v="200575+"/>
    <x v="9"/>
    <x v="6"/>
    <s v="T"/>
    <x v="2"/>
    <x v="2"/>
    <n v="4357"/>
    <x v="59"/>
  </r>
  <r>
    <s v="20060-4"/>
    <x v="10"/>
    <x v="0"/>
    <s v="T"/>
    <x v="2"/>
    <x v="2"/>
    <n v="2"/>
    <x v="60"/>
  </r>
  <r>
    <s v="20065-14"/>
    <x v="10"/>
    <x v="1"/>
    <s v="T"/>
    <x v="2"/>
    <x v="2"/>
    <n v="10"/>
    <x v="61"/>
  </r>
  <r>
    <s v="200615-24"/>
    <x v="10"/>
    <x v="2"/>
    <s v="T"/>
    <x v="2"/>
    <x v="2"/>
    <n v="71"/>
    <x v="62"/>
  </r>
  <r>
    <s v="200625-44"/>
    <x v="10"/>
    <x v="3"/>
    <s v="T"/>
    <x v="2"/>
    <x v="2"/>
    <n v="511"/>
    <x v="63"/>
  </r>
  <r>
    <s v="200645-64"/>
    <x v="10"/>
    <x v="4"/>
    <s v="T"/>
    <x v="2"/>
    <x v="2"/>
    <n v="2107"/>
    <x v="64"/>
  </r>
  <r>
    <s v="200665-74"/>
    <x v="10"/>
    <x v="5"/>
    <s v="T"/>
    <x v="2"/>
    <x v="2"/>
    <n v="1966"/>
    <x v="65"/>
  </r>
  <r>
    <s v="200675+"/>
    <x v="10"/>
    <x v="6"/>
    <s v="T"/>
    <x v="2"/>
    <x v="2"/>
    <n v="4724"/>
    <x v="65"/>
  </r>
  <r>
    <s v="20070-4"/>
    <x v="11"/>
    <x v="0"/>
    <s v="T"/>
    <x v="2"/>
    <x v="2"/>
    <n v="3"/>
    <x v="66"/>
  </r>
  <r>
    <s v="20075-14"/>
    <x v="11"/>
    <x v="1"/>
    <s v="T"/>
    <x v="2"/>
    <x v="2"/>
    <n v="3"/>
    <x v="67"/>
  </r>
  <r>
    <s v="200715-24"/>
    <x v="11"/>
    <x v="2"/>
    <s v="T"/>
    <x v="2"/>
    <x v="2"/>
    <n v="74"/>
    <x v="68"/>
  </r>
  <r>
    <s v="200725-44"/>
    <x v="11"/>
    <x v="3"/>
    <s v="T"/>
    <x v="2"/>
    <x v="2"/>
    <n v="511"/>
    <x v="69"/>
  </r>
  <r>
    <s v="200745-64"/>
    <x v="11"/>
    <x v="4"/>
    <s v="T"/>
    <x v="2"/>
    <x v="2"/>
    <n v="2142"/>
    <x v="70"/>
  </r>
  <r>
    <s v="200765-74"/>
    <x v="11"/>
    <x v="5"/>
    <s v="T"/>
    <x v="2"/>
    <x v="2"/>
    <n v="1923"/>
    <x v="71"/>
  </r>
  <r>
    <s v="200775+"/>
    <x v="11"/>
    <x v="6"/>
    <s v="T"/>
    <x v="2"/>
    <x v="2"/>
    <n v="5043"/>
    <x v="71"/>
  </r>
  <r>
    <s v="20080-4"/>
    <x v="12"/>
    <x v="0"/>
    <s v="T"/>
    <x v="2"/>
    <x v="2"/>
    <n v="0"/>
    <x v="72"/>
  </r>
  <r>
    <s v="20085-14"/>
    <x v="12"/>
    <x v="1"/>
    <s v="T"/>
    <x v="2"/>
    <x v="2"/>
    <n v="12"/>
    <x v="73"/>
  </r>
  <r>
    <s v="200815-24"/>
    <x v="12"/>
    <x v="2"/>
    <s v="T"/>
    <x v="2"/>
    <x v="2"/>
    <n v="73"/>
    <x v="74"/>
  </r>
  <r>
    <s v="200825-44"/>
    <x v="12"/>
    <x v="3"/>
    <s v="T"/>
    <x v="2"/>
    <x v="2"/>
    <n v="486"/>
    <x v="75"/>
  </r>
  <r>
    <s v="200845-64"/>
    <x v="12"/>
    <x v="4"/>
    <s v="T"/>
    <x v="2"/>
    <x v="2"/>
    <n v="2273"/>
    <x v="76"/>
  </r>
  <r>
    <s v="200865-74"/>
    <x v="12"/>
    <x v="5"/>
    <s v="T"/>
    <x v="2"/>
    <x v="2"/>
    <n v="1992"/>
    <x v="77"/>
  </r>
  <r>
    <s v="200875+"/>
    <x v="12"/>
    <x v="6"/>
    <s v="T"/>
    <x v="2"/>
    <x v="2"/>
    <n v="5171"/>
    <x v="77"/>
  </r>
  <r>
    <s v="20090-4"/>
    <x v="13"/>
    <x v="0"/>
    <s v="T"/>
    <x v="2"/>
    <x v="2"/>
    <n v="9"/>
    <x v="78"/>
  </r>
  <r>
    <s v="20095-14"/>
    <x v="13"/>
    <x v="1"/>
    <s v="T"/>
    <x v="2"/>
    <x v="2"/>
    <n v="9"/>
    <x v="79"/>
  </r>
  <r>
    <s v="200915-24"/>
    <x v="13"/>
    <x v="2"/>
    <s v="T"/>
    <x v="2"/>
    <x v="2"/>
    <n v="68"/>
    <x v="80"/>
  </r>
  <r>
    <s v="200925-44"/>
    <x v="13"/>
    <x v="3"/>
    <s v="T"/>
    <x v="2"/>
    <x v="2"/>
    <n v="513"/>
    <x v="81"/>
  </r>
  <r>
    <s v="200945-64"/>
    <x v="13"/>
    <x v="4"/>
    <s v="T"/>
    <x v="2"/>
    <x v="2"/>
    <n v="2217"/>
    <x v="82"/>
  </r>
  <r>
    <s v="200965-74"/>
    <x v="13"/>
    <x v="5"/>
    <s v="T"/>
    <x v="2"/>
    <x v="2"/>
    <n v="1999"/>
    <x v="83"/>
  </r>
  <r>
    <s v="200975+"/>
    <x v="13"/>
    <x v="6"/>
    <s v="T"/>
    <x v="2"/>
    <x v="2"/>
    <n v="5219"/>
    <x v="83"/>
  </r>
  <r>
    <s v="20100-4"/>
    <x v="14"/>
    <x v="0"/>
    <s v="T"/>
    <x v="2"/>
    <x v="2"/>
    <n v="7"/>
    <x v="84"/>
  </r>
  <r>
    <s v="20105-14"/>
    <x v="14"/>
    <x v="1"/>
    <s v="T"/>
    <x v="2"/>
    <x v="2"/>
    <n v="18"/>
    <x v="85"/>
  </r>
  <r>
    <s v="201015-24"/>
    <x v="14"/>
    <x v="2"/>
    <s v="T"/>
    <x v="2"/>
    <x v="2"/>
    <n v="88"/>
    <x v="86"/>
  </r>
  <r>
    <s v="201025-44"/>
    <x v="14"/>
    <x v="3"/>
    <s v="T"/>
    <x v="2"/>
    <x v="2"/>
    <n v="464"/>
    <x v="87"/>
  </r>
  <r>
    <s v="201045-64"/>
    <x v="14"/>
    <x v="4"/>
    <s v="T"/>
    <x v="2"/>
    <x v="2"/>
    <n v="2291"/>
    <x v="88"/>
  </r>
  <r>
    <s v="201065-74"/>
    <x v="14"/>
    <x v="5"/>
    <s v="T"/>
    <x v="2"/>
    <x v="2"/>
    <n v="2124"/>
    <x v="89"/>
  </r>
  <r>
    <s v="201075+"/>
    <x v="14"/>
    <x v="6"/>
    <s v="T"/>
    <x v="2"/>
    <x v="2"/>
    <n v="5650"/>
    <x v="89"/>
  </r>
  <r>
    <s v="20110-4"/>
    <x v="15"/>
    <x v="0"/>
    <s v="T"/>
    <x v="2"/>
    <x v="2"/>
    <n v="9"/>
    <x v="90"/>
  </r>
  <r>
    <s v="20115-14"/>
    <x v="15"/>
    <x v="1"/>
    <s v="T"/>
    <x v="2"/>
    <x v="2"/>
    <n v="13"/>
    <x v="91"/>
  </r>
  <r>
    <s v="201115-24"/>
    <x v="15"/>
    <x v="2"/>
    <s v="T"/>
    <x v="2"/>
    <x v="2"/>
    <n v="72"/>
    <x v="92"/>
  </r>
  <r>
    <s v="201125-44"/>
    <x v="15"/>
    <x v="3"/>
    <s v="T"/>
    <x v="2"/>
    <x v="2"/>
    <n v="550"/>
    <x v="93"/>
  </r>
  <r>
    <s v="201145-64"/>
    <x v="15"/>
    <x v="4"/>
    <s v="T"/>
    <x v="2"/>
    <x v="2"/>
    <n v="2421"/>
    <x v="94"/>
  </r>
  <r>
    <s v="201165-74"/>
    <x v="15"/>
    <x v="5"/>
    <s v="T"/>
    <x v="2"/>
    <x v="2"/>
    <n v="2147"/>
    <x v="95"/>
  </r>
  <r>
    <s v="201175+"/>
    <x v="15"/>
    <x v="6"/>
    <s v="T"/>
    <x v="2"/>
    <x v="2"/>
    <n v="5840"/>
    <x v="95"/>
  </r>
  <r>
    <s v="20120-4"/>
    <x v="16"/>
    <x v="0"/>
    <s v="T"/>
    <x v="2"/>
    <x v="2"/>
    <n v="0"/>
    <x v="96"/>
  </r>
  <r>
    <s v="20125-14"/>
    <x v="16"/>
    <x v="1"/>
    <s v="T"/>
    <x v="2"/>
    <x v="2"/>
    <n v="9"/>
    <x v="97"/>
  </r>
  <r>
    <s v="201215-24"/>
    <x v="16"/>
    <x v="2"/>
    <s v="T"/>
    <x v="2"/>
    <x v="2"/>
    <n v="78"/>
    <x v="98"/>
  </r>
  <r>
    <s v="201225-44"/>
    <x v="16"/>
    <x v="3"/>
    <s v="T"/>
    <x v="2"/>
    <x v="2"/>
    <n v="515"/>
    <x v="99"/>
  </r>
  <r>
    <s v="201245-64"/>
    <x v="16"/>
    <x v="4"/>
    <s v="T"/>
    <x v="2"/>
    <x v="2"/>
    <n v="2545"/>
    <x v="100"/>
  </r>
  <r>
    <s v="201265-74"/>
    <x v="16"/>
    <x v="5"/>
    <s v="T"/>
    <x v="2"/>
    <x v="2"/>
    <n v="2204"/>
    <x v="101"/>
  </r>
  <r>
    <s v="201275+"/>
    <x v="16"/>
    <x v="6"/>
    <s v="T"/>
    <x v="2"/>
    <x v="2"/>
    <n v="5957"/>
    <x v="101"/>
  </r>
  <r>
    <s v="20130-4"/>
    <x v="17"/>
    <x v="0"/>
    <s v="T"/>
    <x v="2"/>
    <x v="2"/>
    <n v="18"/>
    <x v="102"/>
  </r>
  <r>
    <s v="20135-14"/>
    <x v="17"/>
    <x v="1"/>
    <s v="T"/>
    <x v="2"/>
    <x v="2"/>
    <n v="17"/>
    <x v="103"/>
  </r>
  <r>
    <s v="201315-24"/>
    <x v="17"/>
    <x v="2"/>
    <s v="T"/>
    <x v="2"/>
    <x v="2"/>
    <n v="83"/>
    <x v="104"/>
  </r>
  <r>
    <s v="201325-44"/>
    <x v="17"/>
    <x v="3"/>
    <s v="T"/>
    <x v="2"/>
    <x v="2"/>
    <n v="495"/>
    <x v="105"/>
  </r>
  <r>
    <s v="201345-64"/>
    <x v="17"/>
    <x v="4"/>
    <s v="T"/>
    <x v="2"/>
    <x v="2"/>
    <n v="2465"/>
    <x v="106"/>
  </r>
  <r>
    <s v="201365-74"/>
    <x v="17"/>
    <x v="5"/>
    <s v="T"/>
    <x v="2"/>
    <x v="2"/>
    <n v="2146"/>
    <x v="107"/>
  </r>
  <r>
    <s v="201375+"/>
    <x v="17"/>
    <x v="6"/>
    <s v="T"/>
    <x v="2"/>
    <x v="2"/>
    <n v="5940"/>
    <x v="107"/>
  </r>
  <r>
    <s v="20140-4"/>
    <x v="18"/>
    <x v="0"/>
    <s v="T"/>
    <x v="2"/>
    <x v="2"/>
    <n v="12"/>
    <x v="108"/>
  </r>
  <r>
    <s v="20145-14"/>
    <x v="18"/>
    <x v="1"/>
    <s v="T"/>
    <x v="2"/>
    <x v="2"/>
    <n v="19"/>
    <x v="109"/>
  </r>
  <r>
    <s v="201415-24"/>
    <x v="18"/>
    <x v="2"/>
    <s v="T"/>
    <x v="2"/>
    <x v="2"/>
    <n v="71"/>
    <x v="110"/>
  </r>
  <r>
    <s v="201425-44"/>
    <x v="18"/>
    <x v="3"/>
    <s v="T"/>
    <x v="2"/>
    <x v="2"/>
    <n v="529"/>
    <x v="111"/>
  </r>
  <r>
    <s v="201445-64"/>
    <x v="18"/>
    <x v="4"/>
    <s v="T"/>
    <x v="2"/>
    <x v="2"/>
    <n v="2521"/>
    <x v="112"/>
  </r>
  <r>
    <s v="201465-74"/>
    <x v="18"/>
    <x v="5"/>
    <s v="T"/>
    <x v="2"/>
    <x v="2"/>
    <n v="2271"/>
    <x v="113"/>
  </r>
  <r>
    <s v="201475+"/>
    <x v="18"/>
    <x v="6"/>
    <s v="T"/>
    <x v="2"/>
    <x v="2"/>
    <n v="6503"/>
    <x v="113"/>
  </r>
  <r>
    <s v="19960-4"/>
    <x v="0"/>
    <x v="0"/>
    <s v="T"/>
    <x v="3"/>
    <x v="3"/>
    <n v="786"/>
    <x v="0"/>
  </r>
  <r>
    <s v="19965-14"/>
    <x v="0"/>
    <x v="1"/>
    <s v="T"/>
    <x v="3"/>
    <x v="3"/>
    <n v="659"/>
    <x v="1"/>
  </r>
  <r>
    <s v="199615-24"/>
    <x v="0"/>
    <x v="2"/>
    <s v="T"/>
    <x v="3"/>
    <x v="3"/>
    <n v="1352"/>
    <x v="2"/>
  </r>
  <r>
    <s v="199625-44"/>
    <x v="0"/>
    <x v="3"/>
    <s v="T"/>
    <x v="3"/>
    <x v="3"/>
    <n v="2393"/>
    <x v="3"/>
  </r>
  <r>
    <s v="199645-64"/>
    <x v="0"/>
    <x v="4"/>
    <s v="T"/>
    <x v="3"/>
    <x v="3"/>
    <n v="1078"/>
    <x v="4"/>
  </r>
  <r>
    <s v="199665-74"/>
    <x v="0"/>
    <x v="5"/>
    <s v="T"/>
    <x v="3"/>
    <x v="3"/>
    <n v="380"/>
    <x v="5"/>
  </r>
  <r>
    <s v="199675+"/>
    <x v="0"/>
    <x v="6"/>
    <s v="T"/>
    <x v="3"/>
    <x v="3"/>
    <n v="534"/>
    <x v="5"/>
  </r>
  <r>
    <s v="19970-4"/>
    <x v="1"/>
    <x v="0"/>
    <s v="T"/>
    <x v="3"/>
    <x v="3"/>
    <n v="797"/>
    <x v="6"/>
  </r>
  <r>
    <s v="19975-14"/>
    <x v="1"/>
    <x v="1"/>
    <s v="T"/>
    <x v="3"/>
    <x v="3"/>
    <n v="647"/>
    <x v="7"/>
  </r>
  <r>
    <s v="199715-24"/>
    <x v="1"/>
    <x v="2"/>
    <s v="T"/>
    <x v="3"/>
    <x v="3"/>
    <n v="1312"/>
    <x v="8"/>
  </r>
  <r>
    <s v="199725-44"/>
    <x v="1"/>
    <x v="3"/>
    <s v="T"/>
    <x v="3"/>
    <x v="3"/>
    <n v="2273"/>
    <x v="9"/>
  </r>
  <r>
    <s v="199745-64"/>
    <x v="1"/>
    <x v="4"/>
    <s v="T"/>
    <x v="3"/>
    <x v="3"/>
    <n v="1113"/>
    <x v="10"/>
  </r>
  <r>
    <s v="199765-74"/>
    <x v="1"/>
    <x v="5"/>
    <s v="T"/>
    <x v="3"/>
    <x v="3"/>
    <n v="379"/>
    <x v="11"/>
  </r>
  <r>
    <s v="199775+"/>
    <x v="1"/>
    <x v="6"/>
    <s v="T"/>
    <x v="3"/>
    <x v="3"/>
    <n v="545"/>
    <x v="11"/>
  </r>
  <r>
    <s v="19980-4"/>
    <x v="2"/>
    <x v="0"/>
    <s v="T"/>
    <x v="3"/>
    <x v="3"/>
    <n v="869"/>
    <x v="12"/>
  </r>
  <r>
    <s v="19985-14"/>
    <x v="2"/>
    <x v="1"/>
    <s v="T"/>
    <x v="3"/>
    <x v="3"/>
    <n v="698"/>
    <x v="13"/>
  </r>
  <r>
    <s v="199815-24"/>
    <x v="2"/>
    <x v="2"/>
    <s v="T"/>
    <x v="3"/>
    <x v="3"/>
    <n v="1467"/>
    <x v="14"/>
  </r>
  <r>
    <s v="199825-44"/>
    <x v="2"/>
    <x v="3"/>
    <s v="T"/>
    <x v="3"/>
    <x v="3"/>
    <n v="2573"/>
    <x v="15"/>
  </r>
  <r>
    <s v="199845-64"/>
    <x v="2"/>
    <x v="4"/>
    <s v="T"/>
    <x v="3"/>
    <x v="3"/>
    <n v="1228"/>
    <x v="16"/>
  </r>
  <r>
    <s v="199865-74"/>
    <x v="2"/>
    <x v="5"/>
    <s v="T"/>
    <x v="3"/>
    <x v="3"/>
    <n v="424"/>
    <x v="17"/>
  </r>
  <r>
    <s v="199875+"/>
    <x v="2"/>
    <x v="6"/>
    <s v="T"/>
    <x v="3"/>
    <x v="3"/>
    <n v="525"/>
    <x v="17"/>
  </r>
  <r>
    <s v="19990-4"/>
    <x v="3"/>
    <x v="0"/>
    <s v="T"/>
    <x v="3"/>
    <x v="3"/>
    <n v="800"/>
    <x v="18"/>
  </r>
  <r>
    <s v="19995-14"/>
    <x v="3"/>
    <x v="1"/>
    <s v="T"/>
    <x v="3"/>
    <x v="3"/>
    <n v="682"/>
    <x v="19"/>
  </r>
  <r>
    <s v="199915-24"/>
    <x v="3"/>
    <x v="2"/>
    <s v="T"/>
    <x v="3"/>
    <x v="3"/>
    <n v="1495"/>
    <x v="20"/>
  </r>
  <r>
    <s v="199925-44"/>
    <x v="3"/>
    <x v="3"/>
    <s v="T"/>
    <x v="3"/>
    <x v="3"/>
    <n v="2595"/>
    <x v="21"/>
  </r>
  <r>
    <s v="199945-64"/>
    <x v="3"/>
    <x v="4"/>
    <s v="T"/>
    <x v="3"/>
    <x v="3"/>
    <n v="1279"/>
    <x v="22"/>
  </r>
  <r>
    <s v="199965-74"/>
    <x v="3"/>
    <x v="5"/>
    <s v="T"/>
    <x v="3"/>
    <x v="3"/>
    <n v="421"/>
    <x v="23"/>
  </r>
  <r>
    <s v="199975+"/>
    <x v="3"/>
    <x v="6"/>
    <s v="T"/>
    <x v="3"/>
    <x v="3"/>
    <n v="554"/>
    <x v="23"/>
  </r>
  <r>
    <s v="20000-4"/>
    <x v="4"/>
    <x v="0"/>
    <s v="T"/>
    <x v="3"/>
    <x v="3"/>
    <n v="681"/>
    <x v="24"/>
  </r>
  <r>
    <s v="20005-14"/>
    <x v="4"/>
    <x v="1"/>
    <s v="T"/>
    <x v="3"/>
    <x v="3"/>
    <n v="620"/>
    <x v="25"/>
  </r>
  <r>
    <s v="200015-24"/>
    <x v="4"/>
    <x v="2"/>
    <s v="T"/>
    <x v="3"/>
    <x v="3"/>
    <n v="1623"/>
    <x v="26"/>
  </r>
  <r>
    <s v="200025-44"/>
    <x v="4"/>
    <x v="3"/>
    <s v="T"/>
    <x v="3"/>
    <x v="3"/>
    <n v="2756"/>
    <x v="27"/>
  </r>
  <r>
    <s v="200045-64"/>
    <x v="4"/>
    <x v="4"/>
    <s v="T"/>
    <x v="3"/>
    <x v="3"/>
    <n v="1323"/>
    <x v="28"/>
  </r>
  <r>
    <s v="200065-74"/>
    <x v="4"/>
    <x v="5"/>
    <s v="T"/>
    <x v="3"/>
    <x v="3"/>
    <n v="410"/>
    <x v="29"/>
  </r>
  <r>
    <s v="200075+"/>
    <x v="4"/>
    <x v="6"/>
    <s v="T"/>
    <x v="3"/>
    <x v="3"/>
    <n v="520"/>
    <x v="29"/>
  </r>
  <r>
    <s v="20010-4"/>
    <x v="5"/>
    <x v="0"/>
    <s v="T"/>
    <x v="3"/>
    <x v="3"/>
    <n v="723"/>
    <x v="30"/>
  </r>
  <r>
    <s v="20015-14"/>
    <x v="5"/>
    <x v="1"/>
    <s v="T"/>
    <x v="3"/>
    <x v="3"/>
    <n v="654"/>
    <x v="31"/>
  </r>
  <r>
    <s v="200115-24"/>
    <x v="5"/>
    <x v="2"/>
    <s v="T"/>
    <x v="3"/>
    <x v="3"/>
    <n v="1772"/>
    <x v="32"/>
  </r>
  <r>
    <s v="200125-44"/>
    <x v="5"/>
    <x v="3"/>
    <s v="T"/>
    <x v="3"/>
    <x v="3"/>
    <n v="3188"/>
    <x v="33"/>
  </r>
  <r>
    <s v="200145-64"/>
    <x v="5"/>
    <x v="4"/>
    <s v="T"/>
    <x v="3"/>
    <x v="3"/>
    <n v="1484"/>
    <x v="34"/>
  </r>
  <r>
    <s v="200165-74"/>
    <x v="5"/>
    <x v="5"/>
    <s v="T"/>
    <x v="3"/>
    <x v="3"/>
    <n v="415"/>
    <x v="35"/>
  </r>
  <r>
    <s v="200175+"/>
    <x v="5"/>
    <x v="6"/>
    <s v="T"/>
    <x v="3"/>
    <x v="3"/>
    <n v="572"/>
    <x v="35"/>
  </r>
  <r>
    <s v="20020-4"/>
    <x v="6"/>
    <x v="0"/>
    <s v="T"/>
    <x v="3"/>
    <x v="3"/>
    <n v="758"/>
    <x v="36"/>
  </r>
  <r>
    <s v="20025-14"/>
    <x v="6"/>
    <x v="1"/>
    <s v="T"/>
    <x v="3"/>
    <x v="3"/>
    <n v="628"/>
    <x v="37"/>
  </r>
  <r>
    <s v="200215-24"/>
    <x v="6"/>
    <x v="2"/>
    <s v="T"/>
    <x v="3"/>
    <x v="3"/>
    <n v="1785"/>
    <x v="38"/>
  </r>
  <r>
    <s v="200225-44"/>
    <x v="6"/>
    <x v="3"/>
    <s v="T"/>
    <x v="3"/>
    <x v="3"/>
    <n v="2960"/>
    <x v="39"/>
  </r>
  <r>
    <s v="200245-64"/>
    <x v="6"/>
    <x v="4"/>
    <s v="T"/>
    <x v="3"/>
    <x v="3"/>
    <n v="1512"/>
    <x v="40"/>
  </r>
  <r>
    <s v="200265-74"/>
    <x v="6"/>
    <x v="5"/>
    <s v="T"/>
    <x v="3"/>
    <x v="3"/>
    <n v="443"/>
    <x v="41"/>
  </r>
  <r>
    <s v="200275+"/>
    <x v="6"/>
    <x v="6"/>
    <s v="T"/>
    <x v="3"/>
    <x v="3"/>
    <n v="594"/>
    <x v="41"/>
  </r>
  <r>
    <s v="20030-4"/>
    <x v="7"/>
    <x v="0"/>
    <s v="T"/>
    <x v="3"/>
    <x v="3"/>
    <n v="767"/>
    <x v="42"/>
  </r>
  <r>
    <s v="20035-14"/>
    <x v="7"/>
    <x v="1"/>
    <s v="T"/>
    <x v="3"/>
    <x v="3"/>
    <n v="591"/>
    <x v="43"/>
  </r>
  <r>
    <s v="200315-24"/>
    <x v="7"/>
    <x v="2"/>
    <s v="T"/>
    <x v="3"/>
    <x v="3"/>
    <n v="1603"/>
    <x v="44"/>
  </r>
  <r>
    <s v="200325-44"/>
    <x v="7"/>
    <x v="3"/>
    <s v="T"/>
    <x v="3"/>
    <x v="3"/>
    <n v="2831"/>
    <x v="45"/>
  </r>
  <r>
    <s v="200345-64"/>
    <x v="7"/>
    <x v="4"/>
    <s v="T"/>
    <x v="3"/>
    <x v="3"/>
    <n v="1462"/>
    <x v="46"/>
  </r>
  <r>
    <s v="200365-74"/>
    <x v="7"/>
    <x v="5"/>
    <s v="T"/>
    <x v="3"/>
    <x v="3"/>
    <n v="430"/>
    <x v="47"/>
  </r>
  <r>
    <s v="200375+"/>
    <x v="7"/>
    <x v="6"/>
    <s v="T"/>
    <x v="3"/>
    <x v="3"/>
    <n v="614"/>
    <x v="47"/>
  </r>
  <r>
    <s v="20040-4"/>
    <x v="8"/>
    <x v="0"/>
    <s v="T"/>
    <x v="3"/>
    <x v="3"/>
    <n v="695"/>
    <x v="48"/>
  </r>
  <r>
    <s v="20045-14"/>
    <x v="8"/>
    <x v="1"/>
    <s v="T"/>
    <x v="3"/>
    <x v="3"/>
    <n v="664"/>
    <x v="49"/>
  </r>
  <r>
    <s v="200415-24"/>
    <x v="8"/>
    <x v="2"/>
    <s v="T"/>
    <x v="3"/>
    <x v="3"/>
    <n v="1560"/>
    <x v="50"/>
  </r>
  <r>
    <s v="200425-44"/>
    <x v="8"/>
    <x v="3"/>
    <s v="T"/>
    <x v="3"/>
    <x v="3"/>
    <n v="2889"/>
    <x v="51"/>
  </r>
  <r>
    <s v="200445-64"/>
    <x v="8"/>
    <x v="4"/>
    <s v="T"/>
    <x v="3"/>
    <x v="3"/>
    <n v="1503"/>
    <x v="52"/>
  </r>
  <r>
    <s v="200465-74"/>
    <x v="8"/>
    <x v="5"/>
    <s v="T"/>
    <x v="3"/>
    <x v="3"/>
    <n v="440"/>
    <x v="53"/>
  </r>
  <r>
    <s v="200475+"/>
    <x v="8"/>
    <x v="6"/>
    <s v="T"/>
    <x v="3"/>
    <x v="3"/>
    <n v="635"/>
    <x v="53"/>
  </r>
  <r>
    <s v="20050-4"/>
    <x v="9"/>
    <x v="0"/>
    <s v="T"/>
    <x v="3"/>
    <x v="3"/>
    <n v="789"/>
    <x v="54"/>
  </r>
  <r>
    <s v="20055-14"/>
    <x v="9"/>
    <x v="1"/>
    <s v="T"/>
    <x v="3"/>
    <x v="3"/>
    <n v="618"/>
    <x v="55"/>
  </r>
  <r>
    <s v="200515-24"/>
    <x v="9"/>
    <x v="2"/>
    <s v="T"/>
    <x v="3"/>
    <x v="3"/>
    <n v="1463"/>
    <x v="56"/>
  </r>
  <r>
    <s v="200525-44"/>
    <x v="9"/>
    <x v="3"/>
    <s v="T"/>
    <x v="3"/>
    <x v="3"/>
    <n v="2920"/>
    <x v="57"/>
  </r>
  <r>
    <s v="200545-64"/>
    <x v="9"/>
    <x v="4"/>
    <s v="T"/>
    <x v="3"/>
    <x v="3"/>
    <n v="1555"/>
    <x v="58"/>
  </r>
  <r>
    <s v="200565-74"/>
    <x v="9"/>
    <x v="5"/>
    <s v="T"/>
    <x v="3"/>
    <x v="3"/>
    <n v="450"/>
    <x v="59"/>
  </r>
  <r>
    <s v="200575+"/>
    <x v="9"/>
    <x v="6"/>
    <s v="T"/>
    <x v="3"/>
    <x v="3"/>
    <n v="676"/>
    <x v="59"/>
  </r>
  <r>
    <s v="20060-4"/>
    <x v="10"/>
    <x v="0"/>
    <s v="T"/>
    <x v="3"/>
    <x v="3"/>
    <n v="705"/>
    <x v="60"/>
  </r>
  <r>
    <s v="20065-14"/>
    <x v="10"/>
    <x v="1"/>
    <s v="T"/>
    <x v="3"/>
    <x v="3"/>
    <n v="617"/>
    <x v="61"/>
  </r>
  <r>
    <s v="200615-24"/>
    <x v="10"/>
    <x v="2"/>
    <s v="T"/>
    <x v="3"/>
    <x v="3"/>
    <n v="1789"/>
    <x v="62"/>
  </r>
  <r>
    <s v="200625-44"/>
    <x v="10"/>
    <x v="3"/>
    <s v="T"/>
    <x v="3"/>
    <x v="3"/>
    <n v="3178"/>
    <x v="63"/>
  </r>
  <r>
    <s v="200645-64"/>
    <x v="10"/>
    <x v="4"/>
    <s v="T"/>
    <x v="3"/>
    <x v="3"/>
    <n v="1822"/>
    <x v="64"/>
  </r>
  <r>
    <s v="200665-74"/>
    <x v="10"/>
    <x v="5"/>
    <s v="T"/>
    <x v="3"/>
    <x v="3"/>
    <n v="541"/>
    <x v="65"/>
  </r>
  <r>
    <s v="200675+"/>
    <x v="10"/>
    <x v="6"/>
    <s v="T"/>
    <x v="3"/>
    <x v="3"/>
    <n v="701"/>
    <x v="65"/>
  </r>
  <r>
    <s v="20070-4"/>
    <x v="11"/>
    <x v="0"/>
    <s v="T"/>
    <x v="3"/>
    <x v="3"/>
    <n v="728"/>
    <x v="66"/>
  </r>
  <r>
    <s v="20075-14"/>
    <x v="11"/>
    <x v="1"/>
    <s v="T"/>
    <x v="3"/>
    <x v="3"/>
    <n v="614"/>
    <x v="67"/>
  </r>
  <r>
    <s v="200715-24"/>
    <x v="11"/>
    <x v="2"/>
    <s v="T"/>
    <x v="3"/>
    <x v="3"/>
    <n v="2220"/>
    <x v="68"/>
  </r>
  <r>
    <s v="200725-44"/>
    <x v="11"/>
    <x v="3"/>
    <s v="T"/>
    <x v="3"/>
    <x v="3"/>
    <n v="3779"/>
    <x v="69"/>
  </r>
  <r>
    <s v="200745-64"/>
    <x v="11"/>
    <x v="4"/>
    <s v="T"/>
    <x v="3"/>
    <x v="3"/>
    <n v="1954"/>
    <x v="70"/>
  </r>
  <r>
    <s v="200765-74"/>
    <x v="11"/>
    <x v="5"/>
    <s v="T"/>
    <x v="3"/>
    <x v="3"/>
    <n v="470"/>
    <x v="71"/>
  </r>
  <r>
    <s v="200775+"/>
    <x v="11"/>
    <x v="6"/>
    <s v="T"/>
    <x v="3"/>
    <x v="3"/>
    <n v="700"/>
    <x v="71"/>
  </r>
  <r>
    <s v="20080-4"/>
    <x v="12"/>
    <x v="0"/>
    <s v="T"/>
    <x v="3"/>
    <x v="3"/>
    <n v="712"/>
    <x v="72"/>
  </r>
  <r>
    <s v="20085-14"/>
    <x v="12"/>
    <x v="1"/>
    <s v="T"/>
    <x v="3"/>
    <x v="3"/>
    <n v="584"/>
    <x v="73"/>
  </r>
  <r>
    <s v="200815-24"/>
    <x v="12"/>
    <x v="2"/>
    <s v="T"/>
    <x v="3"/>
    <x v="3"/>
    <n v="2495"/>
    <x v="74"/>
  </r>
  <r>
    <s v="200825-44"/>
    <x v="12"/>
    <x v="3"/>
    <s v="T"/>
    <x v="3"/>
    <x v="3"/>
    <n v="3838"/>
    <x v="75"/>
  </r>
  <r>
    <s v="200845-64"/>
    <x v="12"/>
    <x v="4"/>
    <s v="T"/>
    <x v="3"/>
    <x v="3"/>
    <n v="1996"/>
    <x v="76"/>
  </r>
  <r>
    <s v="200865-74"/>
    <x v="12"/>
    <x v="5"/>
    <s v="T"/>
    <x v="3"/>
    <x v="3"/>
    <n v="516"/>
    <x v="77"/>
  </r>
  <r>
    <s v="200875+"/>
    <x v="12"/>
    <x v="6"/>
    <s v="T"/>
    <x v="3"/>
    <x v="3"/>
    <n v="744"/>
    <x v="77"/>
  </r>
  <r>
    <s v="20090-4"/>
    <x v="13"/>
    <x v="0"/>
    <s v="T"/>
    <x v="3"/>
    <x v="3"/>
    <n v="739"/>
    <x v="78"/>
  </r>
  <r>
    <s v="20095-14"/>
    <x v="13"/>
    <x v="1"/>
    <s v="T"/>
    <x v="3"/>
    <x v="3"/>
    <n v="527"/>
    <x v="79"/>
  </r>
  <r>
    <s v="200915-24"/>
    <x v="13"/>
    <x v="2"/>
    <s v="T"/>
    <x v="3"/>
    <x v="3"/>
    <n v="2186"/>
    <x v="80"/>
  </r>
  <r>
    <s v="200925-44"/>
    <x v="13"/>
    <x v="3"/>
    <s v="T"/>
    <x v="3"/>
    <x v="3"/>
    <n v="3683"/>
    <x v="81"/>
  </r>
  <r>
    <s v="200945-64"/>
    <x v="13"/>
    <x v="4"/>
    <s v="T"/>
    <x v="3"/>
    <x v="3"/>
    <n v="1935"/>
    <x v="82"/>
  </r>
  <r>
    <s v="200965-74"/>
    <x v="13"/>
    <x v="5"/>
    <s v="T"/>
    <x v="3"/>
    <x v="3"/>
    <n v="450"/>
    <x v="83"/>
  </r>
  <r>
    <s v="200975+"/>
    <x v="13"/>
    <x v="6"/>
    <s v="T"/>
    <x v="3"/>
    <x v="3"/>
    <n v="626"/>
    <x v="83"/>
  </r>
  <r>
    <s v="20100-4"/>
    <x v="14"/>
    <x v="0"/>
    <s v="T"/>
    <x v="3"/>
    <x v="3"/>
    <n v="706"/>
    <x v="84"/>
  </r>
  <r>
    <s v="20105-14"/>
    <x v="14"/>
    <x v="1"/>
    <s v="T"/>
    <x v="3"/>
    <x v="3"/>
    <n v="475"/>
    <x v="85"/>
  </r>
  <r>
    <s v="201015-24"/>
    <x v="14"/>
    <x v="2"/>
    <s v="T"/>
    <x v="3"/>
    <x v="3"/>
    <n v="1886"/>
    <x v="86"/>
  </r>
  <r>
    <s v="201025-44"/>
    <x v="14"/>
    <x v="3"/>
    <s v="T"/>
    <x v="3"/>
    <x v="3"/>
    <n v="3286"/>
    <x v="87"/>
  </r>
  <r>
    <s v="201045-64"/>
    <x v="14"/>
    <x v="4"/>
    <s v="T"/>
    <x v="3"/>
    <x v="3"/>
    <n v="1725"/>
    <x v="88"/>
  </r>
  <r>
    <s v="201065-74"/>
    <x v="14"/>
    <x v="5"/>
    <s v="T"/>
    <x v="3"/>
    <x v="3"/>
    <n v="429"/>
    <x v="89"/>
  </r>
  <r>
    <s v="201075+"/>
    <x v="14"/>
    <x v="6"/>
    <s v="T"/>
    <x v="3"/>
    <x v="3"/>
    <n v="648"/>
    <x v="89"/>
  </r>
  <r>
    <s v="20110-4"/>
    <x v="15"/>
    <x v="0"/>
    <s v="T"/>
    <x v="3"/>
    <x v="3"/>
    <n v="686"/>
    <x v="90"/>
  </r>
  <r>
    <s v="20115-14"/>
    <x v="15"/>
    <x v="1"/>
    <s v="T"/>
    <x v="3"/>
    <x v="3"/>
    <n v="451"/>
    <x v="91"/>
  </r>
  <r>
    <s v="201115-24"/>
    <x v="15"/>
    <x v="2"/>
    <s v="T"/>
    <x v="3"/>
    <x v="3"/>
    <n v="1831"/>
    <x v="92"/>
  </r>
  <r>
    <s v="201125-44"/>
    <x v="15"/>
    <x v="3"/>
    <s v="T"/>
    <x v="3"/>
    <x v="3"/>
    <n v="3127"/>
    <x v="93"/>
  </r>
  <r>
    <s v="201145-64"/>
    <x v="15"/>
    <x v="4"/>
    <s v="T"/>
    <x v="3"/>
    <x v="3"/>
    <n v="1704"/>
    <x v="94"/>
  </r>
  <r>
    <s v="201165-74"/>
    <x v="15"/>
    <x v="5"/>
    <s v="T"/>
    <x v="3"/>
    <x v="3"/>
    <n v="476"/>
    <x v="95"/>
  </r>
  <r>
    <s v="201175+"/>
    <x v="15"/>
    <x v="6"/>
    <s v="T"/>
    <x v="3"/>
    <x v="3"/>
    <n v="695"/>
    <x v="95"/>
  </r>
  <r>
    <s v="20120-4"/>
    <x v="16"/>
    <x v="0"/>
    <s v="T"/>
    <x v="3"/>
    <x v="3"/>
    <n v="664"/>
    <x v="96"/>
  </r>
  <r>
    <s v="20125-14"/>
    <x v="16"/>
    <x v="1"/>
    <s v="T"/>
    <x v="3"/>
    <x v="3"/>
    <n v="426"/>
    <x v="97"/>
  </r>
  <r>
    <s v="201215-24"/>
    <x v="16"/>
    <x v="2"/>
    <s v="T"/>
    <x v="3"/>
    <x v="3"/>
    <n v="2378"/>
    <x v="98"/>
  </r>
  <r>
    <s v="201225-44"/>
    <x v="16"/>
    <x v="3"/>
    <s v="T"/>
    <x v="3"/>
    <x v="3"/>
    <n v="3465"/>
    <x v="99"/>
  </r>
  <r>
    <s v="201245-64"/>
    <x v="16"/>
    <x v="4"/>
    <s v="T"/>
    <x v="3"/>
    <x v="3"/>
    <n v="1823"/>
    <x v="100"/>
  </r>
  <r>
    <s v="201265-74"/>
    <x v="16"/>
    <x v="5"/>
    <s v="T"/>
    <x v="3"/>
    <x v="3"/>
    <n v="421"/>
    <x v="101"/>
  </r>
  <r>
    <s v="201275+"/>
    <x v="16"/>
    <x v="6"/>
    <s v="T"/>
    <x v="3"/>
    <x v="3"/>
    <n v="684"/>
    <x v="101"/>
  </r>
  <r>
    <s v="20130-4"/>
    <x v="17"/>
    <x v="0"/>
    <s v="T"/>
    <x v="3"/>
    <x v="3"/>
    <n v="628"/>
    <x v="102"/>
  </r>
  <r>
    <s v="20135-14"/>
    <x v="17"/>
    <x v="1"/>
    <s v="T"/>
    <x v="3"/>
    <x v="3"/>
    <n v="434"/>
    <x v="103"/>
  </r>
  <r>
    <s v="201315-24"/>
    <x v="17"/>
    <x v="2"/>
    <s v="T"/>
    <x v="3"/>
    <x v="3"/>
    <n v="2384"/>
    <x v="104"/>
  </r>
  <r>
    <s v="201325-44"/>
    <x v="17"/>
    <x v="3"/>
    <s v="T"/>
    <x v="3"/>
    <x v="3"/>
    <n v="3439"/>
    <x v="105"/>
  </r>
  <r>
    <s v="201345-64"/>
    <x v="17"/>
    <x v="4"/>
    <s v="T"/>
    <x v="3"/>
    <x v="3"/>
    <n v="1721"/>
    <x v="106"/>
  </r>
  <r>
    <s v="201365-74"/>
    <x v="17"/>
    <x v="5"/>
    <s v="T"/>
    <x v="3"/>
    <x v="3"/>
    <n v="450"/>
    <x v="107"/>
  </r>
  <r>
    <s v="201375+"/>
    <x v="17"/>
    <x v="6"/>
    <s v="T"/>
    <x v="3"/>
    <x v="3"/>
    <n v="664"/>
    <x v="107"/>
  </r>
  <r>
    <s v="20140-4"/>
    <x v="18"/>
    <x v="0"/>
    <s v="T"/>
    <x v="3"/>
    <x v="3"/>
    <n v="635"/>
    <x v="108"/>
  </r>
  <r>
    <s v="20145-14"/>
    <x v="18"/>
    <x v="1"/>
    <s v="T"/>
    <x v="3"/>
    <x v="3"/>
    <n v="376"/>
    <x v="109"/>
  </r>
  <r>
    <s v="201415-24"/>
    <x v="18"/>
    <x v="2"/>
    <s v="T"/>
    <x v="3"/>
    <x v="3"/>
    <n v="2077"/>
    <x v="110"/>
  </r>
  <r>
    <s v="201425-44"/>
    <x v="18"/>
    <x v="3"/>
    <s v="T"/>
    <x v="3"/>
    <x v="3"/>
    <n v="3243"/>
    <x v="111"/>
  </r>
  <r>
    <s v="201445-64"/>
    <x v="18"/>
    <x v="4"/>
    <s v="T"/>
    <x v="3"/>
    <x v="3"/>
    <n v="1803"/>
    <x v="112"/>
  </r>
  <r>
    <s v="201465-74"/>
    <x v="18"/>
    <x v="5"/>
    <s v="T"/>
    <x v="3"/>
    <x v="3"/>
    <n v="436"/>
    <x v="113"/>
  </r>
  <r>
    <s v="201475+"/>
    <x v="18"/>
    <x v="6"/>
    <s v="T"/>
    <x v="3"/>
    <x v="3"/>
    <n v="639"/>
    <x v="113"/>
  </r>
  <r>
    <s v="19960-4"/>
    <x v="0"/>
    <x v="0"/>
    <s v="T"/>
    <x v="4"/>
    <x v="4"/>
    <n v="32"/>
    <x v="0"/>
  </r>
  <r>
    <s v="19965-14"/>
    <x v="0"/>
    <x v="1"/>
    <s v="T"/>
    <x v="4"/>
    <x v="4"/>
    <n v="105"/>
    <x v="1"/>
  </r>
  <r>
    <s v="199615-24"/>
    <x v="0"/>
    <x v="2"/>
    <s v="T"/>
    <x v="4"/>
    <x v="4"/>
    <n v="1694"/>
    <x v="2"/>
  </r>
  <r>
    <s v="199625-44"/>
    <x v="0"/>
    <x v="3"/>
    <s v="T"/>
    <x v="4"/>
    <x v="4"/>
    <n v="1811"/>
    <x v="3"/>
  </r>
  <r>
    <s v="199645-64"/>
    <x v="0"/>
    <x v="4"/>
    <s v="T"/>
    <x v="4"/>
    <x v="4"/>
    <n v="502"/>
    <x v="4"/>
  </r>
  <r>
    <s v="199665-74"/>
    <x v="0"/>
    <x v="5"/>
    <s v="T"/>
    <x v="4"/>
    <x v="4"/>
    <n v="125"/>
    <x v="5"/>
  </r>
  <r>
    <s v="199675+"/>
    <x v="0"/>
    <x v="6"/>
    <s v="T"/>
    <x v="4"/>
    <x v="4"/>
    <n v="68"/>
    <x v="5"/>
  </r>
  <r>
    <s v="19970-4"/>
    <x v="1"/>
    <x v="0"/>
    <s v="T"/>
    <x v="4"/>
    <x v="4"/>
    <n v="38"/>
    <x v="6"/>
  </r>
  <r>
    <s v="19975-14"/>
    <x v="1"/>
    <x v="1"/>
    <s v="T"/>
    <x v="4"/>
    <x v="4"/>
    <n v="108"/>
    <x v="7"/>
  </r>
  <r>
    <s v="199715-24"/>
    <x v="1"/>
    <x v="2"/>
    <s v="T"/>
    <x v="4"/>
    <x v="4"/>
    <n v="1478"/>
    <x v="8"/>
  </r>
  <r>
    <s v="199725-44"/>
    <x v="1"/>
    <x v="3"/>
    <s v="T"/>
    <x v="4"/>
    <x v="4"/>
    <n v="1676"/>
    <x v="9"/>
  </r>
  <r>
    <s v="199745-64"/>
    <x v="1"/>
    <x v="4"/>
    <s v="T"/>
    <x v="4"/>
    <x v="4"/>
    <n v="457"/>
    <x v="10"/>
  </r>
  <r>
    <s v="199765-74"/>
    <x v="1"/>
    <x v="5"/>
    <s v="T"/>
    <x v="4"/>
    <x v="4"/>
    <n v="101"/>
    <x v="11"/>
  </r>
  <r>
    <s v="199775+"/>
    <x v="1"/>
    <x v="6"/>
    <s v="T"/>
    <x v="4"/>
    <x v="4"/>
    <n v="81"/>
    <x v="11"/>
  </r>
  <r>
    <s v="19980-4"/>
    <x v="2"/>
    <x v="0"/>
    <s v="T"/>
    <x v="4"/>
    <x v="4"/>
    <n v="35"/>
    <x v="12"/>
  </r>
  <r>
    <s v="19985-14"/>
    <x v="2"/>
    <x v="1"/>
    <s v="T"/>
    <x v="4"/>
    <x v="4"/>
    <n v="94"/>
    <x v="13"/>
  </r>
  <r>
    <s v="199815-24"/>
    <x v="2"/>
    <x v="2"/>
    <s v="T"/>
    <x v="4"/>
    <x v="4"/>
    <n v="1441"/>
    <x v="14"/>
  </r>
  <r>
    <s v="199825-44"/>
    <x v="2"/>
    <x v="3"/>
    <s v="T"/>
    <x v="4"/>
    <x v="4"/>
    <n v="1745"/>
    <x v="15"/>
  </r>
  <r>
    <s v="199845-64"/>
    <x v="2"/>
    <x v="4"/>
    <s v="T"/>
    <x v="4"/>
    <x v="4"/>
    <n v="489"/>
    <x v="16"/>
  </r>
  <r>
    <s v="199865-74"/>
    <x v="2"/>
    <x v="5"/>
    <s v="T"/>
    <x v="4"/>
    <x v="4"/>
    <n v="85"/>
    <x v="17"/>
  </r>
  <r>
    <s v="199875+"/>
    <x v="2"/>
    <x v="6"/>
    <s v="T"/>
    <x v="4"/>
    <x v="4"/>
    <n v="72"/>
    <x v="17"/>
  </r>
  <r>
    <s v="19990-4"/>
    <x v="3"/>
    <x v="0"/>
    <s v="T"/>
    <x v="4"/>
    <x v="4"/>
    <n v="26"/>
    <x v="18"/>
  </r>
  <r>
    <s v="19995-14"/>
    <x v="3"/>
    <x v="1"/>
    <s v="T"/>
    <x v="4"/>
    <x v="4"/>
    <n v="105"/>
    <x v="19"/>
  </r>
  <r>
    <s v="199915-24"/>
    <x v="3"/>
    <x v="2"/>
    <s v="T"/>
    <x v="4"/>
    <x v="4"/>
    <n v="1952"/>
    <x v="20"/>
  </r>
  <r>
    <s v="199925-44"/>
    <x v="3"/>
    <x v="3"/>
    <s v="T"/>
    <x v="4"/>
    <x v="4"/>
    <n v="2325"/>
    <x v="21"/>
  </r>
  <r>
    <s v="199945-64"/>
    <x v="3"/>
    <x v="4"/>
    <s v="T"/>
    <x v="4"/>
    <x v="4"/>
    <n v="648"/>
    <x v="22"/>
  </r>
  <r>
    <s v="199965-74"/>
    <x v="3"/>
    <x v="5"/>
    <s v="T"/>
    <x v="4"/>
    <x v="4"/>
    <n v="116"/>
    <x v="23"/>
  </r>
  <r>
    <s v="199975+"/>
    <x v="3"/>
    <x v="6"/>
    <s v="T"/>
    <x v="4"/>
    <x v="4"/>
    <n v="90"/>
    <x v="23"/>
  </r>
  <r>
    <s v="20000-4"/>
    <x v="4"/>
    <x v="0"/>
    <s v="T"/>
    <x v="4"/>
    <x v="4"/>
    <n v="32"/>
    <x v="24"/>
  </r>
  <r>
    <s v="20005-14"/>
    <x v="4"/>
    <x v="1"/>
    <s v="T"/>
    <x v="4"/>
    <x v="4"/>
    <n v="136"/>
    <x v="25"/>
  </r>
  <r>
    <s v="200015-24"/>
    <x v="4"/>
    <x v="2"/>
    <s v="T"/>
    <x v="4"/>
    <x v="4"/>
    <n v="3021"/>
    <x v="26"/>
  </r>
  <r>
    <s v="200025-44"/>
    <x v="4"/>
    <x v="3"/>
    <s v="T"/>
    <x v="4"/>
    <x v="4"/>
    <n v="3356"/>
    <x v="27"/>
  </r>
  <r>
    <s v="200045-64"/>
    <x v="4"/>
    <x v="4"/>
    <s v="T"/>
    <x v="4"/>
    <x v="4"/>
    <n v="797"/>
    <x v="28"/>
  </r>
  <r>
    <s v="200065-74"/>
    <x v="4"/>
    <x v="5"/>
    <s v="T"/>
    <x v="4"/>
    <x v="4"/>
    <n v="175"/>
    <x v="29"/>
  </r>
  <r>
    <s v="200075+"/>
    <x v="4"/>
    <x v="6"/>
    <s v="T"/>
    <x v="4"/>
    <x v="4"/>
    <n v="116"/>
    <x v="29"/>
  </r>
  <r>
    <s v="20010-4"/>
    <x v="5"/>
    <x v="0"/>
    <s v="T"/>
    <x v="4"/>
    <x v="4"/>
    <n v="48"/>
    <x v="30"/>
  </r>
  <r>
    <s v="20015-14"/>
    <x v="5"/>
    <x v="1"/>
    <s v="T"/>
    <x v="4"/>
    <x v="4"/>
    <n v="145"/>
    <x v="31"/>
  </r>
  <r>
    <s v="200115-24"/>
    <x v="5"/>
    <x v="2"/>
    <s v="T"/>
    <x v="4"/>
    <x v="4"/>
    <n v="3127"/>
    <x v="32"/>
  </r>
  <r>
    <s v="200125-44"/>
    <x v="5"/>
    <x v="3"/>
    <s v="T"/>
    <x v="4"/>
    <x v="4"/>
    <n v="3465"/>
    <x v="33"/>
  </r>
  <r>
    <s v="200145-64"/>
    <x v="5"/>
    <x v="4"/>
    <s v="T"/>
    <x v="4"/>
    <x v="4"/>
    <n v="876"/>
    <x v="34"/>
  </r>
  <r>
    <s v="200165-74"/>
    <x v="5"/>
    <x v="5"/>
    <s v="T"/>
    <x v="4"/>
    <x v="4"/>
    <n v="164"/>
    <x v="35"/>
  </r>
  <r>
    <s v="200175+"/>
    <x v="5"/>
    <x v="6"/>
    <s v="T"/>
    <x v="4"/>
    <x v="4"/>
    <n v="126"/>
    <x v="35"/>
  </r>
  <r>
    <s v="20020-4"/>
    <x v="6"/>
    <x v="0"/>
    <s v="T"/>
    <x v="4"/>
    <x v="4"/>
    <n v="33"/>
    <x v="36"/>
  </r>
  <r>
    <s v="20025-14"/>
    <x v="6"/>
    <x v="1"/>
    <s v="T"/>
    <x v="4"/>
    <x v="4"/>
    <n v="166"/>
    <x v="37"/>
  </r>
  <r>
    <s v="200215-24"/>
    <x v="6"/>
    <x v="2"/>
    <s v="T"/>
    <x v="4"/>
    <x v="4"/>
    <n v="3597"/>
    <x v="38"/>
  </r>
  <r>
    <s v="200225-44"/>
    <x v="6"/>
    <x v="3"/>
    <s v="T"/>
    <x v="4"/>
    <x v="4"/>
    <n v="3715"/>
    <x v="39"/>
  </r>
  <r>
    <s v="200245-64"/>
    <x v="6"/>
    <x v="4"/>
    <s v="T"/>
    <x v="4"/>
    <x v="4"/>
    <n v="955"/>
    <x v="40"/>
  </r>
  <r>
    <s v="200265-74"/>
    <x v="6"/>
    <x v="5"/>
    <s v="T"/>
    <x v="4"/>
    <x v="4"/>
    <n v="202"/>
    <x v="41"/>
  </r>
  <r>
    <s v="200275+"/>
    <x v="6"/>
    <x v="6"/>
    <s v="T"/>
    <x v="4"/>
    <x v="4"/>
    <n v="113"/>
    <x v="41"/>
  </r>
  <r>
    <s v="20030-4"/>
    <x v="7"/>
    <x v="0"/>
    <s v="T"/>
    <x v="4"/>
    <x v="4"/>
    <n v="45"/>
    <x v="42"/>
  </r>
  <r>
    <s v="20035-14"/>
    <x v="7"/>
    <x v="1"/>
    <s v="T"/>
    <x v="4"/>
    <x v="4"/>
    <n v="146"/>
    <x v="43"/>
  </r>
  <r>
    <s v="200315-24"/>
    <x v="7"/>
    <x v="2"/>
    <s v="T"/>
    <x v="4"/>
    <x v="4"/>
    <n v="3999"/>
    <x v="44"/>
  </r>
  <r>
    <s v="200325-44"/>
    <x v="7"/>
    <x v="3"/>
    <s v="T"/>
    <x v="4"/>
    <x v="4"/>
    <n v="4309"/>
    <x v="45"/>
  </r>
  <r>
    <s v="200345-64"/>
    <x v="7"/>
    <x v="4"/>
    <s v="T"/>
    <x v="4"/>
    <x v="4"/>
    <n v="1091"/>
    <x v="46"/>
  </r>
  <r>
    <s v="200365-74"/>
    <x v="7"/>
    <x v="5"/>
    <s v="T"/>
    <x v="4"/>
    <x v="4"/>
    <n v="192"/>
    <x v="47"/>
  </r>
  <r>
    <s v="200375+"/>
    <x v="7"/>
    <x v="6"/>
    <s v="T"/>
    <x v="4"/>
    <x v="4"/>
    <n v="158"/>
    <x v="47"/>
  </r>
  <r>
    <s v="20040-4"/>
    <x v="8"/>
    <x v="0"/>
    <s v="T"/>
    <x v="4"/>
    <x v="4"/>
    <n v="50"/>
    <x v="48"/>
  </r>
  <r>
    <s v="20045-14"/>
    <x v="8"/>
    <x v="1"/>
    <s v="T"/>
    <x v="4"/>
    <x v="4"/>
    <n v="150"/>
    <x v="49"/>
  </r>
  <r>
    <s v="200415-24"/>
    <x v="8"/>
    <x v="2"/>
    <s v="T"/>
    <x v="4"/>
    <x v="4"/>
    <n v="3243"/>
    <x v="50"/>
  </r>
  <r>
    <s v="200425-44"/>
    <x v="8"/>
    <x v="3"/>
    <s v="T"/>
    <x v="4"/>
    <x v="4"/>
    <n v="3767"/>
    <x v="51"/>
  </r>
  <r>
    <s v="200445-64"/>
    <x v="8"/>
    <x v="4"/>
    <s v="T"/>
    <x v="4"/>
    <x v="4"/>
    <n v="910"/>
    <x v="52"/>
  </r>
  <r>
    <s v="200465-74"/>
    <x v="8"/>
    <x v="5"/>
    <s v="T"/>
    <x v="4"/>
    <x v="4"/>
    <n v="141"/>
    <x v="53"/>
  </r>
  <r>
    <s v="200475+"/>
    <x v="8"/>
    <x v="6"/>
    <s v="T"/>
    <x v="4"/>
    <x v="4"/>
    <n v="121"/>
    <x v="53"/>
  </r>
  <r>
    <s v="20050-4"/>
    <x v="9"/>
    <x v="0"/>
    <s v="T"/>
    <x v="4"/>
    <x v="4"/>
    <n v="29"/>
    <x v="54"/>
  </r>
  <r>
    <s v="20055-14"/>
    <x v="9"/>
    <x v="1"/>
    <s v="T"/>
    <x v="4"/>
    <x v="4"/>
    <n v="134"/>
    <x v="55"/>
  </r>
  <r>
    <s v="200515-24"/>
    <x v="9"/>
    <x v="2"/>
    <s v="T"/>
    <x v="4"/>
    <x v="4"/>
    <n v="3394"/>
    <x v="56"/>
  </r>
  <r>
    <s v="200525-44"/>
    <x v="9"/>
    <x v="3"/>
    <s v="T"/>
    <x v="4"/>
    <x v="4"/>
    <n v="3865"/>
    <x v="57"/>
  </r>
  <r>
    <s v="200545-64"/>
    <x v="9"/>
    <x v="4"/>
    <s v="T"/>
    <x v="4"/>
    <x v="4"/>
    <n v="914"/>
    <x v="58"/>
  </r>
  <r>
    <s v="200565-74"/>
    <x v="9"/>
    <x v="5"/>
    <s v="T"/>
    <x v="4"/>
    <x v="4"/>
    <n v="156"/>
    <x v="59"/>
  </r>
  <r>
    <s v="200575+"/>
    <x v="9"/>
    <x v="6"/>
    <s v="T"/>
    <x v="4"/>
    <x v="4"/>
    <n v="122"/>
    <x v="59"/>
  </r>
  <r>
    <s v="20060-4"/>
    <x v="10"/>
    <x v="0"/>
    <s v="T"/>
    <x v="4"/>
    <x v="4"/>
    <n v="24"/>
    <x v="60"/>
  </r>
  <r>
    <s v="20065-14"/>
    <x v="10"/>
    <x v="1"/>
    <s v="T"/>
    <x v="4"/>
    <x v="4"/>
    <n v="155"/>
    <x v="61"/>
  </r>
  <r>
    <s v="200615-24"/>
    <x v="10"/>
    <x v="2"/>
    <s v="T"/>
    <x v="4"/>
    <x v="4"/>
    <n v="3935"/>
    <x v="62"/>
  </r>
  <r>
    <s v="200625-44"/>
    <x v="10"/>
    <x v="3"/>
    <s v="T"/>
    <x v="4"/>
    <x v="4"/>
    <n v="4424"/>
    <x v="63"/>
  </r>
  <r>
    <s v="200645-64"/>
    <x v="10"/>
    <x v="4"/>
    <s v="T"/>
    <x v="4"/>
    <x v="4"/>
    <n v="958"/>
    <x v="64"/>
  </r>
  <r>
    <s v="200665-74"/>
    <x v="10"/>
    <x v="5"/>
    <s v="T"/>
    <x v="4"/>
    <x v="4"/>
    <n v="146"/>
    <x v="65"/>
  </r>
  <r>
    <s v="200675+"/>
    <x v="10"/>
    <x v="6"/>
    <s v="T"/>
    <x v="4"/>
    <x v="4"/>
    <n v="106"/>
    <x v="65"/>
  </r>
  <r>
    <s v="20070-4"/>
    <x v="11"/>
    <x v="0"/>
    <s v="T"/>
    <x v="4"/>
    <x v="4"/>
    <n v="31"/>
    <x v="66"/>
  </r>
  <r>
    <s v="20075-14"/>
    <x v="11"/>
    <x v="1"/>
    <s v="T"/>
    <x v="4"/>
    <x v="4"/>
    <n v="143"/>
    <x v="67"/>
  </r>
  <r>
    <s v="200715-24"/>
    <x v="11"/>
    <x v="2"/>
    <s v="T"/>
    <x v="4"/>
    <x v="4"/>
    <n v="4113"/>
    <x v="68"/>
  </r>
  <r>
    <s v="200725-44"/>
    <x v="11"/>
    <x v="3"/>
    <s v="T"/>
    <x v="4"/>
    <x v="4"/>
    <n v="4764"/>
    <x v="69"/>
  </r>
  <r>
    <s v="200745-64"/>
    <x v="11"/>
    <x v="4"/>
    <s v="T"/>
    <x v="4"/>
    <x v="4"/>
    <n v="1028"/>
    <x v="70"/>
  </r>
  <r>
    <s v="200765-74"/>
    <x v="11"/>
    <x v="5"/>
    <s v="T"/>
    <x v="4"/>
    <x v="4"/>
    <n v="144"/>
    <x v="71"/>
  </r>
  <r>
    <s v="200775+"/>
    <x v="11"/>
    <x v="6"/>
    <s v="T"/>
    <x v="4"/>
    <x v="4"/>
    <n v="143"/>
    <x v="71"/>
  </r>
  <r>
    <s v="20080-4"/>
    <x v="12"/>
    <x v="0"/>
    <s v="T"/>
    <x v="4"/>
    <x v="4"/>
    <n v="32"/>
    <x v="72"/>
  </r>
  <r>
    <s v="20085-14"/>
    <x v="12"/>
    <x v="1"/>
    <s v="T"/>
    <x v="4"/>
    <x v="4"/>
    <n v="152"/>
    <x v="73"/>
  </r>
  <r>
    <s v="200815-24"/>
    <x v="12"/>
    <x v="2"/>
    <s v="T"/>
    <x v="4"/>
    <x v="4"/>
    <n v="4620"/>
    <x v="74"/>
  </r>
  <r>
    <s v="200825-44"/>
    <x v="12"/>
    <x v="3"/>
    <s v="T"/>
    <x v="4"/>
    <x v="4"/>
    <n v="5082"/>
    <x v="75"/>
  </r>
  <r>
    <s v="200845-64"/>
    <x v="12"/>
    <x v="4"/>
    <s v="T"/>
    <x v="4"/>
    <x v="4"/>
    <n v="1165"/>
    <x v="76"/>
  </r>
  <r>
    <s v="200865-74"/>
    <x v="12"/>
    <x v="5"/>
    <s v="T"/>
    <x v="4"/>
    <x v="4"/>
    <n v="149"/>
    <x v="77"/>
  </r>
  <r>
    <s v="200875+"/>
    <x v="12"/>
    <x v="6"/>
    <s v="T"/>
    <x v="4"/>
    <x v="4"/>
    <n v="157"/>
    <x v="77"/>
  </r>
  <r>
    <s v="20090-4"/>
    <x v="13"/>
    <x v="0"/>
    <s v="T"/>
    <x v="4"/>
    <x v="4"/>
    <n v="38"/>
    <x v="78"/>
  </r>
  <r>
    <s v="20095-14"/>
    <x v="13"/>
    <x v="1"/>
    <s v="T"/>
    <x v="4"/>
    <x v="4"/>
    <n v="132"/>
    <x v="79"/>
  </r>
  <r>
    <s v="200915-24"/>
    <x v="13"/>
    <x v="2"/>
    <s v="T"/>
    <x v="4"/>
    <x v="4"/>
    <n v="4192"/>
    <x v="80"/>
  </r>
  <r>
    <s v="200925-44"/>
    <x v="13"/>
    <x v="3"/>
    <s v="T"/>
    <x v="4"/>
    <x v="4"/>
    <n v="4678"/>
    <x v="81"/>
  </r>
  <r>
    <s v="200945-64"/>
    <x v="13"/>
    <x v="4"/>
    <s v="T"/>
    <x v="4"/>
    <x v="4"/>
    <n v="1076"/>
    <x v="82"/>
  </r>
  <r>
    <s v="200965-74"/>
    <x v="13"/>
    <x v="5"/>
    <s v="T"/>
    <x v="4"/>
    <x v="4"/>
    <n v="136"/>
    <x v="83"/>
  </r>
  <r>
    <s v="200975+"/>
    <x v="13"/>
    <x v="6"/>
    <s v="T"/>
    <x v="4"/>
    <x v="4"/>
    <n v="90"/>
    <x v="83"/>
  </r>
  <r>
    <s v="20100-4"/>
    <x v="14"/>
    <x v="0"/>
    <s v="T"/>
    <x v="4"/>
    <x v="4"/>
    <n v="31"/>
    <x v="84"/>
  </r>
  <r>
    <s v="20105-14"/>
    <x v="14"/>
    <x v="1"/>
    <s v="T"/>
    <x v="4"/>
    <x v="4"/>
    <n v="123"/>
    <x v="85"/>
  </r>
  <r>
    <s v="201015-24"/>
    <x v="14"/>
    <x v="2"/>
    <s v="T"/>
    <x v="4"/>
    <x v="4"/>
    <n v="4052"/>
    <x v="86"/>
  </r>
  <r>
    <s v="201025-44"/>
    <x v="14"/>
    <x v="3"/>
    <s v="T"/>
    <x v="4"/>
    <x v="4"/>
    <n v="4410"/>
    <x v="87"/>
  </r>
  <r>
    <s v="201045-64"/>
    <x v="14"/>
    <x v="4"/>
    <s v="T"/>
    <x v="4"/>
    <x v="4"/>
    <n v="991"/>
    <x v="88"/>
  </r>
  <r>
    <s v="201065-74"/>
    <x v="14"/>
    <x v="5"/>
    <s v="T"/>
    <x v="4"/>
    <x v="4"/>
    <n v="122"/>
    <x v="89"/>
  </r>
  <r>
    <s v="201075+"/>
    <x v="14"/>
    <x v="6"/>
    <s v="T"/>
    <x v="4"/>
    <x v="4"/>
    <n v="88"/>
    <x v="89"/>
  </r>
  <r>
    <s v="20110-4"/>
    <x v="15"/>
    <x v="0"/>
    <s v="T"/>
    <x v="4"/>
    <x v="4"/>
    <n v="34"/>
    <x v="90"/>
  </r>
  <r>
    <s v="20115-14"/>
    <x v="15"/>
    <x v="1"/>
    <s v="T"/>
    <x v="4"/>
    <x v="4"/>
    <n v="124"/>
    <x v="91"/>
  </r>
  <r>
    <s v="201115-24"/>
    <x v="15"/>
    <x v="2"/>
    <s v="T"/>
    <x v="4"/>
    <x v="4"/>
    <n v="3907"/>
    <x v="92"/>
  </r>
  <r>
    <s v="201125-44"/>
    <x v="15"/>
    <x v="3"/>
    <s v="T"/>
    <x v="4"/>
    <x v="4"/>
    <n v="4259"/>
    <x v="93"/>
  </r>
  <r>
    <s v="201145-64"/>
    <x v="15"/>
    <x v="4"/>
    <s v="T"/>
    <x v="4"/>
    <x v="4"/>
    <n v="1066"/>
    <x v="94"/>
  </r>
  <r>
    <s v="201165-74"/>
    <x v="15"/>
    <x v="5"/>
    <s v="T"/>
    <x v="4"/>
    <x v="4"/>
    <n v="144"/>
    <x v="95"/>
  </r>
  <r>
    <s v="201175+"/>
    <x v="15"/>
    <x v="6"/>
    <s v="T"/>
    <x v="4"/>
    <x v="4"/>
    <n v="104"/>
    <x v="95"/>
  </r>
  <r>
    <s v="20120-4"/>
    <x v="16"/>
    <x v="0"/>
    <s v="T"/>
    <x v="4"/>
    <x v="4"/>
    <n v="34"/>
    <x v="96"/>
  </r>
  <r>
    <s v="20125-14"/>
    <x v="16"/>
    <x v="1"/>
    <s v="T"/>
    <x v="4"/>
    <x v="4"/>
    <n v="142"/>
    <x v="97"/>
  </r>
  <r>
    <s v="201215-24"/>
    <x v="16"/>
    <x v="2"/>
    <s v="T"/>
    <x v="4"/>
    <x v="4"/>
    <n v="4307"/>
    <x v="98"/>
  </r>
  <r>
    <s v="201225-44"/>
    <x v="16"/>
    <x v="3"/>
    <s v="T"/>
    <x v="4"/>
    <x v="4"/>
    <n v="4846"/>
    <x v="99"/>
  </r>
  <r>
    <s v="201245-64"/>
    <x v="16"/>
    <x v="4"/>
    <s v="T"/>
    <x v="4"/>
    <x v="4"/>
    <n v="1066"/>
    <x v="100"/>
  </r>
  <r>
    <s v="201265-74"/>
    <x v="16"/>
    <x v="5"/>
    <s v="T"/>
    <x v="4"/>
    <x v="4"/>
    <n v="169"/>
    <x v="101"/>
  </r>
  <r>
    <s v="201275+"/>
    <x v="16"/>
    <x v="6"/>
    <s v="T"/>
    <x v="4"/>
    <x v="4"/>
    <n v="107"/>
    <x v="101"/>
  </r>
  <r>
    <s v="20130-4"/>
    <x v="17"/>
    <x v="0"/>
    <s v="T"/>
    <x v="4"/>
    <x v="4"/>
    <n v="31"/>
    <x v="102"/>
  </r>
  <r>
    <s v="20135-14"/>
    <x v="17"/>
    <x v="1"/>
    <s v="T"/>
    <x v="4"/>
    <x v="4"/>
    <n v="127"/>
    <x v="103"/>
  </r>
  <r>
    <s v="201315-24"/>
    <x v="17"/>
    <x v="2"/>
    <s v="T"/>
    <x v="4"/>
    <x v="4"/>
    <n v="3925"/>
    <x v="104"/>
  </r>
  <r>
    <s v="201325-44"/>
    <x v="17"/>
    <x v="3"/>
    <s v="T"/>
    <x v="4"/>
    <x v="4"/>
    <n v="4280"/>
    <x v="105"/>
  </r>
  <r>
    <s v="201345-64"/>
    <x v="17"/>
    <x v="4"/>
    <s v="T"/>
    <x v="4"/>
    <x v="4"/>
    <n v="897"/>
    <x v="106"/>
  </r>
  <r>
    <s v="201365-74"/>
    <x v="17"/>
    <x v="5"/>
    <s v="T"/>
    <x v="4"/>
    <x v="4"/>
    <n v="115"/>
    <x v="107"/>
  </r>
  <r>
    <s v="201375+"/>
    <x v="17"/>
    <x v="6"/>
    <s v="T"/>
    <x v="4"/>
    <x v="4"/>
    <n v="83"/>
    <x v="107"/>
  </r>
  <r>
    <s v="20140-4"/>
    <x v="18"/>
    <x v="0"/>
    <s v="T"/>
    <x v="4"/>
    <x v="4"/>
    <n v="28"/>
    <x v="108"/>
  </r>
  <r>
    <s v="20145-14"/>
    <x v="18"/>
    <x v="1"/>
    <s v="T"/>
    <x v="4"/>
    <x v="4"/>
    <n v="131"/>
    <x v="109"/>
  </r>
  <r>
    <s v="201415-24"/>
    <x v="18"/>
    <x v="2"/>
    <s v="T"/>
    <x v="4"/>
    <x v="4"/>
    <n v="4165"/>
    <x v="110"/>
  </r>
  <r>
    <s v="201425-44"/>
    <x v="18"/>
    <x v="3"/>
    <s v="T"/>
    <x v="4"/>
    <x v="4"/>
    <n v="4294"/>
    <x v="111"/>
  </r>
  <r>
    <s v="201445-64"/>
    <x v="18"/>
    <x v="4"/>
    <s v="T"/>
    <x v="4"/>
    <x v="4"/>
    <n v="988"/>
    <x v="112"/>
  </r>
  <r>
    <s v="201465-74"/>
    <x v="18"/>
    <x v="5"/>
    <s v="T"/>
    <x v="4"/>
    <x v="4"/>
    <n v="141"/>
    <x v="113"/>
  </r>
  <r>
    <s v="201475+"/>
    <x v="18"/>
    <x v="6"/>
    <s v="T"/>
    <x v="4"/>
    <x v="4"/>
    <n v="71"/>
    <x v="113"/>
  </r>
  <r>
    <s v="19960-4"/>
    <x v="0"/>
    <x v="0"/>
    <s v="T"/>
    <x v="5"/>
    <x v="5"/>
    <n v="12"/>
    <x v="0"/>
  </r>
  <r>
    <s v="19965-14"/>
    <x v="0"/>
    <x v="1"/>
    <s v="T"/>
    <x v="5"/>
    <x v="5"/>
    <n v="16"/>
    <x v="1"/>
  </r>
  <r>
    <s v="199615-24"/>
    <x v="0"/>
    <x v="2"/>
    <s v="T"/>
    <x v="5"/>
    <x v="5"/>
    <n v="51"/>
    <x v="2"/>
  </r>
  <r>
    <s v="199625-44"/>
    <x v="0"/>
    <x v="3"/>
    <s v="T"/>
    <x v="5"/>
    <x v="5"/>
    <n v="272"/>
    <x v="3"/>
  </r>
  <r>
    <s v="199645-64"/>
    <x v="0"/>
    <x v="4"/>
    <s v="T"/>
    <x v="5"/>
    <x v="5"/>
    <n v="1450"/>
    <x v="4"/>
  </r>
  <r>
    <s v="199665-74"/>
    <x v="0"/>
    <x v="5"/>
    <s v="T"/>
    <x v="5"/>
    <x v="5"/>
    <n v="1343"/>
    <x v="5"/>
  </r>
  <r>
    <s v="199675+"/>
    <x v="0"/>
    <x v="6"/>
    <s v="T"/>
    <x v="5"/>
    <x v="5"/>
    <n v="1306"/>
    <x v="5"/>
  </r>
  <r>
    <s v="19970-4"/>
    <x v="1"/>
    <x v="0"/>
    <s v="T"/>
    <x v="5"/>
    <x v="5"/>
    <n v="10"/>
    <x v="6"/>
  </r>
  <r>
    <s v="19975-14"/>
    <x v="1"/>
    <x v="1"/>
    <s v="T"/>
    <x v="5"/>
    <x v="5"/>
    <n v="12"/>
    <x v="7"/>
  </r>
  <r>
    <s v="199715-24"/>
    <x v="1"/>
    <x v="2"/>
    <s v="T"/>
    <x v="5"/>
    <x v="5"/>
    <n v="49"/>
    <x v="8"/>
  </r>
  <r>
    <s v="199725-44"/>
    <x v="1"/>
    <x v="3"/>
    <s v="T"/>
    <x v="5"/>
    <x v="5"/>
    <n v="298"/>
    <x v="9"/>
  </r>
  <r>
    <s v="199745-64"/>
    <x v="1"/>
    <x v="4"/>
    <s v="T"/>
    <x v="5"/>
    <x v="5"/>
    <n v="1607"/>
    <x v="10"/>
  </r>
  <r>
    <s v="199765-74"/>
    <x v="1"/>
    <x v="5"/>
    <s v="T"/>
    <x v="5"/>
    <x v="5"/>
    <n v="1443"/>
    <x v="11"/>
  </r>
  <r>
    <s v="199775+"/>
    <x v="1"/>
    <x v="6"/>
    <s v="T"/>
    <x v="5"/>
    <x v="5"/>
    <n v="1413"/>
    <x v="11"/>
  </r>
  <r>
    <s v="19980-4"/>
    <x v="2"/>
    <x v="0"/>
    <s v="T"/>
    <x v="5"/>
    <x v="5"/>
    <n v="4"/>
    <x v="12"/>
  </r>
  <r>
    <s v="19985-14"/>
    <x v="2"/>
    <x v="1"/>
    <s v="T"/>
    <x v="5"/>
    <x v="5"/>
    <n v="14"/>
    <x v="13"/>
  </r>
  <r>
    <s v="199815-24"/>
    <x v="2"/>
    <x v="2"/>
    <s v="T"/>
    <x v="5"/>
    <x v="5"/>
    <n v="64"/>
    <x v="14"/>
  </r>
  <r>
    <s v="199825-44"/>
    <x v="2"/>
    <x v="3"/>
    <s v="T"/>
    <x v="5"/>
    <x v="5"/>
    <n v="290"/>
    <x v="15"/>
  </r>
  <r>
    <s v="199845-64"/>
    <x v="2"/>
    <x v="4"/>
    <s v="T"/>
    <x v="5"/>
    <x v="5"/>
    <n v="1589"/>
    <x v="16"/>
  </r>
  <r>
    <s v="199865-74"/>
    <x v="2"/>
    <x v="5"/>
    <s v="T"/>
    <x v="5"/>
    <x v="5"/>
    <n v="1405"/>
    <x v="17"/>
  </r>
  <r>
    <s v="199875+"/>
    <x v="2"/>
    <x v="6"/>
    <s v="T"/>
    <x v="5"/>
    <x v="5"/>
    <n v="1501"/>
    <x v="17"/>
  </r>
  <r>
    <s v="19990-4"/>
    <x v="3"/>
    <x v="0"/>
    <s v="T"/>
    <x v="5"/>
    <x v="5"/>
    <n v="11"/>
    <x v="18"/>
  </r>
  <r>
    <s v="19995-14"/>
    <x v="3"/>
    <x v="1"/>
    <s v="T"/>
    <x v="5"/>
    <x v="5"/>
    <n v="16"/>
    <x v="19"/>
  </r>
  <r>
    <s v="199915-24"/>
    <x v="3"/>
    <x v="2"/>
    <s v="T"/>
    <x v="5"/>
    <x v="5"/>
    <n v="46"/>
    <x v="20"/>
  </r>
  <r>
    <s v="199925-44"/>
    <x v="3"/>
    <x v="3"/>
    <s v="T"/>
    <x v="5"/>
    <x v="5"/>
    <n v="278"/>
    <x v="21"/>
  </r>
  <r>
    <s v="199945-64"/>
    <x v="3"/>
    <x v="4"/>
    <s v="T"/>
    <x v="5"/>
    <x v="5"/>
    <n v="1833"/>
    <x v="22"/>
  </r>
  <r>
    <s v="199965-74"/>
    <x v="3"/>
    <x v="5"/>
    <s v="T"/>
    <x v="5"/>
    <x v="5"/>
    <n v="1729"/>
    <x v="23"/>
  </r>
  <r>
    <s v="199975+"/>
    <x v="3"/>
    <x v="6"/>
    <s v="T"/>
    <x v="5"/>
    <x v="5"/>
    <n v="1811"/>
    <x v="23"/>
  </r>
  <r>
    <s v="20000-4"/>
    <x v="4"/>
    <x v="0"/>
    <s v="T"/>
    <x v="5"/>
    <x v="5"/>
    <n v="13"/>
    <x v="24"/>
  </r>
  <r>
    <s v="20005-14"/>
    <x v="4"/>
    <x v="1"/>
    <s v="T"/>
    <x v="5"/>
    <x v="5"/>
    <n v="16"/>
    <x v="25"/>
  </r>
  <r>
    <s v="200015-24"/>
    <x v="4"/>
    <x v="2"/>
    <s v="T"/>
    <x v="5"/>
    <x v="5"/>
    <n v="63"/>
    <x v="26"/>
  </r>
  <r>
    <s v="200025-44"/>
    <x v="4"/>
    <x v="3"/>
    <s v="T"/>
    <x v="5"/>
    <x v="5"/>
    <n v="303"/>
    <x v="27"/>
  </r>
  <r>
    <s v="200045-64"/>
    <x v="4"/>
    <x v="4"/>
    <s v="T"/>
    <x v="5"/>
    <x v="5"/>
    <n v="1888"/>
    <x v="28"/>
  </r>
  <r>
    <s v="200065-74"/>
    <x v="4"/>
    <x v="5"/>
    <s v="T"/>
    <x v="5"/>
    <x v="5"/>
    <n v="1811"/>
    <x v="29"/>
  </r>
  <r>
    <s v="200075+"/>
    <x v="4"/>
    <x v="6"/>
    <s v="T"/>
    <x v="5"/>
    <x v="5"/>
    <n v="1847"/>
    <x v="29"/>
  </r>
  <r>
    <s v="20010-4"/>
    <x v="5"/>
    <x v="0"/>
    <s v="T"/>
    <x v="5"/>
    <x v="5"/>
    <n v="11"/>
    <x v="30"/>
  </r>
  <r>
    <s v="20015-14"/>
    <x v="5"/>
    <x v="1"/>
    <s v="T"/>
    <x v="5"/>
    <x v="5"/>
    <n v="12"/>
    <x v="31"/>
  </r>
  <r>
    <s v="200115-24"/>
    <x v="5"/>
    <x v="2"/>
    <s v="T"/>
    <x v="5"/>
    <x v="5"/>
    <n v="48"/>
    <x v="32"/>
  </r>
  <r>
    <s v="200125-44"/>
    <x v="5"/>
    <x v="3"/>
    <s v="T"/>
    <x v="5"/>
    <x v="5"/>
    <n v="314"/>
    <x v="33"/>
  </r>
  <r>
    <s v="200145-64"/>
    <x v="5"/>
    <x v="4"/>
    <s v="T"/>
    <x v="5"/>
    <x v="5"/>
    <n v="2037"/>
    <x v="34"/>
  </r>
  <r>
    <s v="200165-74"/>
    <x v="5"/>
    <x v="5"/>
    <s v="T"/>
    <x v="5"/>
    <x v="5"/>
    <n v="1825"/>
    <x v="35"/>
  </r>
  <r>
    <s v="200175+"/>
    <x v="5"/>
    <x v="6"/>
    <s v="T"/>
    <x v="5"/>
    <x v="5"/>
    <n v="2050"/>
    <x v="35"/>
  </r>
  <r>
    <s v="20020-4"/>
    <x v="6"/>
    <x v="0"/>
    <s v="T"/>
    <x v="5"/>
    <x v="5"/>
    <n v="5"/>
    <x v="36"/>
  </r>
  <r>
    <s v="20025-14"/>
    <x v="6"/>
    <x v="1"/>
    <s v="T"/>
    <x v="5"/>
    <x v="5"/>
    <n v="9"/>
    <x v="37"/>
  </r>
  <r>
    <s v="200215-24"/>
    <x v="6"/>
    <x v="2"/>
    <s v="T"/>
    <x v="5"/>
    <x v="5"/>
    <n v="43"/>
    <x v="38"/>
  </r>
  <r>
    <s v="200225-44"/>
    <x v="6"/>
    <x v="3"/>
    <s v="T"/>
    <x v="5"/>
    <x v="5"/>
    <n v="280"/>
    <x v="39"/>
  </r>
  <r>
    <s v="200245-64"/>
    <x v="6"/>
    <x v="4"/>
    <s v="T"/>
    <x v="5"/>
    <x v="5"/>
    <n v="2016"/>
    <x v="40"/>
  </r>
  <r>
    <s v="200265-74"/>
    <x v="6"/>
    <x v="5"/>
    <s v="T"/>
    <x v="5"/>
    <x v="5"/>
    <n v="1820"/>
    <x v="41"/>
  </r>
  <r>
    <s v="200275+"/>
    <x v="6"/>
    <x v="6"/>
    <s v="T"/>
    <x v="5"/>
    <x v="5"/>
    <n v="2061"/>
    <x v="41"/>
  </r>
  <r>
    <s v="20030-4"/>
    <x v="7"/>
    <x v="0"/>
    <s v="T"/>
    <x v="5"/>
    <x v="5"/>
    <n v="5"/>
    <x v="42"/>
  </r>
  <r>
    <s v="20035-14"/>
    <x v="7"/>
    <x v="1"/>
    <s v="T"/>
    <x v="5"/>
    <x v="5"/>
    <n v="19"/>
    <x v="43"/>
  </r>
  <r>
    <s v="200315-24"/>
    <x v="7"/>
    <x v="2"/>
    <s v="T"/>
    <x v="5"/>
    <x v="5"/>
    <n v="36"/>
    <x v="44"/>
  </r>
  <r>
    <s v="200325-44"/>
    <x v="7"/>
    <x v="3"/>
    <s v="T"/>
    <x v="5"/>
    <x v="5"/>
    <n v="330"/>
    <x v="45"/>
  </r>
  <r>
    <s v="200345-64"/>
    <x v="7"/>
    <x v="4"/>
    <s v="T"/>
    <x v="5"/>
    <x v="5"/>
    <n v="2292"/>
    <x v="46"/>
  </r>
  <r>
    <s v="200365-74"/>
    <x v="7"/>
    <x v="5"/>
    <s v="T"/>
    <x v="5"/>
    <x v="5"/>
    <n v="2039"/>
    <x v="47"/>
  </r>
  <r>
    <s v="200375+"/>
    <x v="7"/>
    <x v="6"/>
    <s v="T"/>
    <x v="5"/>
    <x v="5"/>
    <n v="2339"/>
    <x v="47"/>
  </r>
  <r>
    <s v="20040-4"/>
    <x v="8"/>
    <x v="0"/>
    <s v="T"/>
    <x v="5"/>
    <x v="5"/>
    <n v="5"/>
    <x v="48"/>
  </r>
  <r>
    <s v="20045-14"/>
    <x v="8"/>
    <x v="1"/>
    <s v="T"/>
    <x v="5"/>
    <x v="5"/>
    <n v="8"/>
    <x v="49"/>
  </r>
  <r>
    <s v="200415-24"/>
    <x v="8"/>
    <x v="2"/>
    <s v="T"/>
    <x v="5"/>
    <x v="5"/>
    <n v="56"/>
    <x v="50"/>
  </r>
  <r>
    <s v="200425-44"/>
    <x v="8"/>
    <x v="3"/>
    <s v="T"/>
    <x v="5"/>
    <x v="5"/>
    <n v="306"/>
    <x v="51"/>
  </r>
  <r>
    <s v="200445-64"/>
    <x v="8"/>
    <x v="4"/>
    <s v="T"/>
    <x v="5"/>
    <x v="5"/>
    <n v="2299"/>
    <x v="52"/>
  </r>
  <r>
    <s v="200465-74"/>
    <x v="8"/>
    <x v="5"/>
    <s v="T"/>
    <x v="5"/>
    <x v="5"/>
    <n v="2014"/>
    <x v="53"/>
  </r>
  <r>
    <s v="200475+"/>
    <x v="8"/>
    <x v="6"/>
    <s v="T"/>
    <x v="5"/>
    <x v="5"/>
    <n v="2435"/>
    <x v="53"/>
  </r>
  <r>
    <s v="20050-4"/>
    <x v="9"/>
    <x v="0"/>
    <s v="T"/>
    <x v="5"/>
    <x v="5"/>
    <n v="7"/>
    <x v="54"/>
  </r>
  <r>
    <s v="20055-14"/>
    <x v="9"/>
    <x v="1"/>
    <s v="T"/>
    <x v="5"/>
    <x v="5"/>
    <n v="10"/>
    <x v="55"/>
  </r>
  <r>
    <s v="200515-24"/>
    <x v="9"/>
    <x v="2"/>
    <s v="T"/>
    <x v="5"/>
    <x v="5"/>
    <n v="65"/>
    <x v="56"/>
  </r>
  <r>
    <s v="200525-44"/>
    <x v="9"/>
    <x v="3"/>
    <s v="T"/>
    <x v="5"/>
    <x v="5"/>
    <n v="301"/>
    <x v="57"/>
  </r>
  <r>
    <s v="200545-64"/>
    <x v="9"/>
    <x v="4"/>
    <s v="T"/>
    <x v="5"/>
    <x v="5"/>
    <n v="2344"/>
    <x v="58"/>
  </r>
  <r>
    <s v="200565-74"/>
    <x v="9"/>
    <x v="5"/>
    <s v="T"/>
    <x v="5"/>
    <x v="5"/>
    <n v="2058"/>
    <x v="59"/>
  </r>
  <r>
    <s v="200575+"/>
    <x v="9"/>
    <x v="6"/>
    <s v="T"/>
    <x v="5"/>
    <x v="5"/>
    <n v="2527"/>
    <x v="59"/>
  </r>
  <r>
    <s v="20060-4"/>
    <x v="10"/>
    <x v="0"/>
    <s v="T"/>
    <x v="5"/>
    <x v="5"/>
    <n v="1"/>
    <x v="60"/>
  </r>
  <r>
    <s v="20065-14"/>
    <x v="10"/>
    <x v="1"/>
    <s v="T"/>
    <x v="5"/>
    <x v="5"/>
    <n v="16"/>
    <x v="61"/>
  </r>
  <r>
    <s v="200615-24"/>
    <x v="10"/>
    <x v="2"/>
    <s v="T"/>
    <x v="5"/>
    <x v="5"/>
    <n v="50"/>
    <x v="62"/>
  </r>
  <r>
    <s v="200625-44"/>
    <x v="10"/>
    <x v="3"/>
    <s v="T"/>
    <x v="5"/>
    <x v="5"/>
    <n v="331"/>
    <x v="63"/>
  </r>
  <r>
    <s v="200645-64"/>
    <x v="10"/>
    <x v="4"/>
    <s v="T"/>
    <x v="5"/>
    <x v="5"/>
    <n v="2345"/>
    <x v="64"/>
  </r>
  <r>
    <s v="200665-74"/>
    <x v="10"/>
    <x v="5"/>
    <s v="T"/>
    <x v="5"/>
    <x v="5"/>
    <n v="1926"/>
    <x v="65"/>
  </r>
  <r>
    <s v="200675+"/>
    <x v="10"/>
    <x v="6"/>
    <s v="T"/>
    <x v="5"/>
    <x v="5"/>
    <n v="2512"/>
    <x v="65"/>
  </r>
  <r>
    <s v="20070-4"/>
    <x v="11"/>
    <x v="0"/>
    <s v="T"/>
    <x v="5"/>
    <x v="5"/>
    <n v="10"/>
    <x v="66"/>
  </r>
  <r>
    <s v="20075-14"/>
    <x v="11"/>
    <x v="1"/>
    <s v="T"/>
    <x v="5"/>
    <x v="5"/>
    <n v="8"/>
    <x v="67"/>
  </r>
  <r>
    <s v="200715-24"/>
    <x v="11"/>
    <x v="2"/>
    <s v="T"/>
    <x v="5"/>
    <x v="5"/>
    <n v="34"/>
    <x v="68"/>
  </r>
  <r>
    <s v="200725-44"/>
    <x v="11"/>
    <x v="3"/>
    <s v="T"/>
    <x v="5"/>
    <x v="5"/>
    <n v="347"/>
    <x v="69"/>
  </r>
  <r>
    <s v="200745-64"/>
    <x v="11"/>
    <x v="4"/>
    <s v="T"/>
    <x v="5"/>
    <x v="5"/>
    <n v="2519"/>
    <x v="70"/>
  </r>
  <r>
    <s v="200765-74"/>
    <x v="11"/>
    <x v="5"/>
    <s v="T"/>
    <x v="5"/>
    <x v="5"/>
    <n v="2180"/>
    <x v="71"/>
  </r>
  <r>
    <s v="200775+"/>
    <x v="11"/>
    <x v="6"/>
    <s v="T"/>
    <x v="5"/>
    <x v="5"/>
    <n v="2731"/>
    <x v="71"/>
  </r>
  <r>
    <s v="20080-4"/>
    <x v="12"/>
    <x v="0"/>
    <s v="T"/>
    <x v="5"/>
    <x v="5"/>
    <n v="3"/>
    <x v="72"/>
  </r>
  <r>
    <s v="20085-14"/>
    <x v="12"/>
    <x v="1"/>
    <s v="T"/>
    <x v="5"/>
    <x v="5"/>
    <n v="13"/>
    <x v="73"/>
  </r>
  <r>
    <s v="200815-24"/>
    <x v="12"/>
    <x v="2"/>
    <s v="T"/>
    <x v="5"/>
    <x v="5"/>
    <n v="58"/>
    <x v="74"/>
  </r>
  <r>
    <s v="200825-44"/>
    <x v="12"/>
    <x v="3"/>
    <s v="T"/>
    <x v="5"/>
    <x v="5"/>
    <n v="345"/>
    <x v="75"/>
  </r>
  <r>
    <s v="200845-64"/>
    <x v="12"/>
    <x v="4"/>
    <s v="T"/>
    <x v="5"/>
    <x v="5"/>
    <n v="2599"/>
    <x v="76"/>
  </r>
  <r>
    <s v="200865-74"/>
    <x v="12"/>
    <x v="5"/>
    <s v="T"/>
    <x v="5"/>
    <x v="5"/>
    <n v="2391"/>
    <x v="77"/>
  </r>
  <r>
    <s v="200875+"/>
    <x v="12"/>
    <x v="6"/>
    <s v="T"/>
    <x v="5"/>
    <x v="5"/>
    <n v="2978"/>
    <x v="77"/>
  </r>
  <r>
    <s v="20090-4"/>
    <x v="13"/>
    <x v="0"/>
    <s v="T"/>
    <x v="5"/>
    <x v="5"/>
    <n v="4"/>
    <x v="78"/>
  </r>
  <r>
    <s v="20095-14"/>
    <x v="13"/>
    <x v="1"/>
    <s v="T"/>
    <x v="5"/>
    <x v="5"/>
    <n v="8"/>
    <x v="79"/>
  </r>
  <r>
    <s v="200915-24"/>
    <x v="13"/>
    <x v="2"/>
    <s v="T"/>
    <x v="5"/>
    <x v="5"/>
    <n v="59"/>
    <x v="80"/>
  </r>
  <r>
    <s v="200925-44"/>
    <x v="13"/>
    <x v="3"/>
    <s v="T"/>
    <x v="5"/>
    <x v="5"/>
    <n v="381"/>
    <x v="81"/>
  </r>
  <r>
    <s v="200945-64"/>
    <x v="13"/>
    <x v="4"/>
    <s v="T"/>
    <x v="5"/>
    <x v="5"/>
    <n v="2805"/>
    <x v="82"/>
  </r>
  <r>
    <s v="200965-74"/>
    <x v="13"/>
    <x v="5"/>
    <s v="T"/>
    <x v="5"/>
    <x v="5"/>
    <n v="2414"/>
    <x v="83"/>
  </r>
  <r>
    <s v="200975+"/>
    <x v="13"/>
    <x v="6"/>
    <s v="T"/>
    <x v="5"/>
    <x v="5"/>
    <n v="3151"/>
    <x v="83"/>
  </r>
  <r>
    <s v="20100-4"/>
    <x v="14"/>
    <x v="0"/>
    <s v="T"/>
    <x v="5"/>
    <x v="5"/>
    <n v="3"/>
    <x v="84"/>
  </r>
  <r>
    <s v="20105-14"/>
    <x v="14"/>
    <x v="1"/>
    <s v="T"/>
    <x v="5"/>
    <x v="5"/>
    <n v="12"/>
    <x v="85"/>
  </r>
  <r>
    <s v="201015-24"/>
    <x v="14"/>
    <x v="2"/>
    <s v="T"/>
    <x v="5"/>
    <x v="5"/>
    <n v="61"/>
    <x v="86"/>
  </r>
  <r>
    <s v="201025-44"/>
    <x v="14"/>
    <x v="3"/>
    <s v="T"/>
    <x v="5"/>
    <x v="5"/>
    <n v="394"/>
    <x v="87"/>
  </r>
  <r>
    <s v="201045-64"/>
    <x v="14"/>
    <x v="4"/>
    <s v="T"/>
    <x v="5"/>
    <x v="5"/>
    <n v="2980"/>
    <x v="88"/>
  </r>
  <r>
    <s v="201065-74"/>
    <x v="14"/>
    <x v="5"/>
    <s v="T"/>
    <x v="5"/>
    <x v="5"/>
    <n v="2620"/>
    <x v="89"/>
  </r>
  <r>
    <s v="201075+"/>
    <x v="14"/>
    <x v="6"/>
    <s v="T"/>
    <x v="5"/>
    <x v="5"/>
    <n v="3467"/>
    <x v="89"/>
  </r>
  <r>
    <s v="20110-4"/>
    <x v="15"/>
    <x v="0"/>
    <s v="T"/>
    <x v="5"/>
    <x v="5"/>
    <n v="6"/>
    <x v="90"/>
  </r>
  <r>
    <s v="20115-14"/>
    <x v="15"/>
    <x v="1"/>
    <s v="T"/>
    <x v="5"/>
    <x v="5"/>
    <n v="9"/>
    <x v="91"/>
  </r>
  <r>
    <s v="201115-24"/>
    <x v="15"/>
    <x v="2"/>
    <s v="T"/>
    <x v="5"/>
    <x v="5"/>
    <n v="58"/>
    <x v="92"/>
  </r>
  <r>
    <s v="201125-44"/>
    <x v="15"/>
    <x v="3"/>
    <s v="T"/>
    <x v="5"/>
    <x v="5"/>
    <n v="341"/>
    <x v="93"/>
  </r>
  <r>
    <s v="201145-64"/>
    <x v="15"/>
    <x v="4"/>
    <s v="T"/>
    <x v="5"/>
    <x v="5"/>
    <n v="3111"/>
    <x v="94"/>
  </r>
  <r>
    <s v="201165-74"/>
    <x v="15"/>
    <x v="5"/>
    <s v="T"/>
    <x v="5"/>
    <x v="5"/>
    <n v="2643"/>
    <x v="95"/>
  </r>
  <r>
    <s v="201175+"/>
    <x v="15"/>
    <x v="6"/>
    <s v="T"/>
    <x v="5"/>
    <x v="5"/>
    <n v="3686"/>
    <x v="95"/>
  </r>
  <r>
    <s v="20120-4"/>
    <x v="16"/>
    <x v="0"/>
    <s v="T"/>
    <x v="5"/>
    <x v="5"/>
    <n v="1"/>
    <x v="96"/>
  </r>
  <r>
    <s v="20125-14"/>
    <x v="16"/>
    <x v="1"/>
    <s v="T"/>
    <x v="5"/>
    <x v="5"/>
    <n v="4"/>
    <x v="97"/>
  </r>
  <r>
    <s v="201215-24"/>
    <x v="16"/>
    <x v="2"/>
    <s v="T"/>
    <x v="5"/>
    <x v="5"/>
    <n v="51"/>
    <x v="98"/>
  </r>
  <r>
    <s v="201225-44"/>
    <x v="16"/>
    <x v="3"/>
    <s v="T"/>
    <x v="5"/>
    <x v="5"/>
    <n v="429"/>
    <x v="99"/>
  </r>
  <r>
    <s v="201245-64"/>
    <x v="16"/>
    <x v="4"/>
    <s v="T"/>
    <x v="5"/>
    <x v="5"/>
    <n v="3252"/>
    <x v="100"/>
  </r>
  <r>
    <s v="201265-74"/>
    <x v="16"/>
    <x v="5"/>
    <s v="T"/>
    <x v="5"/>
    <x v="5"/>
    <n v="2867"/>
    <x v="101"/>
  </r>
  <r>
    <s v="201275+"/>
    <x v="16"/>
    <x v="6"/>
    <s v="T"/>
    <x v="5"/>
    <x v="5"/>
    <n v="3924"/>
    <x v="101"/>
  </r>
  <r>
    <s v="20130-4"/>
    <x v="17"/>
    <x v="0"/>
    <s v="T"/>
    <x v="5"/>
    <x v="5"/>
    <n v="3"/>
    <x v="102"/>
  </r>
  <r>
    <s v="20135-14"/>
    <x v="17"/>
    <x v="1"/>
    <s v="T"/>
    <x v="5"/>
    <x v="5"/>
    <n v="10"/>
    <x v="103"/>
  </r>
  <r>
    <s v="201315-24"/>
    <x v="17"/>
    <x v="2"/>
    <s v="T"/>
    <x v="5"/>
    <x v="5"/>
    <n v="61"/>
    <x v="104"/>
  </r>
  <r>
    <s v="201325-44"/>
    <x v="17"/>
    <x v="3"/>
    <s v="T"/>
    <x v="5"/>
    <x v="5"/>
    <n v="444"/>
    <x v="105"/>
  </r>
  <r>
    <s v="201345-64"/>
    <x v="17"/>
    <x v="4"/>
    <s v="T"/>
    <x v="5"/>
    <x v="5"/>
    <n v="3561"/>
    <x v="106"/>
  </r>
  <r>
    <s v="201365-74"/>
    <x v="17"/>
    <x v="5"/>
    <s v="T"/>
    <x v="5"/>
    <x v="5"/>
    <n v="3105"/>
    <x v="107"/>
  </r>
  <r>
    <s v="201375+"/>
    <x v="17"/>
    <x v="6"/>
    <s v="T"/>
    <x v="5"/>
    <x v="5"/>
    <n v="4275"/>
    <x v="107"/>
  </r>
  <r>
    <s v="20140-4"/>
    <x v="18"/>
    <x v="0"/>
    <s v="T"/>
    <x v="5"/>
    <x v="5"/>
    <n v="3"/>
    <x v="108"/>
  </r>
  <r>
    <s v="20145-14"/>
    <x v="18"/>
    <x v="1"/>
    <s v="T"/>
    <x v="5"/>
    <x v="5"/>
    <n v="10"/>
    <x v="109"/>
  </r>
  <r>
    <s v="201415-24"/>
    <x v="18"/>
    <x v="2"/>
    <s v="T"/>
    <x v="5"/>
    <x v="5"/>
    <n v="78"/>
    <x v="110"/>
  </r>
  <r>
    <s v="201425-44"/>
    <x v="18"/>
    <x v="3"/>
    <s v="T"/>
    <x v="5"/>
    <x v="5"/>
    <n v="459"/>
    <x v="111"/>
  </r>
  <r>
    <s v="201445-64"/>
    <x v="18"/>
    <x v="4"/>
    <s v="T"/>
    <x v="5"/>
    <x v="5"/>
    <n v="4068"/>
    <x v="112"/>
  </r>
  <r>
    <s v="201465-74"/>
    <x v="18"/>
    <x v="5"/>
    <s v="T"/>
    <x v="5"/>
    <x v="5"/>
    <n v="3605"/>
    <x v="113"/>
  </r>
  <r>
    <s v="201475+"/>
    <x v="18"/>
    <x v="6"/>
    <s v="T"/>
    <x v="5"/>
    <x v="5"/>
    <n v="5199"/>
    <x v="113"/>
  </r>
  <r>
    <s v="19960-4"/>
    <x v="0"/>
    <x v="0"/>
    <s v="T"/>
    <x v="6"/>
    <x v="6"/>
    <n v="5626"/>
    <x v="0"/>
  </r>
  <r>
    <s v="19965-14"/>
    <x v="0"/>
    <x v="1"/>
    <s v="T"/>
    <x v="6"/>
    <x v="6"/>
    <n v="2"/>
    <x v="1"/>
  </r>
  <r>
    <s v="199615-24"/>
    <x v="0"/>
    <x v="2"/>
    <s v="T"/>
    <x v="6"/>
    <x v="6"/>
    <n v="0"/>
    <x v="2"/>
  </r>
  <r>
    <s v="199625-44"/>
    <x v="0"/>
    <x v="3"/>
    <s v="T"/>
    <x v="6"/>
    <x v="6"/>
    <n v="1"/>
    <x v="3"/>
  </r>
  <r>
    <s v="199645-64"/>
    <x v="0"/>
    <x v="4"/>
    <s v="T"/>
    <x v="6"/>
    <x v="6"/>
    <n v="0"/>
    <x v="4"/>
  </r>
  <r>
    <s v="199665-74"/>
    <x v="0"/>
    <x v="5"/>
    <s v="T"/>
    <x v="6"/>
    <x v="6"/>
    <n v="0"/>
    <x v="5"/>
  </r>
  <r>
    <s v="199675+"/>
    <x v="0"/>
    <x v="6"/>
    <s v="T"/>
    <x v="6"/>
    <x v="6"/>
    <n v="14"/>
    <x v="5"/>
  </r>
  <r>
    <s v="19970-4"/>
    <x v="1"/>
    <x v="0"/>
    <s v="T"/>
    <x v="6"/>
    <x v="6"/>
    <n v="5500"/>
    <x v="6"/>
  </r>
  <r>
    <s v="19975-14"/>
    <x v="1"/>
    <x v="1"/>
    <s v="T"/>
    <x v="6"/>
    <x v="6"/>
    <n v="0"/>
    <x v="7"/>
  </r>
  <r>
    <s v="199715-24"/>
    <x v="1"/>
    <x v="2"/>
    <s v="T"/>
    <x v="6"/>
    <x v="6"/>
    <n v="1"/>
    <x v="8"/>
  </r>
  <r>
    <s v="199725-44"/>
    <x v="1"/>
    <x v="3"/>
    <s v="T"/>
    <x v="6"/>
    <x v="6"/>
    <n v="0"/>
    <x v="9"/>
  </r>
  <r>
    <s v="199745-64"/>
    <x v="1"/>
    <x v="4"/>
    <s v="T"/>
    <x v="6"/>
    <x v="6"/>
    <n v="0"/>
    <x v="10"/>
  </r>
  <r>
    <s v="199765-74"/>
    <x v="1"/>
    <x v="5"/>
    <s v="T"/>
    <x v="6"/>
    <x v="6"/>
    <n v="0"/>
    <x v="11"/>
  </r>
  <r>
    <s v="199775+"/>
    <x v="1"/>
    <x v="6"/>
    <s v="T"/>
    <x v="6"/>
    <x v="6"/>
    <n v="2"/>
    <x v="11"/>
  </r>
  <r>
    <s v="19980-4"/>
    <x v="2"/>
    <x v="0"/>
    <s v="T"/>
    <x v="6"/>
    <x v="6"/>
    <n v="5241"/>
    <x v="12"/>
  </r>
  <r>
    <s v="19985-14"/>
    <x v="2"/>
    <x v="1"/>
    <s v="T"/>
    <x v="6"/>
    <x v="6"/>
    <n v="0"/>
    <x v="13"/>
  </r>
  <r>
    <s v="199815-24"/>
    <x v="2"/>
    <x v="2"/>
    <s v="T"/>
    <x v="6"/>
    <x v="6"/>
    <n v="0"/>
    <x v="14"/>
  </r>
  <r>
    <s v="199825-44"/>
    <x v="2"/>
    <x v="3"/>
    <s v="T"/>
    <x v="6"/>
    <x v="6"/>
    <n v="0"/>
    <x v="15"/>
  </r>
  <r>
    <s v="199845-64"/>
    <x v="2"/>
    <x v="4"/>
    <s v="T"/>
    <x v="6"/>
    <x v="6"/>
    <n v="0"/>
    <x v="16"/>
  </r>
  <r>
    <s v="199865-74"/>
    <x v="2"/>
    <x v="5"/>
    <s v="T"/>
    <x v="6"/>
    <x v="6"/>
    <n v="0"/>
    <x v="17"/>
  </r>
  <r>
    <s v="199875+"/>
    <x v="2"/>
    <x v="6"/>
    <s v="T"/>
    <x v="6"/>
    <x v="6"/>
    <n v="0"/>
    <x v="17"/>
  </r>
  <r>
    <s v="19990-4"/>
    <x v="3"/>
    <x v="0"/>
    <s v="T"/>
    <x v="6"/>
    <x v="6"/>
    <n v="5302"/>
    <x v="18"/>
  </r>
  <r>
    <s v="19995-14"/>
    <x v="3"/>
    <x v="1"/>
    <s v="T"/>
    <x v="6"/>
    <x v="6"/>
    <n v="2"/>
    <x v="19"/>
  </r>
  <r>
    <s v="199915-24"/>
    <x v="3"/>
    <x v="2"/>
    <s v="T"/>
    <x v="6"/>
    <x v="6"/>
    <n v="0"/>
    <x v="20"/>
  </r>
  <r>
    <s v="199925-44"/>
    <x v="3"/>
    <x v="3"/>
    <s v="T"/>
    <x v="6"/>
    <x v="6"/>
    <n v="0"/>
    <x v="21"/>
  </r>
  <r>
    <s v="199945-64"/>
    <x v="3"/>
    <x v="4"/>
    <s v="T"/>
    <x v="6"/>
    <x v="6"/>
    <n v="0"/>
    <x v="22"/>
  </r>
  <r>
    <s v="199965-74"/>
    <x v="3"/>
    <x v="5"/>
    <s v="T"/>
    <x v="6"/>
    <x v="6"/>
    <n v="0"/>
    <x v="23"/>
  </r>
  <r>
    <s v="199975+"/>
    <x v="3"/>
    <x v="6"/>
    <s v="T"/>
    <x v="6"/>
    <x v="6"/>
    <n v="5"/>
    <x v="23"/>
  </r>
  <r>
    <s v="20000-4"/>
    <x v="4"/>
    <x v="0"/>
    <s v="T"/>
    <x v="6"/>
    <x v="6"/>
    <n v="5277"/>
    <x v="24"/>
  </r>
  <r>
    <s v="20005-14"/>
    <x v="4"/>
    <x v="1"/>
    <s v="T"/>
    <x v="6"/>
    <x v="6"/>
    <n v="1"/>
    <x v="25"/>
  </r>
  <r>
    <s v="200015-24"/>
    <x v="4"/>
    <x v="2"/>
    <s v="T"/>
    <x v="6"/>
    <x v="6"/>
    <n v="1"/>
    <x v="26"/>
  </r>
  <r>
    <s v="200025-44"/>
    <x v="4"/>
    <x v="3"/>
    <s v="T"/>
    <x v="6"/>
    <x v="6"/>
    <n v="0"/>
    <x v="27"/>
  </r>
  <r>
    <s v="200045-64"/>
    <x v="4"/>
    <x v="4"/>
    <s v="T"/>
    <x v="6"/>
    <x v="6"/>
    <n v="0"/>
    <x v="28"/>
  </r>
  <r>
    <s v="200065-74"/>
    <x v="4"/>
    <x v="5"/>
    <s v="T"/>
    <x v="6"/>
    <x v="6"/>
    <n v="0"/>
    <x v="29"/>
  </r>
  <r>
    <s v="200075+"/>
    <x v="4"/>
    <x v="6"/>
    <s v="T"/>
    <x v="6"/>
    <x v="6"/>
    <n v="0"/>
    <x v="29"/>
  </r>
  <r>
    <s v="20010-4"/>
    <x v="5"/>
    <x v="0"/>
    <s v="T"/>
    <x v="6"/>
    <x v="6"/>
    <n v="4937"/>
    <x v="30"/>
  </r>
  <r>
    <s v="20015-14"/>
    <x v="5"/>
    <x v="1"/>
    <s v="T"/>
    <x v="6"/>
    <x v="6"/>
    <n v="0"/>
    <x v="31"/>
  </r>
  <r>
    <s v="200115-24"/>
    <x v="5"/>
    <x v="2"/>
    <s v="T"/>
    <x v="6"/>
    <x v="6"/>
    <n v="0"/>
    <x v="32"/>
  </r>
  <r>
    <s v="200125-44"/>
    <x v="5"/>
    <x v="3"/>
    <s v="T"/>
    <x v="6"/>
    <x v="6"/>
    <n v="0"/>
    <x v="33"/>
  </r>
  <r>
    <s v="200145-64"/>
    <x v="5"/>
    <x v="4"/>
    <s v="T"/>
    <x v="6"/>
    <x v="6"/>
    <n v="0"/>
    <x v="34"/>
  </r>
  <r>
    <s v="200165-74"/>
    <x v="5"/>
    <x v="5"/>
    <s v="T"/>
    <x v="6"/>
    <x v="6"/>
    <n v="0"/>
    <x v="35"/>
  </r>
  <r>
    <s v="200175+"/>
    <x v="5"/>
    <x v="6"/>
    <s v="T"/>
    <x v="6"/>
    <x v="6"/>
    <n v="0"/>
    <x v="35"/>
  </r>
  <r>
    <s v="20020-4"/>
    <x v="6"/>
    <x v="0"/>
    <s v="T"/>
    <x v="6"/>
    <x v="6"/>
    <n v="4982"/>
    <x v="36"/>
  </r>
  <r>
    <s v="20025-14"/>
    <x v="6"/>
    <x v="1"/>
    <s v="T"/>
    <x v="6"/>
    <x v="6"/>
    <n v="0"/>
    <x v="37"/>
  </r>
  <r>
    <s v="200215-24"/>
    <x v="6"/>
    <x v="2"/>
    <s v="T"/>
    <x v="6"/>
    <x v="6"/>
    <n v="0"/>
    <x v="38"/>
  </r>
  <r>
    <s v="200225-44"/>
    <x v="6"/>
    <x v="3"/>
    <s v="T"/>
    <x v="6"/>
    <x v="6"/>
    <n v="0"/>
    <x v="39"/>
  </r>
  <r>
    <s v="200245-64"/>
    <x v="6"/>
    <x v="4"/>
    <s v="T"/>
    <x v="6"/>
    <x v="6"/>
    <n v="0"/>
    <x v="40"/>
  </r>
  <r>
    <s v="200265-74"/>
    <x v="6"/>
    <x v="5"/>
    <s v="T"/>
    <x v="6"/>
    <x v="6"/>
    <n v="0"/>
    <x v="41"/>
  </r>
  <r>
    <s v="200275+"/>
    <x v="6"/>
    <x v="6"/>
    <s v="T"/>
    <x v="6"/>
    <x v="6"/>
    <n v="0"/>
    <x v="41"/>
  </r>
  <r>
    <s v="20030-4"/>
    <x v="7"/>
    <x v="0"/>
    <s v="T"/>
    <x v="6"/>
    <x v="6"/>
    <n v="5417"/>
    <x v="42"/>
  </r>
  <r>
    <s v="20035-14"/>
    <x v="7"/>
    <x v="1"/>
    <s v="T"/>
    <x v="6"/>
    <x v="6"/>
    <n v="0"/>
    <x v="43"/>
  </r>
  <r>
    <s v="200315-24"/>
    <x v="7"/>
    <x v="2"/>
    <s v="T"/>
    <x v="6"/>
    <x v="6"/>
    <n v="0"/>
    <x v="44"/>
  </r>
  <r>
    <s v="200325-44"/>
    <x v="7"/>
    <x v="3"/>
    <s v="T"/>
    <x v="6"/>
    <x v="6"/>
    <n v="0"/>
    <x v="45"/>
  </r>
  <r>
    <s v="200345-64"/>
    <x v="7"/>
    <x v="4"/>
    <s v="T"/>
    <x v="6"/>
    <x v="6"/>
    <n v="0"/>
    <x v="46"/>
  </r>
  <r>
    <s v="200365-74"/>
    <x v="7"/>
    <x v="5"/>
    <s v="T"/>
    <x v="6"/>
    <x v="6"/>
    <n v="0"/>
    <x v="47"/>
  </r>
  <r>
    <s v="200375+"/>
    <x v="7"/>
    <x v="6"/>
    <s v="T"/>
    <x v="6"/>
    <x v="6"/>
    <n v="0"/>
    <x v="47"/>
  </r>
  <r>
    <s v="20040-4"/>
    <x v="8"/>
    <x v="0"/>
    <s v="T"/>
    <x v="6"/>
    <x v="6"/>
    <n v="5253"/>
    <x v="48"/>
  </r>
  <r>
    <s v="20045-14"/>
    <x v="8"/>
    <x v="1"/>
    <s v="T"/>
    <x v="6"/>
    <x v="6"/>
    <n v="0"/>
    <x v="49"/>
  </r>
  <r>
    <s v="200415-24"/>
    <x v="8"/>
    <x v="2"/>
    <s v="T"/>
    <x v="6"/>
    <x v="6"/>
    <n v="0"/>
    <x v="50"/>
  </r>
  <r>
    <s v="200425-44"/>
    <x v="8"/>
    <x v="3"/>
    <s v="T"/>
    <x v="6"/>
    <x v="6"/>
    <n v="0"/>
    <x v="51"/>
  </r>
  <r>
    <s v="200445-64"/>
    <x v="8"/>
    <x v="4"/>
    <s v="T"/>
    <x v="6"/>
    <x v="6"/>
    <n v="0"/>
    <x v="52"/>
  </r>
  <r>
    <s v="200465-74"/>
    <x v="8"/>
    <x v="5"/>
    <s v="T"/>
    <x v="6"/>
    <x v="6"/>
    <n v="0"/>
    <x v="53"/>
  </r>
  <r>
    <s v="200475+"/>
    <x v="8"/>
    <x v="6"/>
    <s v="T"/>
    <x v="6"/>
    <x v="6"/>
    <n v="0"/>
    <x v="53"/>
  </r>
  <r>
    <s v="20050-4"/>
    <x v="9"/>
    <x v="0"/>
    <s v="T"/>
    <x v="6"/>
    <x v="6"/>
    <n v="5454"/>
    <x v="54"/>
  </r>
  <r>
    <s v="20055-14"/>
    <x v="9"/>
    <x v="1"/>
    <s v="T"/>
    <x v="6"/>
    <x v="6"/>
    <n v="2"/>
    <x v="55"/>
  </r>
  <r>
    <s v="200515-24"/>
    <x v="9"/>
    <x v="2"/>
    <s v="T"/>
    <x v="6"/>
    <x v="6"/>
    <n v="0"/>
    <x v="56"/>
  </r>
  <r>
    <s v="200525-44"/>
    <x v="9"/>
    <x v="3"/>
    <s v="T"/>
    <x v="6"/>
    <x v="6"/>
    <n v="1"/>
    <x v="57"/>
  </r>
  <r>
    <s v="200545-64"/>
    <x v="9"/>
    <x v="4"/>
    <s v="T"/>
    <x v="6"/>
    <x v="6"/>
    <n v="0"/>
    <x v="58"/>
  </r>
  <r>
    <s v="200565-74"/>
    <x v="9"/>
    <x v="5"/>
    <s v="T"/>
    <x v="6"/>
    <x v="6"/>
    <n v="0"/>
    <x v="59"/>
  </r>
  <r>
    <s v="200575+"/>
    <x v="9"/>
    <x v="6"/>
    <s v="T"/>
    <x v="6"/>
    <x v="6"/>
    <n v="0"/>
    <x v="59"/>
  </r>
  <r>
    <s v="20060-4"/>
    <x v="10"/>
    <x v="0"/>
    <s v="T"/>
    <x v="6"/>
    <x v="6"/>
    <n v="4958"/>
    <x v="60"/>
  </r>
  <r>
    <s v="20065-14"/>
    <x v="10"/>
    <x v="1"/>
    <s v="T"/>
    <x v="6"/>
    <x v="6"/>
    <n v="1"/>
    <x v="61"/>
  </r>
  <r>
    <s v="200615-24"/>
    <x v="10"/>
    <x v="2"/>
    <s v="T"/>
    <x v="6"/>
    <x v="6"/>
    <n v="0"/>
    <x v="62"/>
  </r>
  <r>
    <s v="200625-44"/>
    <x v="10"/>
    <x v="3"/>
    <s v="T"/>
    <x v="6"/>
    <x v="6"/>
    <n v="0"/>
    <x v="63"/>
  </r>
  <r>
    <s v="200645-64"/>
    <x v="10"/>
    <x v="4"/>
    <s v="T"/>
    <x v="6"/>
    <x v="6"/>
    <n v="0"/>
    <x v="64"/>
  </r>
  <r>
    <s v="200665-74"/>
    <x v="10"/>
    <x v="5"/>
    <s v="T"/>
    <x v="6"/>
    <x v="6"/>
    <n v="0"/>
    <x v="65"/>
  </r>
  <r>
    <s v="200675+"/>
    <x v="10"/>
    <x v="6"/>
    <s v="T"/>
    <x v="6"/>
    <x v="6"/>
    <n v="0"/>
    <x v="65"/>
  </r>
  <r>
    <s v="20070-4"/>
    <x v="11"/>
    <x v="0"/>
    <s v="T"/>
    <x v="6"/>
    <x v="6"/>
    <n v="4976"/>
    <x v="66"/>
  </r>
  <r>
    <s v="20075-14"/>
    <x v="11"/>
    <x v="1"/>
    <s v="T"/>
    <x v="6"/>
    <x v="6"/>
    <n v="0"/>
    <x v="67"/>
  </r>
  <r>
    <s v="200715-24"/>
    <x v="11"/>
    <x v="2"/>
    <s v="T"/>
    <x v="6"/>
    <x v="6"/>
    <n v="0"/>
    <x v="68"/>
  </r>
  <r>
    <s v="200725-44"/>
    <x v="11"/>
    <x v="3"/>
    <s v="T"/>
    <x v="6"/>
    <x v="6"/>
    <n v="0"/>
    <x v="69"/>
  </r>
  <r>
    <s v="200745-64"/>
    <x v="11"/>
    <x v="4"/>
    <s v="T"/>
    <x v="6"/>
    <x v="6"/>
    <n v="0"/>
    <x v="70"/>
  </r>
  <r>
    <s v="200765-74"/>
    <x v="11"/>
    <x v="5"/>
    <s v="T"/>
    <x v="6"/>
    <x v="6"/>
    <n v="0"/>
    <x v="71"/>
  </r>
  <r>
    <s v="200775+"/>
    <x v="11"/>
    <x v="6"/>
    <s v="T"/>
    <x v="6"/>
    <x v="6"/>
    <n v="3"/>
    <x v="71"/>
  </r>
  <r>
    <s v="20080-4"/>
    <x v="12"/>
    <x v="0"/>
    <s v="T"/>
    <x v="6"/>
    <x v="6"/>
    <n v="5027"/>
    <x v="72"/>
  </r>
  <r>
    <s v="20085-14"/>
    <x v="12"/>
    <x v="1"/>
    <s v="T"/>
    <x v="6"/>
    <x v="6"/>
    <n v="0"/>
    <x v="73"/>
  </r>
  <r>
    <s v="200815-24"/>
    <x v="12"/>
    <x v="2"/>
    <s v="T"/>
    <x v="6"/>
    <x v="6"/>
    <n v="0"/>
    <x v="74"/>
  </r>
  <r>
    <s v="200825-44"/>
    <x v="12"/>
    <x v="3"/>
    <s v="T"/>
    <x v="6"/>
    <x v="6"/>
    <n v="0"/>
    <x v="75"/>
  </r>
  <r>
    <s v="200845-64"/>
    <x v="12"/>
    <x v="4"/>
    <s v="T"/>
    <x v="6"/>
    <x v="6"/>
    <n v="0"/>
    <x v="76"/>
  </r>
  <r>
    <s v="200865-74"/>
    <x v="12"/>
    <x v="5"/>
    <s v="T"/>
    <x v="6"/>
    <x v="6"/>
    <n v="0"/>
    <x v="77"/>
  </r>
  <r>
    <s v="200875+"/>
    <x v="12"/>
    <x v="6"/>
    <s v="T"/>
    <x v="6"/>
    <x v="6"/>
    <n v="0"/>
    <x v="77"/>
  </r>
  <r>
    <s v="20090-4"/>
    <x v="13"/>
    <x v="0"/>
    <s v="T"/>
    <x v="6"/>
    <x v="6"/>
    <n v="5303"/>
    <x v="78"/>
  </r>
  <r>
    <s v="20095-14"/>
    <x v="13"/>
    <x v="1"/>
    <s v="T"/>
    <x v="6"/>
    <x v="6"/>
    <n v="0"/>
    <x v="79"/>
  </r>
  <r>
    <s v="200915-24"/>
    <x v="13"/>
    <x v="2"/>
    <s v="T"/>
    <x v="6"/>
    <x v="6"/>
    <n v="0"/>
    <x v="80"/>
  </r>
  <r>
    <s v="200925-44"/>
    <x v="13"/>
    <x v="3"/>
    <s v="T"/>
    <x v="6"/>
    <x v="6"/>
    <n v="0"/>
    <x v="81"/>
  </r>
  <r>
    <s v="200945-64"/>
    <x v="13"/>
    <x v="4"/>
    <s v="T"/>
    <x v="6"/>
    <x v="6"/>
    <n v="0"/>
    <x v="82"/>
  </r>
  <r>
    <s v="200965-74"/>
    <x v="13"/>
    <x v="5"/>
    <s v="T"/>
    <x v="6"/>
    <x v="6"/>
    <n v="0"/>
    <x v="83"/>
  </r>
  <r>
    <s v="200975+"/>
    <x v="13"/>
    <x v="6"/>
    <s v="T"/>
    <x v="6"/>
    <x v="6"/>
    <n v="0"/>
    <x v="83"/>
  </r>
  <r>
    <s v="20100-4"/>
    <x v="14"/>
    <x v="0"/>
    <s v="T"/>
    <x v="6"/>
    <x v="6"/>
    <n v="5427"/>
    <x v="84"/>
  </r>
  <r>
    <s v="20105-14"/>
    <x v="14"/>
    <x v="1"/>
    <s v="T"/>
    <x v="6"/>
    <x v="6"/>
    <n v="0"/>
    <x v="85"/>
  </r>
  <r>
    <s v="201015-24"/>
    <x v="14"/>
    <x v="2"/>
    <s v="T"/>
    <x v="6"/>
    <x v="6"/>
    <n v="0"/>
    <x v="86"/>
  </r>
  <r>
    <s v="201025-44"/>
    <x v="14"/>
    <x v="3"/>
    <s v="T"/>
    <x v="6"/>
    <x v="6"/>
    <n v="0"/>
    <x v="87"/>
  </r>
  <r>
    <s v="201045-64"/>
    <x v="14"/>
    <x v="4"/>
    <s v="T"/>
    <x v="6"/>
    <x v="6"/>
    <n v="0"/>
    <x v="88"/>
  </r>
  <r>
    <s v="201065-74"/>
    <x v="14"/>
    <x v="5"/>
    <s v="T"/>
    <x v="6"/>
    <x v="6"/>
    <n v="0"/>
    <x v="89"/>
  </r>
  <r>
    <s v="201075+"/>
    <x v="14"/>
    <x v="6"/>
    <s v="T"/>
    <x v="6"/>
    <x v="6"/>
    <n v="0"/>
    <x v="89"/>
  </r>
  <r>
    <s v="20110-4"/>
    <x v="15"/>
    <x v="0"/>
    <s v="T"/>
    <x v="6"/>
    <x v="6"/>
    <n v="5530"/>
    <x v="90"/>
  </r>
  <r>
    <s v="20115-14"/>
    <x v="15"/>
    <x v="1"/>
    <s v="T"/>
    <x v="6"/>
    <x v="6"/>
    <n v="0"/>
    <x v="91"/>
  </r>
  <r>
    <s v="201115-24"/>
    <x v="15"/>
    <x v="2"/>
    <s v="T"/>
    <x v="6"/>
    <x v="6"/>
    <n v="0"/>
    <x v="92"/>
  </r>
  <r>
    <s v="201125-44"/>
    <x v="15"/>
    <x v="3"/>
    <s v="T"/>
    <x v="6"/>
    <x v="6"/>
    <n v="0"/>
    <x v="93"/>
  </r>
  <r>
    <s v="201145-64"/>
    <x v="15"/>
    <x v="4"/>
    <s v="T"/>
    <x v="6"/>
    <x v="6"/>
    <n v="0"/>
    <x v="94"/>
  </r>
  <r>
    <s v="201165-74"/>
    <x v="15"/>
    <x v="5"/>
    <s v="T"/>
    <x v="6"/>
    <x v="6"/>
    <n v="0"/>
    <x v="95"/>
  </r>
  <r>
    <s v="201175+"/>
    <x v="15"/>
    <x v="6"/>
    <s v="T"/>
    <x v="6"/>
    <x v="6"/>
    <n v="0"/>
    <x v="95"/>
  </r>
  <r>
    <s v="20120-4"/>
    <x v="16"/>
    <x v="0"/>
    <s v="T"/>
    <x v="6"/>
    <x v="6"/>
    <n v="5445"/>
    <x v="96"/>
  </r>
  <r>
    <s v="20125-14"/>
    <x v="16"/>
    <x v="1"/>
    <s v="T"/>
    <x v="6"/>
    <x v="6"/>
    <n v="0"/>
    <x v="97"/>
  </r>
  <r>
    <s v="201215-24"/>
    <x v="16"/>
    <x v="2"/>
    <s v="T"/>
    <x v="6"/>
    <x v="6"/>
    <n v="0"/>
    <x v="98"/>
  </r>
  <r>
    <s v="201225-44"/>
    <x v="16"/>
    <x v="3"/>
    <s v="T"/>
    <x v="6"/>
    <x v="6"/>
    <n v="0"/>
    <x v="99"/>
  </r>
  <r>
    <s v="201245-64"/>
    <x v="16"/>
    <x v="4"/>
    <s v="T"/>
    <x v="6"/>
    <x v="6"/>
    <n v="0"/>
    <x v="100"/>
  </r>
  <r>
    <s v="201265-74"/>
    <x v="16"/>
    <x v="5"/>
    <s v="T"/>
    <x v="6"/>
    <x v="6"/>
    <n v="0"/>
    <x v="101"/>
  </r>
  <r>
    <s v="201275+"/>
    <x v="16"/>
    <x v="6"/>
    <s v="T"/>
    <x v="6"/>
    <x v="6"/>
    <n v="0"/>
    <x v="101"/>
  </r>
  <r>
    <s v="20130-4"/>
    <x v="17"/>
    <x v="0"/>
    <s v="T"/>
    <x v="6"/>
    <x v="6"/>
    <n v="5280"/>
    <x v="102"/>
  </r>
  <r>
    <s v="20135-14"/>
    <x v="17"/>
    <x v="1"/>
    <s v="T"/>
    <x v="6"/>
    <x v="6"/>
    <n v="0"/>
    <x v="103"/>
  </r>
  <r>
    <s v="201315-24"/>
    <x v="17"/>
    <x v="2"/>
    <s v="T"/>
    <x v="6"/>
    <x v="6"/>
    <n v="0"/>
    <x v="104"/>
  </r>
  <r>
    <s v="201325-44"/>
    <x v="17"/>
    <x v="3"/>
    <s v="T"/>
    <x v="6"/>
    <x v="6"/>
    <n v="0"/>
    <x v="105"/>
  </r>
  <r>
    <s v="201345-64"/>
    <x v="17"/>
    <x v="4"/>
    <s v="T"/>
    <x v="6"/>
    <x v="6"/>
    <n v="0"/>
    <x v="106"/>
  </r>
  <r>
    <s v="201365-74"/>
    <x v="17"/>
    <x v="5"/>
    <s v="T"/>
    <x v="6"/>
    <x v="6"/>
    <n v="0"/>
    <x v="107"/>
  </r>
  <r>
    <s v="201375+"/>
    <x v="17"/>
    <x v="6"/>
    <s v="T"/>
    <x v="6"/>
    <x v="6"/>
    <n v="0"/>
    <x v="107"/>
  </r>
  <r>
    <s v="20140-4"/>
    <x v="18"/>
    <x v="0"/>
    <s v="T"/>
    <x v="6"/>
    <x v="6"/>
    <n v="5605"/>
    <x v="108"/>
  </r>
  <r>
    <s v="20145-14"/>
    <x v="18"/>
    <x v="1"/>
    <s v="T"/>
    <x v="6"/>
    <x v="6"/>
    <n v="0"/>
    <x v="109"/>
  </r>
  <r>
    <s v="201415-24"/>
    <x v="18"/>
    <x v="2"/>
    <s v="T"/>
    <x v="6"/>
    <x v="6"/>
    <n v="0"/>
    <x v="110"/>
  </r>
  <r>
    <s v="201425-44"/>
    <x v="18"/>
    <x v="3"/>
    <s v="T"/>
    <x v="6"/>
    <x v="6"/>
    <n v="0"/>
    <x v="111"/>
  </r>
  <r>
    <s v="201445-64"/>
    <x v="18"/>
    <x v="4"/>
    <s v="T"/>
    <x v="6"/>
    <x v="6"/>
    <n v="0"/>
    <x v="112"/>
  </r>
  <r>
    <s v="201465-74"/>
    <x v="18"/>
    <x v="5"/>
    <s v="T"/>
    <x v="6"/>
    <x v="6"/>
    <n v="0"/>
    <x v="113"/>
  </r>
  <r>
    <s v="201475+"/>
    <x v="18"/>
    <x v="6"/>
    <s v="T"/>
    <x v="6"/>
    <x v="6"/>
    <n v="0"/>
    <x v="113"/>
  </r>
  <r>
    <s v="19960-4"/>
    <x v="0"/>
    <x v="0"/>
    <s v="T"/>
    <x v="7"/>
    <x v="7"/>
    <n v="114"/>
    <x v="0"/>
  </r>
  <r>
    <s v="19965-14"/>
    <x v="0"/>
    <x v="1"/>
    <s v="T"/>
    <x v="7"/>
    <x v="7"/>
    <n v="15"/>
    <x v="1"/>
  </r>
  <r>
    <s v="199615-24"/>
    <x v="0"/>
    <x v="2"/>
    <s v="T"/>
    <x v="7"/>
    <x v="7"/>
    <n v="33"/>
    <x v="2"/>
  </r>
  <r>
    <s v="199625-44"/>
    <x v="0"/>
    <x v="3"/>
    <s v="T"/>
    <x v="7"/>
    <x v="7"/>
    <n v="99"/>
    <x v="3"/>
  </r>
  <r>
    <s v="199645-64"/>
    <x v="0"/>
    <x v="4"/>
    <s v="T"/>
    <x v="7"/>
    <x v="7"/>
    <n v="427"/>
    <x v="4"/>
  </r>
  <r>
    <s v="199665-74"/>
    <x v="0"/>
    <x v="5"/>
    <s v="T"/>
    <x v="7"/>
    <x v="7"/>
    <n v="576"/>
    <x v="5"/>
  </r>
  <r>
    <s v="199675+"/>
    <x v="0"/>
    <x v="6"/>
    <s v="T"/>
    <x v="7"/>
    <x v="7"/>
    <n v="1141"/>
    <x v="5"/>
  </r>
  <r>
    <s v="19970-4"/>
    <x v="1"/>
    <x v="0"/>
    <s v="T"/>
    <x v="7"/>
    <x v="7"/>
    <n v="119"/>
    <x v="6"/>
  </r>
  <r>
    <s v="19975-14"/>
    <x v="1"/>
    <x v="1"/>
    <s v="T"/>
    <x v="7"/>
    <x v="7"/>
    <n v="12"/>
    <x v="7"/>
  </r>
  <r>
    <s v="199715-24"/>
    <x v="1"/>
    <x v="2"/>
    <s v="T"/>
    <x v="7"/>
    <x v="7"/>
    <n v="21"/>
    <x v="8"/>
  </r>
  <r>
    <s v="199725-44"/>
    <x v="1"/>
    <x v="3"/>
    <s v="T"/>
    <x v="7"/>
    <x v="7"/>
    <n v="83"/>
    <x v="9"/>
  </r>
  <r>
    <s v="199745-64"/>
    <x v="1"/>
    <x v="4"/>
    <s v="T"/>
    <x v="7"/>
    <x v="7"/>
    <n v="407"/>
    <x v="10"/>
  </r>
  <r>
    <s v="199765-74"/>
    <x v="1"/>
    <x v="5"/>
    <s v="T"/>
    <x v="7"/>
    <x v="7"/>
    <n v="593"/>
    <x v="11"/>
  </r>
  <r>
    <s v="199775+"/>
    <x v="1"/>
    <x v="6"/>
    <s v="T"/>
    <x v="7"/>
    <x v="7"/>
    <n v="1163"/>
    <x v="11"/>
  </r>
  <r>
    <s v="19980-4"/>
    <x v="2"/>
    <x v="0"/>
    <s v="T"/>
    <x v="7"/>
    <x v="7"/>
    <n v="95"/>
    <x v="12"/>
  </r>
  <r>
    <s v="19985-14"/>
    <x v="2"/>
    <x v="1"/>
    <s v="T"/>
    <x v="7"/>
    <x v="7"/>
    <n v="16"/>
    <x v="13"/>
  </r>
  <r>
    <s v="199815-24"/>
    <x v="2"/>
    <x v="2"/>
    <s v="T"/>
    <x v="7"/>
    <x v="7"/>
    <n v="22"/>
    <x v="14"/>
  </r>
  <r>
    <s v="199825-44"/>
    <x v="2"/>
    <x v="3"/>
    <s v="T"/>
    <x v="7"/>
    <x v="7"/>
    <n v="82"/>
    <x v="15"/>
  </r>
  <r>
    <s v="199845-64"/>
    <x v="2"/>
    <x v="4"/>
    <s v="T"/>
    <x v="7"/>
    <x v="7"/>
    <n v="503"/>
    <x v="16"/>
  </r>
  <r>
    <s v="199865-74"/>
    <x v="2"/>
    <x v="5"/>
    <s v="T"/>
    <x v="7"/>
    <x v="7"/>
    <n v="721"/>
    <x v="17"/>
  </r>
  <r>
    <s v="199875+"/>
    <x v="2"/>
    <x v="6"/>
    <s v="T"/>
    <x v="7"/>
    <x v="7"/>
    <n v="1319"/>
    <x v="17"/>
  </r>
  <r>
    <s v="19990-4"/>
    <x v="3"/>
    <x v="0"/>
    <s v="T"/>
    <x v="7"/>
    <x v="7"/>
    <n v="111"/>
    <x v="18"/>
  </r>
  <r>
    <s v="19995-14"/>
    <x v="3"/>
    <x v="1"/>
    <s v="T"/>
    <x v="7"/>
    <x v="7"/>
    <n v="17"/>
    <x v="19"/>
  </r>
  <r>
    <s v="199915-24"/>
    <x v="3"/>
    <x v="2"/>
    <s v="T"/>
    <x v="7"/>
    <x v="7"/>
    <n v="30"/>
    <x v="20"/>
  </r>
  <r>
    <s v="199925-44"/>
    <x v="3"/>
    <x v="3"/>
    <s v="T"/>
    <x v="7"/>
    <x v="7"/>
    <n v="91"/>
    <x v="21"/>
  </r>
  <r>
    <s v="199945-64"/>
    <x v="3"/>
    <x v="4"/>
    <s v="T"/>
    <x v="7"/>
    <x v="7"/>
    <n v="529"/>
    <x v="22"/>
  </r>
  <r>
    <s v="199965-74"/>
    <x v="3"/>
    <x v="5"/>
    <s v="T"/>
    <x v="7"/>
    <x v="7"/>
    <n v="751"/>
    <x v="23"/>
  </r>
  <r>
    <s v="199975+"/>
    <x v="3"/>
    <x v="6"/>
    <s v="T"/>
    <x v="7"/>
    <x v="7"/>
    <n v="1475"/>
    <x v="23"/>
  </r>
  <r>
    <s v="20000-4"/>
    <x v="4"/>
    <x v="0"/>
    <s v="T"/>
    <x v="7"/>
    <x v="7"/>
    <n v="104"/>
    <x v="24"/>
  </r>
  <r>
    <s v="20005-14"/>
    <x v="4"/>
    <x v="1"/>
    <s v="T"/>
    <x v="7"/>
    <x v="7"/>
    <n v="8"/>
    <x v="25"/>
  </r>
  <r>
    <s v="200015-24"/>
    <x v="4"/>
    <x v="2"/>
    <s v="T"/>
    <x v="7"/>
    <x v="7"/>
    <n v="17"/>
    <x v="26"/>
  </r>
  <r>
    <s v="200025-44"/>
    <x v="4"/>
    <x v="3"/>
    <s v="T"/>
    <x v="7"/>
    <x v="7"/>
    <n v="91"/>
    <x v="27"/>
  </r>
  <r>
    <s v="200045-64"/>
    <x v="4"/>
    <x v="4"/>
    <s v="T"/>
    <x v="7"/>
    <x v="7"/>
    <n v="445"/>
    <x v="28"/>
  </r>
  <r>
    <s v="200065-74"/>
    <x v="4"/>
    <x v="5"/>
    <s v="T"/>
    <x v="7"/>
    <x v="7"/>
    <n v="693"/>
    <x v="29"/>
  </r>
  <r>
    <s v="200075+"/>
    <x v="4"/>
    <x v="6"/>
    <s v="T"/>
    <x v="7"/>
    <x v="7"/>
    <n v="1276"/>
    <x v="29"/>
  </r>
  <r>
    <s v="20010-4"/>
    <x v="5"/>
    <x v="0"/>
    <s v="T"/>
    <x v="7"/>
    <x v="7"/>
    <n v="53"/>
    <x v="30"/>
  </r>
  <r>
    <s v="20015-14"/>
    <x v="5"/>
    <x v="1"/>
    <s v="T"/>
    <x v="7"/>
    <x v="7"/>
    <n v="18"/>
    <x v="31"/>
  </r>
  <r>
    <s v="200115-24"/>
    <x v="5"/>
    <x v="2"/>
    <s v="T"/>
    <x v="7"/>
    <x v="7"/>
    <n v="18"/>
    <x v="32"/>
  </r>
  <r>
    <s v="200125-44"/>
    <x v="5"/>
    <x v="3"/>
    <s v="T"/>
    <x v="7"/>
    <x v="7"/>
    <n v="112"/>
    <x v="33"/>
  </r>
  <r>
    <s v="200145-64"/>
    <x v="5"/>
    <x v="4"/>
    <s v="T"/>
    <x v="7"/>
    <x v="7"/>
    <n v="550"/>
    <x v="34"/>
  </r>
  <r>
    <s v="200165-74"/>
    <x v="5"/>
    <x v="5"/>
    <s v="T"/>
    <x v="7"/>
    <x v="7"/>
    <n v="837"/>
    <x v="35"/>
  </r>
  <r>
    <s v="200175+"/>
    <x v="5"/>
    <x v="6"/>
    <s v="T"/>
    <x v="7"/>
    <x v="7"/>
    <n v="1616"/>
    <x v="35"/>
  </r>
  <r>
    <s v="20020-4"/>
    <x v="6"/>
    <x v="0"/>
    <s v="T"/>
    <x v="7"/>
    <x v="7"/>
    <n v="52"/>
    <x v="36"/>
  </r>
  <r>
    <s v="20025-14"/>
    <x v="6"/>
    <x v="1"/>
    <s v="T"/>
    <x v="7"/>
    <x v="7"/>
    <n v="19"/>
    <x v="37"/>
  </r>
  <r>
    <s v="200215-24"/>
    <x v="6"/>
    <x v="2"/>
    <s v="T"/>
    <x v="7"/>
    <x v="7"/>
    <n v="28"/>
    <x v="38"/>
  </r>
  <r>
    <s v="200225-44"/>
    <x v="6"/>
    <x v="3"/>
    <s v="T"/>
    <x v="7"/>
    <x v="7"/>
    <n v="94"/>
    <x v="39"/>
  </r>
  <r>
    <s v="200245-64"/>
    <x v="6"/>
    <x v="4"/>
    <s v="T"/>
    <x v="7"/>
    <x v="7"/>
    <n v="455"/>
    <x v="40"/>
  </r>
  <r>
    <s v="200265-74"/>
    <x v="6"/>
    <x v="5"/>
    <s v="T"/>
    <x v="7"/>
    <x v="7"/>
    <n v="705"/>
    <x v="41"/>
  </r>
  <r>
    <s v="200275+"/>
    <x v="6"/>
    <x v="6"/>
    <s v="T"/>
    <x v="7"/>
    <x v="7"/>
    <n v="1492"/>
    <x v="41"/>
  </r>
  <r>
    <s v="20030-4"/>
    <x v="7"/>
    <x v="0"/>
    <s v="T"/>
    <x v="7"/>
    <x v="7"/>
    <n v="93"/>
    <x v="42"/>
  </r>
  <r>
    <s v="20035-14"/>
    <x v="7"/>
    <x v="1"/>
    <s v="T"/>
    <x v="7"/>
    <x v="7"/>
    <n v="20"/>
    <x v="43"/>
  </r>
  <r>
    <s v="200315-24"/>
    <x v="7"/>
    <x v="2"/>
    <s v="T"/>
    <x v="7"/>
    <x v="7"/>
    <n v="17"/>
    <x v="44"/>
  </r>
  <r>
    <s v="200325-44"/>
    <x v="7"/>
    <x v="3"/>
    <s v="T"/>
    <x v="7"/>
    <x v="7"/>
    <n v="94"/>
    <x v="45"/>
  </r>
  <r>
    <s v="200345-64"/>
    <x v="7"/>
    <x v="4"/>
    <s v="T"/>
    <x v="7"/>
    <x v="7"/>
    <n v="538"/>
    <x v="46"/>
  </r>
  <r>
    <s v="200365-74"/>
    <x v="7"/>
    <x v="5"/>
    <s v="T"/>
    <x v="7"/>
    <x v="7"/>
    <n v="812"/>
    <x v="47"/>
  </r>
  <r>
    <s v="200375+"/>
    <x v="7"/>
    <x v="6"/>
    <s v="T"/>
    <x v="7"/>
    <x v="7"/>
    <n v="1781"/>
    <x v="47"/>
  </r>
  <r>
    <s v="20040-4"/>
    <x v="8"/>
    <x v="0"/>
    <s v="T"/>
    <x v="7"/>
    <x v="7"/>
    <n v="63"/>
    <x v="48"/>
  </r>
  <r>
    <s v="20045-14"/>
    <x v="8"/>
    <x v="1"/>
    <s v="T"/>
    <x v="7"/>
    <x v="7"/>
    <n v="18"/>
    <x v="49"/>
  </r>
  <r>
    <s v="200415-24"/>
    <x v="8"/>
    <x v="2"/>
    <s v="T"/>
    <x v="7"/>
    <x v="7"/>
    <n v="17"/>
    <x v="50"/>
  </r>
  <r>
    <s v="200425-44"/>
    <x v="8"/>
    <x v="3"/>
    <s v="T"/>
    <x v="7"/>
    <x v="7"/>
    <n v="88"/>
    <x v="51"/>
  </r>
  <r>
    <s v="200445-64"/>
    <x v="8"/>
    <x v="4"/>
    <s v="T"/>
    <x v="7"/>
    <x v="7"/>
    <n v="495"/>
    <x v="52"/>
  </r>
  <r>
    <s v="200465-74"/>
    <x v="8"/>
    <x v="5"/>
    <s v="T"/>
    <x v="7"/>
    <x v="7"/>
    <n v="727"/>
    <x v="53"/>
  </r>
  <r>
    <s v="200475+"/>
    <x v="8"/>
    <x v="6"/>
    <s v="T"/>
    <x v="7"/>
    <x v="7"/>
    <n v="1758"/>
    <x v="53"/>
  </r>
  <r>
    <s v="20050-4"/>
    <x v="9"/>
    <x v="0"/>
    <s v="T"/>
    <x v="7"/>
    <x v="7"/>
    <n v="12"/>
    <x v="54"/>
  </r>
  <r>
    <s v="20055-14"/>
    <x v="9"/>
    <x v="1"/>
    <s v="T"/>
    <x v="7"/>
    <x v="7"/>
    <n v="8"/>
    <x v="55"/>
  </r>
  <r>
    <s v="200515-24"/>
    <x v="9"/>
    <x v="2"/>
    <s v="T"/>
    <x v="7"/>
    <x v="7"/>
    <n v="31"/>
    <x v="56"/>
  </r>
  <r>
    <s v="200525-44"/>
    <x v="9"/>
    <x v="3"/>
    <s v="T"/>
    <x v="7"/>
    <x v="7"/>
    <n v="90"/>
    <x v="57"/>
  </r>
  <r>
    <s v="200545-64"/>
    <x v="9"/>
    <x v="4"/>
    <s v="T"/>
    <x v="7"/>
    <x v="7"/>
    <n v="592"/>
    <x v="58"/>
  </r>
  <r>
    <s v="200565-74"/>
    <x v="9"/>
    <x v="5"/>
    <s v="T"/>
    <x v="7"/>
    <x v="7"/>
    <n v="760"/>
    <x v="59"/>
  </r>
  <r>
    <s v="200575+"/>
    <x v="9"/>
    <x v="6"/>
    <s v="T"/>
    <x v="7"/>
    <x v="7"/>
    <n v="1904"/>
    <x v="59"/>
  </r>
  <r>
    <s v="20060-4"/>
    <x v="10"/>
    <x v="0"/>
    <s v="T"/>
    <x v="7"/>
    <x v="7"/>
    <n v="8"/>
    <x v="60"/>
  </r>
  <r>
    <s v="20065-14"/>
    <x v="10"/>
    <x v="1"/>
    <s v="T"/>
    <x v="7"/>
    <x v="7"/>
    <n v="11"/>
    <x v="61"/>
  </r>
  <r>
    <s v="200615-24"/>
    <x v="10"/>
    <x v="2"/>
    <s v="T"/>
    <x v="7"/>
    <x v="7"/>
    <n v="21"/>
    <x v="62"/>
  </r>
  <r>
    <s v="200625-44"/>
    <x v="10"/>
    <x v="3"/>
    <s v="T"/>
    <x v="7"/>
    <x v="7"/>
    <n v="93"/>
    <x v="63"/>
  </r>
  <r>
    <s v="200645-64"/>
    <x v="10"/>
    <x v="4"/>
    <s v="T"/>
    <x v="7"/>
    <x v="7"/>
    <n v="585"/>
    <x v="64"/>
  </r>
  <r>
    <s v="200665-74"/>
    <x v="10"/>
    <x v="5"/>
    <s v="T"/>
    <x v="7"/>
    <x v="7"/>
    <n v="744"/>
    <x v="65"/>
  </r>
  <r>
    <s v="200675+"/>
    <x v="10"/>
    <x v="6"/>
    <s v="T"/>
    <x v="7"/>
    <x v="7"/>
    <n v="1763"/>
    <x v="65"/>
  </r>
  <r>
    <s v="20070-4"/>
    <x v="11"/>
    <x v="0"/>
    <s v="T"/>
    <x v="7"/>
    <x v="7"/>
    <n v="3"/>
    <x v="66"/>
  </r>
  <r>
    <s v="20075-14"/>
    <x v="11"/>
    <x v="1"/>
    <s v="T"/>
    <x v="7"/>
    <x v="7"/>
    <n v="9"/>
    <x v="67"/>
  </r>
  <r>
    <s v="200715-24"/>
    <x v="11"/>
    <x v="2"/>
    <s v="T"/>
    <x v="7"/>
    <x v="7"/>
    <n v="23"/>
    <x v="68"/>
  </r>
  <r>
    <s v="200725-44"/>
    <x v="11"/>
    <x v="3"/>
    <s v="T"/>
    <x v="7"/>
    <x v="7"/>
    <n v="90"/>
    <x v="69"/>
  </r>
  <r>
    <s v="200745-64"/>
    <x v="11"/>
    <x v="4"/>
    <s v="T"/>
    <x v="7"/>
    <x v="7"/>
    <n v="584"/>
    <x v="70"/>
  </r>
  <r>
    <s v="200765-74"/>
    <x v="11"/>
    <x v="5"/>
    <s v="T"/>
    <x v="7"/>
    <x v="7"/>
    <n v="757"/>
    <x v="71"/>
  </r>
  <r>
    <s v="200775+"/>
    <x v="11"/>
    <x v="6"/>
    <s v="T"/>
    <x v="7"/>
    <x v="7"/>
    <n v="1976"/>
    <x v="71"/>
  </r>
  <r>
    <s v="20080-4"/>
    <x v="12"/>
    <x v="0"/>
    <s v="T"/>
    <x v="7"/>
    <x v="7"/>
    <n v="9"/>
    <x v="72"/>
  </r>
  <r>
    <s v="20085-14"/>
    <x v="12"/>
    <x v="1"/>
    <s v="T"/>
    <x v="7"/>
    <x v="7"/>
    <n v="8"/>
    <x v="73"/>
  </r>
  <r>
    <s v="200815-24"/>
    <x v="12"/>
    <x v="2"/>
    <s v="T"/>
    <x v="7"/>
    <x v="7"/>
    <n v="23"/>
    <x v="74"/>
  </r>
  <r>
    <s v="200825-44"/>
    <x v="12"/>
    <x v="3"/>
    <s v="T"/>
    <x v="7"/>
    <x v="7"/>
    <n v="103"/>
    <x v="75"/>
  </r>
  <r>
    <s v="200845-64"/>
    <x v="12"/>
    <x v="4"/>
    <s v="T"/>
    <x v="7"/>
    <x v="7"/>
    <n v="629"/>
    <x v="76"/>
  </r>
  <r>
    <s v="200865-74"/>
    <x v="12"/>
    <x v="5"/>
    <s v="T"/>
    <x v="7"/>
    <x v="7"/>
    <n v="775"/>
    <x v="77"/>
  </r>
  <r>
    <s v="200875+"/>
    <x v="12"/>
    <x v="6"/>
    <s v="T"/>
    <x v="7"/>
    <x v="7"/>
    <n v="2038"/>
    <x v="77"/>
  </r>
  <r>
    <s v="20090-4"/>
    <x v="13"/>
    <x v="0"/>
    <s v="T"/>
    <x v="7"/>
    <x v="7"/>
    <n v="6"/>
    <x v="78"/>
  </r>
  <r>
    <s v="20095-14"/>
    <x v="13"/>
    <x v="1"/>
    <s v="T"/>
    <x v="7"/>
    <x v="7"/>
    <n v="11"/>
    <x v="79"/>
  </r>
  <r>
    <s v="200915-24"/>
    <x v="13"/>
    <x v="2"/>
    <s v="T"/>
    <x v="7"/>
    <x v="7"/>
    <n v="22"/>
    <x v="80"/>
  </r>
  <r>
    <s v="200925-44"/>
    <x v="13"/>
    <x v="3"/>
    <s v="T"/>
    <x v="7"/>
    <x v="7"/>
    <n v="106"/>
    <x v="81"/>
  </r>
  <r>
    <s v="200945-64"/>
    <x v="13"/>
    <x v="4"/>
    <s v="T"/>
    <x v="7"/>
    <x v="7"/>
    <n v="594"/>
    <x v="82"/>
  </r>
  <r>
    <s v="200965-74"/>
    <x v="13"/>
    <x v="5"/>
    <s v="T"/>
    <x v="7"/>
    <x v="7"/>
    <n v="722"/>
    <x v="83"/>
  </r>
  <r>
    <s v="200975+"/>
    <x v="13"/>
    <x v="6"/>
    <s v="T"/>
    <x v="7"/>
    <x v="7"/>
    <n v="1986"/>
    <x v="83"/>
  </r>
  <r>
    <s v="20100-4"/>
    <x v="14"/>
    <x v="0"/>
    <s v="T"/>
    <x v="7"/>
    <x v="7"/>
    <n v="5"/>
    <x v="84"/>
  </r>
  <r>
    <s v="20105-14"/>
    <x v="14"/>
    <x v="1"/>
    <s v="T"/>
    <x v="7"/>
    <x v="7"/>
    <n v="8"/>
    <x v="85"/>
  </r>
  <r>
    <s v="201015-24"/>
    <x v="14"/>
    <x v="2"/>
    <s v="T"/>
    <x v="7"/>
    <x v="7"/>
    <n v="17"/>
    <x v="86"/>
  </r>
  <r>
    <s v="201025-44"/>
    <x v="14"/>
    <x v="3"/>
    <s v="T"/>
    <x v="7"/>
    <x v="7"/>
    <n v="82"/>
    <x v="87"/>
  </r>
  <r>
    <s v="201045-64"/>
    <x v="14"/>
    <x v="4"/>
    <s v="T"/>
    <x v="7"/>
    <x v="7"/>
    <n v="647"/>
    <x v="88"/>
  </r>
  <r>
    <s v="201065-74"/>
    <x v="14"/>
    <x v="5"/>
    <s v="T"/>
    <x v="7"/>
    <x v="7"/>
    <n v="753"/>
    <x v="89"/>
  </r>
  <r>
    <s v="201075+"/>
    <x v="14"/>
    <x v="6"/>
    <s v="T"/>
    <x v="7"/>
    <x v="7"/>
    <n v="2249"/>
    <x v="89"/>
  </r>
  <r>
    <s v="20110-4"/>
    <x v="15"/>
    <x v="0"/>
    <s v="T"/>
    <x v="7"/>
    <x v="7"/>
    <n v="10"/>
    <x v="90"/>
  </r>
  <r>
    <s v="20115-14"/>
    <x v="15"/>
    <x v="1"/>
    <s v="T"/>
    <x v="7"/>
    <x v="7"/>
    <n v="16"/>
    <x v="91"/>
  </r>
  <r>
    <s v="201115-24"/>
    <x v="15"/>
    <x v="2"/>
    <s v="T"/>
    <x v="7"/>
    <x v="7"/>
    <n v="20"/>
    <x v="92"/>
  </r>
  <r>
    <s v="201125-44"/>
    <x v="15"/>
    <x v="3"/>
    <s v="T"/>
    <x v="7"/>
    <x v="7"/>
    <n v="112"/>
    <x v="93"/>
  </r>
  <r>
    <s v="201145-64"/>
    <x v="15"/>
    <x v="4"/>
    <s v="T"/>
    <x v="7"/>
    <x v="7"/>
    <n v="713"/>
    <x v="94"/>
  </r>
  <r>
    <s v="201165-74"/>
    <x v="15"/>
    <x v="5"/>
    <s v="T"/>
    <x v="7"/>
    <x v="7"/>
    <n v="808"/>
    <x v="95"/>
  </r>
  <r>
    <s v="201175+"/>
    <x v="15"/>
    <x v="6"/>
    <s v="T"/>
    <x v="7"/>
    <x v="7"/>
    <n v="2425"/>
    <x v="95"/>
  </r>
  <r>
    <s v="20120-4"/>
    <x v="16"/>
    <x v="0"/>
    <s v="T"/>
    <x v="7"/>
    <x v="7"/>
    <n v="8"/>
    <x v="96"/>
  </r>
  <r>
    <s v="20125-14"/>
    <x v="16"/>
    <x v="1"/>
    <s v="T"/>
    <x v="7"/>
    <x v="7"/>
    <n v="14"/>
    <x v="97"/>
  </r>
  <r>
    <s v="201215-24"/>
    <x v="16"/>
    <x v="2"/>
    <s v="T"/>
    <x v="7"/>
    <x v="7"/>
    <n v="24"/>
    <x v="98"/>
  </r>
  <r>
    <s v="201225-44"/>
    <x v="16"/>
    <x v="3"/>
    <s v="T"/>
    <x v="7"/>
    <x v="7"/>
    <n v="101"/>
    <x v="99"/>
  </r>
  <r>
    <s v="201245-64"/>
    <x v="16"/>
    <x v="4"/>
    <s v="T"/>
    <x v="7"/>
    <x v="7"/>
    <n v="711"/>
    <x v="100"/>
  </r>
  <r>
    <s v="201265-74"/>
    <x v="16"/>
    <x v="5"/>
    <s v="T"/>
    <x v="7"/>
    <x v="7"/>
    <n v="898"/>
    <x v="101"/>
  </r>
  <r>
    <s v="201275+"/>
    <x v="16"/>
    <x v="6"/>
    <s v="T"/>
    <x v="7"/>
    <x v="7"/>
    <n v="2360"/>
    <x v="101"/>
  </r>
  <r>
    <s v="20130-4"/>
    <x v="17"/>
    <x v="0"/>
    <s v="T"/>
    <x v="7"/>
    <x v="7"/>
    <n v="12"/>
    <x v="102"/>
  </r>
  <r>
    <s v="20135-14"/>
    <x v="17"/>
    <x v="1"/>
    <s v="T"/>
    <x v="7"/>
    <x v="7"/>
    <n v="8"/>
    <x v="103"/>
  </r>
  <r>
    <s v="201315-24"/>
    <x v="17"/>
    <x v="2"/>
    <s v="T"/>
    <x v="7"/>
    <x v="7"/>
    <n v="17"/>
    <x v="104"/>
  </r>
  <r>
    <s v="201325-44"/>
    <x v="17"/>
    <x v="3"/>
    <s v="T"/>
    <x v="7"/>
    <x v="7"/>
    <n v="120"/>
    <x v="105"/>
  </r>
  <r>
    <s v="201345-64"/>
    <x v="17"/>
    <x v="4"/>
    <s v="T"/>
    <x v="7"/>
    <x v="7"/>
    <n v="771"/>
    <x v="106"/>
  </r>
  <r>
    <s v="201365-74"/>
    <x v="17"/>
    <x v="5"/>
    <s v="T"/>
    <x v="7"/>
    <x v="7"/>
    <n v="938"/>
    <x v="107"/>
  </r>
  <r>
    <s v="201375+"/>
    <x v="17"/>
    <x v="6"/>
    <s v="T"/>
    <x v="7"/>
    <x v="7"/>
    <n v="2467"/>
    <x v="107"/>
  </r>
  <r>
    <s v="20140-4"/>
    <x v="18"/>
    <x v="0"/>
    <s v="T"/>
    <x v="7"/>
    <x v="7"/>
    <n v="7"/>
    <x v="108"/>
  </r>
  <r>
    <s v="20145-14"/>
    <x v="18"/>
    <x v="1"/>
    <s v="T"/>
    <x v="7"/>
    <x v="7"/>
    <n v="7"/>
    <x v="109"/>
  </r>
  <r>
    <s v="201415-24"/>
    <x v="18"/>
    <x v="2"/>
    <s v="T"/>
    <x v="7"/>
    <x v="7"/>
    <n v="22"/>
    <x v="110"/>
  </r>
  <r>
    <s v="201425-44"/>
    <x v="18"/>
    <x v="3"/>
    <s v="T"/>
    <x v="7"/>
    <x v="7"/>
    <n v="82"/>
    <x v="111"/>
  </r>
  <r>
    <s v="201445-64"/>
    <x v="18"/>
    <x v="4"/>
    <s v="T"/>
    <x v="7"/>
    <x v="7"/>
    <n v="799"/>
    <x v="112"/>
  </r>
  <r>
    <s v="201465-74"/>
    <x v="18"/>
    <x v="5"/>
    <s v="T"/>
    <x v="7"/>
    <x v="7"/>
    <n v="1030"/>
    <x v="113"/>
  </r>
  <r>
    <s v="201475+"/>
    <x v="18"/>
    <x v="6"/>
    <s v="T"/>
    <x v="7"/>
    <x v="7"/>
    <n v="2954"/>
    <x v="113"/>
  </r>
  <r>
    <s v="19960-4"/>
    <x v="0"/>
    <x v="0"/>
    <s v="T"/>
    <x v="8"/>
    <x v="8"/>
    <n v="877"/>
    <x v="0"/>
  </r>
  <r>
    <s v="19965-14"/>
    <x v="0"/>
    <x v="1"/>
    <s v="T"/>
    <x v="8"/>
    <x v="8"/>
    <n v="82"/>
    <x v="1"/>
  </r>
  <r>
    <s v="199615-24"/>
    <x v="0"/>
    <x v="2"/>
    <s v="T"/>
    <x v="8"/>
    <x v="8"/>
    <n v="90"/>
    <x v="2"/>
  </r>
  <r>
    <s v="199625-44"/>
    <x v="0"/>
    <x v="3"/>
    <s v="T"/>
    <x v="8"/>
    <x v="8"/>
    <n v="191"/>
    <x v="3"/>
  </r>
  <r>
    <s v="199645-64"/>
    <x v="0"/>
    <x v="4"/>
    <s v="T"/>
    <x v="8"/>
    <x v="8"/>
    <n v="247"/>
    <x v="4"/>
  </r>
  <r>
    <s v="199665-74"/>
    <x v="0"/>
    <x v="5"/>
    <s v="T"/>
    <x v="8"/>
    <x v="8"/>
    <n v="226"/>
    <x v="5"/>
  </r>
  <r>
    <s v="199675+"/>
    <x v="0"/>
    <x v="6"/>
    <s v="T"/>
    <x v="8"/>
    <x v="8"/>
    <n v="974"/>
    <x v="5"/>
  </r>
  <r>
    <s v="19970-4"/>
    <x v="1"/>
    <x v="0"/>
    <s v="T"/>
    <x v="8"/>
    <x v="8"/>
    <n v="885"/>
    <x v="6"/>
  </r>
  <r>
    <s v="19975-14"/>
    <x v="1"/>
    <x v="1"/>
    <s v="T"/>
    <x v="8"/>
    <x v="8"/>
    <n v="71"/>
    <x v="7"/>
  </r>
  <r>
    <s v="199715-24"/>
    <x v="1"/>
    <x v="2"/>
    <s v="T"/>
    <x v="8"/>
    <x v="8"/>
    <n v="83"/>
    <x v="8"/>
  </r>
  <r>
    <s v="199725-44"/>
    <x v="1"/>
    <x v="3"/>
    <s v="T"/>
    <x v="8"/>
    <x v="8"/>
    <n v="209"/>
    <x v="9"/>
  </r>
  <r>
    <s v="199745-64"/>
    <x v="1"/>
    <x v="4"/>
    <s v="T"/>
    <x v="8"/>
    <x v="8"/>
    <n v="245"/>
    <x v="10"/>
  </r>
  <r>
    <s v="199765-74"/>
    <x v="1"/>
    <x v="5"/>
    <s v="T"/>
    <x v="8"/>
    <x v="8"/>
    <n v="265"/>
    <x v="11"/>
  </r>
  <r>
    <s v="199775+"/>
    <x v="1"/>
    <x v="6"/>
    <s v="T"/>
    <x v="8"/>
    <x v="8"/>
    <n v="964"/>
    <x v="11"/>
  </r>
  <r>
    <s v="19980-4"/>
    <x v="2"/>
    <x v="0"/>
    <s v="T"/>
    <x v="8"/>
    <x v="8"/>
    <n v="947"/>
    <x v="12"/>
  </r>
  <r>
    <s v="19985-14"/>
    <x v="2"/>
    <x v="1"/>
    <s v="T"/>
    <x v="8"/>
    <x v="8"/>
    <n v="66"/>
    <x v="13"/>
  </r>
  <r>
    <s v="199815-24"/>
    <x v="2"/>
    <x v="2"/>
    <s v="T"/>
    <x v="8"/>
    <x v="8"/>
    <n v="74"/>
    <x v="14"/>
  </r>
  <r>
    <s v="199825-44"/>
    <x v="2"/>
    <x v="3"/>
    <s v="T"/>
    <x v="8"/>
    <x v="8"/>
    <n v="205"/>
    <x v="15"/>
  </r>
  <r>
    <s v="199845-64"/>
    <x v="2"/>
    <x v="4"/>
    <s v="T"/>
    <x v="8"/>
    <x v="8"/>
    <n v="280"/>
    <x v="16"/>
  </r>
  <r>
    <s v="199865-74"/>
    <x v="2"/>
    <x v="5"/>
    <s v="T"/>
    <x v="8"/>
    <x v="8"/>
    <n v="299"/>
    <x v="17"/>
  </r>
  <r>
    <s v="199875+"/>
    <x v="2"/>
    <x v="6"/>
    <s v="T"/>
    <x v="8"/>
    <x v="8"/>
    <n v="1110"/>
    <x v="17"/>
  </r>
  <r>
    <s v="19990-4"/>
    <x v="3"/>
    <x v="0"/>
    <s v="T"/>
    <x v="8"/>
    <x v="8"/>
    <n v="786"/>
    <x v="18"/>
  </r>
  <r>
    <s v="19995-14"/>
    <x v="3"/>
    <x v="1"/>
    <s v="T"/>
    <x v="8"/>
    <x v="8"/>
    <n v="70"/>
    <x v="19"/>
  </r>
  <r>
    <s v="199915-24"/>
    <x v="3"/>
    <x v="2"/>
    <s v="T"/>
    <x v="8"/>
    <x v="8"/>
    <n v="73"/>
    <x v="20"/>
  </r>
  <r>
    <s v="199925-44"/>
    <x v="3"/>
    <x v="3"/>
    <s v="T"/>
    <x v="8"/>
    <x v="8"/>
    <n v="214"/>
    <x v="21"/>
  </r>
  <r>
    <s v="199945-64"/>
    <x v="3"/>
    <x v="4"/>
    <s v="T"/>
    <x v="8"/>
    <x v="8"/>
    <n v="285"/>
    <x v="22"/>
  </r>
  <r>
    <s v="199965-74"/>
    <x v="3"/>
    <x v="5"/>
    <s v="T"/>
    <x v="8"/>
    <x v="8"/>
    <n v="304"/>
    <x v="23"/>
  </r>
  <r>
    <s v="199975+"/>
    <x v="3"/>
    <x v="6"/>
    <s v="T"/>
    <x v="8"/>
    <x v="8"/>
    <n v="1154"/>
    <x v="23"/>
  </r>
  <r>
    <s v="20000-4"/>
    <x v="4"/>
    <x v="0"/>
    <s v="T"/>
    <x v="8"/>
    <x v="8"/>
    <n v="664"/>
    <x v="24"/>
  </r>
  <r>
    <s v="20005-14"/>
    <x v="4"/>
    <x v="1"/>
    <s v="T"/>
    <x v="8"/>
    <x v="8"/>
    <n v="76"/>
    <x v="25"/>
  </r>
  <r>
    <s v="200015-24"/>
    <x v="4"/>
    <x v="2"/>
    <s v="T"/>
    <x v="8"/>
    <x v="8"/>
    <n v="85"/>
    <x v="26"/>
  </r>
  <r>
    <s v="200025-44"/>
    <x v="4"/>
    <x v="3"/>
    <s v="T"/>
    <x v="8"/>
    <x v="8"/>
    <n v="164"/>
    <x v="27"/>
  </r>
  <r>
    <s v="200045-64"/>
    <x v="4"/>
    <x v="4"/>
    <s v="T"/>
    <x v="8"/>
    <x v="8"/>
    <n v="233"/>
    <x v="28"/>
  </r>
  <r>
    <s v="200065-74"/>
    <x v="4"/>
    <x v="5"/>
    <s v="T"/>
    <x v="8"/>
    <x v="8"/>
    <n v="248"/>
    <x v="29"/>
  </r>
  <r>
    <s v="200075+"/>
    <x v="4"/>
    <x v="6"/>
    <s v="T"/>
    <x v="8"/>
    <x v="8"/>
    <n v="921"/>
    <x v="29"/>
  </r>
  <r>
    <s v="20010-4"/>
    <x v="5"/>
    <x v="0"/>
    <s v="T"/>
    <x v="8"/>
    <x v="8"/>
    <n v="819"/>
    <x v="30"/>
  </r>
  <r>
    <s v="20015-14"/>
    <x v="5"/>
    <x v="1"/>
    <s v="T"/>
    <x v="8"/>
    <x v="8"/>
    <n v="81"/>
    <x v="31"/>
  </r>
  <r>
    <s v="200115-24"/>
    <x v="5"/>
    <x v="2"/>
    <s v="T"/>
    <x v="8"/>
    <x v="8"/>
    <n v="81"/>
    <x v="32"/>
  </r>
  <r>
    <s v="200125-44"/>
    <x v="5"/>
    <x v="3"/>
    <s v="T"/>
    <x v="8"/>
    <x v="8"/>
    <n v="210"/>
    <x v="33"/>
  </r>
  <r>
    <s v="200145-64"/>
    <x v="5"/>
    <x v="4"/>
    <s v="T"/>
    <x v="8"/>
    <x v="8"/>
    <n v="298"/>
    <x v="34"/>
  </r>
  <r>
    <s v="200165-74"/>
    <x v="5"/>
    <x v="5"/>
    <s v="T"/>
    <x v="8"/>
    <x v="8"/>
    <n v="300"/>
    <x v="35"/>
  </r>
  <r>
    <s v="200175+"/>
    <x v="5"/>
    <x v="6"/>
    <s v="T"/>
    <x v="8"/>
    <x v="8"/>
    <n v="1149"/>
    <x v="35"/>
  </r>
  <r>
    <s v="20020-4"/>
    <x v="6"/>
    <x v="0"/>
    <s v="T"/>
    <x v="8"/>
    <x v="8"/>
    <n v="595"/>
    <x v="36"/>
  </r>
  <r>
    <s v="20025-14"/>
    <x v="6"/>
    <x v="1"/>
    <s v="T"/>
    <x v="8"/>
    <x v="8"/>
    <n v="66"/>
    <x v="37"/>
  </r>
  <r>
    <s v="200215-24"/>
    <x v="6"/>
    <x v="2"/>
    <s v="T"/>
    <x v="8"/>
    <x v="8"/>
    <n v="80"/>
    <x v="38"/>
  </r>
  <r>
    <s v="200225-44"/>
    <x v="6"/>
    <x v="3"/>
    <s v="T"/>
    <x v="8"/>
    <x v="8"/>
    <n v="188"/>
    <x v="39"/>
  </r>
  <r>
    <s v="200245-64"/>
    <x v="6"/>
    <x v="4"/>
    <s v="T"/>
    <x v="8"/>
    <x v="8"/>
    <n v="280"/>
    <x v="40"/>
  </r>
  <r>
    <s v="200265-74"/>
    <x v="6"/>
    <x v="5"/>
    <s v="T"/>
    <x v="8"/>
    <x v="8"/>
    <n v="265"/>
    <x v="41"/>
  </r>
  <r>
    <s v="200275+"/>
    <x v="6"/>
    <x v="6"/>
    <s v="T"/>
    <x v="8"/>
    <x v="8"/>
    <n v="977"/>
    <x v="41"/>
  </r>
  <r>
    <s v="20030-4"/>
    <x v="7"/>
    <x v="0"/>
    <s v="T"/>
    <x v="8"/>
    <x v="8"/>
    <n v="878"/>
    <x v="42"/>
  </r>
  <r>
    <s v="20035-14"/>
    <x v="7"/>
    <x v="1"/>
    <s v="T"/>
    <x v="8"/>
    <x v="8"/>
    <n v="93"/>
    <x v="43"/>
  </r>
  <r>
    <s v="200315-24"/>
    <x v="7"/>
    <x v="2"/>
    <s v="T"/>
    <x v="8"/>
    <x v="8"/>
    <n v="85"/>
    <x v="44"/>
  </r>
  <r>
    <s v="200325-44"/>
    <x v="7"/>
    <x v="3"/>
    <s v="T"/>
    <x v="8"/>
    <x v="8"/>
    <n v="240"/>
    <x v="45"/>
  </r>
  <r>
    <s v="200345-64"/>
    <x v="7"/>
    <x v="4"/>
    <s v="T"/>
    <x v="8"/>
    <x v="8"/>
    <n v="332"/>
    <x v="46"/>
  </r>
  <r>
    <s v="200365-74"/>
    <x v="7"/>
    <x v="5"/>
    <s v="T"/>
    <x v="8"/>
    <x v="8"/>
    <n v="306"/>
    <x v="47"/>
  </r>
  <r>
    <s v="200375+"/>
    <x v="7"/>
    <x v="6"/>
    <s v="T"/>
    <x v="8"/>
    <x v="8"/>
    <n v="1362"/>
    <x v="47"/>
  </r>
  <r>
    <s v="20040-4"/>
    <x v="8"/>
    <x v="0"/>
    <s v="T"/>
    <x v="8"/>
    <x v="8"/>
    <n v="696"/>
    <x v="48"/>
  </r>
  <r>
    <s v="20045-14"/>
    <x v="8"/>
    <x v="1"/>
    <s v="T"/>
    <x v="8"/>
    <x v="8"/>
    <n v="63"/>
    <x v="49"/>
  </r>
  <r>
    <s v="200415-24"/>
    <x v="8"/>
    <x v="2"/>
    <s v="T"/>
    <x v="8"/>
    <x v="8"/>
    <n v="88"/>
    <x v="50"/>
  </r>
  <r>
    <s v="200425-44"/>
    <x v="8"/>
    <x v="3"/>
    <s v="T"/>
    <x v="8"/>
    <x v="8"/>
    <n v="198"/>
    <x v="51"/>
  </r>
  <r>
    <s v="200445-64"/>
    <x v="8"/>
    <x v="4"/>
    <s v="T"/>
    <x v="8"/>
    <x v="8"/>
    <n v="320"/>
    <x v="52"/>
  </r>
  <r>
    <s v="200465-74"/>
    <x v="8"/>
    <x v="5"/>
    <s v="T"/>
    <x v="8"/>
    <x v="8"/>
    <n v="274"/>
    <x v="53"/>
  </r>
  <r>
    <s v="200475+"/>
    <x v="8"/>
    <x v="6"/>
    <s v="T"/>
    <x v="8"/>
    <x v="8"/>
    <n v="1244"/>
    <x v="53"/>
  </r>
  <r>
    <s v="20050-4"/>
    <x v="9"/>
    <x v="0"/>
    <s v="T"/>
    <x v="8"/>
    <x v="8"/>
    <n v="478"/>
    <x v="54"/>
  </r>
  <r>
    <s v="20055-14"/>
    <x v="9"/>
    <x v="1"/>
    <s v="T"/>
    <x v="8"/>
    <x v="8"/>
    <n v="66"/>
    <x v="55"/>
  </r>
  <r>
    <s v="200515-24"/>
    <x v="9"/>
    <x v="2"/>
    <s v="T"/>
    <x v="8"/>
    <x v="8"/>
    <n v="64"/>
    <x v="56"/>
  </r>
  <r>
    <s v="200525-44"/>
    <x v="9"/>
    <x v="3"/>
    <s v="T"/>
    <x v="8"/>
    <x v="8"/>
    <n v="206"/>
    <x v="57"/>
  </r>
  <r>
    <s v="200545-64"/>
    <x v="9"/>
    <x v="4"/>
    <s v="T"/>
    <x v="8"/>
    <x v="8"/>
    <n v="295"/>
    <x v="58"/>
  </r>
  <r>
    <s v="200565-74"/>
    <x v="9"/>
    <x v="5"/>
    <s v="T"/>
    <x v="8"/>
    <x v="8"/>
    <n v="251"/>
    <x v="59"/>
  </r>
  <r>
    <s v="200575+"/>
    <x v="9"/>
    <x v="6"/>
    <s v="T"/>
    <x v="8"/>
    <x v="8"/>
    <n v="1299"/>
    <x v="59"/>
  </r>
  <r>
    <s v="20060-4"/>
    <x v="10"/>
    <x v="0"/>
    <s v="T"/>
    <x v="8"/>
    <x v="8"/>
    <n v="485"/>
    <x v="60"/>
  </r>
  <r>
    <s v="20065-14"/>
    <x v="10"/>
    <x v="1"/>
    <s v="T"/>
    <x v="8"/>
    <x v="8"/>
    <n v="84"/>
    <x v="61"/>
  </r>
  <r>
    <s v="200615-24"/>
    <x v="10"/>
    <x v="2"/>
    <s v="T"/>
    <x v="8"/>
    <x v="8"/>
    <n v="89"/>
    <x v="62"/>
  </r>
  <r>
    <s v="200625-44"/>
    <x v="10"/>
    <x v="3"/>
    <s v="T"/>
    <x v="8"/>
    <x v="8"/>
    <n v="222"/>
    <x v="63"/>
  </r>
  <r>
    <s v="200645-64"/>
    <x v="10"/>
    <x v="4"/>
    <s v="T"/>
    <x v="8"/>
    <x v="8"/>
    <n v="347"/>
    <x v="64"/>
  </r>
  <r>
    <s v="200665-74"/>
    <x v="10"/>
    <x v="5"/>
    <s v="T"/>
    <x v="8"/>
    <x v="8"/>
    <n v="313"/>
    <x v="65"/>
  </r>
  <r>
    <s v="200675+"/>
    <x v="10"/>
    <x v="6"/>
    <s v="T"/>
    <x v="8"/>
    <x v="8"/>
    <n v="1316"/>
    <x v="65"/>
  </r>
  <r>
    <s v="20070-4"/>
    <x v="11"/>
    <x v="0"/>
    <s v="T"/>
    <x v="8"/>
    <x v="8"/>
    <n v="505"/>
    <x v="66"/>
  </r>
  <r>
    <s v="20075-14"/>
    <x v="11"/>
    <x v="1"/>
    <s v="T"/>
    <x v="8"/>
    <x v="8"/>
    <n v="84"/>
    <x v="67"/>
  </r>
  <r>
    <s v="200715-24"/>
    <x v="11"/>
    <x v="2"/>
    <s v="T"/>
    <x v="8"/>
    <x v="8"/>
    <n v="57"/>
    <x v="68"/>
  </r>
  <r>
    <s v="200725-44"/>
    <x v="11"/>
    <x v="3"/>
    <s v="T"/>
    <x v="8"/>
    <x v="8"/>
    <n v="218"/>
    <x v="69"/>
  </r>
  <r>
    <s v="200745-64"/>
    <x v="11"/>
    <x v="4"/>
    <s v="T"/>
    <x v="8"/>
    <x v="8"/>
    <n v="384"/>
    <x v="70"/>
  </r>
  <r>
    <s v="200765-74"/>
    <x v="11"/>
    <x v="5"/>
    <s v="T"/>
    <x v="8"/>
    <x v="8"/>
    <n v="334"/>
    <x v="71"/>
  </r>
  <r>
    <s v="200775+"/>
    <x v="11"/>
    <x v="6"/>
    <s v="T"/>
    <x v="8"/>
    <x v="8"/>
    <n v="1483"/>
    <x v="71"/>
  </r>
  <r>
    <s v="20080-4"/>
    <x v="12"/>
    <x v="0"/>
    <s v="T"/>
    <x v="8"/>
    <x v="8"/>
    <n v="473"/>
    <x v="72"/>
  </r>
  <r>
    <s v="20085-14"/>
    <x v="12"/>
    <x v="1"/>
    <s v="T"/>
    <x v="8"/>
    <x v="8"/>
    <n v="65"/>
    <x v="73"/>
  </r>
  <r>
    <s v="200815-24"/>
    <x v="12"/>
    <x v="2"/>
    <s v="T"/>
    <x v="8"/>
    <x v="8"/>
    <n v="75"/>
    <x v="74"/>
  </r>
  <r>
    <s v="200825-44"/>
    <x v="12"/>
    <x v="3"/>
    <s v="T"/>
    <x v="8"/>
    <x v="8"/>
    <n v="237"/>
    <x v="75"/>
  </r>
  <r>
    <s v="200845-64"/>
    <x v="12"/>
    <x v="4"/>
    <s v="T"/>
    <x v="8"/>
    <x v="8"/>
    <n v="365"/>
    <x v="76"/>
  </r>
  <r>
    <s v="200865-74"/>
    <x v="12"/>
    <x v="5"/>
    <s v="T"/>
    <x v="8"/>
    <x v="8"/>
    <n v="307"/>
    <x v="77"/>
  </r>
  <r>
    <s v="200875+"/>
    <x v="12"/>
    <x v="6"/>
    <s v="T"/>
    <x v="8"/>
    <x v="8"/>
    <n v="1614"/>
    <x v="77"/>
  </r>
  <r>
    <s v="20090-4"/>
    <x v="13"/>
    <x v="0"/>
    <s v="T"/>
    <x v="8"/>
    <x v="8"/>
    <n v="493"/>
    <x v="78"/>
  </r>
  <r>
    <s v="20095-14"/>
    <x v="13"/>
    <x v="1"/>
    <s v="T"/>
    <x v="8"/>
    <x v="8"/>
    <n v="81"/>
    <x v="79"/>
  </r>
  <r>
    <s v="200915-24"/>
    <x v="13"/>
    <x v="2"/>
    <s v="T"/>
    <x v="8"/>
    <x v="8"/>
    <n v="121"/>
    <x v="80"/>
  </r>
  <r>
    <s v="200925-44"/>
    <x v="13"/>
    <x v="3"/>
    <s v="T"/>
    <x v="8"/>
    <x v="8"/>
    <n v="368"/>
    <x v="81"/>
  </r>
  <r>
    <s v="200945-64"/>
    <x v="13"/>
    <x v="4"/>
    <s v="T"/>
    <x v="8"/>
    <x v="8"/>
    <n v="432"/>
    <x v="82"/>
  </r>
  <r>
    <s v="200965-74"/>
    <x v="13"/>
    <x v="5"/>
    <s v="T"/>
    <x v="8"/>
    <x v="8"/>
    <n v="325"/>
    <x v="83"/>
  </r>
  <r>
    <s v="200975+"/>
    <x v="13"/>
    <x v="6"/>
    <s v="T"/>
    <x v="8"/>
    <x v="8"/>
    <n v="1556"/>
    <x v="83"/>
  </r>
  <r>
    <s v="20100-4"/>
    <x v="14"/>
    <x v="0"/>
    <s v="T"/>
    <x v="8"/>
    <x v="8"/>
    <n v="463"/>
    <x v="84"/>
  </r>
  <r>
    <s v="20105-14"/>
    <x v="14"/>
    <x v="1"/>
    <s v="T"/>
    <x v="8"/>
    <x v="8"/>
    <n v="77"/>
    <x v="85"/>
  </r>
  <r>
    <s v="201015-24"/>
    <x v="14"/>
    <x v="2"/>
    <s v="T"/>
    <x v="8"/>
    <x v="8"/>
    <n v="93"/>
    <x v="86"/>
  </r>
  <r>
    <s v="201025-44"/>
    <x v="14"/>
    <x v="3"/>
    <s v="T"/>
    <x v="8"/>
    <x v="8"/>
    <n v="256"/>
    <x v="87"/>
  </r>
  <r>
    <s v="201045-64"/>
    <x v="14"/>
    <x v="4"/>
    <s v="T"/>
    <x v="8"/>
    <x v="8"/>
    <n v="414"/>
    <x v="88"/>
  </r>
  <r>
    <s v="201065-74"/>
    <x v="14"/>
    <x v="5"/>
    <s v="T"/>
    <x v="8"/>
    <x v="8"/>
    <n v="379"/>
    <x v="89"/>
  </r>
  <r>
    <s v="201075+"/>
    <x v="14"/>
    <x v="6"/>
    <s v="T"/>
    <x v="8"/>
    <x v="8"/>
    <n v="1911"/>
    <x v="89"/>
  </r>
  <r>
    <s v="20110-4"/>
    <x v="15"/>
    <x v="0"/>
    <s v="T"/>
    <x v="8"/>
    <x v="8"/>
    <n v="446"/>
    <x v="90"/>
  </r>
  <r>
    <s v="20115-14"/>
    <x v="15"/>
    <x v="1"/>
    <s v="T"/>
    <x v="8"/>
    <x v="8"/>
    <n v="71"/>
    <x v="91"/>
  </r>
  <r>
    <s v="201115-24"/>
    <x v="15"/>
    <x v="2"/>
    <s v="T"/>
    <x v="8"/>
    <x v="8"/>
    <n v="100"/>
    <x v="92"/>
  </r>
  <r>
    <s v="201125-44"/>
    <x v="15"/>
    <x v="3"/>
    <s v="T"/>
    <x v="8"/>
    <x v="8"/>
    <n v="277"/>
    <x v="93"/>
  </r>
  <r>
    <s v="201145-64"/>
    <x v="15"/>
    <x v="4"/>
    <s v="T"/>
    <x v="8"/>
    <x v="8"/>
    <n v="487"/>
    <x v="94"/>
  </r>
  <r>
    <s v="201165-74"/>
    <x v="15"/>
    <x v="5"/>
    <s v="T"/>
    <x v="8"/>
    <x v="8"/>
    <n v="417"/>
    <x v="95"/>
  </r>
  <r>
    <s v="201175+"/>
    <x v="15"/>
    <x v="6"/>
    <s v="T"/>
    <x v="8"/>
    <x v="8"/>
    <n v="2030"/>
    <x v="95"/>
  </r>
  <r>
    <s v="20120-4"/>
    <x v="16"/>
    <x v="0"/>
    <s v="T"/>
    <x v="8"/>
    <x v="8"/>
    <n v="446"/>
    <x v="96"/>
  </r>
  <r>
    <s v="20125-14"/>
    <x v="16"/>
    <x v="1"/>
    <s v="T"/>
    <x v="8"/>
    <x v="8"/>
    <n v="58"/>
    <x v="97"/>
  </r>
  <r>
    <s v="201215-24"/>
    <x v="16"/>
    <x v="2"/>
    <s v="T"/>
    <x v="8"/>
    <x v="8"/>
    <n v="80"/>
    <x v="98"/>
  </r>
  <r>
    <s v="201225-44"/>
    <x v="16"/>
    <x v="3"/>
    <s v="T"/>
    <x v="8"/>
    <x v="8"/>
    <n v="247"/>
    <x v="99"/>
  </r>
  <r>
    <s v="201245-64"/>
    <x v="16"/>
    <x v="4"/>
    <s v="T"/>
    <x v="8"/>
    <x v="8"/>
    <n v="525"/>
    <x v="100"/>
  </r>
  <r>
    <s v="201265-74"/>
    <x v="16"/>
    <x v="5"/>
    <s v="T"/>
    <x v="8"/>
    <x v="8"/>
    <n v="436"/>
    <x v="101"/>
  </r>
  <r>
    <s v="201275+"/>
    <x v="16"/>
    <x v="6"/>
    <s v="T"/>
    <x v="8"/>
    <x v="8"/>
    <n v="1987"/>
    <x v="101"/>
  </r>
  <r>
    <s v="20130-4"/>
    <x v="17"/>
    <x v="0"/>
    <s v="T"/>
    <x v="8"/>
    <x v="8"/>
    <n v="487"/>
    <x v="102"/>
  </r>
  <r>
    <s v="20135-14"/>
    <x v="17"/>
    <x v="1"/>
    <s v="T"/>
    <x v="8"/>
    <x v="8"/>
    <n v="87"/>
    <x v="103"/>
  </r>
  <r>
    <s v="201315-24"/>
    <x v="17"/>
    <x v="2"/>
    <s v="T"/>
    <x v="8"/>
    <x v="8"/>
    <n v="107"/>
    <x v="104"/>
  </r>
  <r>
    <s v="201325-44"/>
    <x v="17"/>
    <x v="3"/>
    <s v="T"/>
    <x v="8"/>
    <x v="8"/>
    <n v="456"/>
    <x v="105"/>
  </r>
  <r>
    <s v="201345-64"/>
    <x v="17"/>
    <x v="4"/>
    <s v="T"/>
    <x v="8"/>
    <x v="8"/>
    <n v="781"/>
    <x v="106"/>
  </r>
  <r>
    <s v="201365-74"/>
    <x v="17"/>
    <x v="5"/>
    <s v="T"/>
    <x v="8"/>
    <x v="8"/>
    <n v="520"/>
    <x v="107"/>
  </r>
  <r>
    <s v="201375+"/>
    <x v="17"/>
    <x v="6"/>
    <s v="T"/>
    <x v="8"/>
    <x v="8"/>
    <n v="2115"/>
    <x v="107"/>
  </r>
  <r>
    <s v="20140-4"/>
    <x v="18"/>
    <x v="0"/>
    <s v="T"/>
    <x v="8"/>
    <x v="8"/>
    <n v="455"/>
    <x v="108"/>
  </r>
  <r>
    <s v="20145-14"/>
    <x v="18"/>
    <x v="1"/>
    <s v="T"/>
    <x v="8"/>
    <x v="8"/>
    <n v="82"/>
    <x v="109"/>
  </r>
  <r>
    <s v="201415-24"/>
    <x v="18"/>
    <x v="2"/>
    <s v="T"/>
    <x v="8"/>
    <x v="8"/>
    <n v="95"/>
    <x v="110"/>
  </r>
  <r>
    <s v="201425-44"/>
    <x v="18"/>
    <x v="3"/>
    <s v="T"/>
    <x v="8"/>
    <x v="8"/>
    <n v="293"/>
    <x v="111"/>
  </r>
  <r>
    <s v="201445-64"/>
    <x v="18"/>
    <x v="4"/>
    <s v="T"/>
    <x v="8"/>
    <x v="8"/>
    <n v="662"/>
    <x v="112"/>
  </r>
  <r>
    <s v="201465-74"/>
    <x v="18"/>
    <x v="5"/>
    <s v="T"/>
    <x v="8"/>
    <x v="8"/>
    <n v="544"/>
    <x v="113"/>
  </r>
  <r>
    <s v="201475+"/>
    <x v="18"/>
    <x v="6"/>
    <s v="T"/>
    <x v="8"/>
    <x v="8"/>
    <n v="2648"/>
    <x v="113"/>
  </r>
  <r>
    <s v="19960-4"/>
    <x v="0"/>
    <x v="0"/>
    <s v="T"/>
    <x v="9"/>
    <x v="9"/>
    <n v="35"/>
    <x v="0"/>
  </r>
  <r>
    <s v="19965-14"/>
    <x v="0"/>
    <x v="1"/>
    <s v="T"/>
    <x v="9"/>
    <x v="9"/>
    <n v="18"/>
    <x v="1"/>
  </r>
  <r>
    <s v="199615-24"/>
    <x v="0"/>
    <x v="2"/>
    <s v="T"/>
    <x v="9"/>
    <x v="9"/>
    <n v="34"/>
    <x v="2"/>
  </r>
  <r>
    <s v="199625-44"/>
    <x v="0"/>
    <x v="3"/>
    <s v="T"/>
    <x v="9"/>
    <x v="9"/>
    <n v="267"/>
    <x v="3"/>
  </r>
  <r>
    <s v="199645-64"/>
    <x v="0"/>
    <x v="4"/>
    <s v="T"/>
    <x v="9"/>
    <x v="9"/>
    <n v="791"/>
    <x v="4"/>
  </r>
  <r>
    <s v="199665-74"/>
    <x v="0"/>
    <x v="5"/>
    <s v="T"/>
    <x v="9"/>
    <x v="9"/>
    <n v="406"/>
    <x v="5"/>
  </r>
  <r>
    <s v="199675+"/>
    <x v="0"/>
    <x v="6"/>
    <s v="T"/>
    <x v="9"/>
    <x v="9"/>
    <n v="279"/>
    <x v="5"/>
  </r>
  <r>
    <s v="19970-4"/>
    <x v="1"/>
    <x v="0"/>
    <s v="T"/>
    <x v="9"/>
    <x v="9"/>
    <n v="34"/>
    <x v="6"/>
  </r>
  <r>
    <s v="19975-14"/>
    <x v="1"/>
    <x v="1"/>
    <s v="T"/>
    <x v="9"/>
    <x v="9"/>
    <n v="19"/>
    <x v="7"/>
  </r>
  <r>
    <s v="199715-24"/>
    <x v="1"/>
    <x v="2"/>
    <s v="T"/>
    <x v="9"/>
    <x v="9"/>
    <n v="25"/>
    <x v="8"/>
  </r>
  <r>
    <s v="199725-44"/>
    <x v="1"/>
    <x v="3"/>
    <s v="T"/>
    <x v="9"/>
    <x v="9"/>
    <n v="262"/>
    <x v="9"/>
  </r>
  <r>
    <s v="199745-64"/>
    <x v="1"/>
    <x v="4"/>
    <s v="T"/>
    <x v="9"/>
    <x v="9"/>
    <n v="784"/>
    <x v="10"/>
  </r>
  <r>
    <s v="199765-74"/>
    <x v="1"/>
    <x v="5"/>
    <s v="T"/>
    <x v="9"/>
    <x v="9"/>
    <n v="386"/>
    <x v="11"/>
  </r>
  <r>
    <s v="199775+"/>
    <x v="1"/>
    <x v="6"/>
    <s v="T"/>
    <x v="9"/>
    <x v="9"/>
    <n v="291"/>
    <x v="11"/>
  </r>
  <r>
    <s v="19980-4"/>
    <x v="2"/>
    <x v="0"/>
    <s v="T"/>
    <x v="9"/>
    <x v="9"/>
    <n v="21"/>
    <x v="12"/>
  </r>
  <r>
    <s v="19985-14"/>
    <x v="2"/>
    <x v="1"/>
    <s v="T"/>
    <x v="9"/>
    <x v="9"/>
    <n v="13"/>
    <x v="13"/>
  </r>
  <r>
    <s v="199815-24"/>
    <x v="2"/>
    <x v="2"/>
    <s v="T"/>
    <x v="9"/>
    <x v="9"/>
    <n v="23"/>
    <x v="14"/>
  </r>
  <r>
    <s v="199825-44"/>
    <x v="2"/>
    <x v="3"/>
    <s v="T"/>
    <x v="9"/>
    <x v="9"/>
    <n v="316"/>
    <x v="15"/>
  </r>
  <r>
    <s v="199845-64"/>
    <x v="2"/>
    <x v="4"/>
    <s v="T"/>
    <x v="9"/>
    <x v="9"/>
    <n v="896"/>
    <x v="16"/>
  </r>
  <r>
    <s v="199865-74"/>
    <x v="2"/>
    <x v="5"/>
    <s v="T"/>
    <x v="9"/>
    <x v="9"/>
    <n v="398"/>
    <x v="17"/>
  </r>
  <r>
    <s v="199875+"/>
    <x v="2"/>
    <x v="6"/>
    <s v="T"/>
    <x v="9"/>
    <x v="9"/>
    <n v="287"/>
    <x v="17"/>
  </r>
  <r>
    <s v="19990-4"/>
    <x v="3"/>
    <x v="0"/>
    <s v="T"/>
    <x v="9"/>
    <x v="9"/>
    <n v="21"/>
    <x v="18"/>
  </r>
  <r>
    <s v="19995-14"/>
    <x v="3"/>
    <x v="1"/>
    <s v="T"/>
    <x v="9"/>
    <x v="9"/>
    <n v="15"/>
    <x v="19"/>
  </r>
  <r>
    <s v="199915-24"/>
    <x v="3"/>
    <x v="2"/>
    <s v="T"/>
    <x v="9"/>
    <x v="9"/>
    <n v="30"/>
    <x v="20"/>
  </r>
  <r>
    <s v="199925-44"/>
    <x v="3"/>
    <x v="3"/>
    <s v="T"/>
    <x v="9"/>
    <x v="9"/>
    <n v="314"/>
    <x v="21"/>
  </r>
  <r>
    <s v="199945-64"/>
    <x v="3"/>
    <x v="4"/>
    <s v="T"/>
    <x v="9"/>
    <x v="9"/>
    <n v="919"/>
    <x v="22"/>
  </r>
  <r>
    <s v="199965-74"/>
    <x v="3"/>
    <x v="5"/>
    <s v="T"/>
    <x v="9"/>
    <x v="9"/>
    <n v="429"/>
    <x v="23"/>
  </r>
  <r>
    <s v="199975+"/>
    <x v="3"/>
    <x v="6"/>
    <s v="T"/>
    <x v="9"/>
    <x v="9"/>
    <n v="285"/>
    <x v="23"/>
  </r>
  <r>
    <s v="20000-4"/>
    <x v="4"/>
    <x v="0"/>
    <s v="T"/>
    <x v="9"/>
    <x v="9"/>
    <n v="31"/>
    <x v="24"/>
  </r>
  <r>
    <s v="20005-14"/>
    <x v="4"/>
    <x v="1"/>
    <s v="T"/>
    <x v="9"/>
    <x v="9"/>
    <n v="15"/>
    <x v="25"/>
  </r>
  <r>
    <s v="200015-24"/>
    <x v="4"/>
    <x v="2"/>
    <s v="T"/>
    <x v="9"/>
    <x v="9"/>
    <n v="20"/>
    <x v="26"/>
  </r>
  <r>
    <s v="200025-44"/>
    <x v="4"/>
    <x v="3"/>
    <s v="T"/>
    <x v="9"/>
    <x v="9"/>
    <n v="332"/>
    <x v="27"/>
  </r>
  <r>
    <s v="200045-64"/>
    <x v="4"/>
    <x v="4"/>
    <s v="T"/>
    <x v="9"/>
    <x v="9"/>
    <n v="1017"/>
    <x v="28"/>
  </r>
  <r>
    <s v="200065-74"/>
    <x v="4"/>
    <x v="5"/>
    <s v="T"/>
    <x v="9"/>
    <x v="9"/>
    <n v="392"/>
    <x v="29"/>
  </r>
  <r>
    <s v="200075+"/>
    <x v="4"/>
    <x v="6"/>
    <s v="T"/>
    <x v="9"/>
    <x v="9"/>
    <n v="311"/>
    <x v="29"/>
  </r>
  <r>
    <s v="20010-4"/>
    <x v="5"/>
    <x v="0"/>
    <s v="T"/>
    <x v="9"/>
    <x v="9"/>
    <n v="29"/>
    <x v="30"/>
  </r>
  <r>
    <s v="20015-14"/>
    <x v="5"/>
    <x v="1"/>
    <s v="T"/>
    <x v="9"/>
    <x v="9"/>
    <n v="19"/>
    <x v="31"/>
  </r>
  <r>
    <s v="200115-24"/>
    <x v="5"/>
    <x v="2"/>
    <s v="T"/>
    <x v="9"/>
    <x v="9"/>
    <n v="24"/>
    <x v="32"/>
  </r>
  <r>
    <s v="200125-44"/>
    <x v="5"/>
    <x v="3"/>
    <s v="T"/>
    <x v="9"/>
    <x v="9"/>
    <n v="380"/>
    <x v="33"/>
  </r>
  <r>
    <s v="200145-64"/>
    <x v="5"/>
    <x v="4"/>
    <s v="T"/>
    <x v="9"/>
    <x v="9"/>
    <n v="1119"/>
    <x v="34"/>
  </r>
  <r>
    <s v="200165-74"/>
    <x v="5"/>
    <x v="5"/>
    <s v="T"/>
    <x v="9"/>
    <x v="9"/>
    <n v="424"/>
    <x v="35"/>
  </r>
  <r>
    <s v="200175+"/>
    <x v="5"/>
    <x v="6"/>
    <s v="T"/>
    <x v="9"/>
    <x v="9"/>
    <n v="276"/>
    <x v="35"/>
  </r>
  <r>
    <s v="20020-4"/>
    <x v="6"/>
    <x v="0"/>
    <s v="T"/>
    <x v="9"/>
    <x v="9"/>
    <n v="20"/>
    <x v="36"/>
  </r>
  <r>
    <s v="20025-14"/>
    <x v="6"/>
    <x v="1"/>
    <s v="T"/>
    <x v="9"/>
    <x v="9"/>
    <n v="13"/>
    <x v="37"/>
  </r>
  <r>
    <s v="200215-24"/>
    <x v="6"/>
    <x v="2"/>
    <s v="T"/>
    <x v="9"/>
    <x v="9"/>
    <n v="28"/>
    <x v="38"/>
  </r>
  <r>
    <s v="200225-44"/>
    <x v="6"/>
    <x v="3"/>
    <s v="T"/>
    <x v="9"/>
    <x v="9"/>
    <n v="309"/>
    <x v="39"/>
  </r>
  <r>
    <s v="200245-64"/>
    <x v="6"/>
    <x v="4"/>
    <s v="T"/>
    <x v="9"/>
    <x v="9"/>
    <n v="1156"/>
    <x v="40"/>
  </r>
  <r>
    <s v="200265-74"/>
    <x v="6"/>
    <x v="5"/>
    <s v="T"/>
    <x v="9"/>
    <x v="9"/>
    <n v="484"/>
    <x v="41"/>
  </r>
  <r>
    <s v="200275+"/>
    <x v="6"/>
    <x v="6"/>
    <s v="T"/>
    <x v="9"/>
    <x v="9"/>
    <n v="332"/>
    <x v="41"/>
  </r>
  <r>
    <s v="20030-4"/>
    <x v="7"/>
    <x v="0"/>
    <s v="T"/>
    <x v="9"/>
    <x v="9"/>
    <n v="33"/>
    <x v="42"/>
  </r>
  <r>
    <s v="20035-14"/>
    <x v="7"/>
    <x v="1"/>
    <s v="T"/>
    <x v="9"/>
    <x v="9"/>
    <n v="20"/>
    <x v="43"/>
  </r>
  <r>
    <s v="200315-24"/>
    <x v="7"/>
    <x v="2"/>
    <s v="T"/>
    <x v="9"/>
    <x v="9"/>
    <n v="30"/>
    <x v="44"/>
  </r>
  <r>
    <s v="200325-44"/>
    <x v="7"/>
    <x v="3"/>
    <s v="T"/>
    <x v="9"/>
    <x v="9"/>
    <n v="301"/>
    <x v="45"/>
  </r>
  <r>
    <s v="200345-64"/>
    <x v="7"/>
    <x v="4"/>
    <s v="T"/>
    <x v="9"/>
    <x v="9"/>
    <n v="1037"/>
    <x v="46"/>
  </r>
  <r>
    <s v="200365-74"/>
    <x v="7"/>
    <x v="5"/>
    <s v="T"/>
    <x v="9"/>
    <x v="9"/>
    <n v="483"/>
    <x v="47"/>
  </r>
  <r>
    <s v="200375+"/>
    <x v="7"/>
    <x v="6"/>
    <s v="T"/>
    <x v="9"/>
    <x v="9"/>
    <n v="333"/>
    <x v="47"/>
  </r>
  <r>
    <s v="20040-4"/>
    <x v="8"/>
    <x v="0"/>
    <s v="T"/>
    <x v="9"/>
    <x v="9"/>
    <n v="11"/>
    <x v="48"/>
  </r>
  <r>
    <s v="20045-14"/>
    <x v="8"/>
    <x v="1"/>
    <s v="T"/>
    <x v="9"/>
    <x v="9"/>
    <n v="18"/>
    <x v="49"/>
  </r>
  <r>
    <s v="200415-24"/>
    <x v="8"/>
    <x v="2"/>
    <s v="T"/>
    <x v="9"/>
    <x v="9"/>
    <n v="25"/>
    <x v="50"/>
  </r>
  <r>
    <s v="200425-44"/>
    <x v="8"/>
    <x v="3"/>
    <s v="T"/>
    <x v="9"/>
    <x v="9"/>
    <n v="281"/>
    <x v="51"/>
  </r>
  <r>
    <s v="200445-64"/>
    <x v="8"/>
    <x v="4"/>
    <s v="T"/>
    <x v="9"/>
    <x v="9"/>
    <n v="1059"/>
    <x v="52"/>
  </r>
  <r>
    <s v="200465-74"/>
    <x v="8"/>
    <x v="5"/>
    <s v="T"/>
    <x v="9"/>
    <x v="9"/>
    <n v="475"/>
    <x v="53"/>
  </r>
  <r>
    <s v="200475+"/>
    <x v="8"/>
    <x v="6"/>
    <s v="T"/>
    <x v="9"/>
    <x v="9"/>
    <n v="340"/>
    <x v="53"/>
  </r>
  <r>
    <s v="20050-4"/>
    <x v="9"/>
    <x v="0"/>
    <s v="T"/>
    <x v="9"/>
    <x v="9"/>
    <n v="15"/>
    <x v="54"/>
  </r>
  <r>
    <s v="20055-14"/>
    <x v="9"/>
    <x v="1"/>
    <s v="T"/>
    <x v="9"/>
    <x v="9"/>
    <n v="15"/>
    <x v="55"/>
  </r>
  <r>
    <s v="200515-24"/>
    <x v="9"/>
    <x v="2"/>
    <s v="T"/>
    <x v="9"/>
    <x v="9"/>
    <n v="27"/>
    <x v="56"/>
  </r>
  <r>
    <s v="200525-44"/>
    <x v="9"/>
    <x v="3"/>
    <s v="T"/>
    <x v="9"/>
    <x v="9"/>
    <n v="313"/>
    <x v="57"/>
  </r>
  <r>
    <s v="200545-64"/>
    <x v="9"/>
    <x v="4"/>
    <s v="T"/>
    <x v="9"/>
    <x v="9"/>
    <n v="1220"/>
    <x v="58"/>
  </r>
  <r>
    <s v="200565-74"/>
    <x v="9"/>
    <x v="5"/>
    <s v="T"/>
    <x v="9"/>
    <x v="9"/>
    <n v="496"/>
    <x v="59"/>
  </r>
  <r>
    <s v="200575+"/>
    <x v="9"/>
    <x v="6"/>
    <s v="T"/>
    <x v="9"/>
    <x v="9"/>
    <n v="363"/>
    <x v="59"/>
  </r>
  <r>
    <s v="20060-4"/>
    <x v="10"/>
    <x v="0"/>
    <s v="T"/>
    <x v="9"/>
    <x v="9"/>
    <n v="16"/>
    <x v="60"/>
  </r>
  <r>
    <s v="20065-14"/>
    <x v="10"/>
    <x v="1"/>
    <s v="T"/>
    <x v="9"/>
    <x v="9"/>
    <n v="14"/>
    <x v="61"/>
  </r>
  <r>
    <s v="200615-24"/>
    <x v="10"/>
    <x v="2"/>
    <s v="T"/>
    <x v="9"/>
    <x v="9"/>
    <n v="24"/>
    <x v="62"/>
  </r>
  <r>
    <s v="200625-44"/>
    <x v="10"/>
    <x v="3"/>
    <s v="T"/>
    <x v="9"/>
    <x v="9"/>
    <n v="316"/>
    <x v="63"/>
  </r>
  <r>
    <s v="200645-64"/>
    <x v="10"/>
    <x v="4"/>
    <s v="T"/>
    <x v="9"/>
    <x v="9"/>
    <n v="1283"/>
    <x v="64"/>
  </r>
  <r>
    <s v="200665-74"/>
    <x v="10"/>
    <x v="5"/>
    <s v="T"/>
    <x v="9"/>
    <x v="9"/>
    <n v="463"/>
    <x v="65"/>
  </r>
  <r>
    <s v="200675+"/>
    <x v="10"/>
    <x v="6"/>
    <s v="T"/>
    <x v="9"/>
    <x v="9"/>
    <n v="367"/>
    <x v="65"/>
  </r>
  <r>
    <s v="20070-4"/>
    <x v="11"/>
    <x v="0"/>
    <s v="T"/>
    <x v="9"/>
    <x v="9"/>
    <n v="12"/>
    <x v="66"/>
  </r>
  <r>
    <s v="20075-14"/>
    <x v="11"/>
    <x v="1"/>
    <s v="T"/>
    <x v="9"/>
    <x v="9"/>
    <n v="16"/>
    <x v="67"/>
  </r>
  <r>
    <s v="200715-24"/>
    <x v="11"/>
    <x v="2"/>
    <s v="T"/>
    <x v="9"/>
    <x v="9"/>
    <n v="27"/>
    <x v="68"/>
  </r>
  <r>
    <s v="200725-44"/>
    <x v="11"/>
    <x v="3"/>
    <s v="T"/>
    <x v="9"/>
    <x v="9"/>
    <n v="387"/>
    <x v="69"/>
  </r>
  <r>
    <s v="200745-64"/>
    <x v="11"/>
    <x v="4"/>
    <s v="T"/>
    <x v="9"/>
    <x v="9"/>
    <n v="1443"/>
    <x v="70"/>
  </r>
  <r>
    <s v="200765-74"/>
    <x v="11"/>
    <x v="5"/>
    <s v="T"/>
    <x v="9"/>
    <x v="9"/>
    <n v="507"/>
    <x v="71"/>
  </r>
  <r>
    <s v="200775+"/>
    <x v="11"/>
    <x v="6"/>
    <s v="T"/>
    <x v="9"/>
    <x v="9"/>
    <n v="393"/>
    <x v="71"/>
  </r>
  <r>
    <s v="20080-4"/>
    <x v="12"/>
    <x v="0"/>
    <s v="T"/>
    <x v="9"/>
    <x v="9"/>
    <n v="9"/>
    <x v="72"/>
  </r>
  <r>
    <s v="20085-14"/>
    <x v="12"/>
    <x v="1"/>
    <s v="T"/>
    <x v="9"/>
    <x v="9"/>
    <n v="12"/>
    <x v="73"/>
  </r>
  <r>
    <s v="200815-24"/>
    <x v="12"/>
    <x v="2"/>
    <s v="T"/>
    <x v="9"/>
    <x v="9"/>
    <n v="32"/>
    <x v="74"/>
  </r>
  <r>
    <s v="200825-44"/>
    <x v="12"/>
    <x v="3"/>
    <s v="T"/>
    <x v="9"/>
    <x v="9"/>
    <n v="357"/>
    <x v="75"/>
  </r>
  <r>
    <s v="200845-64"/>
    <x v="12"/>
    <x v="4"/>
    <s v="T"/>
    <x v="9"/>
    <x v="9"/>
    <n v="1465"/>
    <x v="76"/>
  </r>
  <r>
    <s v="200865-74"/>
    <x v="12"/>
    <x v="5"/>
    <s v="T"/>
    <x v="9"/>
    <x v="9"/>
    <n v="560"/>
    <x v="77"/>
  </r>
  <r>
    <s v="200875+"/>
    <x v="12"/>
    <x v="6"/>
    <s v="T"/>
    <x v="9"/>
    <x v="9"/>
    <n v="434"/>
    <x v="77"/>
  </r>
  <r>
    <s v="20090-4"/>
    <x v="13"/>
    <x v="0"/>
    <s v="T"/>
    <x v="9"/>
    <x v="9"/>
    <n v="11"/>
    <x v="78"/>
  </r>
  <r>
    <s v="20095-14"/>
    <x v="13"/>
    <x v="1"/>
    <s v="T"/>
    <x v="9"/>
    <x v="9"/>
    <n v="12"/>
    <x v="79"/>
  </r>
  <r>
    <s v="200915-24"/>
    <x v="13"/>
    <x v="2"/>
    <s v="T"/>
    <x v="9"/>
    <x v="9"/>
    <n v="28"/>
    <x v="80"/>
  </r>
  <r>
    <s v="200925-44"/>
    <x v="13"/>
    <x v="3"/>
    <s v="T"/>
    <x v="9"/>
    <x v="9"/>
    <n v="346"/>
    <x v="81"/>
  </r>
  <r>
    <s v="200945-64"/>
    <x v="13"/>
    <x v="4"/>
    <s v="T"/>
    <x v="9"/>
    <x v="9"/>
    <n v="1529"/>
    <x v="82"/>
  </r>
  <r>
    <s v="200965-74"/>
    <x v="13"/>
    <x v="5"/>
    <s v="T"/>
    <x v="9"/>
    <x v="9"/>
    <n v="525"/>
    <x v="83"/>
  </r>
  <r>
    <s v="200975+"/>
    <x v="13"/>
    <x v="6"/>
    <s v="T"/>
    <x v="9"/>
    <x v="9"/>
    <n v="444"/>
    <x v="83"/>
  </r>
  <r>
    <s v="20100-4"/>
    <x v="14"/>
    <x v="0"/>
    <s v="T"/>
    <x v="9"/>
    <x v="9"/>
    <n v="13"/>
    <x v="84"/>
  </r>
  <r>
    <s v="20105-14"/>
    <x v="14"/>
    <x v="1"/>
    <s v="T"/>
    <x v="9"/>
    <x v="9"/>
    <n v="13"/>
    <x v="85"/>
  </r>
  <r>
    <s v="201015-24"/>
    <x v="14"/>
    <x v="2"/>
    <s v="T"/>
    <x v="9"/>
    <x v="9"/>
    <n v="27"/>
    <x v="86"/>
  </r>
  <r>
    <s v="201025-44"/>
    <x v="14"/>
    <x v="3"/>
    <s v="T"/>
    <x v="9"/>
    <x v="9"/>
    <n v="316"/>
    <x v="87"/>
  </r>
  <r>
    <s v="201045-64"/>
    <x v="14"/>
    <x v="4"/>
    <s v="T"/>
    <x v="9"/>
    <x v="9"/>
    <n v="1365"/>
    <x v="88"/>
  </r>
  <r>
    <s v="201065-74"/>
    <x v="14"/>
    <x v="5"/>
    <s v="T"/>
    <x v="9"/>
    <x v="9"/>
    <n v="533"/>
    <x v="89"/>
  </r>
  <r>
    <s v="201075+"/>
    <x v="14"/>
    <x v="6"/>
    <s v="T"/>
    <x v="9"/>
    <x v="9"/>
    <n v="425"/>
    <x v="89"/>
  </r>
  <r>
    <s v="20110-4"/>
    <x v="15"/>
    <x v="0"/>
    <s v="T"/>
    <x v="9"/>
    <x v="9"/>
    <n v="18"/>
    <x v="90"/>
  </r>
  <r>
    <s v="20115-14"/>
    <x v="15"/>
    <x v="1"/>
    <s v="T"/>
    <x v="9"/>
    <x v="9"/>
    <n v="9"/>
    <x v="91"/>
  </r>
  <r>
    <s v="201115-24"/>
    <x v="15"/>
    <x v="2"/>
    <s v="T"/>
    <x v="9"/>
    <x v="9"/>
    <n v="25"/>
    <x v="92"/>
  </r>
  <r>
    <s v="201125-44"/>
    <x v="15"/>
    <x v="3"/>
    <s v="T"/>
    <x v="9"/>
    <x v="9"/>
    <n v="334"/>
    <x v="93"/>
  </r>
  <r>
    <s v="201145-64"/>
    <x v="15"/>
    <x v="4"/>
    <s v="T"/>
    <x v="9"/>
    <x v="9"/>
    <n v="1421"/>
    <x v="94"/>
  </r>
  <r>
    <s v="201165-74"/>
    <x v="15"/>
    <x v="5"/>
    <s v="T"/>
    <x v="9"/>
    <x v="9"/>
    <n v="562"/>
    <x v="95"/>
  </r>
  <r>
    <s v="201175+"/>
    <x v="15"/>
    <x v="6"/>
    <s v="T"/>
    <x v="9"/>
    <x v="9"/>
    <n v="443"/>
    <x v="95"/>
  </r>
  <r>
    <s v="20120-4"/>
    <x v="16"/>
    <x v="0"/>
    <s v="T"/>
    <x v="9"/>
    <x v="9"/>
    <n v="7"/>
    <x v="96"/>
  </r>
  <r>
    <s v="20125-14"/>
    <x v="16"/>
    <x v="1"/>
    <s v="T"/>
    <x v="9"/>
    <x v="9"/>
    <n v="8"/>
    <x v="97"/>
  </r>
  <r>
    <s v="201215-24"/>
    <x v="16"/>
    <x v="2"/>
    <s v="T"/>
    <x v="9"/>
    <x v="9"/>
    <n v="29"/>
    <x v="98"/>
  </r>
  <r>
    <s v="201225-44"/>
    <x v="16"/>
    <x v="3"/>
    <s v="T"/>
    <x v="9"/>
    <x v="9"/>
    <n v="319"/>
    <x v="99"/>
  </r>
  <r>
    <s v="201245-64"/>
    <x v="16"/>
    <x v="4"/>
    <s v="T"/>
    <x v="9"/>
    <x v="9"/>
    <n v="1511"/>
    <x v="100"/>
  </r>
  <r>
    <s v="201265-74"/>
    <x v="16"/>
    <x v="5"/>
    <s v="T"/>
    <x v="9"/>
    <x v="9"/>
    <n v="596"/>
    <x v="101"/>
  </r>
  <r>
    <s v="201275+"/>
    <x v="16"/>
    <x v="6"/>
    <s v="T"/>
    <x v="9"/>
    <x v="9"/>
    <n v="438"/>
    <x v="101"/>
  </r>
  <r>
    <s v="20130-4"/>
    <x v="17"/>
    <x v="0"/>
    <s v="T"/>
    <x v="9"/>
    <x v="9"/>
    <n v="13"/>
    <x v="102"/>
  </r>
  <r>
    <s v="20135-14"/>
    <x v="17"/>
    <x v="1"/>
    <s v="T"/>
    <x v="9"/>
    <x v="9"/>
    <n v="6"/>
    <x v="103"/>
  </r>
  <r>
    <s v="201315-24"/>
    <x v="17"/>
    <x v="2"/>
    <s v="T"/>
    <x v="9"/>
    <x v="9"/>
    <n v="29"/>
    <x v="104"/>
  </r>
  <r>
    <s v="201325-44"/>
    <x v="17"/>
    <x v="3"/>
    <s v="T"/>
    <x v="9"/>
    <x v="9"/>
    <n v="316"/>
    <x v="105"/>
  </r>
  <r>
    <s v="201345-64"/>
    <x v="17"/>
    <x v="4"/>
    <s v="T"/>
    <x v="9"/>
    <x v="9"/>
    <n v="1617"/>
    <x v="106"/>
  </r>
  <r>
    <s v="201365-74"/>
    <x v="17"/>
    <x v="5"/>
    <s v="T"/>
    <x v="9"/>
    <x v="9"/>
    <n v="658"/>
    <x v="107"/>
  </r>
  <r>
    <s v="201375+"/>
    <x v="17"/>
    <x v="6"/>
    <s v="T"/>
    <x v="9"/>
    <x v="9"/>
    <n v="459"/>
    <x v="107"/>
  </r>
  <r>
    <s v="20140-4"/>
    <x v="18"/>
    <x v="0"/>
    <s v="T"/>
    <x v="9"/>
    <x v="9"/>
    <n v="9"/>
    <x v="108"/>
  </r>
  <r>
    <s v="20145-14"/>
    <x v="18"/>
    <x v="1"/>
    <s v="T"/>
    <x v="9"/>
    <x v="9"/>
    <n v="12"/>
    <x v="109"/>
  </r>
  <r>
    <s v="201415-24"/>
    <x v="18"/>
    <x v="2"/>
    <s v="T"/>
    <x v="9"/>
    <x v="9"/>
    <n v="26"/>
    <x v="110"/>
  </r>
  <r>
    <s v="201425-44"/>
    <x v="18"/>
    <x v="3"/>
    <s v="T"/>
    <x v="9"/>
    <x v="9"/>
    <n v="338"/>
    <x v="111"/>
  </r>
  <r>
    <s v="201445-64"/>
    <x v="18"/>
    <x v="4"/>
    <s v="T"/>
    <x v="9"/>
    <x v="9"/>
    <n v="1777"/>
    <x v="112"/>
  </r>
  <r>
    <s v="201465-74"/>
    <x v="18"/>
    <x v="5"/>
    <s v="T"/>
    <x v="9"/>
    <x v="9"/>
    <n v="752"/>
    <x v="113"/>
  </r>
  <r>
    <s v="201475+"/>
    <x v="18"/>
    <x v="6"/>
    <s v="T"/>
    <x v="9"/>
    <x v="9"/>
    <n v="542"/>
    <x v="113"/>
  </r>
  <r>
    <s v="19960-4"/>
    <x v="0"/>
    <x v="0"/>
    <s v="T"/>
    <x v="10"/>
    <x v="10"/>
    <n v="1552"/>
    <x v="0"/>
  </r>
  <r>
    <s v="19965-14"/>
    <x v="0"/>
    <x v="1"/>
    <s v="T"/>
    <x v="10"/>
    <x v="10"/>
    <n v="121"/>
    <x v="1"/>
  </r>
  <r>
    <s v="199615-24"/>
    <x v="0"/>
    <x v="2"/>
    <s v="T"/>
    <x v="10"/>
    <x v="10"/>
    <n v="66"/>
    <x v="2"/>
  </r>
  <r>
    <s v="199625-44"/>
    <x v="0"/>
    <x v="3"/>
    <s v="T"/>
    <x v="10"/>
    <x v="10"/>
    <n v="94"/>
    <x v="3"/>
  </r>
  <r>
    <s v="199645-64"/>
    <x v="0"/>
    <x v="4"/>
    <s v="T"/>
    <x v="10"/>
    <x v="10"/>
    <n v="38"/>
    <x v="4"/>
  </r>
  <r>
    <s v="199665-74"/>
    <x v="0"/>
    <x v="5"/>
    <s v="T"/>
    <x v="10"/>
    <x v="10"/>
    <n v="24"/>
    <x v="5"/>
  </r>
  <r>
    <s v="199675+"/>
    <x v="0"/>
    <x v="6"/>
    <s v="T"/>
    <x v="10"/>
    <x v="10"/>
    <n v="22"/>
    <x v="5"/>
  </r>
  <r>
    <s v="19970-4"/>
    <x v="1"/>
    <x v="0"/>
    <s v="T"/>
    <x v="10"/>
    <x v="10"/>
    <n v="1585"/>
    <x v="6"/>
  </r>
  <r>
    <s v="19975-14"/>
    <x v="1"/>
    <x v="1"/>
    <s v="T"/>
    <x v="10"/>
    <x v="10"/>
    <n v="107"/>
    <x v="7"/>
  </r>
  <r>
    <s v="199715-24"/>
    <x v="1"/>
    <x v="2"/>
    <s v="T"/>
    <x v="10"/>
    <x v="10"/>
    <n v="70"/>
    <x v="8"/>
  </r>
  <r>
    <s v="199725-44"/>
    <x v="1"/>
    <x v="3"/>
    <s v="T"/>
    <x v="10"/>
    <x v="10"/>
    <n v="93"/>
    <x v="9"/>
  </r>
  <r>
    <s v="199745-64"/>
    <x v="1"/>
    <x v="4"/>
    <s v="T"/>
    <x v="10"/>
    <x v="10"/>
    <n v="42"/>
    <x v="10"/>
  </r>
  <r>
    <s v="199765-74"/>
    <x v="1"/>
    <x v="5"/>
    <s v="T"/>
    <x v="10"/>
    <x v="10"/>
    <n v="4"/>
    <x v="11"/>
  </r>
  <r>
    <s v="199775+"/>
    <x v="1"/>
    <x v="6"/>
    <s v="T"/>
    <x v="10"/>
    <x v="10"/>
    <n v="9"/>
    <x v="11"/>
  </r>
  <r>
    <s v="19980-4"/>
    <x v="2"/>
    <x v="0"/>
    <s v="T"/>
    <x v="10"/>
    <x v="10"/>
    <n v="1518"/>
    <x v="12"/>
  </r>
  <r>
    <s v="19985-14"/>
    <x v="2"/>
    <x v="1"/>
    <s v="T"/>
    <x v="10"/>
    <x v="10"/>
    <n v="111"/>
    <x v="13"/>
  </r>
  <r>
    <s v="199815-24"/>
    <x v="2"/>
    <x v="2"/>
    <s v="T"/>
    <x v="10"/>
    <x v="10"/>
    <n v="73"/>
    <x v="14"/>
  </r>
  <r>
    <s v="199825-44"/>
    <x v="2"/>
    <x v="3"/>
    <s v="T"/>
    <x v="10"/>
    <x v="10"/>
    <n v="80"/>
    <x v="15"/>
  </r>
  <r>
    <s v="199845-64"/>
    <x v="2"/>
    <x v="4"/>
    <s v="T"/>
    <x v="10"/>
    <x v="10"/>
    <n v="49"/>
    <x v="16"/>
  </r>
  <r>
    <s v="199865-74"/>
    <x v="2"/>
    <x v="5"/>
    <s v="T"/>
    <x v="10"/>
    <x v="10"/>
    <n v="5"/>
    <x v="17"/>
  </r>
  <r>
    <s v="199875+"/>
    <x v="2"/>
    <x v="6"/>
    <s v="T"/>
    <x v="10"/>
    <x v="10"/>
    <n v="18"/>
    <x v="17"/>
  </r>
  <r>
    <s v="19990-4"/>
    <x v="3"/>
    <x v="0"/>
    <s v="T"/>
    <x v="10"/>
    <x v="10"/>
    <n v="1617"/>
    <x v="18"/>
  </r>
  <r>
    <s v="19995-14"/>
    <x v="3"/>
    <x v="1"/>
    <s v="T"/>
    <x v="10"/>
    <x v="10"/>
    <n v="145"/>
    <x v="19"/>
  </r>
  <r>
    <s v="199915-24"/>
    <x v="3"/>
    <x v="2"/>
    <s v="T"/>
    <x v="10"/>
    <x v="10"/>
    <n v="77"/>
    <x v="20"/>
  </r>
  <r>
    <s v="199925-44"/>
    <x v="3"/>
    <x v="3"/>
    <s v="T"/>
    <x v="10"/>
    <x v="10"/>
    <n v="92"/>
    <x v="21"/>
  </r>
  <r>
    <s v="199945-64"/>
    <x v="3"/>
    <x v="4"/>
    <s v="T"/>
    <x v="10"/>
    <x v="10"/>
    <n v="40"/>
    <x v="22"/>
  </r>
  <r>
    <s v="199965-74"/>
    <x v="3"/>
    <x v="5"/>
    <s v="T"/>
    <x v="10"/>
    <x v="10"/>
    <n v="11"/>
    <x v="23"/>
  </r>
  <r>
    <s v="199975+"/>
    <x v="3"/>
    <x v="6"/>
    <s v="T"/>
    <x v="10"/>
    <x v="10"/>
    <n v="14"/>
    <x v="23"/>
  </r>
  <r>
    <s v="20000-4"/>
    <x v="4"/>
    <x v="0"/>
    <s v="T"/>
    <x v="10"/>
    <x v="10"/>
    <n v="1660"/>
    <x v="24"/>
  </r>
  <r>
    <s v="20005-14"/>
    <x v="4"/>
    <x v="1"/>
    <s v="T"/>
    <x v="10"/>
    <x v="10"/>
    <n v="140"/>
    <x v="25"/>
  </r>
  <r>
    <s v="200015-24"/>
    <x v="4"/>
    <x v="2"/>
    <s v="T"/>
    <x v="10"/>
    <x v="10"/>
    <n v="82"/>
    <x v="26"/>
  </r>
  <r>
    <s v="200025-44"/>
    <x v="4"/>
    <x v="3"/>
    <s v="T"/>
    <x v="10"/>
    <x v="10"/>
    <n v="92"/>
    <x v="27"/>
  </r>
  <r>
    <s v="200045-64"/>
    <x v="4"/>
    <x v="4"/>
    <s v="T"/>
    <x v="10"/>
    <x v="10"/>
    <n v="35"/>
    <x v="28"/>
  </r>
  <r>
    <s v="200065-74"/>
    <x v="4"/>
    <x v="5"/>
    <s v="T"/>
    <x v="10"/>
    <x v="10"/>
    <n v="11"/>
    <x v="29"/>
  </r>
  <r>
    <s v="200075+"/>
    <x v="4"/>
    <x v="6"/>
    <s v="T"/>
    <x v="10"/>
    <x v="10"/>
    <n v="16"/>
    <x v="29"/>
  </r>
  <r>
    <s v="20010-4"/>
    <x v="5"/>
    <x v="0"/>
    <s v="T"/>
    <x v="10"/>
    <x v="10"/>
    <n v="1727"/>
    <x v="30"/>
  </r>
  <r>
    <s v="20015-14"/>
    <x v="5"/>
    <x v="1"/>
    <s v="T"/>
    <x v="10"/>
    <x v="10"/>
    <n v="146"/>
    <x v="31"/>
  </r>
  <r>
    <s v="200115-24"/>
    <x v="5"/>
    <x v="2"/>
    <s v="T"/>
    <x v="10"/>
    <x v="10"/>
    <n v="91"/>
    <x v="32"/>
  </r>
  <r>
    <s v="200125-44"/>
    <x v="5"/>
    <x v="3"/>
    <s v="T"/>
    <x v="10"/>
    <x v="10"/>
    <n v="88"/>
    <x v="33"/>
  </r>
  <r>
    <s v="200145-64"/>
    <x v="5"/>
    <x v="4"/>
    <s v="T"/>
    <x v="10"/>
    <x v="10"/>
    <n v="39"/>
    <x v="34"/>
  </r>
  <r>
    <s v="200165-74"/>
    <x v="5"/>
    <x v="5"/>
    <s v="T"/>
    <x v="10"/>
    <x v="10"/>
    <n v="7"/>
    <x v="35"/>
  </r>
  <r>
    <s v="200175+"/>
    <x v="5"/>
    <x v="6"/>
    <s v="T"/>
    <x v="10"/>
    <x v="10"/>
    <n v="10"/>
    <x v="35"/>
  </r>
  <r>
    <s v="20020-4"/>
    <x v="6"/>
    <x v="0"/>
    <s v="T"/>
    <x v="10"/>
    <x v="10"/>
    <n v="1714"/>
    <x v="36"/>
  </r>
  <r>
    <s v="20025-14"/>
    <x v="6"/>
    <x v="1"/>
    <s v="T"/>
    <x v="10"/>
    <x v="10"/>
    <n v="137"/>
    <x v="37"/>
  </r>
  <r>
    <s v="200215-24"/>
    <x v="6"/>
    <x v="2"/>
    <s v="T"/>
    <x v="10"/>
    <x v="10"/>
    <n v="100"/>
    <x v="38"/>
  </r>
  <r>
    <s v="200225-44"/>
    <x v="6"/>
    <x v="3"/>
    <s v="T"/>
    <x v="10"/>
    <x v="10"/>
    <n v="85"/>
    <x v="39"/>
  </r>
  <r>
    <s v="200245-64"/>
    <x v="6"/>
    <x v="4"/>
    <s v="T"/>
    <x v="10"/>
    <x v="10"/>
    <n v="48"/>
    <x v="40"/>
  </r>
  <r>
    <s v="200265-74"/>
    <x v="6"/>
    <x v="5"/>
    <s v="T"/>
    <x v="10"/>
    <x v="10"/>
    <n v="7"/>
    <x v="41"/>
  </r>
  <r>
    <s v="200275+"/>
    <x v="6"/>
    <x v="6"/>
    <s v="T"/>
    <x v="10"/>
    <x v="10"/>
    <n v="23"/>
    <x v="41"/>
  </r>
  <r>
    <s v="20030-4"/>
    <x v="7"/>
    <x v="0"/>
    <s v="T"/>
    <x v="10"/>
    <x v="10"/>
    <n v="1677"/>
    <x v="42"/>
  </r>
  <r>
    <s v="20035-14"/>
    <x v="7"/>
    <x v="1"/>
    <s v="T"/>
    <x v="10"/>
    <x v="10"/>
    <n v="134"/>
    <x v="43"/>
  </r>
  <r>
    <s v="200315-24"/>
    <x v="7"/>
    <x v="2"/>
    <s v="T"/>
    <x v="10"/>
    <x v="10"/>
    <n v="100"/>
    <x v="44"/>
  </r>
  <r>
    <s v="200325-44"/>
    <x v="7"/>
    <x v="3"/>
    <s v="T"/>
    <x v="10"/>
    <x v="10"/>
    <n v="106"/>
    <x v="45"/>
  </r>
  <r>
    <s v="200345-64"/>
    <x v="7"/>
    <x v="4"/>
    <s v="T"/>
    <x v="10"/>
    <x v="10"/>
    <n v="56"/>
    <x v="46"/>
  </r>
  <r>
    <s v="200365-74"/>
    <x v="7"/>
    <x v="5"/>
    <s v="T"/>
    <x v="10"/>
    <x v="10"/>
    <n v="11"/>
    <x v="47"/>
  </r>
  <r>
    <s v="200375+"/>
    <x v="7"/>
    <x v="6"/>
    <s v="T"/>
    <x v="10"/>
    <x v="10"/>
    <n v="36"/>
    <x v="47"/>
  </r>
  <r>
    <s v="20040-4"/>
    <x v="8"/>
    <x v="0"/>
    <s v="T"/>
    <x v="10"/>
    <x v="10"/>
    <n v="1742"/>
    <x v="48"/>
  </r>
  <r>
    <s v="20045-14"/>
    <x v="8"/>
    <x v="1"/>
    <s v="T"/>
    <x v="10"/>
    <x v="10"/>
    <n v="143"/>
    <x v="49"/>
  </r>
  <r>
    <s v="200415-24"/>
    <x v="8"/>
    <x v="2"/>
    <s v="T"/>
    <x v="10"/>
    <x v="10"/>
    <n v="98"/>
    <x v="50"/>
  </r>
  <r>
    <s v="200425-44"/>
    <x v="8"/>
    <x v="3"/>
    <s v="T"/>
    <x v="10"/>
    <x v="10"/>
    <n v="77"/>
    <x v="51"/>
  </r>
  <r>
    <s v="200445-64"/>
    <x v="8"/>
    <x v="4"/>
    <s v="T"/>
    <x v="10"/>
    <x v="10"/>
    <n v="43"/>
    <x v="52"/>
  </r>
  <r>
    <s v="200465-74"/>
    <x v="8"/>
    <x v="5"/>
    <s v="T"/>
    <x v="10"/>
    <x v="10"/>
    <n v="9"/>
    <x v="53"/>
  </r>
  <r>
    <s v="200475+"/>
    <x v="8"/>
    <x v="6"/>
    <s v="T"/>
    <x v="10"/>
    <x v="10"/>
    <n v="20"/>
    <x v="53"/>
  </r>
  <r>
    <s v="20050-4"/>
    <x v="9"/>
    <x v="0"/>
    <s v="T"/>
    <x v="10"/>
    <x v="10"/>
    <n v="1761"/>
    <x v="54"/>
  </r>
  <r>
    <s v="20055-14"/>
    <x v="9"/>
    <x v="1"/>
    <s v="T"/>
    <x v="10"/>
    <x v="10"/>
    <n v="144"/>
    <x v="55"/>
  </r>
  <r>
    <s v="200515-24"/>
    <x v="9"/>
    <x v="2"/>
    <s v="T"/>
    <x v="10"/>
    <x v="10"/>
    <n v="123"/>
    <x v="56"/>
  </r>
  <r>
    <s v="200525-44"/>
    <x v="9"/>
    <x v="3"/>
    <s v="T"/>
    <x v="10"/>
    <x v="10"/>
    <n v="91"/>
    <x v="57"/>
  </r>
  <r>
    <s v="200545-64"/>
    <x v="9"/>
    <x v="4"/>
    <s v="T"/>
    <x v="10"/>
    <x v="10"/>
    <n v="39"/>
    <x v="58"/>
  </r>
  <r>
    <s v="200565-74"/>
    <x v="9"/>
    <x v="5"/>
    <s v="T"/>
    <x v="10"/>
    <x v="10"/>
    <n v="7"/>
    <x v="59"/>
  </r>
  <r>
    <s v="200575+"/>
    <x v="9"/>
    <x v="6"/>
    <s v="T"/>
    <x v="10"/>
    <x v="10"/>
    <n v="19"/>
    <x v="59"/>
  </r>
  <r>
    <s v="20060-4"/>
    <x v="10"/>
    <x v="0"/>
    <s v="T"/>
    <x v="10"/>
    <x v="10"/>
    <n v="1768"/>
    <x v="60"/>
  </r>
  <r>
    <s v="20065-14"/>
    <x v="10"/>
    <x v="1"/>
    <s v="T"/>
    <x v="10"/>
    <x v="10"/>
    <n v="160"/>
    <x v="61"/>
  </r>
  <r>
    <s v="200615-24"/>
    <x v="10"/>
    <x v="2"/>
    <s v="T"/>
    <x v="10"/>
    <x v="10"/>
    <n v="107"/>
    <x v="62"/>
  </r>
  <r>
    <s v="200625-44"/>
    <x v="10"/>
    <x v="3"/>
    <s v="T"/>
    <x v="10"/>
    <x v="10"/>
    <n v="92"/>
    <x v="63"/>
  </r>
  <r>
    <s v="200645-64"/>
    <x v="10"/>
    <x v="4"/>
    <s v="T"/>
    <x v="10"/>
    <x v="10"/>
    <n v="44"/>
    <x v="64"/>
  </r>
  <r>
    <s v="200665-74"/>
    <x v="10"/>
    <x v="5"/>
    <s v="T"/>
    <x v="10"/>
    <x v="10"/>
    <n v="12"/>
    <x v="65"/>
  </r>
  <r>
    <s v="200675+"/>
    <x v="10"/>
    <x v="6"/>
    <s v="T"/>
    <x v="10"/>
    <x v="10"/>
    <n v="29"/>
    <x v="65"/>
  </r>
  <r>
    <s v="20070-4"/>
    <x v="11"/>
    <x v="0"/>
    <s v="T"/>
    <x v="10"/>
    <x v="10"/>
    <n v="1801"/>
    <x v="66"/>
  </r>
  <r>
    <s v="20075-14"/>
    <x v="11"/>
    <x v="1"/>
    <s v="T"/>
    <x v="10"/>
    <x v="10"/>
    <n v="145"/>
    <x v="67"/>
  </r>
  <r>
    <s v="200715-24"/>
    <x v="11"/>
    <x v="2"/>
    <s v="T"/>
    <x v="10"/>
    <x v="10"/>
    <n v="81"/>
    <x v="68"/>
  </r>
  <r>
    <s v="200725-44"/>
    <x v="11"/>
    <x v="3"/>
    <s v="T"/>
    <x v="10"/>
    <x v="10"/>
    <n v="77"/>
    <x v="69"/>
  </r>
  <r>
    <s v="200745-64"/>
    <x v="11"/>
    <x v="4"/>
    <s v="T"/>
    <x v="10"/>
    <x v="10"/>
    <n v="50"/>
    <x v="70"/>
  </r>
  <r>
    <s v="200765-74"/>
    <x v="11"/>
    <x v="5"/>
    <s v="T"/>
    <x v="10"/>
    <x v="10"/>
    <n v="15"/>
    <x v="71"/>
  </r>
  <r>
    <s v="200775+"/>
    <x v="11"/>
    <x v="6"/>
    <s v="T"/>
    <x v="10"/>
    <x v="10"/>
    <n v="41"/>
    <x v="71"/>
  </r>
  <r>
    <s v="20080-4"/>
    <x v="12"/>
    <x v="0"/>
    <s v="T"/>
    <x v="10"/>
    <x v="10"/>
    <n v="1766"/>
    <x v="72"/>
  </r>
  <r>
    <s v="20085-14"/>
    <x v="12"/>
    <x v="1"/>
    <s v="T"/>
    <x v="10"/>
    <x v="10"/>
    <n v="132"/>
    <x v="73"/>
  </r>
  <r>
    <s v="200815-24"/>
    <x v="12"/>
    <x v="2"/>
    <s v="T"/>
    <x v="10"/>
    <x v="10"/>
    <n v="91"/>
    <x v="74"/>
  </r>
  <r>
    <s v="200825-44"/>
    <x v="12"/>
    <x v="3"/>
    <s v="T"/>
    <x v="10"/>
    <x v="10"/>
    <n v="101"/>
    <x v="75"/>
  </r>
  <r>
    <s v="200845-64"/>
    <x v="12"/>
    <x v="4"/>
    <s v="T"/>
    <x v="10"/>
    <x v="10"/>
    <n v="51"/>
    <x v="76"/>
  </r>
  <r>
    <s v="200865-74"/>
    <x v="12"/>
    <x v="5"/>
    <s v="T"/>
    <x v="10"/>
    <x v="10"/>
    <n v="10"/>
    <x v="77"/>
  </r>
  <r>
    <s v="200875+"/>
    <x v="12"/>
    <x v="6"/>
    <s v="T"/>
    <x v="10"/>
    <x v="10"/>
    <n v="7"/>
    <x v="77"/>
  </r>
  <r>
    <s v="20090-4"/>
    <x v="13"/>
    <x v="0"/>
    <s v="T"/>
    <x v="10"/>
    <x v="10"/>
    <n v="1767"/>
    <x v="78"/>
  </r>
  <r>
    <s v="20095-14"/>
    <x v="13"/>
    <x v="1"/>
    <s v="T"/>
    <x v="10"/>
    <x v="10"/>
    <n v="120"/>
    <x v="79"/>
  </r>
  <r>
    <s v="200915-24"/>
    <x v="13"/>
    <x v="2"/>
    <s v="T"/>
    <x v="10"/>
    <x v="10"/>
    <n v="102"/>
    <x v="80"/>
  </r>
  <r>
    <s v="200925-44"/>
    <x v="13"/>
    <x v="3"/>
    <s v="T"/>
    <x v="10"/>
    <x v="10"/>
    <n v="86"/>
    <x v="81"/>
  </r>
  <r>
    <s v="200945-64"/>
    <x v="13"/>
    <x v="4"/>
    <s v="T"/>
    <x v="10"/>
    <x v="10"/>
    <n v="50"/>
    <x v="82"/>
  </r>
  <r>
    <s v="200965-74"/>
    <x v="13"/>
    <x v="5"/>
    <s v="T"/>
    <x v="10"/>
    <x v="10"/>
    <n v="12"/>
    <x v="83"/>
  </r>
  <r>
    <s v="200975+"/>
    <x v="13"/>
    <x v="6"/>
    <s v="T"/>
    <x v="10"/>
    <x v="10"/>
    <n v="8"/>
    <x v="83"/>
  </r>
  <r>
    <s v="20100-4"/>
    <x v="14"/>
    <x v="0"/>
    <s v="T"/>
    <x v="10"/>
    <x v="10"/>
    <n v="1962"/>
    <x v="84"/>
  </r>
  <r>
    <s v="20105-14"/>
    <x v="14"/>
    <x v="1"/>
    <s v="T"/>
    <x v="10"/>
    <x v="10"/>
    <n v="128"/>
    <x v="85"/>
  </r>
  <r>
    <s v="201015-24"/>
    <x v="14"/>
    <x v="2"/>
    <s v="T"/>
    <x v="10"/>
    <x v="10"/>
    <n v="100"/>
    <x v="86"/>
  </r>
  <r>
    <s v="201025-44"/>
    <x v="14"/>
    <x v="3"/>
    <s v="T"/>
    <x v="10"/>
    <x v="10"/>
    <n v="111"/>
    <x v="87"/>
  </r>
  <r>
    <s v="201045-64"/>
    <x v="14"/>
    <x v="4"/>
    <s v="T"/>
    <x v="10"/>
    <x v="10"/>
    <n v="66"/>
    <x v="88"/>
  </r>
  <r>
    <s v="201065-74"/>
    <x v="14"/>
    <x v="5"/>
    <s v="T"/>
    <x v="10"/>
    <x v="10"/>
    <n v="13"/>
    <x v="89"/>
  </r>
  <r>
    <s v="201075+"/>
    <x v="14"/>
    <x v="6"/>
    <s v="T"/>
    <x v="10"/>
    <x v="10"/>
    <n v="12"/>
    <x v="89"/>
  </r>
  <r>
    <s v="20110-4"/>
    <x v="15"/>
    <x v="0"/>
    <s v="T"/>
    <x v="10"/>
    <x v="10"/>
    <n v="1886"/>
    <x v="90"/>
  </r>
  <r>
    <s v="20115-14"/>
    <x v="15"/>
    <x v="1"/>
    <s v="T"/>
    <x v="10"/>
    <x v="10"/>
    <n v="127"/>
    <x v="91"/>
  </r>
  <r>
    <s v="201115-24"/>
    <x v="15"/>
    <x v="2"/>
    <s v="T"/>
    <x v="10"/>
    <x v="10"/>
    <n v="114"/>
    <x v="92"/>
  </r>
  <r>
    <s v="201125-44"/>
    <x v="15"/>
    <x v="3"/>
    <s v="T"/>
    <x v="10"/>
    <x v="10"/>
    <n v="99"/>
    <x v="93"/>
  </r>
  <r>
    <s v="201145-64"/>
    <x v="15"/>
    <x v="4"/>
    <s v="T"/>
    <x v="10"/>
    <x v="10"/>
    <n v="52"/>
    <x v="94"/>
  </r>
  <r>
    <s v="201165-74"/>
    <x v="15"/>
    <x v="5"/>
    <s v="T"/>
    <x v="10"/>
    <x v="10"/>
    <n v="9"/>
    <x v="95"/>
  </r>
  <r>
    <s v="201175+"/>
    <x v="15"/>
    <x v="6"/>
    <s v="T"/>
    <x v="10"/>
    <x v="10"/>
    <n v="14"/>
    <x v="95"/>
  </r>
  <r>
    <s v="20120-4"/>
    <x v="16"/>
    <x v="0"/>
    <s v="T"/>
    <x v="10"/>
    <x v="10"/>
    <n v="2061"/>
    <x v="96"/>
  </r>
  <r>
    <s v="20125-14"/>
    <x v="16"/>
    <x v="1"/>
    <s v="T"/>
    <x v="10"/>
    <x v="10"/>
    <n v="126"/>
    <x v="97"/>
  </r>
  <r>
    <s v="201215-24"/>
    <x v="16"/>
    <x v="2"/>
    <s v="T"/>
    <x v="10"/>
    <x v="10"/>
    <n v="103"/>
    <x v="98"/>
  </r>
  <r>
    <s v="201225-44"/>
    <x v="16"/>
    <x v="3"/>
    <s v="T"/>
    <x v="10"/>
    <x v="10"/>
    <n v="107"/>
    <x v="99"/>
  </r>
  <r>
    <s v="201245-64"/>
    <x v="16"/>
    <x v="4"/>
    <s v="T"/>
    <x v="10"/>
    <x v="10"/>
    <n v="60"/>
    <x v="100"/>
  </r>
  <r>
    <s v="201265-74"/>
    <x v="16"/>
    <x v="5"/>
    <s v="T"/>
    <x v="10"/>
    <x v="10"/>
    <n v="7"/>
    <x v="101"/>
  </r>
  <r>
    <s v="201275+"/>
    <x v="16"/>
    <x v="6"/>
    <s v="T"/>
    <x v="10"/>
    <x v="10"/>
    <n v="8"/>
    <x v="101"/>
  </r>
  <r>
    <s v="20130-4"/>
    <x v="17"/>
    <x v="0"/>
    <s v="T"/>
    <x v="10"/>
    <x v="10"/>
    <n v="1993"/>
    <x v="102"/>
  </r>
  <r>
    <s v="20135-14"/>
    <x v="17"/>
    <x v="1"/>
    <s v="T"/>
    <x v="10"/>
    <x v="10"/>
    <n v="128"/>
    <x v="103"/>
  </r>
  <r>
    <s v="201315-24"/>
    <x v="17"/>
    <x v="2"/>
    <s v="T"/>
    <x v="10"/>
    <x v="10"/>
    <n v="113"/>
    <x v="104"/>
  </r>
  <r>
    <s v="201325-44"/>
    <x v="17"/>
    <x v="3"/>
    <s v="T"/>
    <x v="10"/>
    <x v="10"/>
    <n v="117"/>
    <x v="105"/>
  </r>
  <r>
    <s v="201345-64"/>
    <x v="17"/>
    <x v="4"/>
    <s v="T"/>
    <x v="10"/>
    <x v="10"/>
    <n v="69"/>
    <x v="106"/>
  </r>
  <r>
    <s v="201365-74"/>
    <x v="17"/>
    <x v="5"/>
    <s v="T"/>
    <x v="10"/>
    <x v="10"/>
    <n v="6"/>
    <x v="107"/>
  </r>
  <r>
    <s v="201375+"/>
    <x v="17"/>
    <x v="6"/>
    <s v="T"/>
    <x v="10"/>
    <x v="10"/>
    <n v="2"/>
    <x v="107"/>
  </r>
  <r>
    <s v="20140-4"/>
    <x v="18"/>
    <x v="0"/>
    <s v="T"/>
    <x v="10"/>
    <x v="10"/>
    <n v="1988"/>
    <x v="108"/>
  </r>
  <r>
    <s v="20145-14"/>
    <x v="18"/>
    <x v="1"/>
    <s v="T"/>
    <x v="10"/>
    <x v="10"/>
    <n v="137"/>
    <x v="109"/>
  </r>
  <r>
    <s v="201415-24"/>
    <x v="18"/>
    <x v="2"/>
    <s v="T"/>
    <x v="10"/>
    <x v="10"/>
    <n v="98"/>
    <x v="110"/>
  </r>
  <r>
    <s v="201425-44"/>
    <x v="18"/>
    <x v="3"/>
    <s v="T"/>
    <x v="10"/>
    <x v="10"/>
    <n v="125"/>
    <x v="111"/>
  </r>
  <r>
    <s v="201445-64"/>
    <x v="18"/>
    <x v="4"/>
    <s v="T"/>
    <x v="10"/>
    <x v="10"/>
    <n v="100"/>
    <x v="112"/>
  </r>
  <r>
    <s v="201465-74"/>
    <x v="18"/>
    <x v="5"/>
    <s v="T"/>
    <x v="10"/>
    <x v="10"/>
    <n v="14"/>
    <x v="113"/>
  </r>
  <r>
    <s v="201475+"/>
    <x v="18"/>
    <x v="6"/>
    <s v="T"/>
    <x v="10"/>
    <x v="10"/>
    <n v="12"/>
    <x v="113"/>
  </r>
  <r>
    <s v="19960-4"/>
    <x v="0"/>
    <x v="0"/>
    <s v="T"/>
    <x v="11"/>
    <x v="11"/>
    <n v="2468"/>
    <x v="0"/>
  </r>
  <r>
    <s v="19965-14"/>
    <x v="0"/>
    <x v="1"/>
    <s v="T"/>
    <x v="11"/>
    <x v="11"/>
    <n v="79"/>
    <x v="1"/>
  </r>
  <r>
    <s v="199615-24"/>
    <x v="0"/>
    <x v="2"/>
    <s v="T"/>
    <x v="11"/>
    <x v="11"/>
    <n v="36"/>
    <x v="2"/>
  </r>
  <r>
    <s v="199625-44"/>
    <x v="0"/>
    <x v="3"/>
    <s v="T"/>
    <x v="11"/>
    <x v="11"/>
    <n v="65"/>
    <x v="3"/>
  </r>
  <r>
    <s v="199645-64"/>
    <x v="0"/>
    <x v="4"/>
    <s v="T"/>
    <x v="11"/>
    <x v="11"/>
    <n v="151"/>
    <x v="4"/>
  </r>
  <r>
    <s v="199665-74"/>
    <x v="0"/>
    <x v="5"/>
    <s v="T"/>
    <x v="11"/>
    <x v="11"/>
    <n v="146"/>
    <x v="5"/>
  </r>
  <r>
    <s v="199675+"/>
    <x v="0"/>
    <x v="6"/>
    <s v="T"/>
    <x v="11"/>
    <x v="11"/>
    <n v="432"/>
    <x v="5"/>
  </r>
  <r>
    <s v="19970-4"/>
    <x v="1"/>
    <x v="0"/>
    <s v="T"/>
    <x v="11"/>
    <x v="11"/>
    <n v="1864"/>
    <x v="6"/>
  </r>
  <r>
    <s v="19975-14"/>
    <x v="1"/>
    <x v="1"/>
    <s v="T"/>
    <x v="11"/>
    <x v="11"/>
    <n v="42"/>
    <x v="7"/>
  </r>
  <r>
    <s v="199715-24"/>
    <x v="1"/>
    <x v="2"/>
    <s v="T"/>
    <x v="11"/>
    <x v="11"/>
    <n v="33"/>
    <x v="8"/>
  </r>
  <r>
    <s v="199725-44"/>
    <x v="1"/>
    <x v="3"/>
    <s v="T"/>
    <x v="11"/>
    <x v="11"/>
    <n v="86"/>
    <x v="9"/>
  </r>
  <r>
    <s v="199745-64"/>
    <x v="1"/>
    <x v="4"/>
    <s v="T"/>
    <x v="11"/>
    <x v="11"/>
    <n v="129"/>
    <x v="10"/>
  </r>
  <r>
    <s v="199765-74"/>
    <x v="1"/>
    <x v="5"/>
    <s v="T"/>
    <x v="11"/>
    <x v="11"/>
    <n v="155"/>
    <x v="11"/>
  </r>
  <r>
    <s v="199775+"/>
    <x v="1"/>
    <x v="6"/>
    <s v="T"/>
    <x v="11"/>
    <x v="11"/>
    <n v="321"/>
    <x v="11"/>
  </r>
  <r>
    <s v="19980-4"/>
    <x v="2"/>
    <x v="0"/>
    <s v="T"/>
    <x v="11"/>
    <x v="11"/>
    <n v="1877"/>
    <x v="12"/>
  </r>
  <r>
    <s v="19985-14"/>
    <x v="2"/>
    <x v="1"/>
    <s v="T"/>
    <x v="11"/>
    <x v="11"/>
    <n v="43"/>
    <x v="13"/>
  </r>
  <r>
    <s v="199815-24"/>
    <x v="2"/>
    <x v="2"/>
    <s v="T"/>
    <x v="11"/>
    <x v="11"/>
    <n v="19"/>
    <x v="14"/>
  </r>
  <r>
    <s v="199825-44"/>
    <x v="2"/>
    <x v="3"/>
    <s v="T"/>
    <x v="11"/>
    <x v="11"/>
    <n v="88"/>
    <x v="15"/>
  </r>
  <r>
    <s v="199845-64"/>
    <x v="2"/>
    <x v="4"/>
    <s v="T"/>
    <x v="11"/>
    <x v="11"/>
    <n v="114"/>
    <x v="16"/>
  </r>
  <r>
    <s v="199865-74"/>
    <x v="2"/>
    <x v="5"/>
    <s v="T"/>
    <x v="11"/>
    <x v="11"/>
    <n v="112"/>
    <x v="17"/>
  </r>
  <r>
    <s v="199875+"/>
    <x v="2"/>
    <x v="6"/>
    <s v="T"/>
    <x v="11"/>
    <x v="11"/>
    <n v="340"/>
    <x v="17"/>
  </r>
  <r>
    <s v="19990-4"/>
    <x v="3"/>
    <x v="0"/>
    <s v="T"/>
    <x v="11"/>
    <x v="11"/>
    <n v="1467"/>
    <x v="18"/>
  </r>
  <r>
    <s v="19995-14"/>
    <x v="3"/>
    <x v="1"/>
    <s v="T"/>
    <x v="11"/>
    <x v="11"/>
    <n v="33"/>
    <x v="19"/>
  </r>
  <r>
    <s v="199915-24"/>
    <x v="3"/>
    <x v="2"/>
    <s v="T"/>
    <x v="11"/>
    <x v="11"/>
    <n v="21"/>
    <x v="20"/>
  </r>
  <r>
    <s v="199925-44"/>
    <x v="3"/>
    <x v="3"/>
    <s v="T"/>
    <x v="11"/>
    <x v="11"/>
    <n v="64"/>
    <x v="21"/>
  </r>
  <r>
    <s v="199945-64"/>
    <x v="3"/>
    <x v="4"/>
    <s v="T"/>
    <x v="11"/>
    <x v="11"/>
    <n v="88"/>
    <x v="22"/>
  </r>
  <r>
    <s v="199965-74"/>
    <x v="3"/>
    <x v="5"/>
    <s v="T"/>
    <x v="11"/>
    <x v="11"/>
    <n v="123"/>
    <x v="23"/>
  </r>
  <r>
    <s v="199975+"/>
    <x v="3"/>
    <x v="6"/>
    <s v="T"/>
    <x v="11"/>
    <x v="11"/>
    <n v="310"/>
    <x v="23"/>
  </r>
  <r>
    <s v="20000-4"/>
    <x v="4"/>
    <x v="0"/>
    <s v="T"/>
    <x v="11"/>
    <x v="11"/>
    <n v="1230"/>
    <x v="24"/>
  </r>
  <r>
    <s v="20005-14"/>
    <x v="4"/>
    <x v="1"/>
    <s v="T"/>
    <x v="11"/>
    <x v="11"/>
    <n v="23"/>
    <x v="25"/>
  </r>
  <r>
    <s v="200015-24"/>
    <x v="4"/>
    <x v="2"/>
    <s v="T"/>
    <x v="11"/>
    <x v="11"/>
    <n v="17"/>
    <x v="26"/>
  </r>
  <r>
    <s v="200025-44"/>
    <x v="4"/>
    <x v="3"/>
    <s v="T"/>
    <x v="11"/>
    <x v="11"/>
    <n v="61"/>
    <x v="27"/>
  </r>
  <r>
    <s v="200045-64"/>
    <x v="4"/>
    <x v="4"/>
    <s v="T"/>
    <x v="11"/>
    <x v="11"/>
    <n v="97"/>
    <x v="28"/>
  </r>
  <r>
    <s v="200065-74"/>
    <x v="4"/>
    <x v="5"/>
    <s v="T"/>
    <x v="11"/>
    <x v="11"/>
    <n v="91"/>
    <x v="29"/>
  </r>
  <r>
    <s v="200075+"/>
    <x v="4"/>
    <x v="6"/>
    <s v="T"/>
    <x v="11"/>
    <x v="11"/>
    <n v="262"/>
    <x v="29"/>
  </r>
  <r>
    <s v="20010-4"/>
    <x v="5"/>
    <x v="0"/>
    <s v="T"/>
    <x v="11"/>
    <x v="11"/>
    <n v="1216"/>
    <x v="30"/>
  </r>
  <r>
    <s v="20015-14"/>
    <x v="5"/>
    <x v="1"/>
    <s v="T"/>
    <x v="11"/>
    <x v="11"/>
    <n v="32"/>
    <x v="31"/>
  </r>
  <r>
    <s v="200115-24"/>
    <x v="5"/>
    <x v="2"/>
    <s v="T"/>
    <x v="11"/>
    <x v="11"/>
    <n v="21"/>
    <x v="32"/>
  </r>
  <r>
    <s v="200125-44"/>
    <x v="5"/>
    <x v="3"/>
    <s v="T"/>
    <x v="11"/>
    <x v="11"/>
    <n v="66"/>
    <x v="33"/>
  </r>
  <r>
    <s v="200145-64"/>
    <x v="5"/>
    <x v="4"/>
    <s v="T"/>
    <x v="11"/>
    <x v="11"/>
    <n v="98"/>
    <x v="34"/>
  </r>
  <r>
    <s v="200165-74"/>
    <x v="5"/>
    <x v="5"/>
    <s v="T"/>
    <x v="11"/>
    <x v="11"/>
    <n v="99"/>
    <x v="35"/>
  </r>
  <r>
    <s v="200175+"/>
    <x v="5"/>
    <x v="6"/>
    <s v="T"/>
    <x v="11"/>
    <x v="11"/>
    <n v="318"/>
    <x v="35"/>
  </r>
  <r>
    <s v="20020-4"/>
    <x v="6"/>
    <x v="0"/>
    <s v="T"/>
    <x v="11"/>
    <x v="11"/>
    <n v="1116"/>
    <x v="36"/>
  </r>
  <r>
    <s v="20025-14"/>
    <x v="6"/>
    <x v="1"/>
    <s v="T"/>
    <x v="11"/>
    <x v="11"/>
    <n v="31"/>
    <x v="37"/>
  </r>
  <r>
    <s v="200215-24"/>
    <x v="6"/>
    <x v="2"/>
    <s v="T"/>
    <x v="11"/>
    <x v="11"/>
    <n v="28"/>
    <x v="38"/>
  </r>
  <r>
    <s v="200225-44"/>
    <x v="6"/>
    <x v="3"/>
    <s v="T"/>
    <x v="11"/>
    <x v="11"/>
    <n v="51"/>
    <x v="39"/>
  </r>
  <r>
    <s v="200245-64"/>
    <x v="6"/>
    <x v="4"/>
    <s v="T"/>
    <x v="11"/>
    <x v="11"/>
    <n v="109"/>
    <x v="40"/>
  </r>
  <r>
    <s v="200265-74"/>
    <x v="6"/>
    <x v="5"/>
    <s v="T"/>
    <x v="11"/>
    <x v="11"/>
    <n v="88"/>
    <x v="41"/>
  </r>
  <r>
    <s v="200275+"/>
    <x v="6"/>
    <x v="6"/>
    <s v="T"/>
    <x v="11"/>
    <x v="11"/>
    <n v="290"/>
    <x v="41"/>
  </r>
  <r>
    <s v="20030-4"/>
    <x v="7"/>
    <x v="0"/>
    <s v="T"/>
    <x v="11"/>
    <x v="11"/>
    <n v="1730"/>
    <x v="42"/>
  </r>
  <r>
    <s v="20035-14"/>
    <x v="7"/>
    <x v="1"/>
    <s v="T"/>
    <x v="11"/>
    <x v="11"/>
    <n v="41"/>
    <x v="43"/>
  </r>
  <r>
    <s v="200315-24"/>
    <x v="7"/>
    <x v="2"/>
    <s v="T"/>
    <x v="11"/>
    <x v="11"/>
    <n v="31"/>
    <x v="44"/>
  </r>
  <r>
    <s v="200325-44"/>
    <x v="7"/>
    <x v="3"/>
    <s v="T"/>
    <x v="11"/>
    <x v="11"/>
    <n v="86"/>
    <x v="45"/>
  </r>
  <r>
    <s v="200345-64"/>
    <x v="7"/>
    <x v="4"/>
    <s v="T"/>
    <x v="11"/>
    <x v="11"/>
    <n v="114"/>
    <x v="46"/>
  </r>
  <r>
    <s v="200365-74"/>
    <x v="7"/>
    <x v="5"/>
    <s v="T"/>
    <x v="11"/>
    <x v="11"/>
    <n v="135"/>
    <x v="47"/>
  </r>
  <r>
    <s v="200375+"/>
    <x v="7"/>
    <x v="6"/>
    <s v="T"/>
    <x v="11"/>
    <x v="11"/>
    <n v="431"/>
    <x v="47"/>
  </r>
  <r>
    <s v="20040-4"/>
    <x v="8"/>
    <x v="0"/>
    <s v="T"/>
    <x v="11"/>
    <x v="11"/>
    <n v="1065"/>
    <x v="48"/>
  </r>
  <r>
    <s v="20045-14"/>
    <x v="8"/>
    <x v="1"/>
    <s v="T"/>
    <x v="11"/>
    <x v="11"/>
    <n v="33"/>
    <x v="49"/>
  </r>
  <r>
    <s v="200415-24"/>
    <x v="8"/>
    <x v="2"/>
    <s v="T"/>
    <x v="11"/>
    <x v="11"/>
    <n v="22"/>
    <x v="50"/>
  </r>
  <r>
    <s v="200425-44"/>
    <x v="8"/>
    <x v="3"/>
    <s v="T"/>
    <x v="11"/>
    <x v="11"/>
    <n v="70"/>
    <x v="51"/>
  </r>
  <r>
    <s v="200445-64"/>
    <x v="8"/>
    <x v="4"/>
    <s v="T"/>
    <x v="11"/>
    <x v="11"/>
    <n v="136"/>
    <x v="52"/>
  </r>
  <r>
    <s v="200465-74"/>
    <x v="8"/>
    <x v="5"/>
    <s v="T"/>
    <x v="11"/>
    <x v="11"/>
    <n v="123"/>
    <x v="53"/>
  </r>
  <r>
    <s v="200475+"/>
    <x v="8"/>
    <x v="6"/>
    <s v="T"/>
    <x v="11"/>
    <x v="11"/>
    <n v="416"/>
    <x v="53"/>
  </r>
  <r>
    <s v="20050-4"/>
    <x v="9"/>
    <x v="0"/>
    <s v="T"/>
    <x v="11"/>
    <x v="11"/>
    <n v="908"/>
    <x v="54"/>
  </r>
  <r>
    <s v="20055-14"/>
    <x v="9"/>
    <x v="1"/>
    <s v="T"/>
    <x v="11"/>
    <x v="11"/>
    <n v="25"/>
    <x v="55"/>
  </r>
  <r>
    <s v="200515-24"/>
    <x v="9"/>
    <x v="2"/>
    <s v="T"/>
    <x v="11"/>
    <x v="11"/>
    <n v="21"/>
    <x v="56"/>
  </r>
  <r>
    <s v="200525-44"/>
    <x v="9"/>
    <x v="3"/>
    <s v="T"/>
    <x v="11"/>
    <x v="11"/>
    <n v="69"/>
    <x v="57"/>
  </r>
  <r>
    <s v="200545-64"/>
    <x v="9"/>
    <x v="4"/>
    <s v="T"/>
    <x v="11"/>
    <x v="11"/>
    <n v="142"/>
    <x v="58"/>
  </r>
  <r>
    <s v="200565-74"/>
    <x v="9"/>
    <x v="5"/>
    <s v="T"/>
    <x v="11"/>
    <x v="11"/>
    <n v="115"/>
    <x v="59"/>
  </r>
  <r>
    <s v="200575+"/>
    <x v="9"/>
    <x v="6"/>
    <s v="T"/>
    <x v="11"/>
    <x v="11"/>
    <n v="395"/>
    <x v="59"/>
  </r>
  <r>
    <s v="20060-4"/>
    <x v="10"/>
    <x v="0"/>
    <s v="T"/>
    <x v="11"/>
    <x v="11"/>
    <n v="746"/>
    <x v="60"/>
  </r>
  <r>
    <s v="20065-14"/>
    <x v="10"/>
    <x v="1"/>
    <s v="T"/>
    <x v="11"/>
    <x v="11"/>
    <n v="34"/>
    <x v="61"/>
  </r>
  <r>
    <s v="200615-24"/>
    <x v="10"/>
    <x v="2"/>
    <s v="T"/>
    <x v="11"/>
    <x v="11"/>
    <n v="18"/>
    <x v="62"/>
  </r>
  <r>
    <s v="200625-44"/>
    <x v="10"/>
    <x v="3"/>
    <s v="T"/>
    <x v="11"/>
    <x v="11"/>
    <n v="55"/>
    <x v="63"/>
  </r>
  <r>
    <s v="200645-64"/>
    <x v="10"/>
    <x v="4"/>
    <s v="T"/>
    <x v="11"/>
    <x v="11"/>
    <n v="144"/>
    <x v="64"/>
  </r>
  <r>
    <s v="200665-74"/>
    <x v="10"/>
    <x v="5"/>
    <s v="T"/>
    <x v="11"/>
    <x v="11"/>
    <n v="97"/>
    <x v="65"/>
  </r>
  <r>
    <s v="200675+"/>
    <x v="10"/>
    <x v="6"/>
    <s v="T"/>
    <x v="11"/>
    <x v="11"/>
    <n v="356"/>
    <x v="65"/>
  </r>
  <r>
    <s v="20070-4"/>
    <x v="11"/>
    <x v="0"/>
    <s v="T"/>
    <x v="11"/>
    <x v="11"/>
    <n v="611"/>
    <x v="66"/>
  </r>
  <r>
    <s v="20075-14"/>
    <x v="11"/>
    <x v="1"/>
    <s v="T"/>
    <x v="11"/>
    <x v="11"/>
    <n v="31"/>
    <x v="67"/>
  </r>
  <r>
    <s v="200715-24"/>
    <x v="11"/>
    <x v="2"/>
    <s v="T"/>
    <x v="11"/>
    <x v="11"/>
    <n v="10"/>
    <x v="68"/>
  </r>
  <r>
    <s v="200725-44"/>
    <x v="11"/>
    <x v="3"/>
    <s v="T"/>
    <x v="11"/>
    <x v="11"/>
    <n v="51"/>
    <x v="69"/>
  </r>
  <r>
    <s v="200745-64"/>
    <x v="11"/>
    <x v="4"/>
    <s v="T"/>
    <x v="11"/>
    <x v="11"/>
    <n v="136"/>
    <x v="70"/>
  </r>
  <r>
    <s v="200765-74"/>
    <x v="11"/>
    <x v="5"/>
    <s v="T"/>
    <x v="11"/>
    <x v="11"/>
    <n v="126"/>
    <x v="71"/>
  </r>
  <r>
    <s v="200775+"/>
    <x v="11"/>
    <x v="6"/>
    <s v="T"/>
    <x v="11"/>
    <x v="11"/>
    <n v="329"/>
    <x v="71"/>
  </r>
  <r>
    <s v="20080-4"/>
    <x v="12"/>
    <x v="0"/>
    <s v="T"/>
    <x v="11"/>
    <x v="11"/>
    <n v="475"/>
    <x v="72"/>
  </r>
  <r>
    <s v="20085-14"/>
    <x v="12"/>
    <x v="1"/>
    <s v="T"/>
    <x v="11"/>
    <x v="11"/>
    <n v="17"/>
    <x v="73"/>
  </r>
  <r>
    <s v="200815-24"/>
    <x v="12"/>
    <x v="2"/>
    <s v="T"/>
    <x v="11"/>
    <x v="11"/>
    <n v="20"/>
    <x v="74"/>
  </r>
  <r>
    <s v="200825-44"/>
    <x v="12"/>
    <x v="3"/>
    <s v="T"/>
    <x v="11"/>
    <x v="11"/>
    <n v="49"/>
    <x v="75"/>
  </r>
  <r>
    <s v="200845-64"/>
    <x v="12"/>
    <x v="4"/>
    <s v="T"/>
    <x v="11"/>
    <x v="11"/>
    <n v="115"/>
    <x v="76"/>
  </r>
  <r>
    <s v="200865-74"/>
    <x v="12"/>
    <x v="5"/>
    <s v="T"/>
    <x v="11"/>
    <x v="11"/>
    <n v="108"/>
    <x v="77"/>
  </r>
  <r>
    <s v="200875+"/>
    <x v="12"/>
    <x v="6"/>
    <s v="T"/>
    <x v="11"/>
    <x v="11"/>
    <n v="316"/>
    <x v="77"/>
  </r>
  <r>
    <s v="20090-4"/>
    <x v="13"/>
    <x v="0"/>
    <s v="T"/>
    <x v="11"/>
    <x v="11"/>
    <n v="436"/>
    <x v="78"/>
  </r>
  <r>
    <s v="20095-14"/>
    <x v="13"/>
    <x v="1"/>
    <s v="T"/>
    <x v="11"/>
    <x v="11"/>
    <n v="17"/>
    <x v="79"/>
  </r>
  <r>
    <s v="200915-24"/>
    <x v="13"/>
    <x v="2"/>
    <s v="T"/>
    <x v="11"/>
    <x v="11"/>
    <n v="21"/>
    <x v="80"/>
  </r>
  <r>
    <s v="200925-44"/>
    <x v="13"/>
    <x v="3"/>
    <s v="T"/>
    <x v="11"/>
    <x v="11"/>
    <n v="54"/>
    <x v="81"/>
  </r>
  <r>
    <s v="200945-64"/>
    <x v="13"/>
    <x v="4"/>
    <s v="T"/>
    <x v="11"/>
    <x v="11"/>
    <n v="111"/>
    <x v="82"/>
  </r>
  <r>
    <s v="200965-74"/>
    <x v="13"/>
    <x v="5"/>
    <s v="T"/>
    <x v="11"/>
    <x v="11"/>
    <n v="77"/>
    <x v="83"/>
  </r>
  <r>
    <s v="200975+"/>
    <x v="13"/>
    <x v="6"/>
    <s v="T"/>
    <x v="11"/>
    <x v="11"/>
    <n v="277"/>
    <x v="83"/>
  </r>
  <r>
    <s v="20100-4"/>
    <x v="14"/>
    <x v="0"/>
    <s v="T"/>
    <x v="11"/>
    <x v="11"/>
    <n v="518"/>
    <x v="84"/>
  </r>
  <r>
    <s v="20105-14"/>
    <x v="14"/>
    <x v="1"/>
    <s v="T"/>
    <x v="11"/>
    <x v="11"/>
    <n v="31"/>
    <x v="85"/>
  </r>
  <r>
    <s v="201015-24"/>
    <x v="14"/>
    <x v="2"/>
    <s v="T"/>
    <x v="11"/>
    <x v="11"/>
    <n v="14"/>
    <x v="86"/>
  </r>
  <r>
    <s v="201025-44"/>
    <x v="14"/>
    <x v="3"/>
    <s v="T"/>
    <x v="11"/>
    <x v="11"/>
    <n v="39"/>
    <x v="87"/>
  </r>
  <r>
    <s v="201045-64"/>
    <x v="14"/>
    <x v="4"/>
    <s v="T"/>
    <x v="11"/>
    <x v="11"/>
    <n v="116"/>
    <x v="88"/>
  </r>
  <r>
    <s v="201065-74"/>
    <x v="14"/>
    <x v="5"/>
    <s v="T"/>
    <x v="11"/>
    <x v="11"/>
    <n v="92"/>
    <x v="89"/>
  </r>
  <r>
    <s v="201075+"/>
    <x v="14"/>
    <x v="6"/>
    <s v="T"/>
    <x v="11"/>
    <x v="11"/>
    <n v="278"/>
    <x v="89"/>
  </r>
  <r>
    <s v="20110-4"/>
    <x v="15"/>
    <x v="0"/>
    <s v="T"/>
    <x v="11"/>
    <x v="11"/>
    <n v="453"/>
    <x v="90"/>
  </r>
  <r>
    <s v="20115-14"/>
    <x v="15"/>
    <x v="1"/>
    <s v="T"/>
    <x v="11"/>
    <x v="11"/>
    <n v="18"/>
    <x v="91"/>
  </r>
  <r>
    <s v="201115-24"/>
    <x v="15"/>
    <x v="2"/>
    <s v="T"/>
    <x v="11"/>
    <x v="11"/>
    <n v="20"/>
    <x v="92"/>
  </r>
  <r>
    <s v="201125-44"/>
    <x v="15"/>
    <x v="3"/>
    <s v="T"/>
    <x v="11"/>
    <x v="11"/>
    <n v="49"/>
    <x v="93"/>
  </r>
  <r>
    <s v="201145-64"/>
    <x v="15"/>
    <x v="4"/>
    <s v="T"/>
    <x v="11"/>
    <x v="11"/>
    <n v="131"/>
    <x v="94"/>
  </r>
  <r>
    <s v="201165-74"/>
    <x v="15"/>
    <x v="5"/>
    <s v="T"/>
    <x v="11"/>
    <x v="11"/>
    <n v="80"/>
    <x v="95"/>
  </r>
  <r>
    <s v="201175+"/>
    <x v="15"/>
    <x v="6"/>
    <s v="T"/>
    <x v="11"/>
    <x v="11"/>
    <n v="299"/>
    <x v="95"/>
  </r>
  <r>
    <s v="20120-4"/>
    <x v="16"/>
    <x v="0"/>
    <s v="T"/>
    <x v="11"/>
    <x v="11"/>
    <n v="393"/>
    <x v="96"/>
  </r>
  <r>
    <s v="20125-14"/>
    <x v="16"/>
    <x v="1"/>
    <s v="T"/>
    <x v="11"/>
    <x v="11"/>
    <n v="21"/>
    <x v="97"/>
  </r>
  <r>
    <s v="201215-24"/>
    <x v="16"/>
    <x v="2"/>
    <s v="T"/>
    <x v="11"/>
    <x v="11"/>
    <n v="15"/>
    <x v="98"/>
  </r>
  <r>
    <s v="201225-44"/>
    <x v="16"/>
    <x v="3"/>
    <s v="T"/>
    <x v="11"/>
    <x v="11"/>
    <n v="60"/>
    <x v="99"/>
  </r>
  <r>
    <s v="201245-64"/>
    <x v="16"/>
    <x v="4"/>
    <s v="T"/>
    <x v="11"/>
    <x v="11"/>
    <n v="114"/>
    <x v="100"/>
  </r>
  <r>
    <s v="201265-74"/>
    <x v="16"/>
    <x v="5"/>
    <s v="T"/>
    <x v="11"/>
    <x v="11"/>
    <n v="91"/>
    <x v="101"/>
  </r>
  <r>
    <s v="201275+"/>
    <x v="16"/>
    <x v="6"/>
    <s v="T"/>
    <x v="11"/>
    <x v="11"/>
    <n v="316"/>
    <x v="101"/>
  </r>
  <r>
    <s v="20130-4"/>
    <x v="17"/>
    <x v="0"/>
    <s v="T"/>
    <x v="11"/>
    <x v="11"/>
    <n v="376"/>
    <x v="102"/>
  </r>
  <r>
    <s v="20135-14"/>
    <x v="17"/>
    <x v="1"/>
    <s v="T"/>
    <x v="11"/>
    <x v="11"/>
    <n v="21"/>
    <x v="103"/>
  </r>
  <r>
    <s v="201315-24"/>
    <x v="17"/>
    <x v="2"/>
    <s v="T"/>
    <x v="11"/>
    <x v="11"/>
    <n v="19"/>
    <x v="104"/>
  </r>
  <r>
    <s v="201325-44"/>
    <x v="17"/>
    <x v="3"/>
    <s v="T"/>
    <x v="11"/>
    <x v="11"/>
    <n v="56"/>
    <x v="105"/>
  </r>
  <r>
    <s v="201345-64"/>
    <x v="17"/>
    <x v="4"/>
    <s v="T"/>
    <x v="11"/>
    <x v="11"/>
    <n v="132"/>
    <x v="106"/>
  </r>
  <r>
    <s v="201365-74"/>
    <x v="17"/>
    <x v="5"/>
    <s v="T"/>
    <x v="11"/>
    <x v="11"/>
    <n v="107"/>
    <x v="107"/>
  </r>
  <r>
    <s v="201375+"/>
    <x v="17"/>
    <x v="6"/>
    <s v="T"/>
    <x v="11"/>
    <x v="11"/>
    <n v="306"/>
    <x v="107"/>
  </r>
  <r>
    <s v="20140-4"/>
    <x v="18"/>
    <x v="0"/>
    <s v="T"/>
    <x v="11"/>
    <x v="11"/>
    <n v="464"/>
    <x v="108"/>
  </r>
  <r>
    <s v="20145-14"/>
    <x v="18"/>
    <x v="1"/>
    <s v="T"/>
    <x v="11"/>
    <x v="11"/>
    <n v="26"/>
    <x v="109"/>
  </r>
  <r>
    <s v="201415-24"/>
    <x v="18"/>
    <x v="2"/>
    <s v="T"/>
    <x v="11"/>
    <x v="11"/>
    <n v="15"/>
    <x v="110"/>
  </r>
  <r>
    <s v="201425-44"/>
    <x v="18"/>
    <x v="3"/>
    <s v="T"/>
    <x v="11"/>
    <x v="11"/>
    <n v="76"/>
    <x v="111"/>
  </r>
  <r>
    <s v="201445-64"/>
    <x v="18"/>
    <x v="4"/>
    <s v="T"/>
    <x v="11"/>
    <x v="11"/>
    <n v="171"/>
    <x v="112"/>
  </r>
  <r>
    <s v="201465-74"/>
    <x v="18"/>
    <x v="5"/>
    <s v="T"/>
    <x v="11"/>
    <x v="11"/>
    <n v="138"/>
    <x v="113"/>
  </r>
  <r>
    <s v="201475+"/>
    <x v="18"/>
    <x v="6"/>
    <s v="T"/>
    <x v="11"/>
    <x v="11"/>
    <n v="500"/>
    <x v="113"/>
  </r>
  <r>
    <s v="19960-4"/>
    <x v="0"/>
    <x v="0"/>
    <s v="T"/>
    <x v="12"/>
    <x v="12"/>
    <n v="37"/>
    <x v="0"/>
  </r>
  <r>
    <s v="19965-14"/>
    <x v="0"/>
    <x v="1"/>
    <s v="T"/>
    <x v="12"/>
    <x v="12"/>
    <n v="18"/>
    <x v="1"/>
  </r>
  <r>
    <s v="199615-24"/>
    <x v="0"/>
    <x v="2"/>
    <s v="T"/>
    <x v="12"/>
    <x v="12"/>
    <n v="71"/>
    <x v="2"/>
  </r>
  <r>
    <s v="199625-44"/>
    <x v="0"/>
    <x v="3"/>
    <s v="T"/>
    <x v="12"/>
    <x v="12"/>
    <n v="232"/>
    <x v="3"/>
  </r>
  <r>
    <s v="199645-64"/>
    <x v="0"/>
    <x v="4"/>
    <s v="T"/>
    <x v="12"/>
    <x v="12"/>
    <n v="387"/>
    <x v="4"/>
  </r>
  <r>
    <s v="199665-74"/>
    <x v="0"/>
    <x v="5"/>
    <s v="T"/>
    <x v="12"/>
    <x v="12"/>
    <n v="319"/>
    <x v="5"/>
  </r>
  <r>
    <s v="199675+"/>
    <x v="0"/>
    <x v="6"/>
    <s v="T"/>
    <x v="12"/>
    <x v="12"/>
    <n v="397"/>
    <x v="5"/>
  </r>
  <r>
    <s v="19970-4"/>
    <x v="1"/>
    <x v="0"/>
    <s v="T"/>
    <x v="12"/>
    <x v="12"/>
    <n v="33"/>
    <x v="6"/>
  </r>
  <r>
    <s v="19975-14"/>
    <x v="1"/>
    <x v="1"/>
    <s v="T"/>
    <x v="12"/>
    <x v="12"/>
    <n v="35"/>
    <x v="7"/>
  </r>
  <r>
    <s v="199715-24"/>
    <x v="1"/>
    <x v="2"/>
    <s v="T"/>
    <x v="12"/>
    <x v="12"/>
    <n v="57"/>
    <x v="8"/>
  </r>
  <r>
    <s v="199725-44"/>
    <x v="1"/>
    <x v="3"/>
    <s v="T"/>
    <x v="12"/>
    <x v="12"/>
    <n v="267"/>
    <x v="9"/>
  </r>
  <r>
    <s v="199745-64"/>
    <x v="1"/>
    <x v="4"/>
    <s v="T"/>
    <x v="12"/>
    <x v="12"/>
    <n v="416"/>
    <x v="10"/>
  </r>
  <r>
    <s v="199765-74"/>
    <x v="1"/>
    <x v="5"/>
    <s v="T"/>
    <x v="12"/>
    <x v="12"/>
    <n v="288"/>
    <x v="11"/>
  </r>
  <r>
    <s v="199775+"/>
    <x v="1"/>
    <x v="6"/>
    <s v="T"/>
    <x v="12"/>
    <x v="12"/>
    <n v="421"/>
    <x v="11"/>
  </r>
  <r>
    <s v="19980-4"/>
    <x v="2"/>
    <x v="0"/>
    <s v="T"/>
    <x v="12"/>
    <x v="12"/>
    <n v="34"/>
    <x v="12"/>
  </r>
  <r>
    <s v="19985-14"/>
    <x v="2"/>
    <x v="1"/>
    <s v="T"/>
    <x v="12"/>
    <x v="12"/>
    <n v="33"/>
    <x v="13"/>
  </r>
  <r>
    <s v="199815-24"/>
    <x v="2"/>
    <x v="2"/>
    <s v="T"/>
    <x v="12"/>
    <x v="12"/>
    <n v="63"/>
    <x v="14"/>
  </r>
  <r>
    <s v="199825-44"/>
    <x v="2"/>
    <x v="3"/>
    <s v="T"/>
    <x v="12"/>
    <x v="12"/>
    <n v="207"/>
    <x v="15"/>
  </r>
  <r>
    <s v="199845-64"/>
    <x v="2"/>
    <x v="4"/>
    <s v="T"/>
    <x v="12"/>
    <x v="12"/>
    <n v="405"/>
    <x v="16"/>
  </r>
  <r>
    <s v="199865-74"/>
    <x v="2"/>
    <x v="5"/>
    <s v="T"/>
    <x v="12"/>
    <x v="12"/>
    <n v="280"/>
    <x v="17"/>
  </r>
  <r>
    <s v="199875+"/>
    <x v="2"/>
    <x v="6"/>
    <s v="T"/>
    <x v="12"/>
    <x v="12"/>
    <n v="385"/>
    <x v="17"/>
  </r>
  <r>
    <s v="19990-4"/>
    <x v="3"/>
    <x v="0"/>
    <s v="T"/>
    <x v="12"/>
    <x v="12"/>
    <n v="32"/>
    <x v="18"/>
  </r>
  <r>
    <s v="19995-14"/>
    <x v="3"/>
    <x v="1"/>
    <s v="T"/>
    <x v="12"/>
    <x v="12"/>
    <n v="30"/>
    <x v="19"/>
  </r>
  <r>
    <s v="199915-24"/>
    <x v="3"/>
    <x v="2"/>
    <s v="T"/>
    <x v="12"/>
    <x v="12"/>
    <n v="51"/>
    <x v="20"/>
  </r>
  <r>
    <s v="199925-44"/>
    <x v="3"/>
    <x v="3"/>
    <s v="T"/>
    <x v="12"/>
    <x v="12"/>
    <n v="243"/>
    <x v="21"/>
  </r>
  <r>
    <s v="199945-64"/>
    <x v="3"/>
    <x v="4"/>
    <s v="T"/>
    <x v="12"/>
    <x v="12"/>
    <n v="451"/>
    <x v="22"/>
  </r>
  <r>
    <s v="199965-74"/>
    <x v="3"/>
    <x v="5"/>
    <s v="T"/>
    <x v="12"/>
    <x v="12"/>
    <n v="305"/>
    <x v="23"/>
  </r>
  <r>
    <s v="199975+"/>
    <x v="3"/>
    <x v="6"/>
    <s v="T"/>
    <x v="12"/>
    <x v="12"/>
    <n v="448"/>
    <x v="23"/>
  </r>
  <r>
    <s v="20000-4"/>
    <x v="4"/>
    <x v="0"/>
    <s v="T"/>
    <x v="12"/>
    <x v="12"/>
    <n v="30"/>
    <x v="24"/>
  </r>
  <r>
    <s v="20005-14"/>
    <x v="4"/>
    <x v="1"/>
    <s v="T"/>
    <x v="12"/>
    <x v="12"/>
    <n v="33"/>
    <x v="25"/>
  </r>
  <r>
    <s v="200015-24"/>
    <x v="4"/>
    <x v="2"/>
    <s v="T"/>
    <x v="12"/>
    <x v="12"/>
    <n v="54"/>
    <x v="26"/>
  </r>
  <r>
    <s v="200025-44"/>
    <x v="4"/>
    <x v="3"/>
    <s v="T"/>
    <x v="12"/>
    <x v="12"/>
    <n v="169"/>
    <x v="27"/>
  </r>
  <r>
    <s v="200045-64"/>
    <x v="4"/>
    <x v="4"/>
    <s v="T"/>
    <x v="12"/>
    <x v="12"/>
    <n v="383"/>
    <x v="28"/>
  </r>
  <r>
    <s v="200065-74"/>
    <x v="4"/>
    <x v="5"/>
    <s v="T"/>
    <x v="12"/>
    <x v="12"/>
    <n v="259"/>
    <x v="29"/>
  </r>
  <r>
    <s v="200075+"/>
    <x v="4"/>
    <x v="6"/>
    <s v="T"/>
    <x v="12"/>
    <x v="12"/>
    <n v="450"/>
    <x v="29"/>
  </r>
  <r>
    <s v="20010-4"/>
    <x v="5"/>
    <x v="0"/>
    <s v="T"/>
    <x v="12"/>
    <x v="12"/>
    <n v="24"/>
    <x v="30"/>
  </r>
  <r>
    <s v="20015-14"/>
    <x v="5"/>
    <x v="1"/>
    <s v="T"/>
    <x v="12"/>
    <x v="12"/>
    <n v="32"/>
    <x v="31"/>
  </r>
  <r>
    <s v="200115-24"/>
    <x v="5"/>
    <x v="2"/>
    <s v="T"/>
    <x v="12"/>
    <x v="12"/>
    <n v="41"/>
    <x v="32"/>
  </r>
  <r>
    <s v="200125-44"/>
    <x v="5"/>
    <x v="3"/>
    <s v="T"/>
    <x v="12"/>
    <x v="12"/>
    <n v="174"/>
    <x v="33"/>
  </r>
  <r>
    <s v="200145-64"/>
    <x v="5"/>
    <x v="4"/>
    <s v="T"/>
    <x v="12"/>
    <x v="12"/>
    <n v="391"/>
    <x v="34"/>
  </r>
  <r>
    <s v="200165-74"/>
    <x v="5"/>
    <x v="5"/>
    <s v="T"/>
    <x v="12"/>
    <x v="12"/>
    <n v="269"/>
    <x v="35"/>
  </r>
  <r>
    <s v="200175+"/>
    <x v="5"/>
    <x v="6"/>
    <s v="T"/>
    <x v="12"/>
    <x v="12"/>
    <n v="428"/>
    <x v="35"/>
  </r>
  <r>
    <s v="20020-4"/>
    <x v="6"/>
    <x v="0"/>
    <s v="T"/>
    <x v="12"/>
    <x v="12"/>
    <n v="24"/>
    <x v="36"/>
  </r>
  <r>
    <s v="20025-14"/>
    <x v="6"/>
    <x v="1"/>
    <s v="T"/>
    <x v="12"/>
    <x v="12"/>
    <n v="29"/>
    <x v="37"/>
  </r>
  <r>
    <s v="200215-24"/>
    <x v="6"/>
    <x v="2"/>
    <s v="T"/>
    <x v="12"/>
    <x v="12"/>
    <n v="44"/>
    <x v="38"/>
  </r>
  <r>
    <s v="200225-44"/>
    <x v="6"/>
    <x v="3"/>
    <s v="T"/>
    <x v="12"/>
    <x v="12"/>
    <n v="169"/>
    <x v="39"/>
  </r>
  <r>
    <s v="200245-64"/>
    <x v="6"/>
    <x v="4"/>
    <s v="T"/>
    <x v="12"/>
    <x v="12"/>
    <n v="365"/>
    <x v="40"/>
  </r>
  <r>
    <s v="200265-74"/>
    <x v="6"/>
    <x v="5"/>
    <s v="T"/>
    <x v="12"/>
    <x v="12"/>
    <n v="260"/>
    <x v="41"/>
  </r>
  <r>
    <s v="200275+"/>
    <x v="6"/>
    <x v="6"/>
    <s v="T"/>
    <x v="12"/>
    <x v="12"/>
    <n v="422"/>
    <x v="41"/>
  </r>
  <r>
    <s v="20030-4"/>
    <x v="7"/>
    <x v="0"/>
    <s v="T"/>
    <x v="12"/>
    <x v="12"/>
    <n v="38"/>
    <x v="42"/>
  </r>
  <r>
    <s v="20035-14"/>
    <x v="7"/>
    <x v="1"/>
    <s v="T"/>
    <x v="12"/>
    <x v="12"/>
    <n v="28"/>
    <x v="43"/>
  </r>
  <r>
    <s v="200315-24"/>
    <x v="7"/>
    <x v="2"/>
    <s v="T"/>
    <x v="12"/>
    <x v="12"/>
    <n v="51"/>
    <x v="44"/>
  </r>
  <r>
    <s v="200325-44"/>
    <x v="7"/>
    <x v="3"/>
    <s v="T"/>
    <x v="12"/>
    <x v="12"/>
    <n v="184"/>
    <x v="45"/>
  </r>
  <r>
    <s v="200345-64"/>
    <x v="7"/>
    <x v="4"/>
    <s v="T"/>
    <x v="12"/>
    <x v="12"/>
    <n v="381"/>
    <x v="46"/>
  </r>
  <r>
    <s v="200365-74"/>
    <x v="7"/>
    <x v="5"/>
    <s v="T"/>
    <x v="12"/>
    <x v="12"/>
    <n v="248"/>
    <x v="47"/>
  </r>
  <r>
    <s v="200375+"/>
    <x v="7"/>
    <x v="6"/>
    <s v="T"/>
    <x v="12"/>
    <x v="12"/>
    <n v="478"/>
    <x v="47"/>
  </r>
  <r>
    <s v="20040-4"/>
    <x v="8"/>
    <x v="0"/>
    <s v="T"/>
    <x v="12"/>
    <x v="12"/>
    <n v="21"/>
    <x v="48"/>
  </r>
  <r>
    <s v="20045-14"/>
    <x v="8"/>
    <x v="1"/>
    <s v="T"/>
    <x v="12"/>
    <x v="12"/>
    <n v="27"/>
    <x v="49"/>
  </r>
  <r>
    <s v="200415-24"/>
    <x v="8"/>
    <x v="2"/>
    <s v="T"/>
    <x v="12"/>
    <x v="12"/>
    <n v="45"/>
    <x v="50"/>
  </r>
  <r>
    <s v="200425-44"/>
    <x v="8"/>
    <x v="3"/>
    <s v="T"/>
    <x v="12"/>
    <x v="12"/>
    <n v="188"/>
    <x v="51"/>
  </r>
  <r>
    <s v="200445-64"/>
    <x v="8"/>
    <x v="4"/>
    <s v="T"/>
    <x v="12"/>
    <x v="12"/>
    <n v="381"/>
    <x v="52"/>
  </r>
  <r>
    <s v="200465-74"/>
    <x v="8"/>
    <x v="5"/>
    <s v="T"/>
    <x v="12"/>
    <x v="12"/>
    <n v="290"/>
    <x v="53"/>
  </r>
  <r>
    <s v="200475+"/>
    <x v="8"/>
    <x v="6"/>
    <s v="T"/>
    <x v="12"/>
    <x v="12"/>
    <n v="477"/>
    <x v="53"/>
  </r>
  <r>
    <s v="20050-4"/>
    <x v="9"/>
    <x v="0"/>
    <s v="T"/>
    <x v="12"/>
    <x v="12"/>
    <n v="16"/>
    <x v="54"/>
  </r>
  <r>
    <s v="20055-14"/>
    <x v="9"/>
    <x v="1"/>
    <s v="T"/>
    <x v="12"/>
    <x v="12"/>
    <n v="31"/>
    <x v="55"/>
  </r>
  <r>
    <s v="200515-24"/>
    <x v="9"/>
    <x v="2"/>
    <s v="T"/>
    <x v="12"/>
    <x v="12"/>
    <n v="41"/>
    <x v="56"/>
  </r>
  <r>
    <s v="200525-44"/>
    <x v="9"/>
    <x v="3"/>
    <s v="T"/>
    <x v="12"/>
    <x v="12"/>
    <n v="149"/>
    <x v="57"/>
  </r>
  <r>
    <s v="200545-64"/>
    <x v="9"/>
    <x v="4"/>
    <s v="T"/>
    <x v="12"/>
    <x v="12"/>
    <n v="390"/>
    <x v="58"/>
  </r>
  <r>
    <s v="200565-74"/>
    <x v="9"/>
    <x v="5"/>
    <s v="T"/>
    <x v="12"/>
    <x v="12"/>
    <n v="285"/>
    <x v="59"/>
  </r>
  <r>
    <s v="200575+"/>
    <x v="9"/>
    <x v="6"/>
    <s v="T"/>
    <x v="12"/>
    <x v="12"/>
    <n v="522"/>
    <x v="59"/>
  </r>
  <r>
    <s v="20060-4"/>
    <x v="10"/>
    <x v="0"/>
    <s v="T"/>
    <x v="12"/>
    <x v="12"/>
    <n v="17"/>
    <x v="60"/>
  </r>
  <r>
    <s v="20065-14"/>
    <x v="10"/>
    <x v="1"/>
    <s v="T"/>
    <x v="12"/>
    <x v="12"/>
    <n v="30"/>
    <x v="61"/>
  </r>
  <r>
    <s v="200615-24"/>
    <x v="10"/>
    <x v="2"/>
    <s v="T"/>
    <x v="12"/>
    <x v="12"/>
    <n v="44"/>
    <x v="62"/>
  </r>
  <r>
    <s v="200625-44"/>
    <x v="10"/>
    <x v="3"/>
    <s v="T"/>
    <x v="12"/>
    <x v="12"/>
    <n v="187"/>
    <x v="63"/>
  </r>
  <r>
    <s v="200645-64"/>
    <x v="10"/>
    <x v="4"/>
    <s v="T"/>
    <x v="12"/>
    <x v="12"/>
    <n v="373"/>
    <x v="64"/>
  </r>
  <r>
    <s v="200665-74"/>
    <x v="10"/>
    <x v="5"/>
    <s v="T"/>
    <x v="12"/>
    <x v="12"/>
    <n v="292"/>
    <x v="65"/>
  </r>
  <r>
    <s v="200675+"/>
    <x v="10"/>
    <x v="6"/>
    <s v="T"/>
    <x v="12"/>
    <x v="12"/>
    <n v="537"/>
    <x v="65"/>
  </r>
  <r>
    <s v="20070-4"/>
    <x v="11"/>
    <x v="0"/>
    <s v="T"/>
    <x v="12"/>
    <x v="12"/>
    <n v="12"/>
    <x v="66"/>
  </r>
  <r>
    <s v="20075-14"/>
    <x v="11"/>
    <x v="1"/>
    <s v="T"/>
    <x v="12"/>
    <x v="12"/>
    <n v="22"/>
    <x v="67"/>
  </r>
  <r>
    <s v="200715-24"/>
    <x v="11"/>
    <x v="2"/>
    <s v="T"/>
    <x v="12"/>
    <x v="12"/>
    <n v="39"/>
    <x v="68"/>
  </r>
  <r>
    <s v="200725-44"/>
    <x v="11"/>
    <x v="3"/>
    <s v="T"/>
    <x v="12"/>
    <x v="12"/>
    <n v="171"/>
    <x v="69"/>
  </r>
  <r>
    <s v="200745-64"/>
    <x v="11"/>
    <x v="4"/>
    <s v="T"/>
    <x v="12"/>
    <x v="12"/>
    <n v="471"/>
    <x v="70"/>
  </r>
  <r>
    <s v="200765-74"/>
    <x v="11"/>
    <x v="5"/>
    <s v="T"/>
    <x v="12"/>
    <x v="12"/>
    <n v="298"/>
    <x v="71"/>
  </r>
  <r>
    <s v="200775+"/>
    <x v="11"/>
    <x v="6"/>
    <s v="T"/>
    <x v="12"/>
    <x v="12"/>
    <n v="597"/>
    <x v="71"/>
  </r>
  <r>
    <s v="20080-4"/>
    <x v="12"/>
    <x v="0"/>
    <s v="T"/>
    <x v="12"/>
    <x v="12"/>
    <n v="16"/>
    <x v="72"/>
  </r>
  <r>
    <s v="20085-14"/>
    <x v="12"/>
    <x v="1"/>
    <s v="T"/>
    <x v="12"/>
    <x v="12"/>
    <n v="25"/>
    <x v="73"/>
  </r>
  <r>
    <s v="200815-24"/>
    <x v="12"/>
    <x v="2"/>
    <s v="T"/>
    <x v="12"/>
    <x v="12"/>
    <n v="39"/>
    <x v="74"/>
  </r>
  <r>
    <s v="200825-44"/>
    <x v="12"/>
    <x v="3"/>
    <s v="T"/>
    <x v="12"/>
    <x v="12"/>
    <n v="204"/>
    <x v="75"/>
  </r>
  <r>
    <s v="200845-64"/>
    <x v="12"/>
    <x v="4"/>
    <s v="T"/>
    <x v="12"/>
    <x v="12"/>
    <n v="540"/>
    <x v="76"/>
  </r>
  <r>
    <s v="200865-74"/>
    <x v="12"/>
    <x v="5"/>
    <s v="T"/>
    <x v="12"/>
    <x v="12"/>
    <n v="377"/>
    <x v="77"/>
  </r>
  <r>
    <s v="200875+"/>
    <x v="12"/>
    <x v="6"/>
    <s v="T"/>
    <x v="12"/>
    <x v="12"/>
    <n v="722"/>
    <x v="77"/>
  </r>
  <r>
    <s v="20090-4"/>
    <x v="13"/>
    <x v="0"/>
    <s v="T"/>
    <x v="12"/>
    <x v="12"/>
    <n v="15"/>
    <x v="78"/>
  </r>
  <r>
    <s v="20095-14"/>
    <x v="13"/>
    <x v="1"/>
    <s v="T"/>
    <x v="12"/>
    <x v="12"/>
    <n v="26"/>
    <x v="79"/>
  </r>
  <r>
    <s v="200915-24"/>
    <x v="13"/>
    <x v="2"/>
    <s v="T"/>
    <x v="12"/>
    <x v="12"/>
    <n v="58"/>
    <x v="80"/>
  </r>
  <r>
    <s v="200925-44"/>
    <x v="13"/>
    <x v="3"/>
    <s v="T"/>
    <x v="12"/>
    <x v="12"/>
    <n v="225"/>
    <x v="81"/>
  </r>
  <r>
    <s v="200945-64"/>
    <x v="13"/>
    <x v="4"/>
    <s v="T"/>
    <x v="12"/>
    <x v="12"/>
    <n v="688"/>
    <x v="82"/>
  </r>
  <r>
    <s v="200965-74"/>
    <x v="13"/>
    <x v="5"/>
    <s v="T"/>
    <x v="12"/>
    <x v="12"/>
    <n v="410"/>
    <x v="83"/>
  </r>
  <r>
    <s v="200975+"/>
    <x v="13"/>
    <x v="6"/>
    <s v="T"/>
    <x v="12"/>
    <x v="12"/>
    <n v="809"/>
    <x v="83"/>
  </r>
  <r>
    <s v="20100-4"/>
    <x v="14"/>
    <x v="0"/>
    <s v="T"/>
    <x v="12"/>
    <x v="12"/>
    <n v="23"/>
    <x v="84"/>
  </r>
  <r>
    <s v="20105-14"/>
    <x v="14"/>
    <x v="1"/>
    <s v="T"/>
    <x v="12"/>
    <x v="12"/>
    <n v="16"/>
    <x v="85"/>
  </r>
  <r>
    <s v="201015-24"/>
    <x v="14"/>
    <x v="2"/>
    <s v="T"/>
    <x v="12"/>
    <x v="12"/>
    <n v="51"/>
    <x v="86"/>
  </r>
  <r>
    <s v="201025-44"/>
    <x v="14"/>
    <x v="3"/>
    <s v="T"/>
    <x v="12"/>
    <x v="12"/>
    <n v="187"/>
    <x v="87"/>
  </r>
  <r>
    <s v="201045-64"/>
    <x v="14"/>
    <x v="4"/>
    <s v="T"/>
    <x v="12"/>
    <x v="12"/>
    <n v="617"/>
    <x v="88"/>
  </r>
  <r>
    <s v="201065-74"/>
    <x v="14"/>
    <x v="5"/>
    <s v="T"/>
    <x v="12"/>
    <x v="12"/>
    <n v="422"/>
    <x v="89"/>
  </r>
  <r>
    <s v="201075+"/>
    <x v="14"/>
    <x v="6"/>
    <s v="T"/>
    <x v="12"/>
    <x v="12"/>
    <n v="877"/>
    <x v="89"/>
  </r>
  <r>
    <s v="20110-4"/>
    <x v="15"/>
    <x v="0"/>
    <s v="T"/>
    <x v="12"/>
    <x v="12"/>
    <n v="20"/>
    <x v="90"/>
  </r>
  <r>
    <s v="20115-14"/>
    <x v="15"/>
    <x v="1"/>
    <s v="T"/>
    <x v="12"/>
    <x v="12"/>
    <n v="26"/>
    <x v="91"/>
  </r>
  <r>
    <s v="201115-24"/>
    <x v="15"/>
    <x v="2"/>
    <s v="T"/>
    <x v="12"/>
    <x v="12"/>
    <n v="50"/>
    <x v="92"/>
  </r>
  <r>
    <s v="201125-44"/>
    <x v="15"/>
    <x v="3"/>
    <s v="T"/>
    <x v="12"/>
    <x v="12"/>
    <n v="201"/>
    <x v="93"/>
  </r>
  <r>
    <s v="201145-64"/>
    <x v="15"/>
    <x v="4"/>
    <s v="T"/>
    <x v="12"/>
    <x v="12"/>
    <n v="542"/>
    <x v="94"/>
  </r>
  <r>
    <s v="201165-74"/>
    <x v="15"/>
    <x v="5"/>
    <s v="T"/>
    <x v="12"/>
    <x v="12"/>
    <n v="352"/>
    <x v="95"/>
  </r>
  <r>
    <s v="201175+"/>
    <x v="15"/>
    <x v="6"/>
    <s v="T"/>
    <x v="12"/>
    <x v="12"/>
    <n v="770"/>
    <x v="95"/>
  </r>
  <r>
    <s v="20120-4"/>
    <x v="16"/>
    <x v="0"/>
    <s v="T"/>
    <x v="12"/>
    <x v="12"/>
    <n v="16"/>
    <x v="96"/>
  </r>
  <r>
    <s v="20125-14"/>
    <x v="16"/>
    <x v="1"/>
    <s v="T"/>
    <x v="12"/>
    <x v="12"/>
    <n v="24"/>
    <x v="97"/>
  </r>
  <r>
    <s v="201215-24"/>
    <x v="16"/>
    <x v="2"/>
    <s v="T"/>
    <x v="12"/>
    <x v="12"/>
    <n v="42"/>
    <x v="98"/>
  </r>
  <r>
    <s v="201225-44"/>
    <x v="16"/>
    <x v="3"/>
    <s v="T"/>
    <x v="12"/>
    <x v="12"/>
    <n v="182"/>
    <x v="99"/>
  </r>
  <r>
    <s v="201245-64"/>
    <x v="16"/>
    <x v="4"/>
    <s v="T"/>
    <x v="12"/>
    <x v="12"/>
    <n v="513"/>
    <x v="100"/>
  </r>
  <r>
    <s v="201265-74"/>
    <x v="16"/>
    <x v="5"/>
    <s v="T"/>
    <x v="12"/>
    <x v="12"/>
    <n v="360"/>
    <x v="101"/>
  </r>
  <r>
    <s v="201275+"/>
    <x v="16"/>
    <x v="6"/>
    <s v="T"/>
    <x v="12"/>
    <x v="12"/>
    <n v="786"/>
    <x v="101"/>
  </r>
  <r>
    <s v="20130-4"/>
    <x v="17"/>
    <x v="0"/>
    <s v="T"/>
    <x v="12"/>
    <x v="12"/>
    <n v="15"/>
    <x v="102"/>
  </r>
  <r>
    <s v="20135-14"/>
    <x v="17"/>
    <x v="1"/>
    <s v="T"/>
    <x v="12"/>
    <x v="12"/>
    <n v="20"/>
    <x v="103"/>
  </r>
  <r>
    <s v="201315-24"/>
    <x v="17"/>
    <x v="2"/>
    <s v="T"/>
    <x v="12"/>
    <x v="12"/>
    <n v="42"/>
    <x v="104"/>
  </r>
  <r>
    <s v="201325-44"/>
    <x v="17"/>
    <x v="3"/>
    <s v="T"/>
    <x v="12"/>
    <x v="12"/>
    <n v="211"/>
    <x v="105"/>
  </r>
  <r>
    <s v="201345-64"/>
    <x v="17"/>
    <x v="4"/>
    <s v="T"/>
    <x v="12"/>
    <x v="12"/>
    <n v="626"/>
    <x v="106"/>
  </r>
  <r>
    <s v="201365-74"/>
    <x v="17"/>
    <x v="5"/>
    <s v="T"/>
    <x v="12"/>
    <x v="12"/>
    <n v="445"/>
    <x v="107"/>
  </r>
  <r>
    <s v="201375+"/>
    <x v="17"/>
    <x v="6"/>
    <s v="T"/>
    <x v="12"/>
    <x v="12"/>
    <n v="780"/>
    <x v="107"/>
  </r>
  <r>
    <s v="20140-4"/>
    <x v="18"/>
    <x v="0"/>
    <s v="T"/>
    <x v="12"/>
    <x v="12"/>
    <n v="20"/>
    <x v="108"/>
  </r>
  <r>
    <s v="20145-14"/>
    <x v="18"/>
    <x v="1"/>
    <s v="T"/>
    <x v="12"/>
    <x v="12"/>
    <n v="22"/>
    <x v="109"/>
  </r>
  <r>
    <s v="201415-24"/>
    <x v="18"/>
    <x v="2"/>
    <s v="T"/>
    <x v="12"/>
    <x v="12"/>
    <n v="55"/>
    <x v="110"/>
  </r>
  <r>
    <s v="201425-44"/>
    <x v="18"/>
    <x v="3"/>
    <s v="T"/>
    <x v="12"/>
    <x v="12"/>
    <n v="230"/>
    <x v="111"/>
  </r>
  <r>
    <s v="201445-64"/>
    <x v="18"/>
    <x v="4"/>
    <s v="T"/>
    <x v="12"/>
    <x v="12"/>
    <n v="687"/>
    <x v="112"/>
  </r>
  <r>
    <s v="201465-74"/>
    <x v="18"/>
    <x v="5"/>
    <s v="T"/>
    <x v="12"/>
    <x v="12"/>
    <n v="474"/>
    <x v="113"/>
  </r>
  <r>
    <s v="201475+"/>
    <x v="18"/>
    <x v="6"/>
    <s v="T"/>
    <x v="12"/>
    <x v="12"/>
    <n v="958"/>
    <x v="113"/>
  </r>
  <r>
    <s v="19960-4"/>
    <x v="0"/>
    <x v="0"/>
    <s v="T"/>
    <x v="13"/>
    <x v="13"/>
    <n v="21"/>
    <x v="0"/>
  </r>
  <r>
    <s v="19965-14"/>
    <x v="0"/>
    <x v="1"/>
    <s v="T"/>
    <x v="13"/>
    <x v="13"/>
    <n v="2"/>
    <x v="1"/>
  </r>
  <r>
    <s v="199615-24"/>
    <x v="0"/>
    <x v="2"/>
    <s v="T"/>
    <x v="13"/>
    <x v="13"/>
    <n v="47"/>
    <x v="2"/>
  </r>
  <r>
    <s v="199625-44"/>
    <x v="0"/>
    <x v="3"/>
    <s v="T"/>
    <x v="13"/>
    <x v="13"/>
    <n v="719"/>
    <x v="3"/>
  </r>
  <r>
    <s v="199645-64"/>
    <x v="0"/>
    <x v="4"/>
    <s v="T"/>
    <x v="13"/>
    <x v="13"/>
    <n v="130"/>
    <x v="4"/>
  </r>
  <r>
    <s v="199665-74"/>
    <x v="0"/>
    <x v="5"/>
    <s v="T"/>
    <x v="13"/>
    <x v="13"/>
    <n v="5"/>
    <x v="5"/>
  </r>
  <r>
    <s v="199675+"/>
    <x v="0"/>
    <x v="6"/>
    <s v="T"/>
    <x v="13"/>
    <x v="13"/>
    <n v="7"/>
    <x v="5"/>
  </r>
  <r>
    <s v="19970-4"/>
    <x v="1"/>
    <x v="0"/>
    <s v="T"/>
    <x v="13"/>
    <x v="13"/>
    <n v="13"/>
    <x v="6"/>
  </r>
  <r>
    <s v="19975-14"/>
    <x v="1"/>
    <x v="1"/>
    <s v="T"/>
    <x v="13"/>
    <x v="13"/>
    <n v="6"/>
    <x v="7"/>
  </r>
  <r>
    <s v="199715-24"/>
    <x v="1"/>
    <x v="2"/>
    <s v="T"/>
    <x v="13"/>
    <x v="13"/>
    <n v="97"/>
    <x v="8"/>
  </r>
  <r>
    <s v="199725-44"/>
    <x v="1"/>
    <x v="3"/>
    <s v="T"/>
    <x v="13"/>
    <x v="13"/>
    <n v="794"/>
    <x v="9"/>
  </r>
  <r>
    <s v="199745-64"/>
    <x v="1"/>
    <x v="4"/>
    <s v="T"/>
    <x v="13"/>
    <x v="13"/>
    <n v="157"/>
    <x v="10"/>
  </r>
  <r>
    <s v="199765-74"/>
    <x v="1"/>
    <x v="5"/>
    <s v="T"/>
    <x v="13"/>
    <x v="13"/>
    <n v="17"/>
    <x v="11"/>
  </r>
  <r>
    <s v="199775+"/>
    <x v="1"/>
    <x v="6"/>
    <s v="T"/>
    <x v="13"/>
    <x v="13"/>
    <n v="2"/>
    <x v="11"/>
  </r>
  <r>
    <s v="19980-4"/>
    <x v="2"/>
    <x v="0"/>
    <s v="T"/>
    <x v="13"/>
    <x v="13"/>
    <n v="29"/>
    <x v="12"/>
  </r>
  <r>
    <s v="19985-14"/>
    <x v="2"/>
    <x v="1"/>
    <s v="T"/>
    <x v="13"/>
    <x v="13"/>
    <n v="2"/>
    <x v="13"/>
  </r>
  <r>
    <s v="199815-24"/>
    <x v="2"/>
    <x v="2"/>
    <s v="T"/>
    <x v="13"/>
    <x v="13"/>
    <n v="92"/>
    <x v="14"/>
  </r>
  <r>
    <s v="199825-44"/>
    <x v="2"/>
    <x v="3"/>
    <s v="T"/>
    <x v="13"/>
    <x v="13"/>
    <n v="792"/>
    <x v="15"/>
  </r>
  <r>
    <s v="199845-64"/>
    <x v="2"/>
    <x v="4"/>
    <s v="T"/>
    <x v="13"/>
    <x v="13"/>
    <n v="191"/>
    <x v="16"/>
  </r>
  <r>
    <s v="199865-74"/>
    <x v="2"/>
    <x v="5"/>
    <s v="T"/>
    <x v="13"/>
    <x v="13"/>
    <n v="15"/>
    <x v="17"/>
  </r>
  <r>
    <s v="199875+"/>
    <x v="2"/>
    <x v="6"/>
    <s v="T"/>
    <x v="13"/>
    <x v="13"/>
    <n v="5"/>
    <x v="17"/>
  </r>
  <r>
    <s v="19990-4"/>
    <x v="3"/>
    <x v="0"/>
    <s v="T"/>
    <x v="13"/>
    <x v="13"/>
    <n v="21"/>
    <x v="18"/>
  </r>
  <r>
    <s v="19995-14"/>
    <x v="3"/>
    <x v="1"/>
    <s v="T"/>
    <x v="13"/>
    <x v="13"/>
    <n v="6"/>
    <x v="19"/>
  </r>
  <r>
    <s v="199915-24"/>
    <x v="3"/>
    <x v="2"/>
    <s v="T"/>
    <x v="13"/>
    <x v="13"/>
    <n v="102"/>
    <x v="20"/>
  </r>
  <r>
    <s v="199925-44"/>
    <x v="3"/>
    <x v="3"/>
    <s v="T"/>
    <x v="13"/>
    <x v="13"/>
    <n v="907"/>
    <x v="21"/>
  </r>
  <r>
    <s v="199945-64"/>
    <x v="3"/>
    <x v="4"/>
    <s v="T"/>
    <x v="13"/>
    <x v="13"/>
    <n v="182"/>
    <x v="22"/>
  </r>
  <r>
    <s v="199965-74"/>
    <x v="3"/>
    <x v="5"/>
    <s v="T"/>
    <x v="13"/>
    <x v="13"/>
    <n v="16"/>
    <x v="23"/>
  </r>
  <r>
    <s v="199975+"/>
    <x v="3"/>
    <x v="6"/>
    <s v="T"/>
    <x v="13"/>
    <x v="13"/>
    <n v="8"/>
    <x v="23"/>
  </r>
  <r>
    <s v="20000-4"/>
    <x v="4"/>
    <x v="0"/>
    <s v="T"/>
    <x v="13"/>
    <x v="13"/>
    <n v="24"/>
    <x v="24"/>
  </r>
  <r>
    <s v="20005-14"/>
    <x v="4"/>
    <x v="1"/>
    <s v="T"/>
    <x v="13"/>
    <x v="13"/>
    <n v="8"/>
    <x v="25"/>
  </r>
  <r>
    <s v="200015-24"/>
    <x v="4"/>
    <x v="2"/>
    <s v="T"/>
    <x v="13"/>
    <x v="13"/>
    <n v="112"/>
    <x v="26"/>
  </r>
  <r>
    <s v="200025-44"/>
    <x v="4"/>
    <x v="3"/>
    <s v="T"/>
    <x v="13"/>
    <x v="13"/>
    <n v="908"/>
    <x v="27"/>
  </r>
  <r>
    <s v="200045-64"/>
    <x v="4"/>
    <x v="4"/>
    <s v="T"/>
    <x v="13"/>
    <x v="13"/>
    <n v="209"/>
    <x v="28"/>
  </r>
  <r>
    <s v="200065-74"/>
    <x v="4"/>
    <x v="5"/>
    <s v="T"/>
    <x v="13"/>
    <x v="13"/>
    <n v="15"/>
    <x v="29"/>
  </r>
  <r>
    <s v="200075+"/>
    <x v="4"/>
    <x v="6"/>
    <s v="T"/>
    <x v="13"/>
    <x v="13"/>
    <n v="11"/>
    <x v="29"/>
  </r>
  <r>
    <s v="20010-4"/>
    <x v="5"/>
    <x v="0"/>
    <s v="T"/>
    <x v="13"/>
    <x v="13"/>
    <n v="22"/>
    <x v="30"/>
  </r>
  <r>
    <s v="20015-14"/>
    <x v="5"/>
    <x v="1"/>
    <s v="T"/>
    <x v="13"/>
    <x v="13"/>
    <n v="7"/>
    <x v="31"/>
  </r>
  <r>
    <s v="200115-24"/>
    <x v="5"/>
    <x v="2"/>
    <s v="T"/>
    <x v="13"/>
    <x v="13"/>
    <n v="108"/>
    <x v="32"/>
  </r>
  <r>
    <s v="200125-44"/>
    <x v="5"/>
    <x v="3"/>
    <s v="T"/>
    <x v="13"/>
    <x v="13"/>
    <n v="764"/>
    <x v="33"/>
  </r>
  <r>
    <s v="200145-64"/>
    <x v="5"/>
    <x v="4"/>
    <s v="T"/>
    <x v="13"/>
    <x v="13"/>
    <n v="249"/>
    <x v="34"/>
  </r>
  <r>
    <s v="200165-74"/>
    <x v="5"/>
    <x v="5"/>
    <s v="T"/>
    <x v="13"/>
    <x v="13"/>
    <n v="21"/>
    <x v="35"/>
  </r>
  <r>
    <s v="200175+"/>
    <x v="5"/>
    <x v="6"/>
    <s v="T"/>
    <x v="13"/>
    <x v="13"/>
    <n v="12"/>
    <x v="35"/>
  </r>
  <r>
    <s v="20020-4"/>
    <x v="6"/>
    <x v="0"/>
    <s v="T"/>
    <x v="13"/>
    <x v="13"/>
    <n v="28"/>
    <x v="36"/>
  </r>
  <r>
    <s v="20025-14"/>
    <x v="6"/>
    <x v="1"/>
    <s v="T"/>
    <x v="13"/>
    <x v="13"/>
    <n v="5"/>
    <x v="37"/>
  </r>
  <r>
    <s v="200215-24"/>
    <x v="6"/>
    <x v="2"/>
    <s v="T"/>
    <x v="13"/>
    <x v="13"/>
    <n v="108"/>
    <x v="38"/>
  </r>
  <r>
    <s v="200225-44"/>
    <x v="6"/>
    <x v="3"/>
    <s v="T"/>
    <x v="13"/>
    <x v="13"/>
    <n v="745"/>
    <x v="39"/>
  </r>
  <r>
    <s v="200245-64"/>
    <x v="6"/>
    <x v="4"/>
    <s v="T"/>
    <x v="13"/>
    <x v="13"/>
    <n v="252"/>
    <x v="40"/>
  </r>
  <r>
    <s v="200265-74"/>
    <x v="6"/>
    <x v="5"/>
    <s v="T"/>
    <x v="13"/>
    <x v="13"/>
    <n v="26"/>
    <x v="41"/>
  </r>
  <r>
    <s v="200275+"/>
    <x v="6"/>
    <x v="6"/>
    <s v="T"/>
    <x v="13"/>
    <x v="13"/>
    <n v="9"/>
    <x v="41"/>
  </r>
  <r>
    <s v="20030-4"/>
    <x v="7"/>
    <x v="0"/>
    <s v="T"/>
    <x v="13"/>
    <x v="13"/>
    <n v="40"/>
    <x v="42"/>
  </r>
  <r>
    <s v="20035-14"/>
    <x v="7"/>
    <x v="1"/>
    <s v="T"/>
    <x v="13"/>
    <x v="13"/>
    <n v="3"/>
    <x v="43"/>
  </r>
  <r>
    <s v="200315-24"/>
    <x v="7"/>
    <x v="2"/>
    <s v="T"/>
    <x v="13"/>
    <x v="13"/>
    <n v="97"/>
    <x v="44"/>
  </r>
  <r>
    <s v="200325-44"/>
    <x v="7"/>
    <x v="3"/>
    <s v="T"/>
    <x v="13"/>
    <x v="13"/>
    <n v="833"/>
    <x v="45"/>
  </r>
  <r>
    <s v="200345-64"/>
    <x v="7"/>
    <x v="4"/>
    <s v="T"/>
    <x v="13"/>
    <x v="13"/>
    <n v="268"/>
    <x v="46"/>
  </r>
  <r>
    <s v="200365-74"/>
    <x v="7"/>
    <x v="5"/>
    <s v="T"/>
    <x v="13"/>
    <x v="13"/>
    <n v="21"/>
    <x v="47"/>
  </r>
  <r>
    <s v="200375+"/>
    <x v="7"/>
    <x v="6"/>
    <s v="T"/>
    <x v="13"/>
    <x v="13"/>
    <n v="5"/>
    <x v="47"/>
  </r>
  <r>
    <s v="20040-4"/>
    <x v="8"/>
    <x v="0"/>
    <s v="T"/>
    <x v="13"/>
    <x v="13"/>
    <n v="23"/>
    <x v="48"/>
  </r>
  <r>
    <s v="20045-14"/>
    <x v="8"/>
    <x v="1"/>
    <s v="T"/>
    <x v="13"/>
    <x v="13"/>
    <n v="6"/>
    <x v="49"/>
  </r>
  <r>
    <s v="200415-24"/>
    <x v="8"/>
    <x v="2"/>
    <s v="T"/>
    <x v="13"/>
    <x v="13"/>
    <n v="116"/>
    <x v="50"/>
  </r>
  <r>
    <s v="200425-44"/>
    <x v="8"/>
    <x v="3"/>
    <s v="T"/>
    <x v="13"/>
    <x v="13"/>
    <n v="891"/>
    <x v="51"/>
  </r>
  <r>
    <s v="200445-64"/>
    <x v="8"/>
    <x v="4"/>
    <s v="T"/>
    <x v="13"/>
    <x v="13"/>
    <n v="324"/>
    <x v="52"/>
  </r>
  <r>
    <s v="200465-74"/>
    <x v="8"/>
    <x v="5"/>
    <s v="T"/>
    <x v="13"/>
    <x v="13"/>
    <n v="22"/>
    <x v="53"/>
  </r>
  <r>
    <s v="200475+"/>
    <x v="8"/>
    <x v="6"/>
    <s v="T"/>
    <x v="13"/>
    <x v="13"/>
    <n v="14"/>
    <x v="53"/>
  </r>
  <r>
    <s v="20050-4"/>
    <x v="9"/>
    <x v="0"/>
    <s v="T"/>
    <x v="13"/>
    <x v="13"/>
    <n v="25"/>
    <x v="54"/>
  </r>
  <r>
    <s v="20055-14"/>
    <x v="9"/>
    <x v="1"/>
    <s v="T"/>
    <x v="13"/>
    <x v="13"/>
    <n v="9"/>
    <x v="55"/>
  </r>
  <r>
    <s v="200515-24"/>
    <x v="9"/>
    <x v="2"/>
    <s v="T"/>
    <x v="13"/>
    <x v="13"/>
    <n v="104"/>
    <x v="56"/>
  </r>
  <r>
    <s v="200525-44"/>
    <x v="9"/>
    <x v="3"/>
    <s v="T"/>
    <x v="13"/>
    <x v="13"/>
    <n v="980"/>
    <x v="57"/>
  </r>
  <r>
    <s v="200545-64"/>
    <x v="9"/>
    <x v="4"/>
    <s v="T"/>
    <x v="13"/>
    <x v="13"/>
    <n v="324"/>
    <x v="58"/>
  </r>
  <r>
    <s v="200565-74"/>
    <x v="9"/>
    <x v="5"/>
    <s v="T"/>
    <x v="13"/>
    <x v="13"/>
    <n v="28"/>
    <x v="59"/>
  </r>
  <r>
    <s v="200575+"/>
    <x v="9"/>
    <x v="6"/>
    <s v="T"/>
    <x v="13"/>
    <x v="13"/>
    <n v="8"/>
    <x v="59"/>
  </r>
  <r>
    <s v="20060-4"/>
    <x v="10"/>
    <x v="0"/>
    <s v="T"/>
    <x v="13"/>
    <x v="13"/>
    <n v="34"/>
    <x v="60"/>
  </r>
  <r>
    <s v="20065-14"/>
    <x v="10"/>
    <x v="1"/>
    <s v="T"/>
    <x v="13"/>
    <x v="13"/>
    <n v="6"/>
    <x v="61"/>
  </r>
  <r>
    <s v="200615-24"/>
    <x v="10"/>
    <x v="2"/>
    <s v="T"/>
    <x v="13"/>
    <x v="13"/>
    <n v="97"/>
    <x v="62"/>
  </r>
  <r>
    <s v="200625-44"/>
    <x v="10"/>
    <x v="3"/>
    <s v="T"/>
    <x v="13"/>
    <x v="13"/>
    <n v="995"/>
    <x v="63"/>
  </r>
  <r>
    <s v="200645-64"/>
    <x v="10"/>
    <x v="4"/>
    <s v="T"/>
    <x v="13"/>
    <x v="13"/>
    <n v="384"/>
    <x v="64"/>
  </r>
  <r>
    <s v="200665-74"/>
    <x v="10"/>
    <x v="5"/>
    <s v="T"/>
    <x v="13"/>
    <x v="13"/>
    <n v="35"/>
    <x v="65"/>
  </r>
  <r>
    <s v="200675+"/>
    <x v="10"/>
    <x v="6"/>
    <s v="T"/>
    <x v="13"/>
    <x v="13"/>
    <n v="16"/>
    <x v="65"/>
  </r>
  <r>
    <s v="20070-4"/>
    <x v="11"/>
    <x v="0"/>
    <s v="T"/>
    <x v="13"/>
    <x v="13"/>
    <n v="25"/>
    <x v="66"/>
  </r>
  <r>
    <s v="20075-14"/>
    <x v="11"/>
    <x v="1"/>
    <s v="T"/>
    <x v="13"/>
    <x v="13"/>
    <n v="11"/>
    <x v="67"/>
  </r>
  <r>
    <s v="200715-24"/>
    <x v="11"/>
    <x v="2"/>
    <s v="T"/>
    <x v="13"/>
    <x v="13"/>
    <n v="129"/>
    <x v="68"/>
  </r>
  <r>
    <s v="200725-44"/>
    <x v="11"/>
    <x v="3"/>
    <s v="T"/>
    <x v="13"/>
    <x v="13"/>
    <n v="1056"/>
    <x v="69"/>
  </r>
  <r>
    <s v="200745-64"/>
    <x v="11"/>
    <x v="4"/>
    <s v="T"/>
    <x v="13"/>
    <x v="13"/>
    <n v="402"/>
    <x v="70"/>
  </r>
  <r>
    <s v="200765-74"/>
    <x v="11"/>
    <x v="5"/>
    <s v="T"/>
    <x v="13"/>
    <x v="13"/>
    <n v="27"/>
    <x v="71"/>
  </r>
  <r>
    <s v="200775+"/>
    <x v="11"/>
    <x v="6"/>
    <s v="T"/>
    <x v="13"/>
    <x v="13"/>
    <n v="20"/>
    <x v="71"/>
  </r>
  <r>
    <s v="20080-4"/>
    <x v="12"/>
    <x v="0"/>
    <s v="T"/>
    <x v="13"/>
    <x v="13"/>
    <n v="23"/>
    <x v="72"/>
  </r>
  <r>
    <s v="20085-14"/>
    <x v="12"/>
    <x v="1"/>
    <s v="T"/>
    <x v="13"/>
    <x v="13"/>
    <n v="12"/>
    <x v="73"/>
  </r>
  <r>
    <s v="200815-24"/>
    <x v="12"/>
    <x v="2"/>
    <s v="T"/>
    <x v="13"/>
    <x v="13"/>
    <n v="104"/>
    <x v="74"/>
  </r>
  <r>
    <s v="200825-44"/>
    <x v="12"/>
    <x v="3"/>
    <s v="T"/>
    <x v="13"/>
    <x v="13"/>
    <n v="1014"/>
    <x v="75"/>
  </r>
  <r>
    <s v="200845-64"/>
    <x v="12"/>
    <x v="4"/>
    <s v="T"/>
    <x v="13"/>
    <x v="13"/>
    <n v="413"/>
    <x v="76"/>
  </r>
  <r>
    <s v="200865-74"/>
    <x v="12"/>
    <x v="5"/>
    <s v="T"/>
    <x v="13"/>
    <x v="13"/>
    <n v="49"/>
    <x v="77"/>
  </r>
  <r>
    <s v="200875+"/>
    <x v="12"/>
    <x v="6"/>
    <s v="T"/>
    <x v="13"/>
    <x v="13"/>
    <n v="17"/>
    <x v="77"/>
  </r>
  <r>
    <s v="20090-4"/>
    <x v="13"/>
    <x v="0"/>
    <s v="T"/>
    <x v="13"/>
    <x v="13"/>
    <n v="35"/>
    <x v="78"/>
  </r>
  <r>
    <s v="20095-14"/>
    <x v="13"/>
    <x v="1"/>
    <s v="T"/>
    <x v="13"/>
    <x v="13"/>
    <n v="5"/>
    <x v="79"/>
  </r>
  <r>
    <s v="200915-24"/>
    <x v="13"/>
    <x v="2"/>
    <s v="T"/>
    <x v="13"/>
    <x v="13"/>
    <n v="122"/>
    <x v="80"/>
  </r>
  <r>
    <s v="200925-44"/>
    <x v="13"/>
    <x v="3"/>
    <s v="T"/>
    <x v="13"/>
    <x v="13"/>
    <n v="1054"/>
    <x v="81"/>
  </r>
  <r>
    <s v="200945-64"/>
    <x v="13"/>
    <x v="4"/>
    <s v="T"/>
    <x v="13"/>
    <x v="13"/>
    <n v="467"/>
    <x v="82"/>
  </r>
  <r>
    <s v="200965-74"/>
    <x v="13"/>
    <x v="5"/>
    <s v="T"/>
    <x v="13"/>
    <x v="13"/>
    <n v="37"/>
    <x v="83"/>
  </r>
  <r>
    <s v="200975+"/>
    <x v="13"/>
    <x v="6"/>
    <s v="T"/>
    <x v="13"/>
    <x v="13"/>
    <n v="15"/>
    <x v="83"/>
  </r>
  <r>
    <s v="20100-4"/>
    <x v="14"/>
    <x v="0"/>
    <s v="T"/>
    <x v="13"/>
    <x v="13"/>
    <n v="32"/>
    <x v="84"/>
  </r>
  <r>
    <s v="20105-14"/>
    <x v="14"/>
    <x v="1"/>
    <s v="T"/>
    <x v="13"/>
    <x v="13"/>
    <n v="7"/>
    <x v="85"/>
  </r>
  <r>
    <s v="201015-24"/>
    <x v="14"/>
    <x v="2"/>
    <s v="T"/>
    <x v="13"/>
    <x v="13"/>
    <n v="131"/>
    <x v="86"/>
  </r>
  <r>
    <s v="201025-44"/>
    <x v="14"/>
    <x v="3"/>
    <s v="T"/>
    <x v="13"/>
    <x v="13"/>
    <n v="1086"/>
    <x v="87"/>
  </r>
  <r>
    <s v="201045-64"/>
    <x v="14"/>
    <x v="4"/>
    <s v="T"/>
    <x v="13"/>
    <x v="13"/>
    <n v="521"/>
    <x v="88"/>
  </r>
  <r>
    <s v="201065-74"/>
    <x v="14"/>
    <x v="5"/>
    <s v="T"/>
    <x v="13"/>
    <x v="13"/>
    <n v="38"/>
    <x v="89"/>
  </r>
  <r>
    <s v="201075+"/>
    <x v="14"/>
    <x v="6"/>
    <s v="T"/>
    <x v="13"/>
    <x v="13"/>
    <n v="15"/>
    <x v="89"/>
  </r>
  <r>
    <s v="20110-4"/>
    <x v="15"/>
    <x v="0"/>
    <s v="T"/>
    <x v="13"/>
    <x v="13"/>
    <n v="26"/>
    <x v="90"/>
  </r>
  <r>
    <s v="20115-14"/>
    <x v="15"/>
    <x v="1"/>
    <s v="T"/>
    <x v="13"/>
    <x v="13"/>
    <n v="18"/>
    <x v="91"/>
  </r>
  <r>
    <s v="201115-24"/>
    <x v="15"/>
    <x v="2"/>
    <s v="T"/>
    <x v="13"/>
    <x v="13"/>
    <n v="160"/>
    <x v="92"/>
  </r>
  <r>
    <s v="201125-44"/>
    <x v="15"/>
    <x v="3"/>
    <s v="T"/>
    <x v="13"/>
    <x v="13"/>
    <n v="1295"/>
    <x v="93"/>
  </r>
  <r>
    <s v="201145-64"/>
    <x v="15"/>
    <x v="4"/>
    <s v="T"/>
    <x v="13"/>
    <x v="13"/>
    <n v="589"/>
    <x v="94"/>
  </r>
  <r>
    <s v="201165-74"/>
    <x v="15"/>
    <x v="5"/>
    <s v="T"/>
    <x v="13"/>
    <x v="13"/>
    <n v="62"/>
    <x v="95"/>
  </r>
  <r>
    <s v="201175+"/>
    <x v="15"/>
    <x v="6"/>
    <s v="T"/>
    <x v="13"/>
    <x v="13"/>
    <n v="16"/>
    <x v="95"/>
  </r>
  <r>
    <s v="20120-4"/>
    <x v="16"/>
    <x v="0"/>
    <s v="T"/>
    <x v="13"/>
    <x v="13"/>
    <n v="34"/>
    <x v="96"/>
  </r>
  <r>
    <s v="20125-14"/>
    <x v="16"/>
    <x v="1"/>
    <s v="T"/>
    <x v="13"/>
    <x v="13"/>
    <n v="11"/>
    <x v="97"/>
  </r>
  <r>
    <s v="201215-24"/>
    <x v="16"/>
    <x v="2"/>
    <s v="T"/>
    <x v="13"/>
    <x v="13"/>
    <n v="151"/>
    <x v="98"/>
  </r>
  <r>
    <s v="201225-44"/>
    <x v="16"/>
    <x v="3"/>
    <s v="T"/>
    <x v="13"/>
    <x v="13"/>
    <n v="1305"/>
    <x v="99"/>
  </r>
  <r>
    <s v="201245-64"/>
    <x v="16"/>
    <x v="4"/>
    <s v="T"/>
    <x v="13"/>
    <x v="13"/>
    <n v="579"/>
    <x v="100"/>
  </r>
  <r>
    <s v="201265-74"/>
    <x v="16"/>
    <x v="5"/>
    <s v="T"/>
    <x v="13"/>
    <x v="13"/>
    <n v="46"/>
    <x v="101"/>
  </r>
  <r>
    <s v="201275+"/>
    <x v="16"/>
    <x v="6"/>
    <s v="T"/>
    <x v="13"/>
    <x v="13"/>
    <n v="35"/>
    <x v="101"/>
  </r>
  <r>
    <s v="20130-4"/>
    <x v="17"/>
    <x v="0"/>
    <s v="T"/>
    <x v="13"/>
    <x v="13"/>
    <n v="31"/>
    <x v="102"/>
  </r>
  <r>
    <s v="20135-14"/>
    <x v="17"/>
    <x v="1"/>
    <s v="T"/>
    <x v="13"/>
    <x v="13"/>
    <n v="11"/>
    <x v="103"/>
  </r>
  <r>
    <s v="201315-24"/>
    <x v="17"/>
    <x v="2"/>
    <s v="T"/>
    <x v="13"/>
    <x v="13"/>
    <n v="147"/>
    <x v="104"/>
  </r>
  <r>
    <s v="201325-44"/>
    <x v="17"/>
    <x v="3"/>
    <s v="T"/>
    <x v="13"/>
    <x v="13"/>
    <n v="1165"/>
    <x v="105"/>
  </r>
  <r>
    <s v="201345-64"/>
    <x v="17"/>
    <x v="4"/>
    <s v="T"/>
    <x v="13"/>
    <x v="13"/>
    <n v="627"/>
    <x v="106"/>
  </r>
  <r>
    <s v="201365-74"/>
    <x v="17"/>
    <x v="5"/>
    <s v="T"/>
    <x v="13"/>
    <x v="13"/>
    <n v="48"/>
    <x v="107"/>
  </r>
  <r>
    <s v="201375+"/>
    <x v="17"/>
    <x v="6"/>
    <s v="T"/>
    <x v="13"/>
    <x v="13"/>
    <n v="25"/>
    <x v="107"/>
  </r>
  <r>
    <s v="20140-4"/>
    <x v="18"/>
    <x v="0"/>
    <s v="T"/>
    <x v="13"/>
    <x v="13"/>
    <n v="34"/>
    <x v="108"/>
  </r>
  <r>
    <s v="20145-14"/>
    <x v="18"/>
    <x v="1"/>
    <s v="T"/>
    <x v="13"/>
    <x v="13"/>
    <n v="11"/>
    <x v="109"/>
  </r>
  <r>
    <s v="201415-24"/>
    <x v="18"/>
    <x v="2"/>
    <s v="T"/>
    <x v="13"/>
    <x v="13"/>
    <n v="178"/>
    <x v="110"/>
  </r>
  <r>
    <s v="201425-44"/>
    <x v="18"/>
    <x v="3"/>
    <s v="T"/>
    <x v="13"/>
    <x v="13"/>
    <n v="1287"/>
    <x v="111"/>
  </r>
  <r>
    <s v="201445-64"/>
    <x v="18"/>
    <x v="4"/>
    <s v="T"/>
    <x v="13"/>
    <x v="13"/>
    <n v="646"/>
    <x v="112"/>
  </r>
  <r>
    <s v="201465-74"/>
    <x v="18"/>
    <x v="5"/>
    <s v="T"/>
    <x v="13"/>
    <x v="13"/>
    <n v="41"/>
    <x v="113"/>
  </r>
  <r>
    <s v="201475+"/>
    <x v="18"/>
    <x v="6"/>
    <s v="T"/>
    <x v="13"/>
    <x v="13"/>
    <n v="21"/>
    <x v="113"/>
  </r>
  <r>
    <s v="19960-4"/>
    <x v="0"/>
    <x v="0"/>
    <s v="T"/>
    <x v="14"/>
    <x v="14"/>
    <n v="29"/>
    <x v="0"/>
  </r>
  <r>
    <s v="19965-14"/>
    <x v="0"/>
    <x v="1"/>
    <s v="T"/>
    <x v="14"/>
    <x v="14"/>
    <n v="34"/>
    <x v="1"/>
  </r>
  <r>
    <s v="199615-24"/>
    <x v="0"/>
    <x v="2"/>
    <s v="T"/>
    <x v="14"/>
    <x v="14"/>
    <n v="27"/>
    <x v="2"/>
  </r>
  <r>
    <s v="199625-44"/>
    <x v="0"/>
    <x v="3"/>
    <s v="T"/>
    <x v="14"/>
    <x v="14"/>
    <n v="111"/>
    <x v="3"/>
  </r>
  <r>
    <s v="199645-64"/>
    <x v="0"/>
    <x v="4"/>
    <s v="T"/>
    <x v="14"/>
    <x v="14"/>
    <n v="206"/>
    <x v="4"/>
  </r>
  <r>
    <s v="199665-74"/>
    <x v="0"/>
    <x v="5"/>
    <s v="T"/>
    <x v="14"/>
    <x v="14"/>
    <n v="161"/>
    <x v="5"/>
  </r>
  <r>
    <s v="199675+"/>
    <x v="0"/>
    <x v="6"/>
    <s v="T"/>
    <x v="14"/>
    <x v="14"/>
    <n v="178"/>
    <x v="5"/>
  </r>
  <r>
    <s v="19970-4"/>
    <x v="1"/>
    <x v="0"/>
    <s v="T"/>
    <x v="14"/>
    <x v="14"/>
    <n v="32"/>
    <x v="6"/>
  </r>
  <r>
    <s v="19975-14"/>
    <x v="1"/>
    <x v="1"/>
    <s v="T"/>
    <x v="14"/>
    <x v="14"/>
    <n v="33"/>
    <x v="7"/>
  </r>
  <r>
    <s v="199715-24"/>
    <x v="1"/>
    <x v="2"/>
    <s v="T"/>
    <x v="14"/>
    <x v="14"/>
    <n v="31"/>
    <x v="8"/>
  </r>
  <r>
    <s v="199725-44"/>
    <x v="1"/>
    <x v="3"/>
    <s v="T"/>
    <x v="14"/>
    <x v="14"/>
    <n v="116"/>
    <x v="9"/>
  </r>
  <r>
    <s v="199745-64"/>
    <x v="1"/>
    <x v="4"/>
    <s v="T"/>
    <x v="14"/>
    <x v="14"/>
    <n v="234"/>
    <x v="10"/>
  </r>
  <r>
    <s v="199765-74"/>
    <x v="1"/>
    <x v="5"/>
    <s v="T"/>
    <x v="14"/>
    <x v="14"/>
    <n v="163"/>
    <x v="11"/>
  </r>
  <r>
    <s v="199775+"/>
    <x v="1"/>
    <x v="6"/>
    <s v="T"/>
    <x v="14"/>
    <x v="14"/>
    <n v="167"/>
    <x v="11"/>
  </r>
  <r>
    <s v="19980-4"/>
    <x v="2"/>
    <x v="0"/>
    <s v="T"/>
    <x v="14"/>
    <x v="14"/>
    <n v="34"/>
    <x v="12"/>
  </r>
  <r>
    <s v="19985-14"/>
    <x v="2"/>
    <x v="1"/>
    <s v="T"/>
    <x v="14"/>
    <x v="14"/>
    <n v="38"/>
    <x v="13"/>
  </r>
  <r>
    <s v="199815-24"/>
    <x v="2"/>
    <x v="2"/>
    <s v="T"/>
    <x v="14"/>
    <x v="14"/>
    <n v="42"/>
    <x v="14"/>
  </r>
  <r>
    <s v="199825-44"/>
    <x v="2"/>
    <x v="3"/>
    <s v="T"/>
    <x v="14"/>
    <x v="14"/>
    <n v="122"/>
    <x v="15"/>
  </r>
  <r>
    <s v="199845-64"/>
    <x v="2"/>
    <x v="4"/>
    <s v="T"/>
    <x v="14"/>
    <x v="14"/>
    <n v="234"/>
    <x v="16"/>
  </r>
  <r>
    <s v="199865-74"/>
    <x v="2"/>
    <x v="5"/>
    <s v="T"/>
    <x v="14"/>
    <x v="14"/>
    <n v="196"/>
    <x v="17"/>
  </r>
  <r>
    <s v="199875+"/>
    <x v="2"/>
    <x v="6"/>
    <s v="T"/>
    <x v="14"/>
    <x v="14"/>
    <n v="211"/>
    <x v="17"/>
  </r>
  <r>
    <s v="19990-4"/>
    <x v="3"/>
    <x v="0"/>
    <s v="T"/>
    <x v="14"/>
    <x v="14"/>
    <n v="36"/>
    <x v="18"/>
  </r>
  <r>
    <s v="19995-14"/>
    <x v="3"/>
    <x v="1"/>
    <s v="T"/>
    <x v="14"/>
    <x v="14"/>
    <n v="32"/>
    <x v="19"/>
  </r>
  <r>
    <s v="199915-24"/>
    <x v="3"/>
    <x v="2"/>
    <s v="T"/>
    <x v="14"/>
    <x v="14"/>
    <n v="32"/>
    <x v="20"/>
  </r>
  <r>
    <s v="199925-44"/>
    <x v="3"/>
    <x v="3"/>
    <s v="T"/>
    <x v="14"/>
    <x v="14"/>
    <n v="115"/>
    <x v="21"/>
  </r>
  <r>
    <s v="199945-64"/>
    <x v="3"/>
    <x v="4"/>
    <s v="T"/>
    <x v="14"/>
    <x v="14"/>
    <n v="269"/>
    <x v="22"/>
  </r>
  <r>
    <s v="199965-74"/>
    <x v="3"/>
    <x v="5"/>
    <s v="T"/>
    <x v="14"/>
    <x v="14"/>
    <n v="181"/>
    <x v="23"/>
  </r>
  <r>
    <s v="199975+"/>
    <x v="3"/>
    <x v="6"/>
    <s v="T"/>
    <x v="14"/>
    <x v="14"/>
    <n v="214"/>
    <x v="23"/>
  </r>
  <r>
    <s v="20000-4"/>
    <x v="4"/>
    <x v="0"/>
    <s v="T"/>
    <x v="14"/>
    <x v="14"/>
    <n v="37"/>
    <x v="24"/>
  </r>
  <r>
    <s v="20005-14"/>
    <x v="4"/>
    <x v="1"/>
    <s v="T"/>
    <x v="14"/>
    <x v="14"/>
    <n v="42"/>
    <x v="25"/>
  </r>
  <r>
    <s v="200015-24"/>
    <x v="4"/>
    <x v="2"/>
    <s v="T"/>
    <x v="14"/>
    <x v="14"/>
    <n v="44"/>
    <x v="26"/>
  </r>
  <r>
    <s v="200025-44"/>
    <x v="4"/>
    <x v="3"/>
    <s v="T"/>
    <x v="14"/>
    <x v="14"/>
    <n v="124"/>
    <x v="27"/>
  </r>
  <r>
    <s v="200045-64"/>
    <x v="4"/>
    <x v="4"/>
    <s v="T"/>
    <x v="14"/>
    <x v="14"/>
    <n v="264"/>
    <x v="28"/>
  </r>
  <r>
    <s v="200065-74"/>
    <x v="4"/>
    <x v="5"/>
    <s v="T"/>
    <x v="14"/>
    <x v="14"/>
    <n v="222"/>
    <x v="29"/>
  </r>
  <r>
    <s v="200075+"/>
    <x v="4"/>
    <x v="6"/>
    <s v="T"/>
    <x v="14"/>
    <x v="14"/>
    <n v="266"/>
    <x v="29"/>
  </r>
  <r>
    <s v="20010-4"/>
    <x v="5"/>
    <x v="0"/>
    <s v="T"/>
    <x v="14"/>
    <x v="14"/>
    <n v="26"/>
    <x v="30"/>
  </r>
  <r>
    <s v="20015-14"/>
    <x v="5"/>
    <x v="1"/>
    <s v="T"/>
    <x v="14"/>
    <x v="14"/>
    <n v="53"/>
    <x v="31"/>
  </r>
  <r>
    <s v="200115-24"/>
    <x v="5"/>
    <x v="2"/>
    <s v="T"/>
    <x v="14"/>
    <x v="14"/>
    <n v="38"/>
    <x v="32"/>
  </r>
  <r>
    <s v="200125-44"/>
    <x v="5"/>
    <x v="3"/>
    <s v="T"/>
    <x v="14"/>
    <x v="14"/>
    <n v="153"/>
    <x v="33"/>
  </r>
  <r>
    <s v="200145-64"/>
    <x v="5"/>
    <x v="4"/>
    <s v="T"/>
    <x v="14"/>
    <x v="14"/>
    <n v="341"/>
    <x v="34"/>
  </r>
  <r>
    <s v="200165-74"/>
    <x v="5"/>
    <x v="5"/>
    <s v="T"/>
    <x v="14"/>
    <x v="14"/>
    <n v="227"/>
    <x v="35"/>
  </r>
  <r>
    <s v="200175+"/>
    <x v="5"/>
    <x v="6"/>
    <s v="T"/>
    <x v="14"/>
    <x v="14"/>
    <n v="276"/>
    <x v="35"/>
  </r>
  <r>
    <s v="20020-4"/>
    <x v="6"/>
    <x v="0"/>
    <s v="T"/>
    <x v="14"/>
    <x v="14"/>
    <n v="34"/>
    <x v="36"/>
  </r>
  <r>
    <s v="20025-14"/>
    <x v="6"/>
    <x v="1"/>
    <s v="T"/>
    <x v="14"/>
    <x v="14"/>
    <n v="54"/>
    <x v="37"/>
  </r>
  <r>
    <s v="200215-24"/>
    <x v="6"/>
    <x v="2"/>
    <s v="T"/>
    <x v="14"/>
    <x v="14"/>
    <n v="40"/>
    <x v="38"/>
  </r>
  <r>
    <s v="200225-44"/>
    <x v="6"/>
    <x v="3"/>
    <s v="T"/>
    <x v="14"/>
    <x v="14"/>
    <n v="151"/>
    <x v="39"/>
  </r>
  <r>
    <s v="200245-64"/>
    <x v="6"/>
    <x v="4"/>
    <s v="T"/>
    <x v="14"/>
    <x v="14"/>
    <n v="315"/>
    <x v="40"/>
  </r>
  <r>
    <s v="200265-74"/>
    <x v="6"/>
    <x v="5"/>
    <s v="T"/>
    <x v="14"/>
    <x v="14"/>
    <n v="207"/>
    <x v="41"/>
  </r>
  <r>
    <s v="200275+"/>
    <x v="6"/>
    <x v="6"/>
    <s v="T"/>
    <x v="14"/>
    <x v="14"/>
    <n v="258"/>
    <x v="41"/>
  </r>
  <r>
    <s v="20030-4"/>
    <x v="7"/>
    <x v="0"/>
    <s v="T"/>
    <x v="14"/>
    <x v="14"/>
    <n v="30"/>
    <x v="42"/>
  </r>
  <r>
    <s v="20035-14"/>
    <x v="7"/>
    <x v="1"/>
    <s v="T"/>
    <x v="14"/>
    <x v="14"/>
    <n v="48"/>
    <x v="43"/>
  </r>
  <r>
    <s v="200315-24"/>
    <x v="7"/>
    <x v="2"/>
    <s v="T"/>
    <x v="14"/>
    <x v="14"/>
    <n v="28"/>
    <x v="44"/>
  </r>
  <r>
    <s v="200325-44"/>
    <x v="7"/>
    <x v="3"/>
    <s v="T"/>
    <x v="14"/>
    <x v="14"/>
    <n v="175"/>
    <x v="45"/>
  </r>
  <r>
    <s v="200345-64"/>
    <x v="7"/>
    <x v="4"/>
    <s v="T"/>
    <x v="14"/>
    <x v="14"/>
    <n v="343"/>
    <x v="46"/>
  </r>
  <r>
    <s v="200365-74"/>
    <x v="7"/>
    <x v="5"/>
    <s v="T"/>
    <x v="14"/>
    <x v="14"/>
    <n v="239"/>
    <x v="47"/>
  </r>
  <r>
    <s v="200375+"/>
    <x v="7"/>
    <x v="6"/>
    <s v="T"/>
    <x v="14"/>
    <x v="14"/>
    <n v="288"/>
    <x v="47"/>
  </r>
  <r>
    <s v="20040-4"/>
    <x v="8"/>
    <x v="0"/>
    <s v="T"/>
    <x v="14"/>
    <x v="14"/>
    <n v="33"/>
    <x v="48"/>
  </r>
  <r>
    <s v="20045-14"/>
    <x v="8"/>
    <x v="1"/>
    <s v="T"/>
    <x v="14"/>
    <x v="14"/>
    <n v="34"/>
    <x v="49"/>
  </r>
  <r>
    <s v="200415-24"/>
    <x v="8"/>
    <x v="2"/>
    <s v="T"/>
    <x v="14"/>
    <x v="14"/>
    <n v="36"/>
    <x v="50"/>
  </r>
  <r>
    <s v="200425-44"/>
    <x v="8"/>
    <x v="3"/>
    <s v="T"/>
    <x v="14"/>
    <x v="14"/>
    <n v="157"/>
    <x v="51"/>
  </r>
  <r>
    <s v="200445-64"/>
    <x v="8"/>
    <x v="4"/>
    <s v="T"/>
    <x v="14"/>
    <x v="14"/>
    <n v="390"/>
    <x v="52"/>
  </r>
  <r>
    <s v="200465-74"/>
    <x v="8"/>
    <x v="5"/>
    <s v="T"/>
    <x v="14"/>
    <x v="14"/>
    <n v="243"/>
    <x v="53"/>
  </r>
  <r>
    <s v="200475+"/>
    <x v="8"/>
    <x v="6"/>
    <s v="T"/>
    <x v="14"/>
    <x v="14"/>
    <n v="351"/>
    <x v="53"/>
  </r>
  <r>
    <s v="20050-4"/>
    <x v="9"/>
    <x v="0"/>
    <s v="T"/>
    <x v="14"/>
    <x v="14"/>
    <n v="42"/>
    <x v="54"/>
  </r>
  <r>
    <s v="20055-14"/>
    <x v="9"/>
    <x v="1"/>
    <s v="T"/>
    <x v="14"/>
    <x v="14"/>
    <n v="55"/>
    <x v="55"/>
  </r>
  <r>
    <s v="200515-24"/>
    <x v="9"/>
    <x v="2"/>
    <s v="T"/>
    <x v="14"/>
    <x v="14"/>
    <n v="53"/>
    <x v="56"/>
  </r>
  <r>
    <s v="200525-44"/>
    <x v="9"/>
    <x v="3"/>
    <s v="T"/>
    <x v="14"/>
    <x v="14"/>
    <n v="175"/>
    <x v="57"/>
  </r>
  <r>
    <s v="200545-64"/>
    <x v="9"/>
    <x v="4"/>
    <s v="T"/>
    <x v="14"/>
    <x v="14"/>
    <n v="471"/>
    <x v="58"/>
  </r>
  <r>
    <s v="200565-74"/>
    <x v="9"/>
    <x v="5"/>
    <s v="T"/>
    <x v="14"/>
    <x v="14"/>
    <n v="262"/>
    <x v="59"/>
  </r>
  <r>
    <s v="200575+"/>
    <x v="9"/>
    <x v="6"/>
    <s v="T"/>
    <x v="14"/>
    <x v="14"/>
    <n v="346"/>
    <x v="59"/>
  </r>
  <r>
    <s v="20060-4"/>
    <x v="10"/>
    <x v="0"/>
    <s v="T"/>
    <x v="14"/>
    <x v="14"/>
    <n v="33"/>
    <x v="60"/>
  </r>
  <r>
    <s v="20065-14"/>
    <x v="10"/>
    <x v="1"/>
    <s v="T"/>
    <x v="14"/>
    <x v="14"/>
    <n v="36"/>
    <x v="61"/>
  </r>
  <r>
    <s v="200615-24"/>
    <x v="10"/>
    <x v="2"/>
    <s v="T"/>
    <x v="14"/>
    <x v="14"/>
    <n v="39"/>
    <x v="62"/>
  </r>
  <r>
    <s v="200625-44"/>
    <x v="10"/>
    <x v="3"/>
    <s v="T"/>
    <x v="14"/>
    <x v="14"/>
    <n v="172"/>
    <x v="63"/>
  </r>
  <r>
    <s v="200645-64"/>
    <x v="10"/>
    <x v="4"/>
    <s v="T"/>
    <x v="14"/>
    <x v="14"/>
    <n v="480"/>
    <x v="64"/>
  </r>
  <r>
    <s v="200665-74"/>
    <x v="10"/>
    <x v="5"/>
    <s v="T"/>
    <x v="14"/>
    <x v="14"/>
    <n v="323"/>
    <x v="65"/>
  </r>
  <r>
    <s v="200675+"/>
    <x v="10"/>
    <x v="6"/>
    <s v="T"/>
    <x v="14"/>
    <x v="14"/>
    <n v="436"/>
    <x v="65"/>
  </r>
  <r>
    <s v="20070-4"/>
    <x v="11"/>
    <x v="0"/>
    <s v="T"/>
    <x v="14"/>
    <x v="14"/>
    <n v="37"/>
    <x v="66"/>
  </r>
  <r>
    <s v="20075-14"/>
    <x v="11"/>
    <x v="1"/>
    <s v="T"/>
    <x v="14"/>
    <x v="14"/>
    <n v="42"/>
    <x v="67"/>
  </r>
  <r>
    <s v="200715-24"/>
    <x v="11"/>
    <x v="2"/>
    <s v="T"/>
    <x v="14"/>
    <x v="14"/>
    <n v="47"/>
    <x v="68"/>
  </r>
  <r>
    <s v="200725-44"/>
    <x v="11"/>
    <x v="3"/>
    <s v="T"/>
    <x v="14"/>
    <x v="14"/>
    <n v="186"/>
    <x v="69"/>
  </r>
  <r>
    <s v="200745-64"/>
    <x v="11"/>
    <x v="4"/>
    <s v="T"/>
    <x v="14"/>
    <x v="14"/>
    <n v="482"/>
    <x v="70"/>
  </r>
  <r>
    <s v="200765-74"/>
    <x v="11"/>
    <x v="5"/>
    <s v="T"/>
    <x v="14"/>
    <x v="14"/>
    <n v="343"/>
    <x v="71"/>
  </r>
  <r>
    <s v="200775+"/>
    <x v="11"/>
    <x v="6"/>
    <s v="T"/>
    <x v="14"/>
    <x v="14"/>
    <n v="448"/>
    <x v="71"/>
  </r>
  <r>
    <s v="20080-4"/>
    <x v="12"/>
    <x v="0"/>
    <s v="T"/>
    <x v="14"/>
    <x v="14"/>
    <n v="41"/>
    <x v="72"/>
  </r>
  <r>
    <s v="20085-14"/>
    <x v="12"/>
    <x v="1"/>
    <s v="T"/>
    <x v="14"/>
    <x v="14"/>
    <n v="39"/>
    <x v="73"/>
  </r>
  <r>
    <s v="200815-24"/>
    <x v="12"/>
    <x v="2"/>
    <s v="T"/>
    <x v="14"/>
    <x v="14"/>
    <n v="50"/>
    <x v="74"/>
  </r>
  <r>
    <s v="200825-44"/>
    <x v="12"/>
    <x v="3"/>
    <s v="T"/>
    <x v="14"/>
    <x v="14"/>
    <n v="159"/>
    <x v="75"/>
  </r>
  <r>
    <s v="200845-64"/>
    <x v="12"/>
    <x v="4"/>
    <s v="T"/>
    <x v="14"/>
    <x v="14"/>
    <n v="539"/>
    <x v="76"/>
  </r>
  <r>
    <s v="200865-74"/>
    <x v="12"/>
    <x v="5"/>
    <s v="T"/>
    <x v="14"/>
    <x v="14"/>
    <n v="399"/>
    <x v="77"/>
  </r>
  <r>
    <s v="200875+"/>
    <x v="12"/>
    <x v="6"/>
    <s v="T"/>
    <x v="14"/>
    <x v="14"/>
    <n v="487"/>
    <x v="77"/>
  </r>
  <r>
    <s v="20090-4"/>
    <x v="13"/>
    <x v="0"/>
    <s v="T"/>
    <x v="14"/>
    <x v="14"/>
    <n v="38"/>
    <x v="78"/>
  </r>
  <r>
    <s v="20095-14"/>
    <x v="13"/>
    <x v="1"/>
    <s v="T"/>
    <x v="14"/>
    <x v="14"/>
    <n v="48"/>
    <x v="79"/>
  </r>
  <r>
    <s v="200915-24"/>
    <x v="13"/>
    <x v="2"/>
    <s v="T"/>
    <x v="14"/>
    <x v="14"/>
    <n v="64"/>
    <x v="80"/>
  </r>
  <r>
    <s v="200925-44"/>
    <x v="13"/>
    <x v="3"/>
    <s v="T"/>
    <x v="14"/>
    <x v="14"/>
    <n v="176"/>
    <x v="81"/>
  </r>
  <r>
    <s v="200945-64"/>
    <x v="13"/>
    <x v="4"/>
    <s v="T"/>
    <x v="14"/>
    <x v="14"/>
    <n v="605"/>
    <x v="82"/>
  </r>
  <r>
    <s v="200965-74"/>
    <x v="13"/>
    <x v="5"/>
    <s v="T"/>
    <x v="14"/>
    <x v="14"/>
    <n v="382"/>
    <x v="83"/>
  </r>
  <r>
    <s v="200975+"/>
    <x v="13"/>
    <x v="6"/>
    <s v="T"/>
    <x v="14"/>
    <x v="14"/>
    <n v="497"/>
    <x v="83"/>
  </r>
  <r>
    <s v="20100-4"/>
    <x v="14"/>
    <x v="0"/>
    <s v="T"/>
    <x v="14"/>
    <x v="14"/>
    <n v="38"/>
    <x v="84"/>
  </r>
  <r>
    <s v="20105-14"/>
    <x v="14"/>
    <x v="1"/>
    <s v="T"/>
    <x v="14"/>
    <x v="14"/>
    <n v="36"/>
    <x v="85"/>
  </r>
  <r>
    <s v="201015-24"/>
    <x v="14"/>
    <x v="2"/>
    <s v="T"/>
    <x v="14"/>
    <x v="14"/>
    <n v="60"/>
    <x v="86"/>
  </r>
  <r>
    <s v="201025-44"/>
    <x v="14"/>
    <x v="3"/>
    <s v="T"/>
    <x v="14"/>
    <x v="14"/>
    <n v="197"/>
    <x v="87"/>
  </r>
  <r>
    <s v="201045-64"/>
    <x v="14"/>
    <x v="4"/>
    <s v="T"/>
    <x v="14"/>
    <x v="14"/>
    <n v="674"/>
    <x v="88"/>
  </r>
  <r>
    <s v="201065-74"/>
    <x v="14"/>
    <x v="5"/>
    <s v="T"/>
    <x v="14"/>
    <x v="14"/>
    <n v="401"/>
    <x v="89"/>
  </r>
  <r>
    <s v="201075+"/>
    <x v="14"/>
    <x v="6"/>
    <s v="T"/>
    <x v="14"/>
    <x v="14"/>
    <n v="575"/>
    <x v="89"/>
  </r>
  <r>
    <s v="20110-4"/>
    <x v="15"/>
    <x v="0"/>
    <s v="T"/>
    <x v="14"/>
    <x v="14"/>
    <n v="33"/>
    <x v="90"/>
  </r>
  <r>
    <s v="20115-14"/>
    <x v="15"/>
    <x v="1"/>
    <s v="T"/>
    <x v="14"/>
    <x v="14"/>
    <n v="26"/>
    <x v="91"/>
  </r>
  <r>
    <s v="201115-24"/>
    <x v="15"/>
    <x v="2"/>
    <s v="T"/>
    <x v="14"/>
    <x v="14"/>
    <n v="63"/>
    <x v="92"/>
  </r>
  <r>
    <s v="201125-44"/>
    <x v="15"/>
    <x v="3"/>
    <s v="T"/>
    <x v="14"/>
    <x v="14"/>
    <n v="209"/>
    <x v="93"/>
  </r>
  <r>
    <s v="201145-64"/>
    <x v="15"/>
    <x v="4"/>
    <s v="T"/>
    <x v="14"/>
    <x v="14"/>
    <n v="681"/>
    <x v="94"/>
  </r>
  <r>
    <s v="201165-74"/>
    <x v="15"/>
    <x v="5"/>
    <s v="T"/>
    <x v="14"/>
    <x v="14"/>
    <n v="433"/>
    <x v="95"/>
  </r>
  <r>
    <s v="201175+"/>
    <x v="15"/>
    <x v="6"/>
    <s v="T"/>
    <x v="14"/>
    <x v="14"/>
    <n v="600"/>
    <x v="95"/>
  </r>
  <r>
    <s v="20120-4"/>
    <x v="16"/>
    <x v="0"/>
    <s v="T"/>
    <x v="14"/>
    <x v="14"/>
    <n v="39"/>
    <x v="96"/>
  </r>
  <r>
    <s v="20125-14"/>
    <x v="16"/>
    <x v="1"/>
    <s v="T"/>
    <x v="14"/>
    <x v="14"/>
    <n v="46"/>
    <x v="97"/>
  </r>
  <r>
    <s v="201215-24"/>
    <x v="16"/>
    <x v="2"/>
    <s v="T"/>
    <x v="14"/>
    <x v="14"/>
    <n v="55"/>
    <x v="98"/>
  </r>
  <r>
    <s v="201225-44"/>
    <x v="16"/>
    <x v="3"/>
    <s v="T"/>
    <x v="14"/>
    <x v="14"/>
    <n v="230"/>
    <x v="99"/>
  </r>
  <r>
    <s v="201245-64"/>
    <x v="16"/>
    <x v="4"/>
    <s v="T"/>
    <x v="14"/>
    <x v="14"/>
    <n v="764"/>
    <x v="100"/>
  </r>
  <r>
    <s v="201265-74"/>
    <x v="16"/>
    <x v="5"/>
    <s v="T"/>
    <x v="14"/>
    <x v="14"/>
    <n v="471"/>
    <x v="101"/>
  </r>
  <r>
    <s v="201275+"/>
    <x v="16"/>
    <x v="6"/>
    <s v="T"/>
    <x v="14"/>
    <x v="14"/>
    <n v="687"/>
    <x v="101"/>
  </r>
  <r>
    <s v="20130-4"/>
    <x v="17"/>
    <x v="0"/>
    <s v="T"/>
    <x v="14"/>
    <x v="14"/>
    <n v="46"/>
    <x v="102"/>
  </r>
  <r>
    <s v="20135-14"/>
    <x v="17"/>
    <x v="1"/>
    <s v="T"/>
    <x v="14"/>
    <x v="14"/>
    <n v="27"/>
    <x v="103"/>
  </r>
  <r>
    <s v="201315-24"/>
    <x v="17"/>
    <x v="2"/>
    <s v="T"/>
    <x v="14"/>
    <x v="14"/>
    <n v="52"/>
    <x v="104"/>
  </r>
  <r>
    <s v="201325-44"/>
    <x v="17"/>
    <x v="3"/>
    <s v="T"/>
    <x v="14"/>
    <x v="14"/>
    <n v="226"/>
    <x v="105"/>
  </r>
  <r>
    <s v="201345-64"/>
    <x v="17"/>
    <x v="4"/>
    <s v="T"/>
    <x v="14"/>
    <x v="14"/>
    <n v="804"/>
    <x v="106"/>
  </r>
  <r>
    <s v="201365-74"/>
    <x v="17"/>
    <x v="5"/>
    <s v="T"/>
    <x v="14"/>
    <x v="14"/>
    <n v="497"/>
    <x v="107"/>
  </r>
  <r>
    <s v="201375+"/>
    <x v="17"/>
    <x v="6"/>
    <s v="T"/>
    <x v="14"/>
    <x v="14"/>
    <n v="687"/>
    <x v="107"/>
  </r>
  <r>
    <s v="20140-4"/>
    <x v="18"/>
    <x v="0"/>
    <s v="T"/>
    <x v="14"/>
    <x v="14"/>
    <n v="44"/>
    <x v="108"/>
  </r>
  <r>
    <s v="20145-14"/>
    <x v="18"/>
    <x v="1"/>
    <s v="T"/>
    <x v="14"/>
    <x v="14"/>
    <n v="39"/>
    <x v="109"/>
  </r>
  <r>
    <s v="201415-24"/>
    <x v="18"/>
    <x v="2"/>
    <s v="T"/>
    <x v="14"/>
    <x v="14"/>
    <n v="60"/>
    <x v="110"/>
  </r>
  <r>
    <s v="201425-44"/>
    <x v="18"/>
    <x v="3"/>
    <s v="T"/>
    <x v="14"/>
    <x v="14"/>
    <n v="189"/>
    <x v="111"/>
  </r>
  <r>
    <s v="201445-64"/>
    <x v="18"/>
    <x v="4"/>
    <s v="T"/>
    <x v="14"/>
    <x v="14"/>
    <n v="737"/>
    <x v="112"/>
  </r>
  <r>
    <s v="201465-74"/>
    <x v="18"/>
    <x v="5"/>
    <s v="T"/>
    <x v="14"/>
    <x v="14"/>
    <n v="498"/>
    <x v="113"/>
  </r>
  <r>
    <s v="201475+"/>
    <x v="18"/>
    <x v="6"/>
    <s v="T"/>
    <x v="14"/>
    <x v="14"/>
    <n v="711"/>
    <x v="1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85">
  <r>
    <x v="0"/>
    <x v="0"/>
    <n v="2669011.0638103201"/>
    <n v="1308550.7828250399"/>
  </r>
  <r>
    <x v="1"/>
    <x v="0"/>
    <n v="2689637.03828619"/>
    <n v="1317732.8696950199"/>
  </r>
  <r>
    <x v="2"/>
    <x v="0"/>
    <n v="2707580.5191430999"/>
    <n v="1325697.93484751"/>
  </r>
  <r>
    <x v="3"/>
    <x v="0"/>
    <n v="2723058.5063810302"/>
    <n v="1332528.9782825001"/>
  </r>
  <r>
    <x v="4"/>
    <x v="0"/>
    <n v="2736288"/>
    <n v="1338309"/>
  </r>
  <r>
    <x v="5"/>
    <x v="0"/>
    <n v="2747486"/>
    <n v="1343121"/>
  </r>
  <r>
    <x v="6"/>
    <x v="0"/>
    <n v="2756879"/>
    <n v="1347045"/>
  </r>
  <r>
    <x v="7"/>
    <x v="0"/>
    <n v="2764684"/>
    <n v="1350164"/>
  </r>
  <r>
    <x v="8"/>
    <x v="0"/>
    <n v="2770821"/>
    <n v="1352508"/>
  </r>
  <r>
    <x v="9"/>
    <x v="0"/>
    <n v="2774961"/>
    <n v="1353852"/>
  </r>
  <r>
    <x v="10"/>
    <x v="0"/>
    <n v="2777568"/>
    <n v="1354432"/>
  </r>
  <r>
    <x v="11"/>
    <x v="0"/>
    <n v="2778731"/>
    <n v="1354234"/>
  </r>
  <r>
    <x v="12"/>
    <x v="0"/>
    <n v="2778239"/>
    <n v="1353145"/>
  </r>
  <r>
    <x v="13"/>
    <x v="0"/>
    <n v="2775920"/>
    <n v="1351158"/>
  </r>
  <r>
    <x v="14"/>
    <x v="0"/>
    <n v="2771760"/>
    <n v="1348289"/>
  </r>
  <r>
    <x v="15"/>
    <x v="0"/>
    <n v="2765898"/>
    <n v="1344595"/>
  </r>
  <r>
    <x v="16"/>
    <x v="0"/>
    <n v="2759356.4495101599"/>
    <n v="1340586.3214094499"/>
  </r>
  <r>
    <x v="17"/>
    <x v="0"/>
    <n v="2752322.19750119"/>
    <n v="1336364.77993838"/>
  </r>
  <r>
    <x v="18"/>
    <x v="0"/>
    <n v="2744697"/>
    <n v="1331891"/>
  </r>
  <r>
    <x v="19"/>
    <x v="0"/>
    <n v="2736446"/>
    <n v="1327162"/>
  </r>
  <r>
    <x v="20"/>
    <x v="0"/>
    <n v="2727735"/>
    <n v="1322284"/>
  </r>
  <r>
    <x v="21"/>
    <x v="0"/>
    <n v="2718608"/>
    <n v="1317267"/>
  </r>
  <r>
    <x v="22"/>
    <x v="0"/>
    <n v="2709175"/>
    <n v="1312141"/>
  </r>
  <r>
    <x v="23"/>
    <x v="0"/>
    <n v="2699605"/>
    <n v="1306965"/>
  </r>
  <r>
    <x v="24"/>
    <x v="0"/>
    <n v="2689985"/>
    <n v="1301784"/>
  </r>
  <r>
    <x v="25"/>
    <x v="0"/>
    <n v="2680333"/>
    <n v="1296614"/>
  </r>
  <r>
    <x v="26"/>
    <x v="0"/>
    <n v="2670635.1419935199"/>
    <n v="1291451.6877147299"/>
  </r>
  <r>
    <x v="27"/>
    <x v="0"/>
    <n v="2660849.5209805202"/>
    <n v="1286275.46661056"/>
  </r>
  <r>
    <x v="28"/>
    <x v="0"/>
    <n v="2650928.1394772502"/>
    <n v="1281059.7622011099"/>
  </r>
  <r>
    <x v="29"/>
    <x v="0"/>
    <n v="2640823"/>
    <n v="1275779"/>
  </r>
  <r>
    <x v="30"/>
    <x v="0"/>
    <n v="2630489.9688964402"/>
    <n v="1270409.9398000799"/>
  </r>
  <r>
    <x v="31"/>
    <x v="0"/>
    <n v="2619900.3678399101"/>
    <n v="1264938.6785111299"/>
  </r>
  <r>
    <x v="32"/>
    <x v="0"/>
    <n v="2609029.3823351599"/>
    <n v="1259353.6473221399"/>
  </r>
  <r>
    <x v="33"/>
    <x v="0"/>
    <n v="2597852.1978869401"/>
    <n v="1253643.2774220901"/>
  </r>
  <r>
    <x v="34"/>
    <x v="0"/>
    <n v="2586344"/>
    <n v="1247796"/>
  </r>
  <r>
    <x v="35"/>
    <x v="0"/>
    <n v="2574483.4837658899"/>
    <n v="1241801.7015114599"/>
  </r>
  <r>
    <x v="36"/>
    <x v="0"/>
    <n v="2562263.3826233102"/>
    <n v="1235656.08947853"/>
  </r>
  <r>
    <x v="37"/>
    <x v="0"/>
    <n v="2549679.9395977999"/>
    <n v="1229356.3266898701"/>
  </r>
  <r>
    <x v="38"/>
    <x v="0"/>
    <n v="2536729.3977148598"/>
    <n v="1222899.57593414"/>
  </r>
  <r>
    <x v="39"/>
    <x v="0"/>
    <n v="2523408"/>
    <n v="1216283"/>
  </r>
  <r>
    <x v="40"/>
    <x v="0"/>
    <n v="2509718.6240400202"/>
    <n v="1209506.9421540599"/>
  </r>
  <r>
    <x v="41"/>
    <x v="0"/>
    <n v="2495690.6856668298"/>
    <n v="1202584.4675747401"/>
  </r>
  <r>
    <x v="42"/>
    <x v="0"/>
    <n v="2481360.2352736401"/>
    <n v="1195531.82191838"/>
  </r>
  <r>
    <x v="43"/>
    <x v="0"/>
    <n v="2466763.3232536302"/>
    <n v="1188365.2508413501"/>
  </r>
  <r>
    <x v="44"/>
    <x v="0"/>
    <n v="2451936"/>
    <n v="1181101"/>
  </r>
  <r>
    <x v="45"/>
    <x v="0"/>
    <n v="2436911.3320740401"/>
    <n v="1173754.1138722801"/>
  </r>
  <r>
    <x v="46"/>
    <x v="0"/>
    <n v="2421710.4507093602"/>
    <n v="1166334.8322225099"/>
  </r>
  <r>
    <x v="47"/>
    <x v="0"/>
    <n v="2406351.5033076499"/>
    <n v="1158852.1936365999"/>
  </r>
  <r>
    <x v="48"/>
    <x v="0"/>
    <n v="2390852.6372706401"/>
    <n v="1151315.2367004601"/>
  </r>
  <r>
    <x v="49"/>
    <x v="0"/>
    <n v="2375232"/>
    <n v="1143733"/>
  </r>
  <r>
    <x v="50"/>
    <x v="0"/>
    <n v="2359508.3356638299"/>
    <n v="1136114.7623568201"/>
  </r>
  <r>
    <x v="51"/>
    <x v="0"/>
    <n v="2343702.7754957499"/>
    <n v="1128470.7635352199"/>
  </r>
  <r>
    <x v="52"/>
    <x v="0"/>
    <n v="2327837.0474957498"/>
    <n v="1120811.4835352199"/>
  </r>
  <r>
    <x v="53"/>
    <x v="0"/>
    <n v="2311932.8796638302"/>
    <n v="1113147.4023568199"/>
  </r>
  <r>
    <x v="54"/>
    <x v="0"/>
    <n v="2296012"/>
    <n v="1105489"/>
  </r>
  <r>
    <x v="0"/>
    <x v="1"/>
    <n v="5336689.2615659405"/>
    <n v="2617766.7452121698"/>
  </r>
  <r>
    <x v="1"/>
    <x v="1"/>
    <n v="5352218.1569395596"/>
    <n v="2625110.0471272999"/>
  </r>
  <r>
    <x v="2"/>
    <x v="1"/>
    <n v="5360232.5784697803"/>
    <n v="2628255.52356365"/>
  </r>
  <r>
    <x v="3"/>
    <x v="1"/>
    <n v="5362927.5261565903"/>
    <n v="2628380.1745212199"/>
  </r>
  <r>
    <x v="4"/>
    <x v="1"/>
    <n v="5362498"/>
    <n v="2626661"/>
  </r>
  <r>
    <x v="5"/>
    <x v="1"/>
    <n v="5361139"/>
    <n v="2624275"/>
  </r>
  <r>
    <x v="6"/>
    <x v="1"/>
    <n v="5361107"/>
    <n v="2622422"/>
  </r>
  <r>
    <x v="7"/>
    <x v="1"/>
    <n v="5364597"/>
    <n v="2622279"/>
  </r>
  <r>
    <x v="8"/>
    <x v="1"/>
    <n v="5372677"/>
    <n v="2624530"/>
  </r>
  <r>
    <x v="9"/>
    <x v="1"/>
    <n v="5386812"/>
    <n v="2629864"/>
  </r>
  <r>
    <x v="10"/>
    <x v="1"/>
    <n v="5407717"/>
    <n v="2638747"/>
  </r>
  <r>
    <x v="11"/>
    <x v="1"/>
    <n v="5427910"/>
    <n v="2647233"/>
  </r>
  <r>
    <x v="12"/>
    <x v="1"/>
    <n v="5448390"/>
    <n v="2655740"/>
  </r>
  <r>
    <x v="13"/>
    <x v="1"/>
    <n v="5469822"/>
    <n v="2664671"/>
  </r>
  <r>
    <x v="14"/>
    <x v="1"/>
    <n v="5492408"/>
    <n v="2674173"/>
  </r>
  <r>
    <x v="15"/>
    <x v="1"/>
    <n v="5516288"/>
    <n v="2684312"/>
  </r>
  <r>
    <x v="16"/>
    <x v="1"/>
    <n v="5537428.7927720398"/>
    <n v="2693165.8826794801"/>
  </r>
  <r>
    <x v="17"/>
    <x v="1"/>
    <n v="5554323.1251711203"/>
    <n v="2699988.6782491799"/>
  </r>
  <r>
    <x v="18"/>
    <x v="1"/>
    <n v="5566437"/>
    <n v="2704490"/>
  </r>
  <r>
    <x v="19"/>
    <x v="1"/>
    <n v="5573350"/>
    <n v="2706441"/>
  </r>
  <r>
    <x v="20"/>
    <x v="1"/>
    <n v="5575340"/>
    <n v="2705992"/>
  </r>
  <r>
    <x v="21"/>
    <x v="1"/>
    <n v="5573496"/>
    <n v="2703744"/>
  </r>
  <r>
    <x v="22"/>
    <x v="1"/>
    <n v="5568046"/>
    <n v="2699815"/>
  </r>
  <r>
    <x v="23"/>
    <x v="1"/>
    <n v="5559066"/>
    <n v="2694141"/>
  </r>
  <r>
    <x v="24"/>
    <x v="1"/>
    <n v="5546905"/>
    <n v="2687030"/>
  </r>
  <r>
    <x v="25"/>
    <x v="1"/>
    <n v="5531902"/>
    <n v="2678582"/>
  </r>
  <r>
    <x v="26"/>
    <x v="1"/>
    <n v="5515313.4642677801"/>
    <n v="2669422.5493597598"/>
  </r>
  <r>
    <x v="27"/>
    <x v="1"/>
    <n v="5497652.9705544701"/>
    <n v="2659814.7242302699"/>
  </r>
  <r>
    <x v="28"/>
    <x v="1"/>
    <n v="5479167.7415639302"/>
    <n v="2649880.7869856399"/>
  </r>
  <r>
    <x v="29"/>
    <x v="1"/>
    <n v="5460105"/>
    <n v="2639743"/>
  </r>
  <r>
    <x v="30"/>
    <x v="1"/>
    <n v="5440671.6133808298"/>
    <n v="2629502.3496310599"/>
  </r>
  <r>
    <x v="31"/>
    <x v="1"/>
    <n v="5420913.0284816902"/>
    <n v="2619174.7181709199"/>
  </r>
  <r>
    <x v="32"/>
    <x v="1"/>
    <n v="5400834.3368921401"/>
    <n v="2608754.71189524"/>
  </r>
  <r>
    <x v="33"/>
    <x v="1"/>
    <n v="5380440.6302017197"/>
    <n v="2598236.9370797002"/>
  </r>
  <r>
    <x v="34"/>
    <x v="1"/>
    <n v="5359737"/>
    <n v="2587616"/>
  </r>
  <r>
    <x v="35"/>
    <x v="1"/>
    <n v="5338717.9682608796"/>
    <n v="2576882.6741295001"/>
  </r>
  <r>
    <x v="36"/>
    <x v="1"/>
    <n v="5317335.7784956601"/>
    <n v="2566012.40173238"/>
  </r>
  <r>
    <x v="37"/>
    <x v="1"/>
    <n v="5295532.1046000104"/>
    <n v="2554976.79227051"/>
  </r>
  <r>
    <x v="38"/>
    <x v="1"/>
    <n v="5273248.6204695702"/>
    <n v="2543747.45520576"/>
  </r>
  <r>
    <x v="39"/>
    <x v="1"/>
    <n v="5250427"/>
    <n v="2532296"/>
  </r>
  <r>
    <x v="40"/>
    <x v="1"/>
    <n v="5227016.0335756503"/>
    <n v="2520597.13785093"/>
  </r>
  <r>
    <x v="41"/>
    <x v="1"/>
    <n v="5202992.9775356501"/>
    <n v="2508637.9868995701"/>
  </r>
  <r>
    <x v="42"/>
    <x v="1"/>
    <n v="5178342.20470782"/>
    <n v="2496408.7670227299"/>
  </r>
  <r>
    <x v="43"/>
    <x v="1"/>
    <n v="5153048.0879199998"/>
    <n v="2483899.69809727"/>
  </r>
  <r>
    <x v="44"/>
    <x v="1"/>
    <n v="5127095"/>
    <n v="2471101"/>
  </r>
  <r>
    <x v="45"/>
    <x v="1"/>
    <n v="5100477.0894365199"/>
    <n v="2458008.1984667601"/>
  </r>
  <r>
    <x v="46"/>
    <x v="1"/>
    <n v="5073227.6073617404"/>
    <n v="2444638.0426693498"/>
  </r>
  <r>
    <x v="47"/>
    <x v="1"/>
    <n v="5045389.5805687001"/>
    <n v="2431012.5876385602"/>
  </r>
  <r>
    <x v="48"/>
    <x v="1"/>
    <n v="5017006.0358504402"/>
    <n v="2417153.8884051801"/>
  </r>
  <r>
    <x v="49"/>
    <x v="1"/>
    <n v="4988120"/>
    <n v="2403084"/>
  </r>
  <r>
    <x v="50"/>
    <x v="1"/>
    <n v="4958772.5446782596"/>
    <n v="2388823.9162820098"/>
  </r>
  <r>
    <x v="51"/>
    <x v="1"/>
    <n v="4928996.9210173897"/>
    <n v="2374390.3864230202"/>
  </r>
  <r>
    <x v="52"/>
    <x v="1"/>
    <n v="4898824.4250173904"/>
    <n v="2359799.09842302"/>
  </r>
  <r>
    <x v="53"/>
    <x v="1"/>
    <n v="4868286.3526782598"/>
    <n v="2345065.7402820098"/>
  </r>
  <r>
    <x v="54"/>
    <x v="1"/>
    <n v="4837414"/>
    <n v="2330206"/>
  </r>
  <r>
    <x v="0"/>
    <x v="2"/>
    <n v="4328734.7335640304"/>
    <n v="2136825.68729656"/>
  </r>
  <r>
    <x v="1"/>
    <x v="2"/>
    <n v="4441903.2401384199"/>
    <n v="2190257.4123779298"/>
  </r>
  <r>
    <x v="2"/>
    <x v="2"/>
    <n v="4551586.6200692104"/>
    <n v="2242694.2061889698"/>
  </r>
  <r>
    <x v="3"/>
    <x v="2"/>
    <n v="4656740.8733564001"/>
    <n v="2293434.06872966"/>
  </r>
  <r>
    <x v="4"/>
    <x v="2"/>
    <n v="4756322"/>
    <n v="2341775"/>
  </r>
  <r>
    <x v="5"/>
    <x v="2"/>
    <n v="4849286"/>
    <n v="2387015"/>
  </r>
  <r>
    <x v="6"/>
    <x v="2"/>
    <n v="4934568"/>
    <n v="2428415"/>
  </r>
  <r>
    <x v="7"/>
    <x v="2"/>
    <n v="5011124"/>
    <n v="2465273"/>
  </r>
  <r>
    <x v="8"/>
    <x v="2"/>
    <n v="5078223"/>
    <n v="2497409"/>
  </r>
  <r>
    <x v="9"/>
    <x v="2"/>
    <n v="5134473"/>
    <n v="2524017"/>
  </r>
  <r>
    <x v="10"/>
    <x v="2"/>
    <n v="5178861"/>
    <n v="2544731"/>
  </r>
  <r>
    <x v="11"/>
    <x v="2"/>
    <n v="5216537"/>
    <n v="2561885"/>
  </r>
  <r>
    <x v="12"/>
    <x v="2"/>
    <n v="5246997"/>
    <n v="2575138"/>
  </r>
  <r>
    <x v="13"/>
    <x v="2"/>
    <n v="5270463"/>
    <n v="2584791"/>
  </r>
  <r>
    <x v="14"/>
    <x v="2"/>
    <n v="5286720"/>
    <n v="2590746"/>
  </r>
  <r>
    <x v="15"/>
    <x v="2"/>
    <n v="5296319"/>
    <n v="2593350"/>
  </r>
  <r>
    <x v="16"/>
    <x v="2"/>
    <n v="5307779.7280284902"/>
    <n v="2596932.5593387499"/>
  </r>
  <r>
    <x v="17"/>
    <x v="2"/>
    <n v="5323364.8480997998"/>
    <n v="2602650.6589393602"/>
  </r>
  <r>
    <x v="18"/>
    <x v="2"/>
    <n v="5343109"/>
    <n v="2610538"/>
  </r>
  <r>
    <x v="19"/>
    <x v="2"/>
    <n v="5367806"/>
    <n v="2621029"/>
  </r>
  <r>
    <x v="20"/>
    <x v="2"/>
    <n v="5398165"/>
    <n v="2634556"/>
  </r>
  <r>
    <x v="21"/>
    <x v="2"/>
    <n v="5426428"/>
    <n v="2647206"/>
  </r>
  <r>
    <x v="22"/>
    <x v="2"/>
    <n v="5453734"/>
    <n v="2659556"/>
  </r>
  <r>
    <x v="23"/>
    <x v="2"/>
    <n v="5480534"/>
    <n v="2671642"/>
  </r>
  <r>
    <x v="24"/>
    <x v="2"/>
    <n v="5507023"/>
    <n v="2683674"/>
  </r>
  <r>
    <x v="25"/>
    <x v="2"/>
    <n v="5533215"/>
    <n v="2695573"/>
  </r>
  <r>
    <x v="26"/>
    <x v="2"/>
    <n v="5555111.8207854796"/>
    <n v="2705375.1793875098"/>
  </r>
  <r>
    <x v="27"/>
    <x v="2"/>
    <n v="5571772.4462051298"/>
    <n v="2712613.4295200398"/>
  </r>
  <r>
    <x v="28"/>
    <x v="2"/>
    <n v="5583355.8485222096"/>
    <n v="2717347.7148925602"/>
  </r>
  <r>
    <x v="29"/>
    <x v="2"/>
    <n v="5590021"/>
    <n v="2719638"/>
  </r>
  <r>
    <x v="30"/>
    <x v="2"/>
    <n v="5591974.48870965"/>
    <n v="2719574.80790625"/>
  </r>
  <r>
    <x v="31"/>
    <x v="2"/>
    <n v="5589613.3659538804"/>
    <n v="2717370.8959508701"/>
  </r>
  <r>
    <x v="32"/>
    <x v="2"/>
    <n v="5583382.2988432804"/>
    <n v="2713269.5800423701"/>
  </r>
  <r>
    <x v="33"/>
    <x v="2"/>
    <n v="5573725.9544884497"/>
    <n v="2707514.17608925"/>
  </r>
  <r>
    <x v="34"/>
    <x v="2"/>
    <n v="5561089"/>
    <n v="2700348"/>
  </r>
  <r>
    <x v="35"/>
    <x v="2"/>
    <n v="5545920.6990931202"/>
    <n v="2692012.0349286501"/>
  </r>
  <r>
    <x v="36"/>
    <x v="2"/>
    <n v="5528688.7019014601"/>
    <n v="2682737.93301132"/>
  </r>
  <r>
    <x v="37"/>
    <x v="2"/>
    <n v="5509865.2551632198"/>
    <n v="2672755.0136296698"/>
  </r>
  <r>
    <x v="38"/>
    <x v="2"/>
    <n v="5489922.6056166599"/>
    <n v="2662292.5961653399"/>
  </r>
  <r>
    <x v="39"/>
    <x v="2"/>
    <n v="5469333"/>
    <n v="2651580"/>
  </r>
  <r>
    <x v="40"/>
    <x v="2"/>
    <n v="5448485.9789178502"/>
    <n v="2640805.15637916"/>
  </r>
  <r>
    <x v="41"/>
    <x v="2"/>
    <n v="5427440.2584402999"/>
    <n v="2629990.4440038502"/>
  </r>
  <r>
    <x v="42"/>
    <x v="2"/>
    <n v="5406171.8485038299"/>
    <n v="2619116.8534389599"/>
  </r>
  <r>
    <x v="43"/>
    <x v="2"/>
    <n v="5384656.7590448996"/>
    <n v="2608165.3752493798"/>
  </r>
  <r>
    <x v="44"/>
    <x v="2"/>
    <n v="5362871"/>
    <n v="2597117"/>
  </r>
  <r>
    <x v="45"/>
    <x v="2"/>
    <n v="5340789.1292354902"/>
    <n v="2585953.6035547"/>
  </r>
  <r>
    <x v="46"/>
    <x v="2"/>
    <n v="5318379.8963373499"/>
    <n v="2574660.6029732702"/>
  </r>
  <r>
    <x v="47"/>
    <x v="2"/>
    <n v="5295610.5988214696"/>
    <n v="2563224.3006145"/>
  </r>
  <r>
    <x v="48"/>
    <x v="2"/>
    <n v="5272448.5342037203"/>
    <n v="2551630.9988371502"/>
  </r>
  <r>
    <x v="49"/>
    <x v="2"/>
    <n v="5248861"/>
    <n v="2539867"/>
  </r>
  <r>
    <x v="50"/>
    <x v="2"/>
    <n v="5224815.5841402002"/>
    <n v="2527918.4294020399"/>
  </r>
  <r>
    <x v="51"/>
    <x v="2"/>
    <n v="5200281.0362102902"/>
    <n v="2515770.7041030601"/>
  </r>
  <r>
    <x v="52"/>
    <x v="2"/>
    <n v="5175226.3962102896"/>
    <n v="2503409.0641030599"/>
  </r>
  <r>
    <x v="53"/>
    <x v="2"/>
    <n v="5149620.7041402003"/>
    <n v="2490818.7494020402"/>
  </r>
  <r>
    <x v="54"/>
    <x v="2"/>
    <n v="5123433"/>
    <n v="2477985"/>
  </r>
  <r>
    <x v="0"/>
    <x v="3"/>
    <n v="6500086.9398599695"/>
    <n v="3245545.2890741802"/>
  </r>
  <r>
    <x v="1"/>
    <x v="3"/>
    <n v="6652916.9639159804"/>
    <n v="3319788.9734445098"/>
  </r>
  <r>
    <x v="2"/>
    <x v="3"/>
    <n v="6800752.4819579897"/>
    <n v="3392799.98672225"/>
  </r>
  <r>
    <x v="3"/>
    <x v="3"/>
    <n v="6944474.4939860003"/>
    <n v="3464730.3289074199"/>
  </r>
  <r>
    <x v="4"/>
    <x v="3"/>
    <n v="7084964"/>
    <n v="3535732"/>
  </r>
  <r>
    <x v="5"/>
    <x v="3"/>
    <n v="7223102"/>
    <n v="3605957"/>
  </r>
  <r>
    <x v="6"/>
    <x v="3"/>
    <n v="7359839"/>
    <n v="3675559"/>
  </r>
  <r>
    <x v="7"/>
    <x v="3"/>
    <n v="7496056"/>
    <n v="3744690"/>
  </r>
  <r>
    <x v="8"/>
    <x v="3"/>
    <n v="7631406"/>
    <n v="3813358"/>
  </r>
  <r>
    <x v="9"/>
    <x v="3"/>
    <n v="7765159"/>
    <n v="3881062"/>
  </r>
  <r>
    <x v="10"/>
    <x v="3"/>
    <n v="7897108"/>
    <n v="3947836"/>
  </r>
  <r>
    <x v="11"/>
    <x v="3"/>
    <n v="8032843"/>
    <n v="4016163"/>
  </r>
  <r>
    <x v="12"/>
    <x v="3"/>
    <n v="8172306"/>
    <n v="4085944"/>
  </r>
  <r>
    <x v="13"/>
    <x v="3"/>
    <n v="8314639"/>
    <n v="4156891"/>
  </r>
  <r>
    <x v="14"/>
    <x v="3"/>
    <n v="8458444"/>
    <n v="4228246"/>
  </r>
  <r>
    <x v="15"/>
    <x v="3"/>
    <n v="8602515"/>
    <n v="4299392"/>
  </r>
  <r>
    <x v="16"/>
    <x v="3"/>
    <n v="8748082.6996606905"/>
    <n v="4370928.8062696801"/>
  </r>
  <r>
    <x v="17"/>
    <x v="3"/>
    <n v="8893718.1904660594"/>
    <n v="4442157.0636299504"/>
  </r>
  <r>
    <x v="18"/>
    <x v="3"/>
    <n v="9037113"/>
    <n v="4511948"/>
  </r>
  <r>
    <x v="19"/>
    <x v="3"/>
    <n v="9175801"/>
    <n v="4579107"/>
  </r>
  <r>
    <x v="20"/>
    <x v="3"/>
    <n v="9308502"/>
    <n v="4643064"/>
  </r>
  <r>
    <x v="21"/>
    <x v="3"/>
    <n v="9439303"/>
    <n v="4705864"/>
  </r>
  <r>
    <x v="22"/>
    <x v="3"/>
    <n v="9567621"/>
    <n v="4767189"/>
  </r>
  <r>
    <x v="23"/>
    <x v="3"/>
    <n v="9692789"/>
    <n v="4826694"/>
  </r>
  <r>
    <x v="24"/>
    <x v="3"/>
    <n v="9813819"/>
    <n v="4884011"/>
  </r>
  <r>
    <x v="25"/>
    <x v="3"/>
    <n v="9930251"/>
    <n v="4938950"/>
  </r>
  <r>
    <x v="26"/>
    <x v="3"/>
    <n v="10041289.8193714"/>
    <n v="4991116.9863489904"/>
  </r>
  <r>
    <x v="27"/>
    <x v="3"/>
    <n v="10146152.620208099"/>
    <n v="5040143.4329743003"/>
  </r>
  <r>
    <x v="28"/>
    <x v="3"/>
    <n v="10244097.8609407"/>
    <n v="5085686.9131124597"/>
  </r>
  <r>
    <x v="29"/>
    <x v="3"/>
    <n v="10334384"/>
    <n v="5127405"/>
  </r>
  <r>
    <x v="30"/>
    <x v="3"/>
    <n v="10416432.6860944"/>
    <n v="5165033.5900817998"/>
  </r>
  <r>
    <x v="31"/>
    <x v="3"/>
    <n v="10490318.3290438"/>
    <n v="5198621.8726361198"/>
  </r>
  <r>
    <x v="32"/>
    <x v="3"/>
    <n v="10556278.528945999"/>
    <n v="5228297.3601495298"/>
  </r>
  <r>
    <x v="33"/>
    <x v="3"/>
    <n v="10614550.885898801"/>
    <n v="5254187.5651086196"/>
  </r>
  <r>
    <x v="34"/>
    <x v="3"/>
    <n v="10665373"/>
    <n v="5276420"/>
  </r>
  <r>
    <x v="35"/>
    <x v="3"/>
    <n v="10709162.607898099"/>
    <n v="5295213.0128264697"/>
  </r>
  <r>
    <x v="36"/>
    <x v="3"/>
    <n v="10747057.9924448"/>
    <n v="5311148.2936557503"/>
  </r>
  <r>
    <x v="37"/>
    <x v="3"/>
    <n v="10780377.573042501"/>
    <n v="5324898.3680718103"/>
  </r>
  <r>
    <x v="38"/>
    <x v="3"/>
    <n v="10810439.7690934"/>
    <n v="5337135.7616585698"/>
  </r>
  <r>
    <x v="39"/>
    <x v="3"/>
    <n v="10838563"/>
    <n v="5348533"/>
  </r>
  <r>
    <x v="40"/>
    <x v="3"/>
    <n v="10865668.714313099"/>
    <n v="5359559.2546123201"/>
  </r>
  <r>
    <x v="41"/>
    <x v="3"/>
    <n v="10891090.477176899"/>
    <n v="5369870.2807408702"/>
  </r>
  <r>
    <x v="42"/>
    <x v="3"/>
    <n v="10913764.882884201"/>
    <n v="5378918.4795632502"/>
  </r>
  <r>
    <x v="43"/>
    <x v="3"/>
    <n v="10932628.5257277"/>
    <n v="5386156.2522570901"/>
  </r>
  <r>
    <x v="44"/>
    <x v="3"/>
    <n v="10946618"/>
    <n v="5391036"/>
  </r>
  <r>
    <x v="45"/>
    <x v="3"/>
    <n v="10954889.3828496"/>
    <n v="5393122.5687242504"/>
  </r>
  <r>
    <x v="46"/>
    <x v="3"/>
    <n v="10957476.6828475"/>
    <n v="5392430.5833807802"/>
  </r>
  <r>
    <x v="47"/>
    <x v="3"/>
    <n v="10954633.3914207"/>
    <n v="5389087.1136751799"/>
  </r>
  <r>
    <x v="48"/>
    <x v="3"/>
    <n v="10946612.9999959"/>
    <n v="5383219.2293130597"/>
  </r>
  <r>
    <x v="49"/>
    <x v="3"/>
    <n v="10933669"/>
    <n v="5374954"/>
  </r>
  <r>
    <x v="50"/>
    <x v="3"/>
    <n v="10916010.9862886"/>
    <n v="5364396.0064906701"/>
  </r>
  <r>
    <x v="51"/>
    <x v="3"/>
    <n v="10893672.967432899"/>
    <n v="5351559.8737360099"/>
  </r>
  <r>
    <x v="52"/>
    <x v="3"/>
    <n v="10866645.055432901"/>
    <n v="5336437.73773601"/>
  </r>
  <r>
    <x v="53"/>
    <x v="3"/>
    <n v="10834917.3622886"/>
    <n v="5319021.7344906703"/>
  </r>
  <r>
    <x v="54"/>
    <x v="3"/>
    <n v="10798480"/>
    <n v="5299304"/>
  </r>
  <r>
    <x v="0"/>
    <x v="4"/>
    <n v="2862216.4853526298"/>
    <n v="1448877.9572723201"/>
  </r>
  <r>
    <x v="1"/>
    <x v="4"/>
    <n v="2950439.89121158"/>
    <n v="1494497.7743633899"/>
  </r>
  <r>
    <x v="2"/>
    <x v="4"/>
    <n v="3048176.4456057898"/>
    <n v="1544756.3871817"/>
  </r>
  <r>
    <x v="3"/>
    <x v="4"/>
    <n v="3155060.14853526"/>
    <n v="1599513.7957272299"/>
  </r>
  <r>
    <x v="4"/>
    <x v="4"/>
    <n v="3270725"/>
    <n v="1658630"/>
  </r>
  <r>
    <x v="5"/>
    <x v="4"/>
    <n v="3394805"/>
    <n v="1721965"/>
  </r>
  <r>
    <x v="6"/>
    <x v="4"/>
    <n v="3526909"/>
    <n v="1789361"/>
  </r>
  <r>
    <x v="7"/>
    <x v="4"/>
    <n v="3666671"/>
    <n v="1860678"/>
  </r>
  <r>
    <x v="8"/>
    <x v="4"/>
    <n v="3814359"/>
    <n v="1936129"/>
  </r>
  <r>
    <x v="9"/>
    <x v="4"/>
    <n v="3970997"/>
    <n v="2016148"/>
  </r>
  <r>
    <x v="10"/>
    <x v="4"/>
    <n v="4136588"/>
    <n v="2100791"/>
  </r>
  <r>
    <x v="11"/>
    <x v="4"/>
    <n v="4307510"/>
    <n v="2188071"/>
  </r>
  <r>
    <x v="12"/>
    <x v="4"/>
    <n v="4483302"/>
    <n v="2277674"/>
  </r>
  <r>
    <x v="13"/>
    <x v="4"/>
    <n v="4663733"/>
    <n v="2369589"/>
  </r>
  <r>
    <x v="14"/>
    <x v="4"/>
    <n v="4849717"/>
    <n v="2464321"/>
  </r>
  <r>
    <x v="15"/>
    <x v="4"/>
    <n v="5041154"/>
    <n v="2561836"/>
  </r>
  <r>
    <x v="16"/>
    <x v="4"/>
    <n v="5230482.0778962998"/>
    <n v="2658291.2681631502"/>
  </r>
  <r>
    <x v="17"/>
    <x v="4"/>
    <n v="5415783.9591287402"/>
    <n v="2752738.9724179399"/>
  </r>
  <r>
    <x v="18"/>
    <x v="4"/>
    <n v="5597164"/>
    <n v="2845267"/>
  </r>
  <r>
    <x v="19"/>
    <x v="4"/>
    <n v="5775263"/>
    <n v="2936287"/>
  </r>
  <r>
    <x v="20"/>
    <x v="4"/>
    <n v="5951212"/>
    <n v="3026508"/>
  </r>
  <r>
    <x v="21"/>
    <x v="4"/>
    <n v="6121481"/>
    <n v="3113814"/>
  </r>
  <r>
    <x v="22"/>
    <x v="4"/>
    <n v="6286135"/>
    <n v="3198208"/>
  </r>
  <r>
    <x v="23"/>
    <x v="4"/>
    <n v="6445325"/>
    <n v="3279753"/>
  </r>
  <r>
    <x v="24"/>
    <x v="4"/>
    <n v="6599955"/>
    <n v="3358849"/>
  </r>
  <r>
    <x v="25"/>
    <x v="4"/>
    <n v="6750023"/>
    <n v="3435467"/>
  </r>
  <r>
    <x v="26"/>
    <x v="4"/>
    <n v="6898495.7158323303"/>
    <n v="3511067.1228666902"/>
  </r>
  <r>
    <x v="27"/>
    <x v="4"/>
    <n v="7046282.0434969701"/>
    <n v="3586103.79280383"/>
  </r>
  <r>
    <x v="28"/>
    <x v="4"/>
    <n v="7193503.3494131202"/>
    <n v="3660644.06633905"/>
  </r>
  <r>
    <x v="29"/>
    <x v="4"/>
    <n v="7340281"/>
    <n v="3734755"/>
  </r>
  <r>
    <x v="30"/>
    <x v="4"/>
    <n v="7486733.9836954903"/>
    <n v="3808499.50992506"/>
  </r>
  <r>
    <x v="31"/>
    <x v="4"/>
    <n v="7632971.77701208"/>
    <n v="3881923.95069553"/>
  </r>
  <r>
    <x v="32"/>
    <x v="4"/>
    <n v="7779101.4784809304"/>
    <n v="3955070.5365034798"/>
  </r>
  <r>
    <x v="33"/>
    <x v="4"/>
    <n v="7925230.1866331901"/>
    <n v="4027981.48154095"/>
  </r>
  <r>
    <x v="34"/>
    <x v="4"/>
    <n v="8071465"/>
    <n v="4100699"/>
  </r>
  <r>
    <x v="35"/>
    <x v="4"/>
    <n v="8217736.8963633804"/>
    <n v="4173181.16454995"/>
  </r>
  <r>
    <x v="36"/>
    <x v="4"/>
    <n v="8363272.3705087798"/>
    <n v="4245049.48176922"/>
  </r>
  <r>
    <x v="37"/>
    <x v="4"/>
    <n v="8507121.7964724805"/>
    <n v="4315841.3167135203"/>
  </r>
  <r>
    <x v="38"/>
    <x v="4"/>
    <n v="8648335.5482907891"/>
    <n v="4385094.0344385495"/>
  </r>
  <r>
    <x v="39"/>
    <x v="4"/>
    <n v="8785964"/>
    <n v="4452345"/>
  </r>
  <r>
    <x v="40"/>
    <x v="4"/>
    <n v="8919225.1108509805"/>
    <n v="4517216.5438751597"/>
  </r>
  <r>
    <x v="41"/>
    <x v="4"/>
    <n v="9048007.1809528098"/>
    <n v="4579670.8582275901"/>
  </r>
  <r>
    <x v="42"/>
    <x v="4"/>
    <n v="9172366.0956291594"/>
    <n v="4639755.1006424399"/>
  </r>
  <r>
    <x v="43"/>
    <x v="4"/>
    <n v="9292357.7402036693"/>
    <n v="4697516.4287048597"/>
  </r>
  <r>
    <x v="44"/>
    <x v="4"/>
    <n v="9408038"/>
    <n v="4753002"/>
  </r>
  <r>
    <x v="45"/>
    <x v="4"/>
    <n v="9519357.6842327099"/>
    <n v="4806204.6759494198"/>
  </r>
  <r>
    <x v="46"/>
    <x v="4"/>
    <n v="9625847.2976799794"/>
    <n v="4856900.13332042"/>
  </r>
  <r>
    <x v="47"/>
    <x v="4"/>
    <n v="9726932.2690108903"/>
    <n v="4904809.7527167099"/>
  </r>
  <r>
    <x v="48"/>
    <x v="4"/>
    <n v="9822038.0268945396"/>
    <n v="4949654.9147420004"/>
  </r>
  <r>
    <x v="49"/>
    <x v="4"/>
    <n v="9910590"/>
    <n v="4991157"/>
  </r>
  <r>
    <x v="50"/>
    <x v="4"/>
    <n v="9992034.6322181895"/>
    <n v="5029048.2483271398"/>
  </r>
  <r>
    <x v="51"/>
    <x v="4"/>
    <n v="10065902.4283273"/>
    <n v="5063104.3364907196"/>
  </r>
  <r>
    <x v="52"/>
    <x v="4"/>
    <n v="10131744.9083273"/>
    <n v="5093111.8004907202"/>
  </r>
  <r>
    <x v="53"/>
    <x v="4"/>
    <n v="10189113.5922182"/>
    <n v="5118857.1763271401"/>
  </r>
  <r>
    <x v="54"/>
    <x v="4"/>
    <n v="10237560"/>
    <n v="5140127"/>
  </r>
  <r>
    <x v="0"/>
    <x v="5"/>
    <n v="710343.28776711202"/>
    <n v="373487.34083337098"/>
  </r>
  <r>
    <x v="1"/>
    <x v="5"/>
    <n v="717390.37266026705"/>
    <n v="377918.60450002301"/>
  </r>
  <r>
    <x v="2"/>
    <x v="5"/>
    <n v="727932.186330133"/>
    <n v="383636.80225001101"/>
  </r>
  <r>
    <x v="3"/>
    <x v="5"/>
    <n v="741553.72877671104"/>
    <n v="390568.93408333702"/>
  </r>
  <r>
    <x v="4"/>
    <x v="5"/>
    <n v="757840"/>
    <n v="398642"/>
  </r>
  <r>
    <x v="5"/>
    <x v="5"/>
    <n v="776376"/>
    <n v="407783"/>
  </r>
  <r>
    <x v="6"/>
    <x v="5"/>
    <n v="796712"/>
    <n v="417907"/>
  </r>
  <r>
    <x v="7"/>
    <x v="5"/>
    <n v="818433"/>
    <n v="428941"/>
  </r>
  <r>
    <x v="8"/>
    <x v="5"/>
    <n v="841739"/>
    <n v="441018"/>
  </r>
  <r>
    <x v="9"/>
    <x v="5"/>
    <n v="866819"/>
    <n v="454245"/>
  </r>
  <r>
    <x v="10"/>
    <x v="5"/>
    <n v="893794"/>
    <n v="468680"/>
  </r>
  <r>
    <x v="11"/>
    <x v="5"/>
    <n v="922773"/>
    <n v="484321"/>
  </r>
  <r>
    <x v="12"/>
    <x v="5"/>
    <n v="953869"/>
    <n v="501201"/>
  </r>
  <r>
    <x v="13"/>
    <x v="5"/>
    <n v="987212"/>
    <n v="519377"/>
  </r>
  <r>
    <x v="14"/>
    <x v="5"/>
    <n v="1022974"/>
    <n v="538921"/>
  </r>
  <r>
    <x v="15"/>
    <x v="5"/>
    <n v="1061340"/>
    <n v="559899"/>
  </r>
  <r>
    <x v="16"/>
    <x v="5"/>
    <n v="1102796.7939262099"/>
    <n v="582433.94467592705"/>
  </r>
  <r>
    <x v="17"/>
    <x v="5"/>
    <n v="1147296.6505007599"/>
    <n v="606480.27141564596"/>
  </r>
  <r>
    <x v="18"/>
    <x v="5"/>
    <n v="1194627"/>
    <n v="631943"/>
  </r>
  <r>
    <x v="19"/>
    <x v="5"/>
    <n v="1243739"/>
    <n v="658220"/>
  </r>
  <r>
    <x v="20"/>
    <x v="5"/>
    <n v="1292953"/>
    <n v="684235"/>
  </r>
  <r>
    <x v="21"/>
    <x v="5"/>
    <n v="1348121"/>
    <n v="713237"/>
  </r>
  <r>
    <x v="22"/>
    <x v="5"/>
    <n v="1408591"/>
    <n v="744935"/>
  </r>
  <r>
    <x v="23"/>
    <x v="5"/>
    <n v="1473950"/>
    <n v="779238"/>
  </r>
  <r>
    <x v="24"/>
    <x v="5"/>
    <n v="1543699"/>
    <n v="815798"/>
  </r>
  <r>
    <x v="25"/>
    <x v="5"/>
    <n v="1617531"/>
    <n v="854515"/>
  </r>
  <r>
    <x v="26"/>
    <x v="5"/>
    <n v="1695561.6179397299"/>
    <n v="895435.59485032898"/>
  </r>
  <r>
    <x v="27"/>
    <x v="5"/>
    <n v="1777773.0231401001"/>
    <n v="938553.24645900598"/>
  </r>
  <r>
    <x v="28"/>
    <x v="5"/>
    <n v="1864088.91677042"/>
    <n v="983844.774838179"/>
  </r>
  <r>
    <x v="29"/>
    <x v="5"/>
    <n v="1954433"/>
    <n v="1031287"/>
  </r>
  <r>
    <x v="30"/>
    <x v="5"/>
    <n v="2048490.86358963"/>
    <n v="1080724.1317328301"/>
  </r>
  <r>
    <x v="31"/>
    <x v="5"/>
    <n v="2144995.6566661401"/>
    <n v="1131469.93892984"/>
  </r>
  <r>
    <x v="32"/>
    <x v="5"/>
    <n v="2242442.4179478199"/>
    <n v="1182705.58026045"/>
  </r>
  <r>
    <x v="33"/>
    <x v="5"/>
    <n v="2339326.18615301"/>
    <n v="1233612.2143940399"/>
  </r>
  <r>
    <x v="34"/>
    <x v="5"/>
    <n v="2434142"/>
    <n v="1283371"/>
  </r>
  <r>
    <x v="35"/>
    <x v="5"/>
    <n v="2525497.0653350898"/>
    <n v="1331229.28971938"/>
  </r>
  <r>
    <x v="36"/>
    <x v="5"/>
    <n v="2612447.2565164701"/>
    <n v="1376699.2120798"/>
  </r>
  <r>
    <x v="37"/>
    <x v="5"/>
    <n v="2694160.6150302999"/>
    <n v="1419359.0895805301"/>
  </r>
  <r>
    <x v="38"/>
    <x v="5"/>
    <n v="2769805.18236276"/>
    <n v="1458787.2447208399"/>
  </r>
  <r>
    <x v="39"/>
    <x v="5"/>
    <n v="2838549"/>
    <n v="1494562"/>
  </r>
  <r>
    <x v="40"/>
    <x v="5"/>
    <n v="2900011.1150699998"/>
    <n v="1526491.79738965"/>
  </r>
  <r>
    <x v="41"/>
    <x v="5"/>
    <n v="2955614.5972679802"/>
    <n v="1555305.5567509499"/>
  </r>
  <r>
    <x v="42"/>
    <x v="5"/>
    <n v="3007233.52193096"/>
    <n v="1581962.31741742"/>
  </r>
  <r>
    <x v="43"/>
    <x v="5"/>
    <n v="3056741.9643959599"/>
    <n v="1607421.1187225999"/>
  </r>
  <r>
    <x v="44"/>
    <x v="5"/>
    <n v="3106014"/>
    <n v="1632641"/>
  </r>
  <r>
    <x v="45"/>
    <x v="5"/>
    <n v="3156725.2583848899"/>
    <n v="1658481.08072201"/>
  </r>
  <r>
    <x v="46"/>
    <x v="5"/>
    <n v="3209757.5864115902"/>
    <n v="1685400.8009164"/>
  </r>
  <r>
    <x v="47"/>
    <x v="5"/>
    <n v="3265794.3852458498"/>
    <n v="1713759.68074978"/>
  </r>
  <r>
    <x v="48"/>
    <x v="5"/>
    <n v="3325519.0560534"/>
    <n v="1743917.2403887799"/>
  </r>
  <r>
    <x v="49"/>
    <x v="5"/>
    <n v="3389615"/>
    <n v="1776233"/>
  </r>
  <r>
    <x v="50"/>
    <x v="5"/>
    <n v="3458805.30739043"/>
    <n v="1811086.4637223"/>
  </r>
  <r>
    <x v="51"/>
    <x v="5"/>
    <n v="3533971.82508564"/>
    <n v="1848937.0715834601"/>
  </r>
  <r>
    <x v="52"/>
    <x v="5"/>
    <n v="3616036.0890856399"/>
    <n v="1890264.2475834601"/>
  </r>
  <r>
    <x v="53"/>
    <x v="5"/>
    <n v="3705919.6353904302"/>
    <n v="1935547.4157223001"/>
  </r>
  <r>
    <x v="54"/>
    <x v="5"/>
    <n v="3804544"/>
    <n v="1985266"/>
  </r>
  <r>
    <x v="0"/>
    <x v="6"/>
    <n v="710343.28776711202"/>
    <n v="373487.34083337098"/>
  </r>
  <r>
    <x v="1"/>
    <x v="6"/>
    <n v="717390.37266026705"/>
    <n v="377918.60450002301"/>
  </r>
  <r>
    <x v="2"/>
    <x v="6"/>
    <n v="727932.186330133"/>
    <n v="383636.80225001101"/>
  </r>
  <r>
    <x v="3"/>
    <x v="6"/>
    <n v="741553.72877671104"/>
    <n v="390568.93408333702"/>
  </r>
  <r>
    <x v="4"/>
    <x v="6"/>
    <n v="757840"/>
    <n v="398642"/>
  </r>
  <r>
    <x v="5"/>
    <x v="6"/>
    <n v="776376"/>
    <n v="407783"/>
  </r>
  <r>
    <x v="6"/>
    <x v="6"/>
    <n v="796712"/>
    <n v="417907"/>
  </r>
  <r>
    <x v="7"/>
    <x v="6"/>
    <n v="818433"/>
    <n v="428941"/>
  </r>
  <r>
    <x v="8"/>
    <x v="6"/>
    <n v="841739"/>
    <n v="441018"/>
  </r>
  <r>
    <x v="9"/>
    <x v="6"/>
    <n v="866819"/>
    <n v="454245"/>
  </r>
  <r>
    <x v="10"/>
    <x v="6"/>
    <n v="893794"/>
    <n v="468680"/>
  </r>
  <r>
    <x v="11"/>
    <x v="6"/>
    <n v="922773"/>
    <n v="484321"/>
  </r>
  <r>
    <x v="12"/>
    <x v="6"/>
    <n v="953869"/>
    <n v="501201"/>
  </r>
  <r>
    <x v="13"/>
    <x v="6"/>
    <n v="987212"/>
    <n v="519377"/>
  </r>
  <r>
    <x v="14"/>
    <x v="6"/>
    <n v="1022974"/>
    <n v="538921"/>
  </r>
  <r>
    <x v="15"/>
    <x v="6"/>
    <n v="1061340"/>
    <n v="559899"/>
  </r>
  <r>
    <x v="16"/>
    <x v="6"/>
    <n v="1102796.7939262099"/>
    <n v="582433.94467592705"/>
  </r>
  <r>
    <x v="17"/>
    <x v="6"/>
    <n v="1147296.6505007599"/>
    <n v="606480.27141564596"/>
  </r>
  <r>
    <x v="18"/>
    <x v="6"/>
    <n v="1194627"/>
    <n v="631943"/>
  </r>
  <r>
    <x v="19"/>
    <x v="6"/>
    <n v="1243739"/>
    <n v="658220"/>
  </r>
  <r>
    <x v="20"/>
    <x v="6"/>
    <n v="1292953"/>
    <n v="684235"/>
  </r>
  <r>
    <x v="21"/>
    <x v="6"/>
    <n v="1348121"/>
    <n v="713237"/>
  </r>
  <r>
    <x v="22"/>
    <x v="6"/>
    <n v="1408591"/>
    <n v="744935"/>
  </r>
  <r>
    <x v="23"/>
    <x v="6"/>
    <n v="1473950"/>
    <n v="779238"/>
  </r>
  <r>
    <x v="24"/>
    <x v="6"/>
    <n v="1543699"/>
    <n v="815798"/>
  </r>
  <r>
    <x v="25"/>
    <x v="6"/>
    <n v="1617531"/>
    <n v="854515"/>
  </r>
  <r>
    <x v="26"/>
    <x v="6"/>
    <n v="1695561.6179397299"/>
    <n v="895435.59485032898"/>
  </r>
  <r>
    <x v="27"/>
    <x v="6"/>
    <n v="1777773.0231401001"/>
    <n v="938553.24645900598"/>
  </r>
  <r>
    <x v="28"/>
    <x v="6"/>
    <n v="1864088.91677042"/>
    <n v="983844.774838179"/>
  </r>
  <r>
    <x v="29"/>
    <x v="6"/>
    <n v="1954433"/>
    <n v="1031287"/>
  </r>
  <r>
    <x v="30"/>
    <x v="6"/>
    <n v="2048490.86358963"/>
    <n v="1080724.1317328301"/>
  </r>
  <r>
    <x v="31"/>
    <x v="6"/>
    <n v="2144995.6566661401"/>
    <n v="1131469.93892984"/>
  </r>
  <r>
    <x v="32"/>
    <x v="6"/>
    <n v="2242442.4179478199"/>
    <n v="1182705.58026045"/>
  </r>
  <r>
    <x v="33"/>
    <x v="6"/>
    <n v="2339326.18615301"/>
    <n v="1233612.2143940399"/>
  </r>
  <r>
    <x v="34"/>
    <x v="6"/>
    <n v="2434142"/>
    <n v="1283371"/>
  </r>
  <r>
    <x v="35"/>
    <x v="6"/>
    <n v="2525497.0653350898"/>
    <n v="1331229.28971938"/>
  </r>
  <r>
    <x v="36"/>
    <x v="6"/>
    <n v="2612447.2565164701"/>
    <n v="1376699.2120798"/>
  </r>
  <r>
    <x v="37"/>
    <x v="6"/>
    <n v="2694160.6150302999"/>
    <n v="1419359.0895805301"/>
  </r>
  <r>
    <x v="38"/>
    <x v="6"/>
    <n v="2769805.18236276"/>
    <n v="1458787.2447208399"/>
  </r>
  <r>
    <x v="39"/>
    <x v="6"/>
    <n v="2838549"/>
    <n v="1494562"/>
  </r>
  <r>
    <x v="40"/>
    <x v="6"/>
    <n v="2900011.1150699998"/>
    <n v="1526491.79738965"/>
  </r>
  <r>
    <x v="41"/>
    <x v="6"/>
    <n v="2955614.5972679802"/>
    <n v="1555305.5567509499"/>
  </r>
  <r>
    <x v="42"/>
    <x v="6"/>
    <n v="3007233.52193096"/>
    <n v="1581962.31741742"/>
  </r>
  <r>
    <x v="43"/>
    <x v="6"/>
    <n v="3056741.9643959599"/>
    <n v="1607421.1187225999"/>
  </r>
  <r>
    <x v="44"/>
    <x v="6"/>
    <n v="3106014"/>
    <n v="1632641"/>
  </r>
  <r>
    <x v="45"/>
    <x v="6"/>
    <n v="3156725.2583848899"/>
    <n v="1658481.08072201"/>
  </r>
  <r>
    <x v="46"/>
    <x v="6"/>
    <n v="3209757.5864115902"/>
    <n v="1685400.8009164"/>
  </r>
  <r>
    <x v="47"/>
    <x v="6"/>
    <n v="3265794.3852458498"/>
    <n v="1713759.68074978"/>
  </r>
  <r>
    <x v="48"/>
    <x v="6"/>
    <n v="3325519.0560534"/>
    <n v="1743917.2403887799"/>
  </r>
  <r>
    <x v="49"/>
    <x v="6"/>
    <n v="3389615"/>
    <n v="1776233"/>
  </r>
  <r>
    <x v="50"/>
    <x v="6"/>
    <n v="3458805.30739043"/>
    <n v="1811086.4637223"/>
  </r>
  <r>
    <x v="51"/>
    <x v="6"/>
    <n v="3533971.82508564"/>
    <n v="1848937.0715834601"/>
  </r>
  <r>
    <x v="52"/>
    <x v="6"/>
    <n v="3616036.0890856399"/>
    <n v="1890264.2475834601"/>
  </r>
  <r>
    <x v="53"/>
    <x v="6"/>
    <n v="3705919.6353904302"/>
    <n v="1935547.4157223001"/>
  </r>
  <r>
    <x v="54"/>
    <x v="6"/>
    <n v="3804544"/>
    <n v="19852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Dinámica5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F3:H60" firstHeaderRow="1" firstDataRow="2" firstDataCol="1"/>
  <pivotFields count="4">
    <pivotField axis="axisRow" multipleItemSelectionAllowed="1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axis="axisCol" showAll="0">
      <items count="8">
        <item h="1" x="0"/>
        <item x="1"/>
        <item h="1" x="2"/>
        <item h="1" x="3"/>
        <item h="1" x="4"/>
        <item h="1" x="5"/>
        <item h="1" x="6"/>
        <item t="default"/>
      </items>
    </pivotField>
    <pivotField dataField="1" showAll="0"/>
    <pivotField showAll="0"/>
  </pivotFields>
  <rowFields count="1">
    <field x="0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1"/>
  </colFields>
  <colItems count="2">
    <i>
      <x v="1"/>
    </i>
    <i t="grand">
      <x/>
    </i>
  </colItems>
  <dataFields count="1">
    <dataField name="Suma de Población Total" fld="2" baseField="0" baseItem="0"/>
  </dataFields>
  <formats count="7">
    <format dxfId="2516">
      <pivotArea collapsedLevelsAreSubtotals="1" fieldPosition="0">
        <references count="1">
          <reference field="1" count="0"/>
        </references>
      </pivotArea>
    </format>
    <format dxfId="2517">
      <pivotArea collapsedLevelsAreSubtotals="1" fieldPosition="0">
        <references count="1">
          <reference field="1" count="0"/>
        </references>
      </pivotArea>
    </format>
    <format dxfId="2518">
      <pivotArea collapsedLevelsAreSubtotals="1" fieldPosition="0">
        <references count="1">
          <reference field="1" count="0"/>
        </references>
      </pivotArea>
    </format>
    <format dxfId="2519">
      <pivotArea field="0" grandCol="1" collapsedLevelsAreSubtotals="1" axis="axisRow" fieldPosition="0">
        <references count="1">
          <reference field="0" count="0"/>
        </references>
      </pivotArea>
    </format>
    <format dxfId="2520">
      <pivotArea field="0" grandCol="1" collapsedLevelsAreSubtotals="1" axis="axisRow" fieldPosition="0">
        <references count="1">
          <reference field="0" count="0"/>
        </references>
      </pivotArea>
    </format>
    <format dxfId="2521">
      <pivotArea field="0" grandCol="1" collapsedLevelsAreSubtotals="1" axis="axisRow" fieldPosition="0">
        <references count="1">
          <reference field="0" count="0"/>
        </references>
      </pivotArea>
    </format>
    <format dxfId="2522">
      <pivotArea field="0" grandCol="1" collapsedLevelsAreSubtotals="1" axis="axisRow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4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5:C13" firstHeaderRow="1" firstDataRow="2" firstDataCol="1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4"/>
        <item x="1"/>
        <item x="2"/>
        <item x="3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items count="2">
        <item x="0"/>
        <item m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5">
        <item x="5"/>
        <item x="1"/>
        <item x="4"/>
        <item x="3"/>
        <item x="2"/>
        <item x="6"/>
        <item x="0"/>
        <item x="14"/>
        <item x="9"/>
        <item x="7"/>
        <item x="8"/>
        <item x="10"/>
        <item x="12"/>
        <item x="13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Máx. de Población" fld="7" subtotal="max" baseField="2" baseItem="0" numFmtId="164"/>
    <dataField name="Suma de Fallecimientos" fld="6" baseField="0" baseItem="0"/>
  </dataFields>
  <formats count="29">
    <format dxfId="338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7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7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7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6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6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6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6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61">
      <pivotArea type="origin" dataOnly="0" labelOnly="1" outline="0" fieldPosition="0"/>
    </format>
    <format dxfId="3360">
      <pivotArea field="-2" type="button" dataOnly="0" labelOnly="1" outline="0" axis="axisCol" fieldPosition="0"/>
    </format>
    <format dxfId="3359">
      <pivotArea type="topRight" dataOnly="0" labelOnly="1" outline="0" fieldPosition="0"/>
    </format>
    <format dxfId="3358">
      <pivotArea field="2" type="button" dataOnly="0" labelOnly="1" outline="0" axis="axisRow" fieldPosition="0"/>
    </format>
    <format dxfId="33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56">
      <pivotArea field="2" type="button" dataOnly="0" labelOnly="1" outline="0" axis="axisRow" fieldPosition="0"/>
    </format>
    <format dxfId="33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31">
      <pivotArea field="2" type="button" dataOnly="0" labelOnly="1" outline="0" axis="axisRow" fieldPosition="0"/>
    </format>
    <format dxfId="25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TablaDinámica4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3:Q11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4"/>
        <item x="1"/>
        <item x="2"/>
        <item x="3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items count="2">
        <item x="0"/>
        <item m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5">
        <item x="5"/>
        <item x="1"/>
        <item x="4"/>
        <item x="3"/>
        <item x="2"/>
        <item x="6"/>
        <item x="0"/>
        <item x="14"/>
        <item x="9"/>
        <item x="7"/>
        <item x="8"/>
        <item x="10"/>
        <item x="12"/>
        <item x="13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33">
        <item x="6"/>
        <item x="13"/>
        <item x="20"/>
        <item x="27"/>
        <item x="34"/>
        <item x="41"/>
        <item x="48"/>
        <item x="55"/>
        <item x="62"/>
        <item x="69"/>
        <item x="76"/>
        <item x="83"/>
        <item x="90"/>
        <item x="97"/>
        <item x="5"/>
        <item x="104"/>
        <item x="12"/>
        <item x="19"/>
        <item x="111"/>
        <item x="26"/>
        <item x="118"/>
        <item x="33"/>
        <item x="40"/>
        <item x="125"/>
        <item x="47"/>
        <item x="132"/>
        <item x="54"/>
        <item x="61"/>
        <item x="68"/>
        <item x="75"/>
        <item x="82"/>
        <item x="89"/>
        <item x="96"/>
        <item x="103"/>
        <item x="110"/>
        <item x="117"/>
        <item x="124"/>
        <item x="131"/>
        <item x="0"/>
        <item x="7"/>
        <item x="14"/>
        <item x="126"/>
        <item x="21"/>
        <item x="119"/>
        <item x="28"/>
        <item x="112"/>
        <item x="35"/>
        <item x="105"/>
        <item x="42"/>
        <item x="98"/>
        <item x="49"/>
        <item x="91"/>
        <item x="56"/>
        <item x="84"/>
        <item x="63"/>
        <item x="77"/>
        <item x="70"/>
        <item x="3"/>
        <item x="10"/>
        <item x="17"/>
        <item x="24"/>
        <item x="31"/>
        <item x="38"/>
        <item x="45"/>
        <item x="52"/>
        <item x="59"/>
        <item x="66"/>
        <item x="73"/>
        <item x="1"/>
        <item x="80"/>
        <item x="8"/>
        <item x="15"/>
        <item x="87"/>
        <item x="22"/>
        <item x="29"/>
        <item x="94"/>
        <item x="36"/>
        <item x="43"/>
        <item x="101"/>
        <item x="50"/>
        <item x="57"/>
        <item x="64"/>
        <item x="71"/>
        <item x="108"/>
        <item x="78"/>
        <item x="85"/>
        <item x="92"/>
        <item x="99"/>
        <item x="106"/>
        <item x="113"/>
        <item x="120"/>
        <item x="127"/>
        <item x="4"/>
        <item x="53"/>
        <item x="46"/>
        <item x="39"/>
        <item x="60"/>
        <item x="11"/>
        <item x="32"/>
        <item x="18"/>
        <item x="25"/>
        <item x="67"/>
        <item x="74"/>
        <item x="81"/>
        <item x="88"/>
        <item x="115"/>
        <item x="95"/>
        <item x="102"/>
        <item x="109"/>
        <item x="116"/>
        <item x="123"/>
        <item x="130"/>
        <item x="122"/>
        <item x="129"/>
        <item x="2"/>
        <item x="9"/>
        <item x="16"/>
        <item x="23"/>
        <item x="30"/>
        <item x="37"/>
        <item x="44"/>
        <item x="51"/>
        <item x="58"/>
        <item x="65"/>
        <item x="72"/>
        <item x="79"/>
        <item x="86"/>
        <item x="93"/>
        <item x="100"/>
        <item x="107"/>
        <item x="114"/>
        <item x="121"/>
        <item x="12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 v="38"/>
    </i>
    <i>
      <x v="1"/>
      <x v="92"/>
    </i>
    <i>
      <x v="2"/>
      <x v="68"/>
    </i>
    <i>
      <x v="3"/>
      <x v="114"/>
    </i>
    <i>
      <x v="4"/>
      <x v="57"/>
    </i>
    <i>
      <x v="5"/>
      <x v="14"/>
    </i>
    <i>
      <x v="6"/>
      <x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11">
    <format dxfId="3354">
      <pivotArea type="origin" dataOnly="0" labelOnly="1" outline="0" fieldPosition="0"/>
    </format>
    <format dxfId="3353">
      <pivotArea field="-2" type="button" dataOnly="0" labelOnly="1" outline="0" axis="axisValues" fieldPosition="0"/>
    </format>
    <format dxfId="3352">
      <pivotArea type="topRight" dataOnly="0" labelOnly="1" outline="0" fieldPosition="0"/>
    </format>
    <format dxfId="3351">
      <pivotArea field="2" type="button" dataOnly="0" labelOnly="1" outline="0" axis="axisRow" fieldPosition="0"/>
    </format>
    <format dxfId="3350">
      <pivotArea field="2" type="button" dataOnly="0" labelOnly="1" outline="0" axis="axisRow" fieldPosition="0"/>
    </format>
    <format dxfId="3349">
      <pivotArea field="2" type="button" dataOnly="0" labelOnly="1" outline="0" axis="axisRow" fieldPosition="0"/>
    </format>
    <format dxfId="3348">
      <pivotArea field="7" type="button" dataOnly="0" labelOnly="1" outline="0" axis="axisRow" fieldPosition="1"/>
    </format>
    <format dxfId="3347">
      <pivotArea dataOnly="0" labelOnly="1" outline="0" fieldPosition="0">
        <references count="1">
          <reference field="4" count="0"/>
        </references>
      </pivotArea>
    </format>
    <format dxfId="3346">
      <pivotArea field="2" type="button" dataOnly="0" labelOnly="1" outline="0" axis="axisRow" fieldPosition="0"/>
    </format>
    <format dxfId="3345">
      <pivotArea field="7" type="button" dataOnly="0" labelOnly="1" outline="0" axis="axisRow" fieldPosition="1"/>
    </format>
    <format dxfId="3344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TablaDinámica4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5:C13" firstHeaderRow="1" firstDataRow="2" firstDataCol="1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Máx. de Población" fld="7" subtotal="max" baseField="2" baseItem="0" numFmtId="164"/>
    <dataField name="Suma de Fallecimientos" fld="6" baseField="0" baseItem="0"/>
  </dataFields>
  <formats count="27">
    <format dxfId="33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23">
      <pivotArea type="origin" dataOnly="0" labelOnly="1" outline="0" fieldPosition="0"/>
    </format>
    <format dxfId="3322">
      <pivotArea field="-2" type="button" dataOnly="0" labelOnly="1" outline="0" axis="axisCol" fieldPosition="0"/>
    </format>
    <format dxfId="3321">
      <pivotArea type="topRight" dataOnly="0" labelOnly="1" outline="0" fieldPosition="0"/>
    </format>
    <format dxfId="3320">
      <pivotArea field="2" type="button" dataOnly="0" labelOnly="1" outline="0" axis="axisRow" fieldPosition="0"/>
    </format>
    <format dxfId="33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18">
      <pivotArea field="2" type="button" dataOnly="0" labelOnly="1" outline="0" axis="axisRow" fieldPosition="0"/>
    </format>
    <format dxfId="33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TablaDinámica16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164:Q172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2574">
      <pivotArea type="origin" dataOnly="0" labelOnly="1" outline="0" fieldPosition="0"/>
    </format>
    <format dxfId="2573">
      <pivotArea field="-2" type="button" dataOnly="0" labelOnly="1" outline="0" axis="axisValues" fieldPosition="0"/>
    </format>
    <format dxfId="2572">
      <pivotArea type="topRight" dataOnly="0" labelOnly="1" outline="0" fieldPosition="0"/>
    </format>
    <format dxfId="2571">
      <pivotArea field="2" type="button" dataOnly="0" labelOnly="1" outline="0" axis="axisRow" fieldPosition="0"/>
    </format>
    <format dxfId="2570">
      <pivotArea field="2" type="button" dataOnly="0" labelOnly="1" outline="0" axis="axisRow" fieldPosition="0"/>
    </format>
    <format dxfId="2569">
      <pivotArea field="2" type="button" dataOnly="0" labelOnly="1" outline="0" axis="axisRow" fieldPosition="0"/>
    </format>
    <format dxfId="2568">
      <pivotArea field="7" type="button" dataOnly="0" labelOnly="1" outline="0" axis="axisRow" fieldPosition="1"/>
    </format>
    <format dxfId="2567">
      <pivotArea dataOnly="0" labelOnly="1" outline="0" fieldPosition="0">
        <references count="1">
          <reference field="4" count="0"/>
        </references>
      </pivotArea>
    </format>
    <format dxfId="2566">
      <pivotArea field="2" type="button" dataOnly="0" labelOnly="1" outline="0" axis="axisRow" fieldPosition="0"/>
    </format>
    <format dxfId="2565">
      <pivotArea field="7" type="button" dataOnly="0" labelOnly="1" outline="0" axis="axisRow" fieldPosition="1"/>
    </format>
    <format dxfId="2564">
      <pivotArea dataOnly="0" labelOnly="1" outline="0" fieldPosition="0">
        <references count="1">
          <reference field="4" count="0"/>
        </references>
      </pivotArea>
    </format>
    <format dxfId="2563">
      <pivotArea type="all" dataOnly="0" outline="0" fieldPosition="0"/>
    </format>
    <format dxfId="2562">
      <pivotArea outline="0" collapsedLevelsAreSubtotals="1" fieldPosition="0"/>
    </format>
    <format dxfId="2561">
      <pivotArea type="origin" dataOnly="0" labelOnly="1" outline="0" fieldPosition="0"/>
    </format>
    <format dxfId="2560">
      <pivotArea field="4" type="button" dataOnly="0" labelOnly="1" outline="0" axis="axisCol" fieldPosition="0"/>
    </format>
    <format dxfId="2559">
      <pivotArea type="topRight" dataOnly="0" labelOnly="1" outline="0" fieldPosition="0"/>
    </format>
    <format dxfId="2558">
      <pivotArea field="2" type="button" dataOnly="0" labelOnly="1" outline="0" axis="axisRow" fieldPosition="0"/>
    </format>
    <format dxfId="2557">
      <pivotArea field="7" type="button" dataOnly="0" labelOnly="1" outline="0" axis="axisRow" fieldPosition="1"/>
    </format>
    <format dxfId="2556">
      <pivotArea dataOnly="0" labelOnly="1" outline="0" fieldPosition="0">
        <references count="1">
          <reference field="2" count="0"/>
        </references>
      </pivotArea>
    </format>
    <format dxfId="2555">
      <pivotArea dataOnly="0" labelOnly="1" outline="0" fieldPosition="0">
        <references count="2">
          <reference field="2" count="1" selected="0">
            <x v="0"/>
          </reference>
          <reference field="7" count="1">
            <x v="66"/>
          </reference>
        </references>
      </pivotArea>
    </format>
    <format dxfId="2554">
      <pivotArea dataOnly="0" labelOnly="1" outline="0" fieldPosition="0">
        <references count="2">
          <reference field="2" count="1" selected="0">
            <x v="1"/>
          </reference>
          <reference field="7" count="1">
            <x v="67"/>
          </reference>
        </references>
      </pivotArea>
    </format>
    <format dxfId="2553">
      <pivotArea dataOnly="0" labelOnly="1" outline="0" fieldPosition="0">
        <references count="2">
          <reference field="2" count="1" selected="0">
            <x v="2"/>
          </reference>
          <reference field="7" count="1">
            <x v="68"/>
          </reference>
        </references>
      </pivotArea>
    </format>
    <format dxfId="2552">
      <pivotArea dataOnly="0" labelOnly="1" outline="0" fieldPosition="0">
        <references count="2">
          <reference field="2" count="1" selected="0">
            <x v="3"/>
          </reference>
          <reference field="7" count="1">
            <x v="69"/>
          </reference>
        </references>
      </pivotArea>
    </format>
    <format dxfId="2551">
      <pivotArea dataOnly="0" labelOnly="1" outline="0" fieldPosition="0">
        <references count="2">
          <reference field="2" count="1" selected="0">
            <x v="4"/>
          </reference>
          <reference field="7" count="1">
            <x v="70"/>
          </reference>
        </references>
      </pivotArea>
    </format>
    <format dxfId="2550">
      <pivotArea dataOnly="0" labelOnly="1" outline="0" fieldPosition="0">
        <references count="2">
          <reference field="2" count="1" selected="0">
            <x v="5"/>
          </reference>
          <reference field="7" count="1">
            <x v="71"/>
          </reference>
        </references>
      </pivotArea>
    </format>
    <format dxfId="2549">
      <pivotArea dataOnly="0" labelOnly="1" outline="0" fieldPosition="0">
        <references count="2">
          <reference field="2" count="1" selected="0">
            <x v="6"/>
          </reference>
          <reference field="7" count="1">
            <x v="71"/>
          </reference>
        </references>
      </pivotArea>
    </format>
    <format dxfId="2548">
      <pivotArea dataOnly="0" labelOnly="1" outline="0" fieldPosition="0">
        <references count="1">
          <reference field="4" count="0"/>
        </references>
      </pivotArea>
    </format>
    <format dxfId="2547">
      <pivotArea type="all" dataOnly="0" outline="0" fieldPosition="0"/>
    </format>
    <format dxfId="2546">
      <pivotArea outline="0" collapsedLevelsAreSubtotals="1" fieldPosition="0"/>
    </format>
    <format dxfId="2545">
      <pivotArea type="origin" dataOnly="0" labelOnly="1" outline="0" fieldPosition="0"/>
    </format>
    <format dxfId="2544">
      <pivotArea field="4" type="button" dataOnly="0" labelOnly="1" outline="0" axis="axisCol" fieldPosition="0"/>
    </format>
    <format dxfId="2543">
      <pivotArea type="topRight" dataOnly="0" labelOnly="1" outline="0" fieldPosition="0"/>
    </format>
    <format dxfId="2542">
      <pivotArea field="2" type="button" dataOnly="0" labelOnly="1" outline="0" axis="axisRow" fieldPosition="0"/>
    </format>
    <format dxfId="2541">
      <pivotArea field="7" type="button" dataOnly="0" labelOnly="1" outline="0" axis="axisRow" fieldPosition="1"/>
    </format>
    <format dxfId="2540">
      <pivotArea dataOnly="0" labelOnly="1" outline="0" fieldPosition="0">
        <references count="1">
          <reference field="2" count="0"/>
        </references>
      </pivotArea>
    </format>
    <format dxfId="2539">
      <pivotArea dataOnly="0" labelOnly="1" outline="0" fieldPosition="0">
        <references count="2">
          <reference field="2" count="1" selected="0">
            <x v="0"/>
          </reference>
          <reference field="7" count="1">
            <x v="66"/>
          </reference>
        </references>
      </pivotArea>
    </format>
    <format dxfId="2538">
      <pivotArea dataOnly="0" labelOnly="1" outline="0" fieldPosition="0">
        <references count="2">
          <reference field="2" count="1" selected="0">
            <x v="1"/>
          </reference>
          <reference field="7" count="1">
            <x v="67"/>
          </reference>
        </references>
      </pivotArea>
    </format>
    <format dxfId="2537">
      <pivotArea dataOnly="0" labelOnly="1" outline="0" fieldPosition="0">
        <references count="2">
          <reference field="2" count="1" selected="0">
            <x v="2"/>
          </reference>
          <reference field="7" count="1">
            <x v="68"/>
          </reference>
        </references>
      </pivotArea>
    </format>
    <format dxfId="2536">
      <pivotArea dataOnly="0" labelOnly="1" outline="0" fieldPosition="0">
        <references count="2">
          <reference field="2" count="1" selected="0">
            <x v="3"/>
          </reference>
          <reference field="7" count="1">
            <x v="69"/>
          </reference>
        </references>
      </pivotArea>
    </format>
    <format dxfId="2535">
      <pivotArea dataOnly="0" labelOnly="1" outline="0" fieldPosition="0">
        <references count="2">
          <reference field="2" count="1" selected="0">
            <x v="4"/>
          </reference>
          <reference field="7" count="1">
            <x v="70"/>
          </reference>
        </references>
      </pivotArea>
    </format>
    <format dxfId="2534">
      <pivotArea dataOnly="0" labelOnly="1" outline="0" fieldPosition="0">
        <references count="2">
          <reference field="2" count="1" selected="0">
            <x v="5"/>
          </reference>
          <reference field="7" count="1">
            <x v="71"/>
          </reference>
        </references>
      </pivotArea>
    </format>
    <format dxfId="2533">
      <pivotArea dataOnly="0" labelOnly="1" outline="0" fieldPosition="0">
        <references count="2">
          <reference field="2" count="1" selected="0">
            <x v="6"/>
          </reference>
          <reference field="7" count="1">
            <x v="71"/>
          </reference>
        </references>
      </pivotArea>
    </format>
    <format dxfId="2532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TablaDinámica15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151:Q159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2617">
      <pivotArea type="origin" dataOnly="0" labelOnly="1" outline="0" fieldPosition="0"/>
    </format>
    <format dxfId="2616">
      <pivotArea field="-2" type="button" dataOnly="0" labelOnly="1" outline="0" axis="axisValues" fieldPosition="0"/>
    </format>
    <format dxfId="2615">
      <pivotArea type="topRight" dataOnly="0" labelOnly="1" outline="0" fieldPosition="0"/>
    </format>
    <format dxfId="2614">
      <pivotArea field="2" type="button" dataOnly="0" labelOnly="1" outline="0" axis="axisRow" fieldPosition="0"/>
    </format>
    <format dxfId="2613">
      <pivotArea field="2" type="button" dataOnly="0" labelOnly="1" outline="0" axis="axisRow" fieldPosition="0"/>
    </format>
    <format dxfId="2612">
      <pivotArea field="2" type="button" dataOnly="0" labelOnly="1" outline="0" axis="axisRow" fieldPosition="0"/>
    </format>
    <format dxfId="2611">
      <pivotArea field="7" type="button" dataOnly="0" labelOnly="1" outline="0" axis="axisRow" fieldPosition="1"/>
    </format>
    <format dxfId="2610">
      <pivotArea dataOnly="0" labelOnly="1" outline="0" fieldPosition="0">
        <references count="1">
          <reference field="4" count="0"/>
        </references>
      </pivotArea>
    </format>
    <format dxfId="2609">
      <pivotArea field="2" type="button" dataOnly="0" labelOnly="1" outline="0" axis="axisRow" fieldPosition="0"/>
    </format>
    <format dxfId="2608">
      <pivotArea field="7" type="button" dataOnly="0" labelOnly="1" outline="0" axis="axisRow" fieldPosition="1"/>
    </format>
    <format dxfId="2607">
      <pivotArea dataOnly="0" labelOnly="1" outline="0" fieldPosition="0">
        <references count="1">
          <reference field="4" count="0"/>
        </references>
      </pivotArea>
    </format>
    <format dxfId="2606">
      <pivotArea type="all" dataOnly="0" outline="0" fieldPosition="0"/>
    </format>
    <format dxfId="2605">
      <pivotArea outline="0" collapsedLevelsAreSubtotals="1" fieldPosition="0"/>
    </format>
    <format dxfId="2604">
      <pivotArea type="origin" dataOnly="0" labelOnly="1" outline="0" fieldPosition="0"/>
    </format>
    <format dxfId="2603">
      <pivotArea field="4" type="button" dataOnly="0" labelOnly="1" outline="0" axis="axisCol" fieldPosition="0"/>
    </format>
    <format dxfId="2602">
      <pivotArea type="topRight" dataOnly="0" labelOnly="1" outline="0" fieldPosition="0"/>
    </format>
    <format dxfId="2601">
      <pivotArea field="2" type="button" dataOnly="0" labelOnly="1" outline="0" axis="axisRow" fieldPosition="0"/>
    </format>
    <format dxfId="2600">
      <pivotArea field="7" type="button" dataOnly="0" labelOnly="1" outline="0" axis="axisRow" fieldPosition="1"/>
    </format>
    <format dxfId="2599">
      <pivotArea dataOnly="0" labelOnly="1" outline="0" fieldPosition="0">
        <references count="1">
          <reference field="2" count="0"/>
        </references>
      </pivotArea>
    </format>
    <format dxfId="2598">
      <pivotArea dataOnly="0" labelOnly="1" outline="0" fieldPosition="0">
        <references count="2">
          <reference field="2" count="1" selected="0">
            <x v="0"/>
          </reference>
          <reference field="7" count="1">
            <x v="60"/>
          </reference>
        </references>
      </pivotArea>
    </format>
    <format dxfId="2597">
      <pivotArea dataOnly="0" labelOnly="1" outline="0" fieldPosition="0">
        <references count="2">
          <reference field="2" count="1" selected="0">
            <x v="1"/>
          </reference>
          <reference field="7" count="1">
            <x v="61"/>
          </reference>
        </references>
      </pivotArea>
    </format>
    <format dxfId="2596">
      <pivotArea dataOnly="0" labelOnly="1" outline="0" fieldPosition="0">
        <references count="2">
          <reference field="2" count="1" selected="0">
            <x v="2"/>
          </reference>
          <reference field="7" count="1">
            <x v="62"/>
          </reference>
        </references>
      </pivotArea>
    </format>
    <format dxfId="2595">
      <pivotArea dataOnly="0" labelOnly="1" outline="0" fieldPosition="0">
        <references count="2">
          <reference field="2" count="1" selected="0">
            <x v="3"/>
          </reference>
          <reference field="7" count="1">
            <x v="63"/>
          </reference>
        </references>
      </pivotArea>
    </format>
    <format dxfId="2594">
      <pivotArea dataOnly="0" labelOnly="1" outline="0" fieldPosition="0">
        <references count="2">
          <reference field="2" count="1" selected="0">
            <x v="4"/>
          </reference>
          <reference field="7" count="1">
            <x v="64"/>
          </reference>
        </references>
      </pivotArea>
    </format>
    <format dxfId="2593">
      <pivotArea dataOnly="0" labelOnly="1" outline="0" fieldPosition="0">
        <references count="2">
          <reference field="2" count="1" selected="0">
            <x v="5"/>
          </reference>
          <reference field="7" count="1">
            <x v="65"/>
          </reference>
        </references>
      </pivotArea>
    </format>
    <format dxfId="2592">
      <pivotArea dataOnly="0" labelOnly="1" outline="0" fieldPosition="0">
        <references count="2">
          <reference field="2" count="1" selected="0">
            <x v="6"/>
          </reference>
          <reference field="7" count="1">
            <x v="65"/>
          </reference>
        </references>
      </pivotArea>
    </format>
    <format dxfId="2591">
      <pivotArea dataOnly="0" labelOnly="1" outline="0" fieldPosition="0">
        <references count="1">
          <reference field="4" count="0"/>
        </references>
      </pivotArea>
    </format>
    <format dxfId="2590">
      <pivotArea type="all" dataOnly="0" outline="0" fieldPosition="0"/>
    </format>
    <format dxfId="2589">
      <pivotArea outline="0" collapsedLevelsAreSubtotals="1" fieldPosition="0"/>
    </format>
    <format dxfId="2588">
      <pivotArea type="origin" dataOnly="0" labelOnly="1" outline="0" fieldPosition="0"/>
    </format>
    <format dxfId="2587">
      <pivotArea field="4" type="button" dataOnly="0" labelOnly="1" outline="0" axis="axisCol" fieldPosition="0"/>
    </format>
    <format dxfId="2586">
      <pivotArea type="topRight" dataOnly="0" labelOnly="1" outline="0" fieldPosition="0"/>
    </format>
    <format dxfId="2585">
      <pivotArea field="2" type="button" dataOnly="0" labelOnly="1" outline="0" axis="axisRow" fieldPosition="0"/>
    </format>
    <format dxfId="2584">
      <pivotArea field="7" type="button" dataOnly="0" labelOnly="1" outline="0" axis="axisRow" fieldPosition="1"/>
    </format>
    <format dxfId="2583">
      <pivotArea dataOnly="0" labelOnly="1" outline="0" fieldPosition="0">
        <references count="1">
          <reference field="2" count="0"/>
        </references>
      </pivotArea>
    </format>
    <format dxfId="2582">
      <pivotArea dataOnly="0" labelOnly="1" outline="0" fieldPosition="0">
        <references count="2">
          <reference field="2" count="1" selected="0">
            <x v="0"/>
          </reference>
          <reference field="7" count="1">
            <x v="60"/>
          </reference>
        </references>
      </pivotArea>
    </format>
    <format dxfId="2581">
      <pivotArea dataOnly="0" labelOnly="1" outline="0" fieldPosition="0">
        <references count="2">
          <reference field="2" count="1" selected="0">
            <x v="1"/>
          </reference>
          <reference field="7" count="1">
            <x v="61"/>
          </reference>
        </references>
      </pivotArea>
    </format>
    <format dxfId="2580">
      <pivotArea dataOnly="0" labelOnly="1" outline="0" fieldPosition="0">
        <references count="2">
          <reference field="2" count="1" selected="0">
            <x v="2"/>
          </reference>
          <reference field="7" count="1">
            <x v="62"/>
          </reference>
        </references>
      </pivotArea>
    </format>
    <format dxfId="2579">
      <pivotArea dataOnly="0" labelOnly="1" outline="0" fieldPosition="0">
        <references count="2">
          <reference field="2" count="1" selected="0">
            <x v="3"/>
          </reference>
          <reference field="7" count="1">
            <x v="63"/>
          </reference>
        </references>
      </pivotArea>
    </format>
    <format dxfId="2578">
      <pivotArea dataOnly="0" labelOnly="1" outline="0" fieldPosition="0">
        <references count="2">
          <reference field="2" count="1" selected="0">
            <x v="4"/>
          </reference>
          <reference field="7" count="1">
            <x v="64"/>
          </reference>
        </references>
      </pivotArea>
    </format>
    <format dxfId="2577">
      <pivotArea dataOnly="0" labelOnly="1" outline="0" fieldPosition="0">
        <references count="2">
          <reference field="2" count="1" selected="0">
            <x v="5"/>
          </reference>
          <reference field="7" count="1">
            <x v="65"/>
          </reference>
        </references>
      </pivotArea>
    </format>
    <format dxfId="2576">
      <pivotArea dataOnly="0" labelOnly="1" outline="0" fieldPosition="0">
        <references count="2">
          <reference field="2" count="1" selected="0">
            <x v="6"/>
          </reference>
          <reference field="7" count="1">
            <x v="65"/>
          </reference>
        </references>
      </pivotArea>
    </format>
    <format dxfId="2575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TablaDinámica12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112:Q120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2660">
      <pivotArea type="origin" dataOnly="0" labelOnly="1" outline="0" fieldPosition="0"/>
    </format>
    <format dxfId="2659">
      <pivotArea field="-2" type="button" dataOnly="0" labelOnly="1" outline="0" axis="axisValues" fieldPosition="0"/>
    </format>
    <format dxfId="2658">
      <pivotArea type="topRight" dataOnly="0" labelOnly="1" outline="0" fieldPosition="0"/>
    </format>
    <format dxfId="2657">
      <pivotArea field="2" type="button" dataOnly="0" labelOnly="1" outline="0" axis="axisRow" fieldPosition="0"/>
    </format>
    <format dxfId="2656">
      <pivotArea field="2" type="button" dataOnly="0" labelOnly="1" outline="0" axis="axisRow" fieldPosition="0"/>
    </format>
    <format dxfId="2655">
      <pivotArea field="2" type="button" dataOnly="0" labelOnly="1" outline="0" axis="axisRow" fieldPosition="0"/>
    </format>
    <format dxfId="2654">
      <pivotArea field="7" type="button" dataOnly="0" labelOnly="1" outline="0" axis="axisRow" fieldPosition="1"/>
    </format>
    <format dxfId="2653">
      <pivotArea dataOnly="0" labelOnly="1" outline="0" fieldPosition="0">
        <references count="1">
          <reference field="4" count="0"/>
        </references>
      </pivotArea>
    </format>
    <format dxfId="2652">
      <pivotArea field="2" type="button" dataOnly="0" labelOnly="1" outline="0" axis="axisRow" fieldPosition="0"/>
    </format>
    <format dxfId="2651">
      <pivotArea field="7" type="button" dataOnly="0" labelOnly="1" outline="0" axis="axisRow" fieldPosition="1"/>
    </format>
    <format dxfId="2650">
      <pivotArea dataOnly="0" labelOnly="1" outline="0" fieldPosition="0">
        <references count="1">
          <reference field="4" count="0"/>
        </references>
      </pivotArea>
    </format>
    <format dxfId="2649">
      <pivotArea type="all" dataOnly="0" outline="0" fieldPosition="0"/>
    </format>
    <format dxfId="2648">
      <pivotArea outline="0" collapsedLevelsAreSubtotals="1" fieldPosition="0"/>
    </format>
    <format dxfId="2647">
      <pivotArea type="origin" dataOnly="0" labelOnly="1" outline="0" fieldPosition="0"/>
    </format>
    <format dxfId="2646">
      <pivotArea field="4" type="button" dataOnly="0" labelOnly="1" outline="0" axis="axisCol" fieldPosition="0"/>
    </format>
    <format dxfId="2645">
      <pivotArea type="topRight" dataOnly="0" labelOnly="1" outline="0" fieldPosition="0"/>
    </format>
    <format dxfId="2644">
      <pivotArea field="2" type="button" dataOnly="0" labelOnly="1" outline="0" axis="axisRow" fieldPosition="0"/>
    </format>
    <format dxfId="2643">
      <pivotArea field="7" type="button" dataOnly="0" labelOnly="1" outline="0" axis="axisRow" fieldPosition="1"/>
    </format>
    <format dxfId="2642">
      <pivotArea dataOnly="0" labelOnly="1" outline="0" fieldPosition="0">
        <references count="1">
          <reference field="2" count="0"/>
        </references>
      </pivotArea>
    </format>
    <format dxfId="2641">
      <pivotArea dataOnly="0" labelOnly="1" outline="0" fieldPosition="0">
        <references count="2">
          <reference field="2" count="1" selected="0">
            <x v="0"/>
          </reference>
          <reference field="7" count="1">
            <x v="42"/>
          </reference>
        </references>
      </pivotArea>
    </format>
    <format dxfId="2640">
      <pivotArea dataOnly="0" labelOnly="1" outline="0" fieldPosition="0">
        <references count="2">
          <reference field="2" count="1" selected="0">
            <x v="1"/>
          </reference>
          <reference field="7" count="1">
            <x v="43"/>
          </reference>
        </references>
      </pivotArea>
    </format>
    <format dxfId="2639">
      <pivotArea dataOnly="0" labelOnly="1" outline="0" fieldPosition="0">
        <references count="2">
          <reference field="2" count="1" selected="0">
            <x v="2"/>
          </reference>
          <reference field="7" count="1">
            <x v="44"/>
          </reference>
        </references>
      </pivotArea>
    </format>
    <format dxfId="2638">
      <pivotArea dataOnly="0" labelOnly="1" outline="0" fieldPosition="0">
        <references count="2">
          <reference field="2" count="1" selected="0">
            <x v="3"/>
          </reference>
          <reference field="7" count="1">
            <x v="45"/>
          </reference>
        </references>
      </pivotArea>
    </format>
    <format dxfId="2637">
      <pivotArea dataOnly="0" labelOnly="1" outline="0" fieldPosition="0">
        <references count="2">
          <reference field="2" count="1" selected="0">
            <x v="4"/>
          </reference>
          <reference field="7" count="1">
            <x v="46"/>
          </reference>
        </references>
      </pivotArea>
    </format>
    <format dxfId="2636">
      <pivotArea dataOnly="0" labelOnly="1" outline="0" fieldPosition="0">
        <references count="2">
          <reference field="2" count="1" selected="0">
            <x v="5"/>
          </reference>
          <reference field="7" count="1">
            <x v="47"/>
          </reference>
        </references>
      </pivotArea>
    </format>
    <format dxfId="2635">
      <pivotArea dataOnly="0" labelOnly="1" outline="0" fieldPosition="0">
        <references count="2">
          <reference field="2" count="1" selected="0">
            <x v="6"/>
          </reference>
          <reference field="7" count="1">
            <x v="47"/>
          </reference>
        </references>
      </pivotArea>
    </format>
    <format dxfId="2634">
      <pivotArea dataOnly="0" labelOnly="1" outline="0" fieldPosition="0">
        <references count="1">
          <reference field="4" count="0"/>
        </references>
      </pivotArea>
    </format>
    <format dxfId="2633">
      <pivotArea type="all" dataOnly="0" outline="0" fieldPosition="0"/>
    </format>
    <format dxfId="2632">
      <pivotArea outline="0" collapsedLevelsAreSubtotals="1" fieldPosition="0"/>
    </format>
    <format dxfId="2631">
      <pivotArea type="origin" dataOnly="0" labelOnly="1" outline="0" fieldPosition="0"/>
    </format>
    <format dxfId="2630">
      <pivotArea field="4" type="button" dataOnly="0" labelOnly="1" outline="0" axis="axisCol" fieldPosition="0"/>
    </format>
    <format dxfId="2629">
      <pivotArea type="topRight" dataOnly="0" labelOnly="1" outline="0" fieldPosition="0"/>
    </format>
    <format dxfId="2628">
      <pivotArea field="2" type="button" dataOnly="0" labelOnly="1" outline="0" axis="axisRow" fieldPosition="0"/>
    </format>
    <format dxfId="2627">
      <pivotArea field="7" type="button" dataOnly="0" labelOnly="1" outline="0" axis="axisRow" fieldPosition="1"/>
    </format>
    <format dxfId="2626">
      <pivotArea dataOnly="0" labelOnly="1" outline="0" fieldPosition="0">
        <references count="1">
          <reference field="2" count="0"/>
        </references>
      </pivotArea>
    </format>
    <format dxfId="2625">
      <pivotArea dataOnly="0" labelOnly="1" outline="0" fieldPosition="0">
        <references count="2">
          <reference field="2" count="1" selected="0">
            <x v="0"/>
          </reference>
          <reference field="7" count="1">
            <x v="42"/>
          </reference>
        </references>
      </pivotArea>
    </format>
    <format dxfId="2624">
      <pivotArea dataOnly="0" labelOnly="1" outline="0" fieldPosition="0">
        <references count="2">
          <reference field="2" count="1" selected="0">
            <x v="1"/>
          </reference>
          <reference field="7" count="1">
            <x v="43"/>
          </reference>
        </references>
      </pivotArea>
    </format>
    <format dxfId="2623">
      <pivotArea dataOnly="0" labelOnly="1" outline="0" fieldPosition="0">
        <references count="2">
          <reference field="2" count="1" selected="0">
            <x v="2"/>
          </reference>
          <reference field="7" count="1">
            <x v="44"/>
          </reference>
        </references>
      </pivotArea>
    </format>
    <format dxfId="2622">
      <pivotArea dataOnly="0" labelOnly="1" outline="0" fieldPosition="0">
        <references count="2">
          <reference field="2" count="1" selected="0">
            <x v="3"/>
          </reference>
          <reference field="7" count="1">
            <x v="45"/>
          </reference>
        </references>
      </pivotArea>
    </format>
    <format dxfId="2621">
      <pivotArea dataOnly="0" labelOnly="1" outline="0" fieldPosition="0">
        <references count="2">
          <reference field="2" count="1" selected="0">
            <x v="4"/>
          </reference>
          <reference field="7" count="1">
            <x v="46"/>
          </reference>
        </references>
      </pivotArea>
    </format>
    <format dxfId="2620">
      <pivotArea dataOnly="0" labelOnly="1" outline="0" fieldPosition="0">
        <references count="2">
          <reference field="2" count="1" selected="0">
            <x v="5"/>
          </reference>
          <reference field="7" count="1">
            <x v="47"/>
          </reference>
        </references>
      </pivotArea>
    </format>
    <format dxfId="2619">
      <pivotArea dataOnly="0" labelOnly="1" outline="0" fieldPosition="0">
        <references count="2">
          <reference field="2" count="1" selected="0">
            <x v="6"/>
          </reference>
          <reference field="7" count="1">
            <x v="47"/>
          </reference>
        </references>
      </pivotArea>
    </format>
    <format dxfId="2618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8.xml><?xml version="1.0" encoding="utf-8"?>
<pivotTableDefinition xmlns="http://schemas.openxmlformats.org/spreadsheetml/2006/main" name="TablaDinámica13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125:Q133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2703">
      <pivotArea type="origin" dataOnly="0" labelOnly="1" outline="0" fieldPosition="0"/>
    </format>
    <format dxfId="2702">
      <pivotArea field="-2" type="button" dataOnly="0" labelOnly="1" outline="0" axis="axisValues" fieldPosition="0"/>
    </format>
    <format dxfId="2701">
      <pivotArea type="topRight" dataOnly="0" labelOnly="1" outline="0" fieldPosition="0"/>
    </format>
    <format dxfId="2700">
      <pivotArea field="2" type="button" dataOnly="0" labelOnly="1" outline="0" axis="axisRow" fieldPosition="0"/>
    </format>
    <format dxfId="2699">
      <pivotArea field="2" type="button" dataOnly="0" labelOnly="1" outline="0" axis="axisRow" fieldPosition="0"/>
    </format>
    <format dxfId="2698">
      <pivotArea field="2" type="button" dataOnly="0" labelOnly="1" outline="0" axis="axisRow" fieldPosition="0"/>
    </format>
    <format dxfId="2697">
      <pivotArea field="7" type="button" dataOnly="0" labelOnly="1" outline="0" axis="axisRow" fieldPosition="1"/>
    </format>
    <format dxfId="2696">
      <pivotArea dataOnly="0" labelOnly="1" outline="0" fieldPosition="0">
        <references count="1">
          <reference field="4" count="0"/>
        </references>
      </pivotArea>
    </format>
    <format dxfId="2695">
      <pivotArea field="2" type="button" dataOnly="0" labelOnly="1" outline="0" axis="axisRow" fieldPosition="0"/>
    </format>
    <format dxfId="2694">
      <pivotArea field="7" type="button" dataOnly="0" labelOnly="1" outline="0" axis="axisRow" fieldPosition="1"/>
    </format>
    <format dxfId="2693">
      <pivotArea dataOnly="0" labelOnly="1" outline="0" fieldPosition="0">
        <references count="1">
          <reference field="4" count="0"/>
        </references>
      </pivotArea>
    </format>
    <format dxfId="2692">
      <pivotArea type="all" dataOnly="0" outline="0" fieldPosition="0"/>
    </format>
    <format dxfId="2691">
      <pivotArea outline="0" collapsedLevelsAreSubtotals="1" fieldPosition="0"/>
    </format>
    <format dxfId="2690">
      <pivotArea type="origin" dataOnly="0" labelOnly="1" outline="0" fieldPosition="0"/>
    </format>
    <format dxfId="2689">
      <pivotArea field="4" type="button" dataOnly="0" labelOnly="1" outline="0" axis="axisCol" fieldPosition="0"/>
    </format>
    <format dxfId="2688">
      <pivotArea type="topRight" dataOnly="0" labelOnly="1" outline="0" fieldPosition="0"/>
    </format>
    <format dxfId="2687">
      <pivotArea field="2" type="button" dataOnly="0" labelOnly="1" outline="0" axis="axisRow" fieldPosition="0"/>
    </format>
    <format dxfId="2686">
      <pivotArea field="7" type="button" dataOnly="0" labelOnly="1" outline="0" axis="axisRow" fieldPosition="1"/>
    </format>
    <format dxfId="2685">
      <pivotArea dataOnly="0" labelOnly="1" outline="0" fieldPosition="0">
        <references count="1">
          <reference field="2" count="0"/>
        </references>
      </pivotArea>
    </format>
    <format dxfId="2684">
      <pivotArea dataOnly="0" labelOnly="1" outline="0" fieldPosition="0">
        <references count="2">
          <reference field="2" count="1" selected="0">
            <x v="0"/>
          </reference>
          <reference field="7" count="1">
            <x v="48"/>
          </reference>
        </references>
      </pivotArea>
    </format>
    <format dxfId="2683">
      <pivotArea dataOnly="0" labelOnly="1" outline="0" fieldPosition="0">
        <references count="2">
          <reference field="2" count="1" selected="0">
            <x v="1"/>
          </reference>
          <reference field="7" count="1">
            <x v="49"/>
          </reference>
        </references>
      </pivotArea>
    </format>
    <format dxfId="2682">
      <pivotArea dataOnly="0" labelOnly="1" outline="0" fieldPosition="0">
        <references count="2">
          <reference field="2" count="1" selected="0">
            <x v="2"/>
          </reference>
          <reference field="7" count="1">
            <x v="50"/>
          </reference>
        </references>
      </pivotArea>
    </format>
    <format dxfId="2681">
      <pivotArea dataOnly="0" labelOnly="1" outline="0" fieldPosition="0">
        <references count="2">
          <reference field="2" count="1" selected="0">
            <x v="3"/>
          </reference>
          <reference field="7" count="1">
            <x v="51"/>
          </reference>
        </references>
      </pivotArea>
    </format>
    <format dxfId="2680">
      <pivotArea dataOnly="0" labelOnly="1" outline="0" fieldPosition="0">
        <references count="2">
          <reference field="2" count="1" selected="0">
            <x v="4"/>
          </reference>
          <reference field="7" count="1">
            <x v="52"/>
          </reference>
        </references>
      </pivotArea>
    </format>
    <format dxfId="2679">
      <pivotArea dataOnly="0" labelOnly="1" outline="0" fieldPosition="0">
        <references count="2">
          <reference field="2" count="1" selected="0">
            <x v="5"/>
          </reference>
          <reference field="7" count="1">
            <x v="53"/>
          </reference>
        </references>
      </pivotArea>
    </format>
    <format dxfId="2678">
      <pivotArea dataOnly="0" labelOnly="1" outline="0" fieldPosition="0">
        <references count="2">
          <reference field="2" count="1" selected="0">
            <x v="6"/>
          </reference>
          <reference field="7" count="1">
            <x v="53"/>
          </reference>
        </references>
      </pivotArea>
    </format>
    <format dxfId="2677">
      <pivotArea dataOnly="0" labelOnly="1" outline="0" fieldPosition="0">
        <references count="1">
          <reference field="4" count="0"/>
        </references>
      </pivotArea>
    </format>
    <format dxfId="2676">
      <pivotArea type="all" dataOnly="0" outline="0" fieldPosition="0"/>
    </format>
    <format dxfId="2675">
      <pivotArea outline="0" collapsedLevelsAreSubtotals="1" fieldPosition="0"/>
    </format>
    <format dxfId="2674">
      <pivotArea type="origin" dataOnly="0" labelOnly="1" outline="0" fieldPosition="0"/>
    </format>
    <format dxfId="2673">
      <pivotArea field="4" type="button" dataOnly="0" labelOnly="1" outline="0" axis="axisCol" fieldPosition="0"/>
    </format>
    <format dxfId="2672">
      <pivotArea type="topRight" dataOnly="0" labelOnly="1" outline="0" fieldPosition="0"/>
    </format>
    <format dxfId="2671">
      <pivotArea field="2" type="button" dataOnly="0" labelOnly="1" outline="0" axis="axisRow" fieldPosition="0"/>
    </format>
    <format dxfId="2670">
      <pivotArea field="7" type="button" dataOnly="0" labelOnly="1" outline="0" axis="axisRow" fieldPosition="1"/>
    </format>
    <format dxfId="2669">
      <pivotArea dataOnly="0" labelOnly="1" outline="0" fieldPosition="0">
        <references count="1">
          <reference field="2" count="0"/>
        </references>
      </pivotArea>
    </format>
    <format dxfId="2668">
      <pivotArea dataOnly="0" labelOnly="1" outline="0" fieldPosition="0">
        <references count="2">
          <reference field="2" count="1" selected="0">
            <x v="0"/>
          </reference>
          <reference field="7" count="1">
            <x v="48"/>
          </reference>
        </references>
      </pivotArea>
    </format>
    <format dxfId="2667">
      <pivotArea dataOnly="0" labelOnly="1" outline="0" fieldPosition="0">
        <references count="2">
          <reference field="2" count="1" selected="0">
            <x v="1"/>
          </reference>
          <reference field="7" count="1">
            <x v="49"/>
          </reference>
        </references>
      </pivotArea>
    </format>
    <format dxfId="2666">
      <pivotArea dataOnly="0" labelOnly="1" outline="0" fieldPosition="0">
        <references count="2">
          <reference field="2" count="1" selected="0">
            <x v="2"/>
          </reference>
          <reference field="7" count="1">
            <x v="50"/>
          </reference>
        </references>
      </pivotArea>
    </format>
    <format dxfId="2665">
      <pivotArea dataOnly="0" labelOnly="1" outline="0" fieldPosition="0">
        <references count="2">
          <reference field="2" count="1" selected="0">
            <x v="3"/>
          </reference>
          <reference field="7" count="1">
            <x v="51"/>
          </reference>
        </references>
      </pivotArea>
    </format>
    <format dxfId="2664">
      <pivotArea dataOnly="0" labelOnly="1" outline="0" fieldPosition="0">
        <references count="2">
          <reference field="2" count="1" selected="0">
            <x v="4"/>
          </reference>
          <reference field="7" count="1">
            <x v="52"/>
          </reference>
        </references>
      </pivotArea>
    </format>
    <format dxfId="2663">
      <pivotArea dataOnly="0" labelOnly="1" outline="0" fieldPosition="0">
        <references count="2">
          <reference field="2" count="1" selected="0">
            <x v="5"/>
          </reference>
          <reference field="7" count="1">
            <x v="53"/>
          </reference>
        </references>
      </pivotArea>
    </format>
    <format dxfId="2662">
      <pivotArea dataOnly="0" labelOnly="1" outline="0" fieldPosition="0">
        <references count="2">
          <reference field="2" count="1" selected="0">
            <x v="6"/>
          </reference>
          <reference field="7" count="1">
            <x v="53"/>
          </reference>
        </references>
      </pivotArea>
    </format>
    <format dxfId="2661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9.xml><?xml version="1.0" encoding="utf-8"?>
<pivotTableDefinition xmlns="http://schemas.openxmlformats.org/spreadsheetml/2006/main" name="TablaDinámica20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190:Q198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2746">
      <pivotArea type="origin" dataOnly="0" labelOnly="1" outline="0" fieldPosition="0"/>
    </format>
    <format dxfId="2745">
      <pivotArea field="-2" type="button" dataOnly="0" labelOnly="1" outline="0" axis="axisValues" fieldPosition="0"/>
    </format>
    <format dxfId="2744">
      <pivotArea type="topRight" dataOnly="0" labelOnly="1" outline="0" fieldPosition="0"/>
    </format>
    <format dxfId="2743">
      <pivotArea field="2" type="button" dataOnly="0" labelOnly="1" outline="0" axis="axisRow" fieldPosition="0"/>
    </format>
    <format dxfId="2742">
      <pivotArea field="2" type="button" dataOnly="0" labelOnly="1" outline="0" axis="axisRow" fieldPosition="0"/>
    </format>
    <format dxfId="2741">
      <pivotArea field="2" type="button" dataOnly="0" labelOnly="1" outline="0" axis="axisRow" fieldPosition="0"/>
    </format>
    <format dxfId="2740">
      <pivotArea field="7" type="button" dataOnly="0" labelOnly="1" outline="0" axis="axisRow" fieldPosition="1"/>
    </format>
    <format dxfId="2739">
      <pivotArea dataOnly="0" labelOnly="1" outline="0" fieldPosition="0">
        <references count="1">
          <reference field="4" count="0"/>
        </references>
      </pivotArea>
    </format>
    <format dxfId="2738">
      <pivotArea field="2" type="button" dataOnly="0" labelOnly="1" outline="0" axis="axisRow" fieldPosition="0"/>
    </format>
    <format dxfId="2737">
      <pivotArea field="7" type="button" dataOnly="0" labelOnly="1" outline="0" axis="axisRow" fieldPosition="1"/>
    </format>
    <format dxfId="2736">
      <pivotArea dataOnly="0" labelOnly="1" outline="0" fieldPosition="0">
        <references count="1">
          <reference field="4" count="0"/>
        </references>
      </pivotArea>
    </format>
    <format dxfId="2735">
      <pivotArea type="all" dataOnly="0" outline="0" fieldPosition="0"/>
    </format>
    <format dxfId="2734">
      <pivotArea outline="0" collapsedLevelsAreSubtotals="1" fieldPosition="0"/>
    </format>
    <format dxfId="2733">
      <pivotArea type="origin" dataOnly="0" labelOnly="1" outline="0" fieldPosition="0"/>
    </format>
    <format dxfId="2732">
      <pivotArea field="4" type="button" dataOnly="0" labelOnly="1" outline="0" axis="axisCol" fieldPosition="0"/>
    </format>
    <format dxfId="2731">
      <pivotArea type="topRight" dataOnly="0" labelOnly="1" outline="0" fieldPosition="0"/>
    </format>
    <format dxfId="2730">
      <pivotArea field="2" type="button" dataOnly="0" labelOnly="1" outline="0" axis="axisRow" fieldPosition="0"/>
    </format>
    <format dxfId="2729">
      <pivotArea field="7" type="button" dataOnly="0" labelOnly="1" outline="0" axis="axisRow" fieldPosition="1"/>
    </format>
    <format dxfId="2728">
      <pivotArea dataOnly="0" labelOnly="1" outline="0" fieldPosition="0">
        <references count="1">
          <reference field="2" count="0"/>
        </references>
      </pivotArea>
    </format>
    <format dxfId="2727">
      <pivotArea dataOnly="0" labelOnly="1" outline="0" fieldPosition="0">
        <references count="2">
          <reference field="2" count="1" selected="0">
            <x v="0"/>
          </reference>
          <reference field="7" count="1">
            <x v="78"/>
          </reference>
        </references>
      </pivotArea>
    </format>
    <format dxfId="2726">
      <pivotArea dataOnly="0" labelOnly="1" outline="0" fieldPosition="0">
        <references count="2">
          <reference field="2" count="1" selected="0">
            <x v="1"/>
          </reference>
          <reference field="7" count="1">
            <x v="79"/>
          </reference>
        </references>
      </pivotArea>
    </format>
    <format dxfId="2725">
      <pivotArea dataOnly="0" labelOnly="1" outline="0" fieldPosition="0">
        <references count="2">
          <reference field="2" count="1" selected="0">
            <x v="2"/>
          </reference>
          <reference field="7" count="1">
            <x v="80"/>
          </reference>
        </references>
      </pivotArea>
    </format>
    <format dxfId="2724">
      <pivotArea dataOnly="0" labelOnly="1" outline="0" fieldPosition="0">
        <references count="2">
          <reference field="2" count="1" selected="0">
            <x v="3"/>
          </reference>
          <reference field="7" count="1">
            <x v="81"/>
          </reference>
        </references>
      </pivotArea>
    </format>
    <format dxfId="2723">
      <pivotArea dataOnly="0" labelOnly="1" outline="0" fieldPosition="0">
        <references count="2">
          <reference field="2" count="1" selected="0">
            <x v="4"/>
          </reference>
          <reference field="7" count="1">
            <x v="82"/>
          </reference>
        </references>
      </pivotArea>
    </format>
    <format dxfId="2722">
      <pivotArea dataOnly="0" labelOnly="1" outline="0" fieldPosition="0">
        <references count="2">
          <reference field="2" count="1" selected="0">
            <x v="5"/>
          </reference>
          <reference field="7" count="1">
            <x v="83"/>
          </reference>
        </references>
      </pivotArea>
    </format>
    <format dxfId="2721">
      <pivotArea dataOnly="0" labelOnly="1" outline="0" fieldPosition="0">
        <references count="2">
          <reference field="2" count="1" selected="0">
            <x v="6"/>
          </reference>
          <reference field="7" count="1">
            <x v="83"/>
          </reference>
        </references>
      </pivotArea>
    </format>
    <format dxfId="2720">
      <pivotArea dataOnly="0" labelOnly="1" outline="0" fieldPosition="0">
        <references count="1">
          <reference field="4" count="0"/>
        </references>
      </pivotArea>
    </format>
    <format dxfId="2719">
      <pivotArea type="all" dataOnly="0" outline="0" fieldPosition="0"/>
    </format>
    <format dxfId="2718">
      <pivotArea outline="0" collapsedLevelsAreSubtotals="1" fieldPosition="0"/>
    </format>
    <format dxfId="2717">
      <pivotArea type="origin" dataOnly="0" labelOnly="1" outline="0" fieldPosition="0"/>
    </format>
    <format dxfId="2716">
      <pivotArea field="4" type="button" dataOnly="0" labelOnly="1" outline="0" axis="axisCol" fieldPosition="0"/>
    </format>
    <format dxfId="2715">
      <pivotArea type="topRight" dataOnly="0" labelOnly="1" outline="0" fieldPosition="0"/>
    </format>
    <format dxfId="2714">
      <pivotArea field="2" type="button" dataOnly="0" labelOnly="1" outline="0" axis="axisRow" fieldPosition="0"/>
    </format>
    <format dxfId="2713">
      <pivotArea field="7" type="button" dataOnly="0" labelOnly="1" outline="0" axis="axisRow" fieldPosition="1"/>
    </format>
    <format dxfId="2712">
      <pivotArea dataOnly="0" labelOnly="1" outline="0" fieldPosition="0">
        <references count="1">
          <reference field="2" count="0"/>
        </references>
      </pivotArea>
    </format>
    <format dxfId="2711">
      <pivotArea dataOnly="0" labelOnly="1" outline="0" fieldPosition="0">
        <references count="2">
          <reference field="2" count="1" selected="0">
            <x v="0"/>
          </reference>
          <reference field="7" count="1">
            <x v="78"/>
          </reference>
        </references>
      </pivotArea>
    </format>
    <format dxfId="2710">
      <pivotArea dataOnly="0" labelOnly="1" outline="0" fieldPosition="0">
        <references count="2">
          <reference field="2" count="1" selected="0">
            <x v="1"/>
          </reference>
          <reference field="7" count="1">
            <x v="79"/>
          </reference>
        </references>
      </pivotArea>
    </format>
    <format dxfId="2709">
      <pivotArea dataOnly="0" labelOnly="1" outline="0" fieldPosition="0">
        <references count="2">
          <reference field="2" count="1" selected="0">
            <x v="2"/>
          </reference>
          <reference field="7" count="1">
            <x v="80"/>
          </reference>
        </references>
      </pivotArea>
    </format>
    <format dxfId="2708">
      <pivotArea dataOnly="0" labelOnly="1" outline="0" fieldPosition="0">
        <references count="2">
          <reference field="2" count="1" selected="0">
            <x v="3"/>
          </reference>
          <reference field="7" count="1">
            <x v="81"/>
          </reference>
        </references>
      </pivotArea>
    </format>
    <format dxfId="2707">
      <pivotArea dataOnly="0" labelOnly="1" outline="0" fieldPosition="0">
        <references count="2">
          <reference field="2" count="1" selected="0">
            <x v="4"/>
          </reference>
          <reference field="7" count="1">
            <x v="82"/>
          </reference>
        </references>
      </pivotArea>
    </format>
    <format dxfId="2706">
      <pivotArea dataOnly="0" labelOnly="1" outline="0" fieldPosition="0">
        <references count="2">
          <reference field="2" count="1" selected="0">
            <x v="5"/>
          </reference>
          <reference field="7" count="1">
            <x v="83"/>
          </reference>
        </references>
      </pivotArea>
    </format>
    <format dxfId="2705">
      <pivotArea dataOnly="0" labelOnly="1" outline="0" fieldPosition="0">
        <references count="2">
          <reference field="2" count="1" selected="0">
            <x v="6"/>
          </reference>
          <reference field="7" count="1">
            <x v="83"/>
          </reference>
        </references>
      </pivotArea>
    </format>
    <format dxfId="2704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0.xml><?xml version="1.0" encoding="utf-8"?>
<pivotTableDefinition xmlns="http://schemas.openxmlformats.org/spreadsheetml/2006/main" name="TablaDinámica4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3:Q11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11">
    <format dxfId="2757">
      <pivotArea type="origin" dataOnly="0" labelOnly="1" outline="0" fieldPosition="0"/>
    </format>
    <format dxfId="2756">
      <pivotArea field="-2" type="button" dataOnly="0" labelOnly="1" outline="0" axis="axisValues" fieldPosition="0"/>
    </format>
    <format dxfId="2755">
      <pivotArea type="topRight" dataOnly="0" labelOnly="1" outline="0" fieldPosition="0"/>
    </format>
    <format dxfId="2754">
      <pivotArea field="2" type="button" dataOnly="0" labelOnly="1" outline="0" axis="axisRow" fieldPosition="0"/>
    </format>
    <format dxfId="2753">
      <pivotArea field="2" type="button" dataOnly="0" labelOnly="1" outline="0" axis="axisRow" fieldPosition="0"/>
    </format>
    <format dxfId="2752">
      <pivotArea field="2" type="button" dataOnly="0" labelOnly="1" outline="0" axis="axisRow" fieldPosition="0"/>
    </format>
    <format dxfId="2751">
      <pivotArea field="7" type="button" dataOnly="0" labelOnly="1" outline="0" axis="axisRow" fieldPosition="1"/>
    </format>
    <format dxfId="2750">
      <pivotArea dataOnly="0" labelOnly="1" outline="0" fieldPosition="0">
        <references count="1">
          <reference field="4" count="0"/>
        </references>
      </pivotArea>
    </format>
    <format dxfId="2749">
      <pivotArea field="2" type="button" dataOnly="0" labelOnly="1" outline="0" axis="axisRow" fieldPosition="0"/>
    </format>
    <format dxfId="2748">
      <pivotArea field="7" type="button" dataOnly="0" labelOnly="1" outline="0" axis="axisRow" fieldPosition="1"/>
    </format>
    <format dxfId="2747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1.xml><?xml version="1.0" encoding="utf-8"?>
<pivotTableDefinition xmlns="http://schemas.openxmlformats.org/spreadsheetml/2006/main" name="TablaDinámica22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242:Q250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2800">
      <pivotArea type="origin" dataOnly="0" labelOnly="1" outline="0" fieldPosition="0"/>
    </format>
    <format dxfId="2799">
      <pivotArea field="-2" type="button" dataOnly="0" labelOnly="1" outline="0" axis="axisValues" fieldPosition="0"/>
    </format>
    <format dxfId="2798">
      <pivotArea type="topRight" dataOnly="0" labelOnly="1" outline="0" fieldPosition="0"/>
    </format>
    <format dxfId="2797">
      <pivotArea field="2" type="button" dataOnly="0" labelOnly="1" outline="0" axis="axisRow" fieldPosition="0"/>
    </format>
    <format dxfId="2796">
      <pivotArea field="2" type="button" dataOnly="0" labelOnly="1" outline="0" axis="axisRow" fieldPosition="0"/>
    </format>
    <format dxfId="2795">
      <pivotArea field="2" type="button" dataOnly="0" labelOnly="1" outline="0" axis="axisRow" fieldPosition="0"/>
    </format>
    <format dxfId="2794">
      <pivotArea field="7" type="button" dataOnly="0" labelOnly="1" outline="0" axis="axisRow" fieldPosition="1"/>
    </format>
    <format dxfId="2793">
      <pivotArea dataOnly="0" labelOnly="1" outline="0" fieldPosition="0">
        <references count="1">
          <reference field="4" count="0"/>
        </references>
      </pivotArea>
    </format>
    <format dxfId="2792">
      <pivotArea field="2" type="button" dataOnly="0" labelOnly="1" outline="0" axis="axisRow" fieldPosition="0"/>
    </format>
    <format dxfId="2791">
      <pivotArea field="7" type="button" dataOnly="0" labelOnly="1" outline="0" axis="axisRow" fieldPosition="1"/>
    </format>
    <format dxfId="2790">
      <pivotArea dataOnly="0" labelOnly="1" outline="0" fieldPosition="0">
        <references count="1">
          <reference field="4" count="0"/>
        </references>
      </pivotArea>
    </format>
    <format dxfId="2789">
      <pivotArea type="all" dataOnly="0" outline="0" fieldPosition="0"/>
    </format>
    <format dxfId="2788">
      <pivotArea outline="0" collapsedLevelsAreSubtotals="1" fieldPosition="0"/>
    </format>
    <format dxfId="2787">
      <pivotArea type="origin" dataOnly="0" labelOnly="1" outline="0" fieldPosition="0"/>
    </format>
    <format dxfId="2786">
      <pivotArea field="4" type="button" dataOnly="0" labelOnly="1" outline="0" axis="axisCol" fieldPosition="0"/>
    </format>
    <format dxfId="2785">
      <pivotArea type="topRight" dataOnly="0" labelOnly="1" outline="0" fieldPosition="0"/>
    </format>
    <format dxfId="2784">
      <pivotArea field="2" type="button" dataOnly="0" labelOnly="1" outline="0" axis="axisRow" fieldPosition="0"/>
    </format>
    <format dxfId="2783">
      <pivotArea field="7" type="button" dataOnly="0" labelOnly="1" outline="0" axis="axisRow" fieldPosition="1"/>
    </format>
    <format dxfId="2782">
      <pivotArea dataOnly="0" labelOnly="1" outline="0" fieldPosition="0">
        <references count="1">
          <reference field="2" count="0"/>
        </references>
      </pivotArea>
    </format>
    <format dxfId="2781">
      <pivotArea dataOnly="0" labelOnly="1" outline="0" fieldPosition="0">
        <references count="2">
          <reference field="2" count="1" selected="0">
            <x v="0"/>
          </reference>
          <reference field="7" count="1">
            <x v="102"/>
          </reference>
        </references>
      </pivotArea>
    </format>
    <format dxfId="2780">
      <pivotArea dataOnly="0" labelOnly="1" outline="0" fieldPosition="0">
        <references count="2">
          <reference field="2" count="1" selected="0">
            <x v="1"/>
          </reference>
          <reference field="7" count="1">
            <x v="103"/>
          </reference>
        </references>
      </pivotArea>
    </format>
    <format dxfId="2779">
      <pivotArea dataOnly="0" labelOnly="1" outline="0" fieldPosition="0">
        <references count="2">
          <reference field="2" count="1" selected="0">
            <x v="2"/>
          </reference>
          <reference field="7" count="1">
            <x v="104"/>
          </reference>
        </references>
      </pivotArea>
    </format>
    <format dxfId="2778">
      <pivotArea dataOnly="0" labelOnly="1" outline="0" fieldPosition="0">
        <references count="2">
          <reference field="2" count="1" selected="0">
            <x v="3"/>
          </reference>
          <reference field="7" count="1">
            <x v="105"/>
          </reference>
        </references>
      </pivotArea>
    </format>
    <format dxfId="2777">
      <pivotArea dataOnly="0" labelOnly="1" outline="0" fieldPosition="0">
        <references count="2">
          <reference field="2" count="1" selected="0">
            <x v="4"/>
          </reference>
          <reference field="7" count="1">
            <x v="106"/>
          </reference>
        </references>
      </pivotArea>
    </format>
    <format dxfId="2776">
      <pivotArea dataOnly="0" labelOnly="1" outline="0" fieldPosition="0">
        <references count="2">
          <reference field="2" count="1" selected="0">
            <x v="5"/>
          </reference>
          <reference field="7" count="1">
            <x v="107"/>
          </reference>
        </references>
      </pivotArea>
    </format>
    <format dxfId="2775">
      <pivotArea dataOnly="0" labelOnly="1" outline="0" fieldPosition="0">
        <references count="2">
          <reference field="2" count="1" selected="0">
            <x v="6"/>
          </reference>
          <reference field="7" count="1">
            <x v="107"/>
          </reference>
        </references>
      </pivotArea>
    </format>
    <format dxfId="2774">
      <pivotArea dataOnly="0" labelOnly="1" outline="0" fieldPosition="0">
        <references count="1">
          <reference field="4" count="0"/>
        </references>
      </pivotArea>
    </format>
    <format dxfId="2773">
      <pivotArea type="all" dataOnly="0" outline="0" fieldPosition="0"/>
    </format>
    <format dxfId="2772">
      <pivotArea outline="0" collapsedLevelsAreSubtotals="1" fieldPosition="0"/>
    </format>
    <format dxfId="2771">
      <pivotArea type="origin" dataOnly="0" labelOnly="1" outline="0" fieldPosition="0"/>
    </format>
    <format dxfId="2770">
      <pivotArea field="4" type="button" dataOnly="0" labelOnly="1" outline="0" axis="axisCol" fieldPosition="0"/>
    </format>
    <format dxfId="2769">
      <pivotArea type="topRight" dataOnly="0" labelOnly="1" outline="0" fieldPosition="0"/>
    </format>
    <format dxfId="2768">
      <pivotArea field="2" type="button" dataOnly="0" labelOnly="1" outline="0" axis="axisRow" fieldPosition="0"/>
    </format>
    <format dxfId="2767">
      <pivotArea field="7" type="button" dataOnly="0" labelOnly="1" outline="0" axis="axisRow" fieldPosition="1"/>
    </format>
    <format dxfId="2766">
      <pivotArea dataOnly="0" labelOnly="1" outline="0" fieldPosition="0">
        <references count="1">
          <reference field="2" count="0"/>
        </references>
      </pivotArea>
    </format>
    <format dxfId="2765">
      <pivotArea dataOnly="0" labelOnly="1" outline="0" fieldPosition="0">
        <references count="2">
          <reference field="2" count="1" selected="0">
            <x v="0"/>
          </reference>
          <reference field="7" count="1">
            <x v="102"/>
          </reference>
        </references>
      </pivotArea>
    </format>
    <format dxfId="2764">
      <pivotArea dataOnly="0" labelOnly="1" outline="0" fieldPosition="0">
        <references count="2">
          <reference field="2" count="1" selected="0">
            <x v="1"/>
          </reference>
          <reference field="7" count="1">
            <x v="103"/>
          </reference>
        </references>
      </pivotArea>
    </format>
    <format dxfId="2763">
      <pivotArea dataOnly="0" labelOnly="1" outline="0" fieldPosition="0">
        <references count="2">
          <reference field="2" count="1" selected="0">
            <x v="2"/>
          </reference>
          <reference field="7" count="1">
            <x v="104"/>
          </reference>
        </references>
      </pivotArea>
    </format>
    <format dxfId="2762">
      <pivotArea dataOnly="0" labelOnly="1" outline="0" fieldPosition="0">
        <references count="2">
          <reference field="2" count="1" selected="0">
            <x v="3"/>
          </reference>
          <reference field="7" count="1">
            <x v="105"/>
          </reference>
        </references>
      </pivotArea>
    </format>
    <format dxfId="2761">
      <pivotArea dataOnly="0" labelOnly="1" outline="0" fieldPosition="0">
        <references count="2">
          <reference field="2" count="1" selected="0">
            <x v="4"/>
          </reference>
          <reference field="7" count="1">
            <x v="106"/>
          </reference>
        </references>
      </pivotArea>
    </format>
    <format dxfId="2760">
      <pivotArea dataOnly="0" labelOnly="1" outline="0" fieldPosition="0">
        <references count="2">
          <reference field="2" count="1" selected="0">
            <x v="5"/>
          </reference>
          <reference field="7" count="1">
            <x v="107"/>
          </reference>
        </references>
      </pivotArea>
    </format>
    <format dxfId="2759">
      <pivotArea dataOnly="0" labelOnly="1" outline="0" fieldPosition="0">
        <references count="2">
          <reference field="2" count="1" selected="0">
            <x v="6"/>
          </reference>
          <reference field="7" count="1">
            <x v="107"/>
          </reference>
        </references>
      </pivotArea>
    </format>
    <format dxfId="2758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2.xml><?xml version="1.0" encoding="utf-8"?>
<pivotTableDefinition xmlns="http://schemas.openxmlformats.org/spreadsheetml/2006/main" name="TablaDinámica21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255:Q263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2843">
      <pivotArea type="origin" dataOnly="0" labelOnly="1" outline="0" fieldPosition="0"/>
    </format>
    <format dxfId="2842">
      <pivotArea field="-2" type="button" dataOnly="0" labelOnly="1" outline="0" axis="axisValues" fieldPosition="0"/>
    </format>
    <format dxfId="2841">
      <pivotArea type="topRight" dataOnly="0" labelOnly="1" outline="0" fieldPosition="0"/>
    </format>
    <format dxfId="2840">
      <pivotArea field="2" type="button" dataOnly="0" labelOnly="1" outline="0" axis="axisRow" fieldPosition="0"/>
    </format>
    <format dxfId="2839">
      <pivotArea field="2" type="button" dataOnly="0" labelOnly="1" outline="0" axis="axisRow" fieldPosition="0"/>
    </format>
    <format dxfId="2838">
      <pivotArea field="2" type="button" dataOnly="0" labelOnly="1" outline="0" axis="axisRow" fieldPosition="0"/>
    </format>
    <format dxfId="2837">
      <pivotArea field="7" type="button" dataOnly="0" labelOnly="1" outline="0" axis="axisRow" fieldPosition="1"/>
    </format>
    <format dxfId="2836">
      <pivotArea dataOnly="0" labelOnly="1" outline="0" fieldPosition="0">
        <references count="1">
          <reference field="4" count="0"/>
        </references>
      </pivotArea>
    </format>
    <format dxfId="2835">
      <pivotArea field="2" type="button" dataOnly="0" labelOnly="1" outline="0" axis="axisRow" fieldPosition="0"/>
    </format>
    <format dxfId="2834">
      <pivotArea field="7" type="button" dataOnly="0" labelOnly="1" outline="0" axis="axisRow" fieldPosition="1"/>
    </format>
    <format dxfId="2833">
      <pivotArea dataOnly="0" labelOnly="1" outline="0" fieldPosition="0">
        <references count="1">
          <reference field="4" count="0"/>
        </references>
      </pivotArea>
    </format>
    <format dxfId="2832">
      <pivotArea type="all" dataOnly="0" outline="0" fieldPosition="0"/>
    </format>
    <format dxfId="2831">
      <pivotArea outline="0" collapsedLevelsAreSubtotals="1" fieldPosition="0"/>
    </format>
    <format dxfId="2830">
      <pivotArea type="origin" dataOnly="0" labelOnly="1" outline="0" fieldPosition="0"/>
    </format>
    <format dxfId="2829">
      <pivotArea field="4" type="button" dataOnly="0" labelOnly="1" outline="0" axis="axisCol" fieldPosition="0"/>
    </format>
    <format dxfId="2828">
      <pivotArea type="topRight" dataOnly="0" labelOnly="1" outline="0" fieldPosition="0"/>
    </format>
    <format dxfId="2827">
      <pivotArea field="2" type="button" dataOnly="0" labelOnly="1" outline="0" axis="axisRow" fieldPosition="0"/>
    </format>
    <format dxfId="2826">
      <pivotArea field="7" type="button" dataOnly="0" labelOnly="1" outline="0" axis="axisRow" fieldPosition="1"/>
    </format>
    <format dxfId="2825">
      <pivotArea dataOnly="0" labelOnly="1" outline="0" fieldPosition="0">
        <references count="1">
          <reference field="2" count="0"/>
        </references>
      </pivotArea>
    </format>
    <format dxfId="2824">
      <pivotArea dataOnly="0" labelOnly="1" outline="0" fieldPosition="0">
        <references count="2">
          <reference field="2" count="1" selected="0">
            <x v="0"/>
          </reference>
          <reference field="7" count="1">
            <x v="108"/>
          </reference>
        </references>
      </pivotArea>
    </format>
    <format dxfId="2823">
      <pivotArea dataOnly="0" labelOnly="1" outline="0" fieldPosition="0">
        <references count="2">
          <reference field="2" count="1" selected="0">
            <x v="1"/>
          </reference>
          <reference field="7" count="1">
            <x v="109"/>
          </reference>
        </references>
      </pivotArea>
    </format>
    <format dxfId="2822">
      <pivotArea dataOnly="0" labelOnly="1" outline="0" fieldPosition="0">
        <references count="2">
          <reference field="2" count="1" selected="0">
            <x v="2"/>
          </reference>
          <reference field="7" count="1">
            <x v="110"/>
          </reference>
        </references>
      </pivotArea>
    </format>
    <format dxfId="2821">
      <pivotArea dataOnly="0" labelOnly="1" outline="0" fieldPosition="0">
        <references count="2">
          <reference field="2" count="1" selected="0">
            <x v="3"/>
          </reference>
          <reference field="7" count="1">
            <x v="111"/>
          </reference>
        </references>
      </pivotArea>
    </format>
    <format dxfId="2820">
      <pivotArea dataOnly="0" labelOnly="1" outline="0" fieldPosition="0">
        <references count="2">
          <reference field="2" count="1" selected="0">
            <x v="4"/>
          </reference>
          <reference field="7" count="1">
            <x v="112"/>
          </reference>
        </references>
      </pivotArea>
    </format>
    <format dxfId="2819">
      <pivotArea dataOnly="0" labelOnly="1" outline="0" fieldPosition="0">
        <references count="2">
          <reference field="2" count="1" selected="0">
            <x v="5"/>
          </reference>
          <reference field="7" count="1">
            <x v="113"/>
          </reference>
        </references>
      </pivotArea>
    </format>
    <format dxfId="2818">
      <pivotArea dataOnly="0" labelOnly="1" outline="0" fieldPosition="0">
        <references count="2">
          <reference field="2" count="1" selected="0">
            <x v="6"/>
          </reference>
          <reference field="7" count="1">
            <x v="113"/>
          </reference>
        </references>
      </pivotArea>
    </format>
    <format dxfId="2817">
      <pivotArea dataOnly="0" labelOnly="1" outline="0" fieldPosition="0">
        <references count="1">
          <reference field="4" count="0"/>
        </references>
      </pivotArea>
    </format>
    <format dxfId="2816">
      <pivotArea type="all" dataOnly="0" outline="0" fieldPosition="0"/>
    </format>
    <format dxfId="2815">
      <pivotArea outline="0" collapsedLevelsAreSubtotals="1" fieldPosition="0"/>
    </format>
    <format dxfId="2814">
      <pivotArea type="origin" dataOnly="0" labelOnly="1" outline="0" fieldPosition="0"/>
    </format>
    <format dxfId="2813">
      <pivotArea field="4" type="button" dataOnly="0" labelOnly="1" outline="0" axis="axisCol" fieldPosition="0"/>
    </format>
    <format dxfId="2812">
      <pivotArea type="topRight" dataOnly="0" labelOnly="1" outline="0" fieldPosition="0"/>
    </format>
    <format dxfId="2811">
      <pivotArea field="2" type="button" dataOnly="0" labelOnly="1" outline="0" axis="axisRow" fieldPosition="0"/>
    </format>
    <format dxfId="2810">
      <pivotArea field="7" type="button" dataOnly="0" labelOnly="1" outline="0" axis="axisRow" fieldPosition="1"/>
    </format>
    <format dxfId="2809">
      <pivotArea dataOnly="0" labelOnly="1" outline="0" fieldPosition="0">
        <references count="1">
          <reference field="2" count="0"/>
        </references>
      </pivotArea>
    </format>
    <format dxfId="2808">
      <pivotArea dataOnly="0" labelOnly="1" outline="0" fieldPosition="0">
        <references count="2">
          <reference field="2" count="1" selected="0">
            <x v="0"/>
          </reference>
          <reference field="7" count="1">
            <x v="108"/>
          </reference>
        </references>
      </pivotArea>
    </format>
    <format dxfId="2807">
      <pivotArea dataOnly="0" labelOnly="1" outline="0" fieldPosition="0">
        <references count="2">
          <reference field="2" count="1" selected="0">
            <x v="1"/>
          </reference>
          <reference field="7" count="1">
            <x v="109"/>
          </reference>
        </references>
      </pivotArea>
    </format>
    <format dxfId="2806">
      <pivotArea dataOnly="0" labelOnly="1" outline="0" fieldPosition="0">
        <references count="2">
          <reference field="2" count="1" selected="0">
            <x v="2"/>
          </reference>
          <reference field="7" count="1">
            <x v="110"/>
          </reference>
        </references>
      </pivotArea>
    </format>
    <format dxfId="2805">
      <pivotArea dataOnly="0" labelOnly="1" outline="0" fieldPosition="0">
        <references count="2">
          <reference field="2" count="1" selected="0">
            <x v="3"/>
          </reference>
          <reference field="7" count="1">
            <x v="111"/>
          </reference>
        </references>
      </pivotArea>
    </format>
    <format dxfId="2804">
      <pivotArea dataOnly="0" labelOnly="1" outline="0" fieldPosition="0">
        <references count="2">
          <reference field="2" count="1" selected="0">
            <x v="4"/>
          </reference>
          <reference field="7" count="1">
            <x v="112"/>
          </reference>
        </references>
      </pivotArea>
    </format>
    <format dxfId="2803">
      <pivotArea dataOnly="0" labelOnly="1" outline="0" fieldPosition="0">
        <references count="2">
          <reference field="2" count="1" selected="0">
            <x v="5"/>
          </reference>
          <reference field="7" count="1">
            <x v="113"/>
          </reference>
        </references>
      </pivotArea>
    </format>
    <format dxfId="2802">
      <pivotArea dataOnly="0" labelOnly="1" outline="0" fieldPosition="0">
        <references count="2">
          <reference field="2" count="1" selected="0">
            <x v="6"/>
          </reference>
          <reference field="7" count="1">
            <x v="113"/>
          </reference>
        </references>
      </pivotArea>
    </format>
    <format dxfId="2801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3.xml><?xml version="1.0" encoding="utf-8"?>
<pivotTableDefinition xmlns="http://schemas.openxmlformats.org/spreadsheetml/2006/main" name="TablaDinámica23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229:Q237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2886">
      <pivotArea type="origin" dataOnly="0" labelOnly="1" outline="0" fieldPosition="0"/>
    </format>
    <format dxfId="2885">
      <pivotArea field="-2" type="button" dataOnly="0" labelOnly="1" outline="0" axis="axisValues" fieldPosition="0"/>
    </format>
    <format dxfId="2884">
      <pivotArea type="topRight" dataOnly="0" labelOnly="1" outline="0" fieldPosition="0"/>
    </format>
    <format dxfId="2883">
      <pivotArea field="2" type="button" dataOnly="0" labelOnly="1" outline="0" axis="axisRow" fieldPosition="0"/>
    </format>
    <format dxfId="2882">
      <pivotArea field="2" type="button" dataOnly="0" labelOnly="1" outline="0" axis="axisRow" fieldPosition="0"/>
    </format>
    <format dxfId="2881">
      <pivotArea field="2" type="button" dataOnly="0" labelOnly="1" outline="0" axis="axisRow" fieldPosition="0"/>
    </format>
    <format dxfId="2880">
      <pivotArea field="7" type="button" dataOnly="0" labelOnly="1" outline="0" axis="axisRow" fieldPosition="1"/>
    </format>
    <format dxfId="2879">
      <pivotArea dataOnly="0" labelOnly="1" outline="0" fieldPosition="0">
        <references count="1">
          <reference field="4" count="0"/>
        </references>
      </pivotArea>
    </format>
    <format dxfId="2878">
      <pivotArea field="2" type="button" dataOnly="0" labelOnly="1" outline="0" axis="axisRow" fieldPosition="0"/>
    </format>
    <format dxfId="2877">
      <pivotArea field="7" type="button" dataOnly="0" labelOnly="1" outline="0" axis="axisRow" fieldPosition="1"/>
    </format>
    <format dxfId="2876">
      <pivotArea dataOnly="0" labelOnly="1" outline="0" fieldPosition="0">
        <references count="1">
          <reference field="4" count="0"/>
        </references>
      </pivotArea>
    </format>
    <format dxfId="2875">
      <pivotArea type="all" dataOnly="0" outline="0" fieldPosition="0"/>
    </format>
    <format dxfId="2874">
      <pivotArea outline="0" collapsedLevelsAreSubtotals="1" fieldPosition="0"/>
    </format>
    <format dxfId="2873">
      <pivotArea type="origin" dataOnly="0" labelOnly="1" outline="0" fieldPosition="0"/>
    </format>
    <format dxfId="2872">
      <pivotArea field="4" type="button" dataOnly="0" labelOnly="1" outline="0" axis="axisCol" fieldPosition="0"/>
    </format>
    <format dxfId="2871">
      <pivotArea type="topRight" dataOnly="0" labelOnly="1" outline="0" fieldPosition="0"/>
    </format>
    <format dxfId="2870">
      <pivotArea field="2" type="button" dataOnly="0" labelOnly="1" outline="0" axis="axisRow" fieldPosition="0"/>
    </format>
    <format dxfId="2869">
      <pivotArea field="7" type="button" dataOnly="0" labelOnly="1" outline="0" axis="axisRow" fieldPosition="1"/>
    </format>
    <format dxfId="2868">
      <pivotArea dataOnly="0" labelOnly="1" outline="0" fieldPosition="0">
        <references count="1">
          <reference field="2" count="0"/>
        </references>
      </pivotArea>
    </format>
    <format dxfId="2867">
      <pivotArea dataOnly="0" labelOnly="1" outline="0" fieldPosition="0">
        <references count="2">
          <reference field="2" count="1" selected="0">
            <x v="0"/>
          </reference>
          <reference field="7" count="1">
            <x v="96"/>
          </reference>
        </references>
      </pivotArea>
    </format>
    <format dxfId="2866">
      <pivotArea dataOnly="0" labelOnly="1" outline="0" fieldPosition="0">
        <references count="2">
          <reference field="2" count="1" selected="0">
            <x v="1"/>
          </reference>
          <reference field="7" count="1">
            <x v="97"/>
          </reference>
        </references>
      </pivotArea>
    </format>
    <format dxfId="2865">
      <pivotArea dataOnly="0" labelOnly="1" outline="0" fieldPosition="0">
        <references count="2">
          <reference field="2" count="1" selected="0">
            <x v="2"/>
          </reference>
          <reference field="7" count="1">
            <x v="98"/>
          </reference>
        </references>
      </pivotArea>
    </format>
    <format dxfId="2864">
      <pivotArea dataOnly="0" labelOnly="1" outline="0" fieldPosition="0">
        <references count="2">
          <reference field="2" count="1" selected="0">
            <x v="3"/>
          </reference>
          <reference field="7" count="1">
            <x v="99"/>
          </reference>
        </references>
      </pivotArea>
    </format>
    <format dxfId="2863">
      <pivotArea dataOnly="0" labelOnly="1" outline="0" fieldPosition="0">
        <references count="2">
          <reference field="2" count="1" selected="0">
            <x v="4"/>
          </reference>
          <reference field="7" count="1">
            <x v="100"/>
          </reference>
        </references>
      </pivotArea>
    </format>
    <format dxfId="2862">
      <pivotArea dataOnly="0" labelOnly="1" outline="0" fieldPosition="0">
        <references count="2">
          <reference field="2" count="1" selected="0">
            <x v="5"/>
          </reference>
          <reference field="7" count="1">
            <x v="101"/>
          </reference>
        </references>
      </pivotArea>
    </format>
    <format dxfId="2861">
      <pivotArea dataOnly="0" labelOnly="1" outline="0" fieldPosition="0">
        <references count="2">
          <reference field="2" count="1" selected="0">
            <x v="6"/>
          </reference>
          <reference field="7" count="1">
            <x v="101"/>
          </reference>
        </references>
      </pivotArea>
    </format>
    <format dxfId="2860">
      <pivotArea dataOnly="0" labelOnly="1" outline="0" fieldPosition="0">
        <references count="1">
          <reference field="4" count="0"/>
        </references>
      </pivotArea>
    </format>
    <format dxfId="2859">
      <pivotArea type="all" dataOnly="0" outline="0" fieldPosition="0"/>
    </format>
    <format dxfId="2858">
      <pivotArea outline="0" collapsedLevelsAreSubtotals="1" fieldPosition="0"/>
    </format>
    <format dxfId="2857">
      <pivotArea type="origin" dataOnly="0" labelOnly="1" outline="0" fieldPosition="0"/>
    </format>
    <format dxfId="2856">
      <pivotArea field="4" type="button" dataOnly="0" labelOnly="1" outline="0" axis="axisCol" fieldPosition="0"/>
    </format>
    <format dxfId="2855">
      <pivotArea type="topRight" dataOnly="0" labelOnly="1" outline="0" fieldPosition="0"/>
    </format>
    <format dxfId="2854">
      <pivotArea field="2" type="button" dataOnly="0" labelOnly="1" outline="0" axis="axisRow" fieldPosition="0"/>
    </format>
    <format dxfId="2853">
      <pivotArea field="7" type="button" dataOnly="0" labelOnly="1" outline="0" axis="axisRow" fieldPosition="1"/>
    </format>
    <format dxfId="2852">
      <pivotArea dataOnly="0" labelOnly="1" outline="0" fieldPosition="0">
        <references count="1">
          <reference field="2" count="0"/>
        </references>
      </pivotArea>
    </format>
    <format dxfId="2851">
      <pivotArea dataOnly="0" labelOnly="1" outline="0" fieldPosition="0">
        <references count="2">
          <reference field="2" count="1" selected="0">
            <x v="0"/>
          </reference>
          <reference field="7" count="1">
            <x v="96"/>
          </reference>
        </references>
      </pivotArea>
    </format>
    <format dxfId="2850">
      <pivotArea dataOnly="0" labelOnly="1" outline="0" fieldPosition="0">
        <references count="2">
          <reference field="2" count="1" selected="0">
            <x v="1"/>
          </reference>
          <reference field="7" count="1">
            <x v="97"/>
          </reference>
        </references>
      </pivotArea>
    </format>
    <format dxfId="2849">
      <pivotArea dataOnly="0" labelOnly="1" outline="0" fieldPosition="0">
        <references count="2">
          <reference field="2" count="1" selected="0">
            <x v="2"/>
          </reference>
          <reference field="7" count="1">
            <x v="98"/>
          </reference>
        </references>
      </pivotArea>
    </format>
    <format dxfId="2848">
      <pivotArea dataOnly="0" labelOnly="1" outline="0" fieldPosition="0">
        <references count="2">
          <reference field="2" count="1" selected="0">
            <x v="3"/>
          </reference>
          <reference field="7" count="1">
            <x v="99"/>
          </reference>
        </references>
      </pivotArea>
    </format>
    <format dxfId="2847">
      <pivotArea dataOnly="0" labelOnly="1" outline="0" fieldPosition="0">
        <references count="2">
          <reference field="2" count="1" selected="0">
            <x v="4"/>
          </reference>
          <reference field="7" count="1">
            <x v="100"/>
          </reference>
        </references>
      </pivotArea>
    </format>
    <format dxfId="2846">
      <pivotArea dataOnly="0" labelOnly="1" outline="0" fieldPosition="0">
        <references count="2">
          <reference field="2" count="1" selected="0">
            <x v="5"/>
          </reference>
          <reference field="7" count="1">
            <x v="101"/>
          </reference>
        </references>
      </pivotArea>
    </format>
    <format dxfId="2845">
      <pivotArea dataOnly="0" labelOnly="1" outline="0" fieldPosition="0">
        <references count="2">
          <reference field="2" count="1" selected="0">
            <x v="6"/>
          </reference>
          <reference field="7" count="1">
            <x v="101"/>
          </reference>
        </references>
      </pivotArea>
    </format>
    <format dxfId="2844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4.xml><?xml version="1.0" encoding="utf-8"?>
<pivotTableDefinition xmlns="http://schemas.openxmlformats.org/spreadsheetml/2006/main" name="TablaDinámica18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216:Q224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2929">
      <pivotArea type="origin" dataOnly="0" labelOnly="1" outline="0" fieldPosition="0"/>
    </format>
    <format dxfId="2928">
      <pivotArea field="-2" type="button" dataOnly="0" labelOnly="1" outline="0" axis="axisValues" fieldPosition="0"/>
    </format>
    <format dxfId="2927">
      <pivotArea type="topRight" dataOnly="0" labelOnly="1" outline="0" fieldPosition="0"/>
    </format>
    <format dxfId="2926">
      <pivotArea field="2" type="button" dataOnly="0" labelOnly="1" outline="0" axis="axisRow" fieldPosition="0"/>
    </format>
    <format dxfId="2925">
      <pivotArea field="2" type="button" dataOnly="0" labelOnly="1" outline="0" axis="axisRow" fieldPosition="0"/>
    </format>
    <format dxfId="2924">
      <pivotArea field="2" type="button" dataOnly="0" labelOnly="1" outline="0" axis="axisRow" fieldPosition="0"/>
    </format>
    <format dxfId="2923">
      <pivotArea field="7" type="button" dataOnly="0" labelOnly="1" outline="0" axis="axisRow" fieldPosition="1"/>
    </format>
    <format dxfId="2922">
      <pivotArea dataOnly="0" labelOnly="1" outline="0" fieldPosition="0">
        <references count="1">
          <reference field="4" count="0"/>
        </references>
      </pivotArea>
    </format>
    <format dxfId="2921">
      <pivotArea field="2" type="button" dataOnly="0" labelOnly="1" outline="0" axis="axisRow" fieldPosition="0"/>
    </format>
    <format dxfId="2920">
      <pivotArea field="7" type="button" dataOnly="0" labelOnly="1" outline="0" axis="axisRow" fieldPosition="1"/>
    </format>
    <format dxfId="2919">
      <pivotArea dataOnly="0" labelOnly="1" outline="0" fieldPosition="0">
        <references count="1">
          <reference field="4" count="0"/>
        </references>
      </pivotArea>
    </format>
    <format dxfId="2918">
      <pivotArea type="all" dataOnly="0" outline="0" fieldPosition="0"/>
    </format>
    <format dxfId="2917">
      <pivotArea outline="0" collapsedLevelsAreSubtotals="1" fieldPosition="0"/>
    </format>
    <format dxfId="2916">
      <pivotArea type="origin" dataOnly="0" labelOnly="1" outline="0" fieldPosition="0"/>
    </format>
    <format dxfId="2915">
      <pivotArea field="4" type="button" dataOnly="0" labelOnly="1" outline="0" axis="axisCol" fieldPosition="0"/>
    </format>
    <format dxfId="2914">
      <pivotArea type="topRight" dataOnly="0" labelOnly="1" outline="0" fieldPosition="0"/>
    </format>
    <format dxfId="2913">
      <pivotArea field="2" type="button" dataOnly="0" labelOnly="1" outline="0" axis="axisRow" fieldPosition="0"/>
    </format>
    <format dxfId="2912">
      <pivotArea field="7" type="button" dataOnly="0" labelOnly="1" outline="0" axis="axisRow" fieldPosition="1"/>
    </format>
    <format dxfId="2911">
      <pivotArea dataOnly="0" labelOnly="1" outline="0" fieldPosition="0">
        <references count="1">
          <reference field="2" count="0"/>
        </references>
      </pivotArea>
    </format>
    <format dxfId="2910">
      <pivotArea dataOnly="0" labelOnly="1" outline="0" fieldPosition="0">
        <references count="2">
          <reference field="2" count="1" selected="0">
            <x v="0"/>
          </reference>
          <reference field="7" count="1">
            <x v="90"/>
          </reference>
        </references>
      </pivotArea>
    </format>
    <format dxfId="2909">
      <pivotArea dataOnly="0" labelOnly="1" outline="0" fieldPosition="0">
        <references count="2">
          <reference field="2" count="1" selected="0">
            <x v="1"/>
          </reference>
          <reference field="7" count="1">
            <x v="91"/>
          </reference>
        </references>
      </pivotArea>
    </format>
    <format dxfId="2908">
      <pivotArea dataOnly="0" labelOnly="1" outline="0" fieldPosition="0">
        <references count="2">
          <reference field="2" count="1" selected="0">
            <x v="2"/>
          </reference>
          <reference field="7" count="1">
            <x v="92"/>
          </reference>
        </references>
      </pivotArea>
    </format>
    <format dxfId="2907">
      <pivotArea dataOnly="0" labelOnly="1" outline="0" fieldPosition="0">
        <references count="2">
          <reference field="2" count="1" selected="0">
            <x v="3"/>
          </reference>
          <reference field="7" count="1">
            <x v="93"/>
          </reference>
        </references>
      </pivotArea>
    </format>
    <format dxfId="2906">
      <pivotArea dataOnly="0" labelOnly="1" outline="0" fieldPosition="0">
        <references count="2">
          <reference field="2" count="1" selected="0">
            <x v="4"/>
          </reference>
          <reference field="7" count="1">
            <x v="94"/>
          </reference>
        </references>
      </pivotArea>
    </format>
    <format dxfId="2905">
      <pivotArea dataOnly="0" labelOnly="1" outline="0" fieldPosition="0">
        <references count="2">
          <reference field="2" count="1" selected="0">
            <x v="5"/>
          </reference>
          <reference field="7" count="1">
            <x v="95"/>
          </reference>
        </references>
      </pivotArea>
    </format>
    <format dxfId="2904">
      <pivotArea dataOnly="0" labelOnly="1" outline="0" fieldPosition="0">
        <references count="2">
          <reference field="2" count="1" selected="0">
            <x v="6"/>
          </reference>
          <reference field="7" count="1">
            <x v="95"/>
          </reference>
        </references>
      </pivotArea>
    </format>
    <format dxfId="2903">
      <pivotArea dataOnly="0" labelOnly="1" outline="0" fieldPosition="0">
        <references count="1">
          <reference field="4" count="0"/>
        </references>
      </pivotArea>
    </format>
    <format dxfId="2902">
      <pivotArea type="all" dataOnly="0" outline="0" fieldPosition="0"/>
    </format>
    <format dxfId="2901">
      <pivotArea outline="0" collapsedLevelsAreSubtotals="1" fieldPosition="0"/>
    </format>
    <format dxfId="2900">
      <pivotArea type="origin" dataOnly="0" labelOnly="1" outline="0" fieldPosition="0"/>
    </format>
    <format dxfId="2899">
      <pivotArea field="4" type="button" dataOnly="0" labelOnly="1" outline="0" axis="axisCol" fieldPosition="0"/>
    </format>
    <format dxfId="2898">
      <pivotArea type="topRight" dataOnly="0" labelOnly="1" outline="0" fieldPosition="0"/>
    </format>
    <format dxfId="2897">
      <pivotArea field="2" type="button" dataOnly="0" labelOnly="1" outline="0" axis="axisRow" fieldPosition="0"/>
    </format>
    <format dxfId="2896">
      <pivotArea field="7" type="button" dataOnly="0" labelOnly="1" outline="0" axis="axisRow" fieldPosition="1"/>
    </format>
    <format dxfId="2895">
      <pivotArea dataOnly="0" labelOnly="1" outline="0" fieldPosition="0">
        <references count="1">
          <reference field="2" count="0"/>
        </references>
      </pivotArea>
    </format>
    <format dxfId="2894">
      <pivotArea dataOnly="0" labelOnly="1" outline="0" fieldPosition="0">
        <references count="2">
          <reference field="2" count="1" selected="0">
            <x v="0"/>
          </reference>
          <reference field="7" count="1">
            <x v="90"/>
          </reference>
        </references>
      </pivotArea>
    </format>
    <format dxfId="2893">
      <pivotArea dataOnly="0" labelOnly="1" outline="0" fieldPosition="0">
        <references count="2">
          <reference field="2" count="1" selected="0">
            <x v="1"/>
          </reference>
          <reference field="7" count="1">
            <x v="91"/>
          </reference>
        </references>
      </pivotArea>
    </format>
    <format dxfId="2892">
      <pivotArea dataOnly="0" labelOnly="1" outline="0" fieldPosition="0">
        <references count="2">
          <reference field="2" count="1" selected="0">
            <x v="2"/>
          </reference>
          <reference field="7" count="1">
            <x v="92"/>
          </reference>
        </references>
      </pivotArea>
    </format>
    <format dxfId="2891">
      <pivotArea dataOnly="0" labelOnly="1" outline="0" fieldPosition="0">
        <references count="2">
          <reference field="2" count="1" selected="0">
            <x v="3"/>
          </reference>
          <reference field="7" count="1">
            <x v="93"/>
          </reference>
        </references>
      </pivotArea>
    </format>
    <format dxfId="2890">
      <pivotArea dataOnly="0" labelOnly="1" outline="0" fieldPosition="0">
        <references count="2">
          <reference field="2" count="1" selected="0">
            <x v="4"/>
          </reference>
          <reference field="7" count="1">
            <x v="94"/>
          </reference>
        </references>
      </pivotArea>
    </format>
    <format dxfId="2889">
      <pivotArea dataOnly="0" labelOnly="1" outline="0" fieldPosition="0">
        <references count="2">
          <reference field="2" count="1" selected="0">
            <x v="5"/>
          </reference>
          <reference field="7" count="1">
            <x v="95"/>
          </reference>
        </references>
      </pivotArea>
    </format>
    <format dxfId="2888">
      <pivotArea dataOnly="0" labelOnly="1" outline="0" fieldPosition="0">
        <references count="2">
          <reference field="2" count="1" selected="0">
            <x v="6"/>
          </reference>
          <reference field="7" count="1">
            <x v="95"/>
          </reference>
        </references>
      </pivotArea>
    </format>
    <format dxfId="2887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5.xml><?xml version="1.0" encoding="utf-8"?>
<pivotTableDefinition xmlns="http://schemas.openxmlformats.org/spreadsheetml/2006/main" name="TablaDinámica11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99:Q107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2972">
      <pivotArea type="origin" dataOnly="0" labelOnly="1" outline="0" fieldPosition="0"/>
    </format>
    <format dxfId="2971">
      <pivotArea field="-2" type="button" dataOnly="0" labelOnly="1" outline="0" axis="axisValues" fieldPosition="0"/>
    </format>
    <format dxfId="2970">
      <pivotArea type="topRight" dataOnly="0" labelOnly="1" outline="0" fieldPosition="0"/>
    </format>
    <format dxfId="2969">
      <pivotArea field="2" type="button" dataOnly="0" labelOnly="1" outline="0" axis="axisRow" fieldPosition="0"/>
    </format>
    <format dxfId="2968">
      <pivotArea field="2" type="button" dataOnly="0" labelOnly="1" outline="0" axis="axisRow" fieldPosition="0"/>
    </format>
    <format dxfId="2967">
      <pivotArea field="2" type="button" dataOnly="0" labelOnly="1" outline="0" axis="axisRow" fieldPosition="0"/>
    </format>
    <format dxfId="2966">
      <pivotArea field="7" type="button" dataOnly="0" labelOnly="1" outline="0" axis="axisRow" fieldPosition="1"/>
    </format>
    <format dxfId="2965">
      <pivotArea dataOnly="0" labelOnly="1" outline="0" fieldPosition="0">
        <references count="1">
          <reference field="4" count="0"/>
        </references>
      </pivotArea>
    </format>
    <format dxfId="2964">
      <pivotArea field="2" type="button" dataOnly="0" labelOnly="1" outline="0" axis="axisRow" fieldPosition="0"/>
    </format>
    <format dxfId="2963">
      <pivotArea field="7" type="button" dataOnly="0" labelOnly="1" outline="0" axis="axisRow" fieldPosition="1"/>
    </format>
    <format dxfId="2962">
      <pivotArea dataOnly="0" labelOnly="1" outline="0" fieldPosition="0">
        <references count="1">
          <reference field="4" count="0"/>
        </references>
      </pivotArea>
    </format>
    <format dxfId="2961">
      <pivotArea type="all" dataOnly="0" outline="0" fieldPosition="0"/>
    </format>
    <format dxfId="2960">
      <pivotArea outline="0" collapsedLevelsAreSubtotals="1" fieldPosition="0"/>
    </format>
    <format dxfId="2959">
      <pivotArea type="origin" dataOnly="0" labelOnly="1" outline="0" fieldPosition="0"/>
    </format>
    <format dxfId="2958">
      <pivotArea field="4" type="button" dataOnly="0" labelOnly="1" outline="0" axis="axisCol" fieldPosition="0"/>
    </format>
    <format dxfId="2957">
      <pivotArea type="topRight" dataOnly="0" labelOnly="1" outline="0" fieldPosition="0"/>
    </format>
    <format dxfId="2956">
      <pivotArea field="2" type="button" dataOnly="0" labelOnly="1" outline="0" axis="axisRow" fieldPosition="0"/>
    </format>
    <format dxfId="2955">
      <pivotArea field="7" type="button" dataOnly="0" labelOnly="1" outline="0" axis="axisRow" fieldPosition="1"/>
    </format>
    <format dxfId="2954">
      <pivotArea dataOnly="0" labelOnly="1" outline="0" fieldPosition="0">
        <references count="1">
          <reference field="2" count="0"/>
        </references>
      </pivotArea>
    </format>
    <format dxfId="2953">
      <pivotArea dataOnly="0" labelOnly="1" outline="0" fieldPosition="0">
        <references count="2">
          <reference field="2" count="1" selected="0">
            <x v="0"/>
          </reference>
          <reference field="7" count="1">
            <x v="36"/>
          </reference>
        </references>
      </pivotArea>
    </format>
    <format dxfId="2952">
      <pivotArea dataOnly="0" labelOnly="1" outline="0" fieldPosition="0">
        <references count="2">
          <reference field="2" count="1" selected="0">
            <x v="1"/>
          </reference>
          <reference field="7" count="1">
            <x v="37"/>
          </reference>
        </references>
      </pivotArea>
    </format>
    <format dxfId="2951">
      <pivotArea dataOnly="0" labelOnly="1" outline="0" fieldPosition="0">
        <references count="2">
          <reference field="2" count="1" selected="0">
            <x v="2"/>
          </reference>
          <reference field="7" count="1">
            <x v="38"/>
          </reference>
        </references>
      </pivotArea>
    </format>
    <format dxfId="2950">
      <pivotArea dataOnly="0" labelOnly="1" outline="0" fieldPosition="0">
        <references count="2">
          <reference field="2" count="1" selected="0">
            <x v="3"/>
          </reference>
          <reference field="7" count="1">
            <x v="39"/>
          </reference>
        </references>
      </pivotArea>
    </format>
    <format dxfId="2949">
      <pivotArea dataOnly="0" labelOnly="1" outline="0" fieldPosition="0">
        <references count="2">
          <reference field="2" count="1" selected="0">
            <x v="4"/>
          </reference>
          <reference field="7" count="1">
            <x v="40"/>
          </reference>
        </references>
      </pivotArea>
    </format>
    <format dxfId="2948">
      <pivotArea dataOnly="0" labelOnly="1" outline="0" fieldPosition="0">
        <references count="2">
          <reference field="2" count="1" selected="0">
            <x v="5"/>
          </reference>
          <reference field="7" count="1">
            <x v="41"/>
          </reference>
        </references>
      </pivotArea>
    </format>
    <format dxfId="2947">
      <pivotArea dataOnly="0" labelOnly="1" outline="0" fieldPosition="0">
        <references count="2">
          <reference field="2" count="1" selected="0">
            <x v="6"/>
          </reference>
          <reference field="7" count="1">
            <x v="41"/>
          </reference>
        </references>
      </pivotArea>
    </format>
    <format dxfId="2946">
      <pivotArea dataOnly="0" labelOnly="1" outline="0" fieldPosition="0">
        <references count="1">
          <reference field="4" count="0"/>
        </references>
      </pivotArea>
    </format>
    <format dxfId="2945">
      <pivotArea type="all" dataOnly="0" outline="0" fieldPosition="0"/>
    </format>
    <format dxfId="2944">
      <pivotArea outline="0" collapsedLevelsAreSubtotals="1" fieldPosition="0"/>
    </format>
    <format dxfId="2943">
      <pivotArea type="origin" dataOnly="0" labelOnly="1" outline="0" fieldPosition="0"/>
    </format>
    <format dxfId="2942">
      <pivotArea field="4" type="button" dataOnly="0" labelOnly="1" outline="0" axis="axisCol" fieldPosition="0"/>
    </format>
    <format dxfId="2941">
      <pivotArea type="topRight" dataOnly="0" labelOnly="1" outline="0" fieldPosition="0"/>
    </format>
    <format dxfId="2940">
      <pivotArea field="2" type="button" dataOnly="0" labelOnly="1" outline="0" axis="axisRow" fieldPosition="0"/>
    </format>
    <format dxfId="2939">
      <pivotArea field="7" type="button" dataOnly="0" labelOnly="1" outline="0" axis="axisRow" fieldPosition="1"/>
    </format>
    <format dxfId="2938">
      <pivotArea dataOnly="0" labelOnly="1" outline="0" fieldPosition="0">
        <references count="1">
          <reference field="2" count="0"/>
        </references>
      </pivotArea>
    </format>
    <format dxfId="2937">
      <pivotArea dataOnly="0" labelOnly="1" outline="0" fieldPosition="0">
        <references count="2">
          <reference field="2" count="1" selected="0">
            <x v="0"/>
          </reference>
          <reference field="7" count="1">
            <x v="36"/>
          </reference>
        </references>
      </pivotArea>
    </format>
    <format dxfId="2936">
      <pivotArea dataOnly="0" labelOnly="1" outline="0" fieldPosition="0">
        <references count="2">
          <reference field="2" count="1" selected="0">
            <x v="1"/>
          </reference>
          <reference field="7" count="1">
            <x v="37"/>
          </reference>
        </references>
      </pivotArea>
    </format>
    <format dxfId="2935">
      <pivotArea dataOnly="0" labelOnly="1" outline="0" fieldPosition="0">
        <references count="2">
          <reference field="2" count="1" selected="0">
            <x v="2"/>
          </reference>
          <reference field="7" count="1">
            <x v="38"/>
          </reference>
        </references>
      </pivotArea>
    </format>
    <format dxfId="2934">
      <pivotArea dataOnly="0" labelOnly="1" outline="0" fieldPosition="0">
        <references count="2">
          <reference field="2" count="1" selected="0">
            <x v="3"/>
          </reference>
          <reference field="7" count="1">
            <x v="39"/>
          </reference>
        </references>
      </pivotArea>
    </format>
    <format dxfId="2933">
      <pivotArea dataOnly="0" labelOnly="1" outline="0" fieldPosition="0">
        <references count="2">
          <reference field="2" count="1" selected="0">
            <x v="4"/>
          </reference>
          <reference field="7" count="1">
            <x v="40"/>
          </reference>
        </references>
      </pivotArea>
    </format>
    <format dxfId="2932">
      <pivotArea dataOnly="0" labelOnly="1" outline="0" fieldPosition="0">
        <references count="2">
          <reference field="2" count="1" selected="0">
            <x v="5"/>
          </reference>
          <reference field="7" count="1">
            <x v="41"/>
          </reference>
        </references>
      </pivotArea>
    </format>
    <format dxfId="2931">
      <pivotArea dataOnly="0" labelOnly="1" outline="0" fieldPosition="0">
        <references count="2">
          <reference field="2" count="1" selected="0">
            <x v="6"/>
          </reference>
          <reference field="7" count="1">
            <x v="41"/>
          </reference>
        </references>
      </pivotArea>
    </format>
    <format dxfId="2930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6.xml><?xml version="1.0" encoding="utf-8"?>
<pivotTableDefinition xmlns="http://schemas.openxmlformats.org/spreadsheetml/2006/main" name="TablaDinámica8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60:Q68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3015">
      <pivotArea type="origin" dataOnly="0" labelOnly="1" outline="0" fieldPosition="0"/>
    </format>
    <format dxfId="3014">
      <pivotArea field="-2" type="button" dataOnly="0" labelOnly="1" outline="0" axis="axisValues" fieldPosition="0"/>
    </format>
    <format dxfId="3013">
      <pivotArea type="topRight" dataOnly="0" labelOnly="1" outline="0" fieldPosition="0"/>
    </format>
    <format dxfId="3012">
      <pivotArea field="2" type="button" dataOnly="0" labelOnly="1" outline="0" axis="axisRow" fieldPosition="0"/>
    </format>
    <format dxfId="3011">
      <pivotArea field="2" type="button" dataOnly="0" labelOnly="1" outline="0" axis="axisRow" fieldPosition="0"/>
    </format>
    <format dxfId="3010">
      <pivotArea field="2" type="button" dataOnly="0" labelOnly="1" outline="0" axis="axisRow" fieldPosition="0"/>
    </format>
    <format dxfId="3009">
      <pivotArea field="7" type="button" dataOnly="0" labelOnly="1" outline="0" axis="axisRow" fieldPosition="1"/>
    </format>
    <format dxfId="3008">
      <pivotArea dataOnly="0" labelOnly="1" outline="0" fieldPosition="0">
        <references count="1">
          <reference field="4" count="0"/>
        </references>
      </pivotArea>
    </format>
    <format dxfId="3007">
      <pivotArea field="2" type="button" dataOnly="0" labelOnly="1" outline="0" axis="axisRow" fieldPosition="0"/>
    </format>
    <format dxfId="3006">
      <pivotArea field="7" type="button" dataOnly="0" labelOnly="1" outline="0" axis="axisRow" fieldPosition="1"/>
    </format>
    <format dxfId="3005">
      <pivotArea dataOnly="0" labelOnly="1" outline="0" fieldPosition="0">
        <references count="1">
          <reference field="4" count="0"/>
        </references>
      </pivotArea>
    </format>
    <format dxfId="3004">
      <pivotArea type="all" dataOnly="0" outline="0" fieldPosition="0"/>
    </format>
    <format dxfId="3003">
      <pivotArea outline="0" collapsedLevelsAreSubtotals="1" fieldPosition="0"/>
    </format>
    <format dxfId="3002">
      <pivotArea type="origin" dataOnly="0" labelOnly="1" outline="0" fieldPosition="0"/>
    </format>
    <format dxfId="3001">
      <pivotArea field="4" type="button" dataOnly="0" labelOnly="1" outline="0" axis="axisCol" fieldPosition="0"/>
    </format>
    <format dxfId="3000">
      <pivotArea type="topRight" dataOnly="0" labelOnly="1" outline="0" fieldPosition="0"/>
    </format>
    <format dxfId="2999">
      <pivotArea field="2" type="button" dataOnly="0" labelOnly="1" outline="0" axis="axisRow" fieldPosition="0"/>
    </format>
    <format dxfId="2998">
      <pivotArea field="7" type="button" dataOnly="0" labelOnly="1" outline="0" axis="axisRow" fieldPosition="1"/>
    </format>
    <format dxfId="2997">
      <pivotArea dataOnly="0" labelOnly="1" outline="0" fieldPosition="0">
        <references count="1">
          <reference field="2" count="0"/>
        </references>
      </pivotArea>
    </format>
    <format dxfId="2996">
      <pivotArea dataOnly="0" labelOnly="1" outline="0" fieldPosition="0">
        <references count="2">
          <reference field="2" count="1" selected="0">
            <x v="0"/>
          </reference>
          <reference field="7" count="1">
            <x v="18"/>
          </reference>
        </references>
      </pivotArea>
    </format>
    <format dxfId="2995">
      <pivotArea dataOnly="0" labelOnly="1" outline="0" fieldPosition="0">
        <references count="2">
          <reference field="2" count="1" selected="0">
            <x v="1"/>
          </reference>
          <reference field="7" count="1">
            <x v="19"/>
          </reference>
        </references>
      </pivotArea>
    </format>
    <format dxfId="2994">
      <pivotArea dataOnly="0" labelOnly="1" outline="0" fieldPosition="0">
        <references count="2">
          <reference field="2" count="1" selected="0">
            <x v="2"/>
          </reference>
          <reference field="7" count="1">
            <x v="20"/>
          </reference>
        </references>
      </pivotArea>
    </format>
    <format dxfId="2993">
      <pivotArea dataOnly="0" labelOnly="1" outline="0" fieldPosition="0">
        <references count="2">
          <reference field="2" count="1" selected="0">
            <x v="3"/>
          </reference>
          <reference field="7" count="1">
            <x v="21"/>
          </reference>
        </references>
      </pivotArea>
    </format>
    <format dxfId="2992">
      <pivotArea dataOnly="0" labelOnly="1" outline="0" fieldPosition="0">
        <references count="2">
          <reference field="2" count="1" selected="0">
            <x v="4"/>
          </reference>
          <reference field="7" count="1">
            <x v="22"/>
          </reference>
        </references>
      </pivotArea>
    </format>
    <format dxfId="2991">
      <pivotArea dataOnly="0" labelOnly="1" outline="0" fieldPosition="0">
        <references count="2">
          <reference field="2" count="1" selected="0">
            <x v="5"/>
          </reference>
          <reference field="7" count="1">
            <x v="23"/>
          </reference>
        </references>
      </pivotArea>
    </format>
    <format dxfId="2990">
      <pivotArea dataOnly="0" labelOnly="1" outline="0" fieldPosition="0">
        <references count="2">
          <reference field="2" count="1" selected="0">
            <x v="6"/>
          </reference>
          <reference field="7" count="1">
            <x v="23"/>
          </reference>
        </references>
      </pivotArea>
    </format>
    <format dxfId="2989">
      <pivotArea dataOnly="0" labelOnly="1" outline="0" fieldPosition="0">
        <references count="1">
          <reference field="4" count="0"/>
        </references>
      </pivotArea>
    </format>
    <format dxfId="2988">
      <pivotArea type="all" dataOnly="0" outline="0" fieldPosition="0"/>
    </format>
    <format dxfId="2987">
      <pivotArea outline="0" collapsedLevelsAreSubtotals="1" fieldPosition="0"/>
    </format>
    <format dxfId="2986">
      <pivotArea type="origin" dataOnly="0" labelOnly="1" outline="0" fieldPosition="0"/>
    </format>
    <format dxfId="2985">
      <pivotArea field="4" type="button" dataOnly="0" labelOnly="1" outline="0" axis="axisCol" fieldPosition="0"/>
    </format>
    <format dxfId="2984">
      <pivotArea type="topRight" dataOnly="0" labelOnly="1" outline="0" fieldPosition="0"/>
    </format>
    <format dxfId="2983">
      <pivotArea field="2" type="button" dataOnly="0" labelOnly="1" outline="0" axis="axisRow" fieldPosition="0"/>
    </format>
    <format dxfId="2982">
      <pivotArea field="7" type="button" dataOnly="0" labelOnly="1" outline="0" axis="axisRow" fieldPosition="1"/>
    </format>
    <format dxfId="2981">
      <pivotArea dataOnly="0" labelOnly="1" outline="0" fieldPosition="0">
        <references count="1">
          <reference field="2" count="0"/>
        </references>
      </pivotArea>
    </format>
    <format dxfId="2980">
      <pivotArea dataOnly="0" labelOnly="1" outline="0" fieldPosition="0">
        <references count="2">
          <reference field="2" count="1" selected="0">
            <x v="0"/>
          </reference>
          <reference field="7" count="1">
            <x v="18"/>
          </reference>
        </references>
      </pivotArea>
    </format>
    <format dxfId="2979">
      <pivotArea dataOnly="0" labelOnly="1" outline="0" fieldPosition="0">
        <references count="2">
          <reference field="2" count="1" selected="0">
            <x v="1"/>
          </reference>
          <reference field="7" count="1">
            <x v="19"/>
          </reference>
        </references>
      </pivotArea>
    </format>
    <format dxfId="2978">
      <pivotArea dataOnly="0" labelOnly="1" outline="0" fieldPosition="0">
        <references count="2">
          <reference field="2" count="1" selected="0">
            <x v="2"/>
          </reference>
          <reference field="7" count="1">
            <x v="20"/>
          </reference>
        </references>
      </pivotArea>
    </format>
    <format dxfId="2977">
      <pivotArea dataOnly="0" labelOnly="1" outline="0" fieldPosition="0">
        <references count="2">
          <reference field="2" count="1" selected="0">
            <x v="3"/>
          </reference>
          <reference field="7" count="1">
            <x v="21"/>
          </reference>
        </references>
      </pivotArea>
    </format>
    <format dxfId="2976">
      <pivotArea dataOnly="0" labelOnly="1" outline="0" fieldPosition="0">
        <references count="2">
          <reference field="2" count="1" selected="0">
            <x v="4"/>
          </reference>
          <reference field="7" count="1">
            <x v="22"/>
          </reference>
        </references>
      </pivotArea>
    </format>
    <format dxfId="2975">
      <pivotArea dataOnly="0" labelOnly="1" outline="0" fieldPosition="0">
        <references count="2">
          <reference field="2" count="1" selected="0">
            <x v="5"/>
          </reference>
          <reference field="7" count="1">
            <x v="23"/>
          </reference>
        </references>
      </pivotArea>
    </format>
    <format dxfId="2974">
      <pivotArea dataOnly="0" labelOnly="1" outline="0" fieldPosition="0">
        <references count="2">
          <reference field="2" count="1" selected="0">
            <x v="6"/>
          </reference>
          <reference field="7" count="1">
            <x v="23"/>
          </reference>
        </references>
      </pivotArea>
    </format>
    <format dxfId="2973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7.xml><?xml version="1.0" encoding="utf-8"?>
<pivotTableDefinition xmlns="http://schemas.openxmlformats.org/spreadsheetml/2006/main" name="TablaDinámica9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73:Q81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3058">
      <pivotArea type="origin" dataOnly="0" labelOnly="1" outline="0" fieldPosition="0"/>
    </format>
    <format dxfId="3057">
      <pivotArea field="-2" type="button" dataOnly="0" labelOnly="1" outline="0" axis="axisValues" fieldPosition="0"/>
    </format>
    <format dxfId="3056">
      <pivotArea type="topRight" dataOnly="0" labelOnly="1" outline="0" fieldPosition="0"/>
    </format>
    <format dxfId="3055">
      <pivotArea field="2" type="button" dataOnly="0" labelOnly="1" outline="0" axis="axisRow" fieldPosition="0"/>
    </format>
    <format dxfId="3054">
      <pivotArea field="2" type="button" dataOnly="0" labelOnly="1" outline="0" axis="axisRow" fieldPosition="0"/>
    </format>
    <format dxfId="3053">
      <pivotArea field="2" type="button" dataOnly="0" labelOnly="1" outline="0" axis="axisRow" fieldPosition="0"/>
    </format>
    <format dxfId="3052">
      <pivotArea field="7" type="button" dataOnly="0" labelOnly="1" outline="0" axis="axisRow" fieldPosition="1"/>
    </format>
    <format dxfId="3051">
      <pivotArea dataOnly="0" labelOnly="1" outline="0" fieldPosition="0">
        <references count="1">
          <reference field="4" count="0"/>
        </references>
      </pivotArea>
    </format>
    <format dxfId="3050">
      <pivotArea field="2" type="button" dataOnly="0" labelOnly="1" outline="0" axis="axisRow" fieldPosition="0"/>
    </format>
    <format dxfId="3049">
      <pivotArea field="7" type="button" dataOnly="0" labelOnly="1" outline="0" axis="axisRow" fieldPosition="1"/>
    </format>
    <format dxfId="3048">
      <pivotArea dataOnly="0" labelOnly="1" outline="0" fieldPosition="0">
        <references count="1">
          <reference field="4" count="0"/>
        </references>
      </pivotArea>
    </format>
    <format dxfId="3047">
      <pivotArea type="all" dataOnly="0" outline="0" fieldPosition="0"/>
    </format>
    <format dxfId="3046">
      <pivotArea outline="0" collapsedLevelsAreSubtotals="1" fieldPosition="0"/>
    </format>
    <format dxfId="3045">
      <pivotArea type="origin" dataOnly="0" labelOnly="1" outline="0" fieldPosition="0"/>
    </format>
    <format dxfId="3044">
      <pivotArea field="4" type="button" dataOnly="0" labelOnly="1" outline="0" axis="axisCol" fieldPosition="0"/>
    </format>
    <format dxfId="3043">
      <pivotArea type="topRight" dataOnly="0" labelOnly="1" outline="0" fieldPosition="0"/>
    </format>
    <format dxfId="3042">
      <pivotArea field="2" type="button" dataOnly="0" labelOnly="1" outline="0" axis="axisRow" fieldPosition="0"/>
    </format>
    <format dxfId="3041">
      <pivotArea field="7" type="button" dataOnly="0" labelOnly="1" outline="0" axis="axisRow" fieldPosition="1"/>
    </format>
    <format dxfId="3040">
      <pivotArea dataOnly="0" labelOnly="1" outline="0" fieldPosition="0">
        <references count="1">
          <reference field="2" count="0"/>
        </references>
      </pivotArea>
    </format>
    <format dxfId="3039">
      <pivotArea dataOnly="0" labelOnly="1" outline="0" fieldPosition="0">
        <references count="2">
          <reference field="2" count="1" selected="0">
            <x v="0"/>
          </reference>
          <reference field="7" count="1">
            <x v="24"/>
          </reference>
        </references>
      </pivotArea>
    </format>
    <format dxfId="3038">
      <pivotArea dataOnly="0" labelOnly="1" outline="0" fieldPosition="0">
        <references count="2">
          <reference field="2" count="1" selected="0">
            <x v="1"/>
          </reference>
          <reference field="7" count="1">
            <x v="25"/>
          </reference>
        </references>
      </pivotArea>
    </format>
    <format dxfId="3037">
      <pivotArea dataOnly="0" labelOnly="1" outline="0" fieldPosition="0">
        <references count="2">
          <reference field="2" count="1" selected="0">
            <x v="2"/>
          </reference>
          <reference field="7" count="1">
            <x v="26"/>
          </reference>
        </references>
      </pivotArea>
    </format>
    <format dxfId="3036">
      <pivotArea dataOnly="0" labelOnly="1" outline="0" fieldPosition="0">
        <references count="2">
          <reference field="2" count="1" selected="0">
            <x v="3"/>
          </reference>
          <reference field="7" count="1">
            <x v="27"/>
          </reference>
        </references>
      </pivotArea>
    </format>
    <format dxfId="3035">
      <pivotArea dataOnly="0" labelOnly="1" outline="0" fieldPosition="0">
        <references count="2">
          <reference field="2" count="1" selected="0">
            <x v="4"/>
          </reference>
          <reference field="7" count="1">
            <x v="28"/>
          </reference>
        </references>
      </pivotArea>
    </format>
    <format dxfId="3034">
      <pivotArea dataOnly="0" labelOnly="1" outline="0" fieldPosition="0">
        <references count="2">
          <reference field="2" count="1" selected="0">
            <x v="5"/>
          </reference>
          <reference field="7" count="1">
            <x v="29"/>
          </reference>
        </references>
      </pivotArea>
    </format>
    <format dxfId="3033">
      <pivotArea dataOnly="0" labelOnly="1" outline="0" fieldPosition="0">
        <references count="2">
          <reference field="2" count="1" selected="0">
            <x v="6"/>
          </reference>
          <reference field="7" count="1">
            <x v="29"/>
          </reference>
        </references>
      </pivotArea>
    </format>
    <format dxfId="3032">
      <pivotArea dataOnly="0" labelOnly="1" outline="0" fieldPosition="0">
        <references count="1">
          <reference field="4" count="0"/>
        </references>
      </pivotArea>
    </format>
    <format dxfId="3031">
      <pivotArea type="all" dataOnly="0" outline="0" fieldPosition="0"/>
    </format>
    <format dxfId="3030">
      <pivotArea outline="0" collapsedLevelsAreSubtotals="1" fieldPosition="0"/>
    </format>
    <format dxfId="3029">
      <pivotArea type="origin" dataOnly="0" labelOnly="1" outline="0" fieldPosition="0"/>
    </format>
    <format dxfId="3028">
      <pivotArea field="4" type="button" dataOnly="0" labelOnly="1" outline="0" axis="axisCol" fieldPosition="0"/>
    </format>
    <format dxfId="3027">
      <pivotArea type="topRight" dataOnly="0" labelOnly="1" outline="0" fieldPosition="0"/>
    </format>
    <format dxfId="3026">
      <pivotArea field="2" type="button" dataOnly="0" labelOnly="1" outline="0" axis="axisRow" fieldPosition="0"/>
    </format>
    <format dxfId="3025">
      <pivotArea field="7" type="button" dataOnly="0" labelOnly="1" outline="0" axis="axisRow" fieldPosition="1"/>
    </format>
    <format dxfId="3024">
      <pivotArea dataOnly="0" labelOnly="1" outline="0" fieldPosition="0">
        <references count="1">
          <reference field="2" count="0"/>
        </references>
      </pivotArea>
    </format>
    <format dxfId="3023">
      <pivotArea dataOnly="0" labelOnly="1" outline="0" fieldPosition="0">
        <references count="2">
          <reference field="2" count="1" selected="0">
            <x v="0"/>
          </reference>
          <reference field="7" count="1">
            <x v="24"/>
          </reference>
        </references>
      </pivotArea>
    </format>
    <format dxfId="3022">
      <pivotArea dataOnly="0" labelOnly="1" outline="0" fieldPosition="0">
        <references count="2">
          <reference field="2" count="1" selected="0">
            <x v="1"/>
          </reference>
          <reference field="7" count="1">
            <x v="25"/>
          </reference>
        </references>
      </pivotArea>
    </format>
    <format dxfId="3021">
      <pivotArea dataOnly="0" labelOnly="1" outline="0" fieldPosition="0">
        <references count="2">
          <reference field="2" count="1" selected="0">
            <x v="2"/>
          </reference>
          <reference field="7" count="1">
            <x v="26"/>
          </reference>
        </references>
      </pivotArea>
    </format>
    <format dxfId="3020">
      <pivotArea dataOnly="0" labelOnly="1" outline="0" fieldPosition="0">
        <references count="2">
          <reference field="2" count="1" selected="0">
            <x v="3"/>
          </reference>
          <reference field="7" count="1">
            <x v="27"/>
          </reference>
        </references>
      </pivotArea>
    </format>
    <format dxfId="3019">
      <pivotArea dataOnly="0" labelOnly="1" outline="0" fieldPosition="0">
        <references count="2">
          <reference field="2" count="1" selected="0">
            <x v="4"/>
          </reference>
          <reference field="7" count="1">
            <x v="28"/>
          </reference>
        </references>
      </pivotArea>
    </format>
    <format dxfId="3018">
      <pivotArea dataOnly="0" labelOnly="1" outline="0" fieldPosition="0">
        <references count="2">
          <reference field="2" count="1" selected="0">
            <x v="5"/>
          </reference>
          <reference field="7" count="1">
            <x v="29"/>
          </reference>
        </references>
      </pivotArea>
    </format>
    <format dxfId="3017">
      <pivotArea dataOnly="0" labelOnly="1" outline="0" fieldPosition="0">
        <references count="2">
          <reference field="2" count="1" selected="0">
            <x v="6"/>
          </reference>
          <reference field="7" count="1">
            <x v="29"/>
          </reference>
        </references>
      </pivotArea>
    </format>
    <format dxfId="3016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8.xml><?xml version="1.0" encoding="utf-8"?>
<pivotTableDefinition xmlns="http://schemas.openxmlformats.org/spreadsheetml/2006/main" name="TablaDinámica19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203:Q211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3101">
      <pivotArea type="origin" dataOnly="0" labelOnly="1" outline="0" fieldPosition="0"/>
    </format>
    <format dxfId="3100">
      <pivotArea field="-2" type="button" dataOnly="0" labelOnly="1" outline="0" axis="axisValues" fieldPosition="0"/>
    </format>
    <format dxfId="3099">
      <pivotArea type="topRight" dataOnly="0" labelOnly="1" outline="0" fieldPosition="0"/>
    </format>
    <format dxfId="3098">
      <pivotArea field="2" type="button" dataOnly="0" labelOnly="1" outline="0" axis="axisRow" fieldPosition="0"/>
    </format>
    <format dxfId="3097">
      <pivotArea field="2" type="button" dataOnly="0" labelOnly="1" outline="0" axis="axisRow" fieldPosition="0"/>
    </format>
    <format dxfId="3096">
      <pivotArea field="2" type="button" dataOnly="0" labelOnly="1" outline="0" axis="axisRow" fieldPosition="0"/>
    </format>
    <format dxfId="3095">
      <pivotArea field="7" type="button" dataOnly="0" labelOnly="1" outline="0" axis="axisRow" fieldPosition="1"/>
    </format>
    <format dxfId="3094">
      <pivotArea dataOnly="0" labelOnly="1" outline="0" fieldPosition="0">
        <references count="1">
          <reference field="4" count="0"/>
        </references>
      </pivotArea>
    </format>
    <format dxfId="3093">
      <pivotArea field="2" type="button" dataOnly="0" labelOnly="1" outline="0" axis="axisRow" fieldPosition="0"/>
    </format>
    <format dxfId="3092">
      <pivotArea field="7" type="button" dataOnly="0" labelOnly="1" outline="0" axis="axisRow" fieldPosition="1"/>
    </format>
    <format dxfId="3091">
      <pivotArea dataOnly="0" labelOnly="1" outline="0" fieldPosition="0">
        <references count="1">
          <reference field="4" count="0"/>
        </references>
      </pivotArea>
    </format>
    <format dxfId="3090">
      <pivotArea type="all" dataOnly="0" outline="0" fieldPosition="0"/>
    </format>
    <format dxfId="3089">
      <pivotArea outline="0" collapsedLevelsAreSubtotals="1" fieldPosition="0"/>
    </format>
    <format dxfId="3088">
      <pivotArea type="origin" dataOnly="0" labelOnly="1" outline="0" fieldPosition="0"/>
    </format>
    <format dxfId="3087">
      <pivotArea field="4" type="button" dataOnly="0" labelOnly="1" outline="0" axis="axisCol" fieldPosition="0"/>
    </format>
    <format dxfId="3086">
      <pivotArea type="topRight" dataOnly="0" labelOnly="1" outline="0" fieldPosition="0"/>
    </format>
    <format dxfId="3085">
      <pivotArea field="2" type="button" dataOnly="0" labelOnly="1" outline="0" axis="axisRow" fieldPosition="0"/>
    </format>
    <format dxfId="3084">
      <pivotArea field="7" type="button" dataOnly="0" labelOnly="1" outline="0" axis="axisRow" fieldPosition="1"/>
    </format>
    <format dxfId="3083">
      <pivotArea dataOnly="0" labelOnly="1" outline="0" fieldPosition="0">
        <references count="1">
          <reference field="2" count="0"/>
        </references>
      </pivotArea>
    </format>
    <format dxfId="3082">
      <pivotArea dataOnly="0" labelOnly="1" outline="0" fieldPosition="0">
        <references count="2">
          <reference field="2" count="1" selected="0">
            <x v="0"/>
          </reference>
          <reference field="7" count="1">
            <x v="84"/>
          </reference>
        </references>
      </pivotArea>
    </format>
    <format dxfId="3081">
      <pivotArea dataOnly="0" labelOnly="1" outline="0" fieldPosition="0">
        <references count="2">
          <reference field="2" count="1" selected="0">
            <x v="1"/>
          </reference>
          <reference field="7" count="1">
            <x v="85"/>
          </reference>
        </references>
      </pivotArea>
    </format>
    <format dxfId="3080">
      <pivotArea dataOnly="0" labelOnly="1" outline="0" fieldPosition="0">
        <references count="2">
          <reference field="2" count="1" selected="0">
            <x v="2"/>
          </reference>
          <reference field="7" count="1">
            <x v="86"/>
          </reference>
        </references>
      </pivotArea>
    </format>
    <format dxfId="3079">
      <pivotArea dataOnly="0" labelOnly="1" outline="0" fieldPosition="0">
        <references count="2">
          <reference field="2" count="1" selected="0">
            <x v="3"/>
          </reference>
          <reference field="7" count="1">
            <x v="87"/>
          </reference>
        </references>
      </pivotArea>
    </format>
    <format dxfId="3078">
      <pivotArea dataOnly="0" labelOnly="1" outline="0" fieldPosition="0">
        <references count="2">
          <reference field="2" count="1" selected="0">
            <x v="4"/>
          </reference>
          <reference field="7" count="1">
            <x v="88"/>
          </reference>
        </references>
      </pivotArea>
    </format>
    <format dxfId="3077">
      <pivotArea dataOnly="0" labelOnly="1" outline="0" fieldPosition="0">
        <references count="2">
          <reference field="2" count="1" selected="0">
            <x v="5"/>
          </reference>
          <reference field="7" count="1">
            <x v="89"/>
          </reference>
        </references>
      </pivotArea>
    </format>
    <format dxfId="3076">
      <pivotArea dataOnly="0" labelOnly="1" outline="0" fieldPosition="0">
        <references count="2">
          <reference field="2" count="1" selected="0">
            <x v="6"/>
          </reference>
          <reference field="7" count="1">
            <x v="89"/>
          </reference>
        </references>
      </pivotArea>
    </format>
    <format dxfId="3075">
      <pivotArea dataOnly="0" labelOnly="1" outline="0" fieldPosition="0">
        <references count="1">
          <reference field="4" count="0"/>
        </references>
      </pivotArea>
    </format>
    <format dxfId="3074">
      <pivotArea type="all" dataOnly="0" outline="0" fieldPosition="0"/>
    </format>
    <format dxfId="3073">
      <pivotArea outline="0" collapsedLevelsAreSubtotals="1" fieldPosition="0"/>
    </format>
    <format dxfId="3072">
      <pivotArea type="origin" dataOnly="0" labelOnly="1" outline="0" fieldPosition="0"/>
    </format>
    <format dxfId="3071">
      <pivotArea field="4" type="button" dataOnly="0" labelOnly="1" outline="0" axis="axisCol" fieldPosition="0"/>
    </format>
    <format dxfId="3070">
      <pivotArea type="topRight" dataOnly="0" labelOnly="1" outline="0" fieldPosition="0"/>
    </format>
    <format dxfId="3069">
      <pivotArea field="2" type="button" dataOnly="0" labelOnly="1" outline="0" axis="axisRow" fieldPosition="0"/>
    </format>
    <format dxfId="3068">
      <pivotArea field="7" type="button" dataOnly="0" labelOnly="1" outline="0" axis="axisRow" fieldPosition="1"/>
    </format>
    <format dxfId="3067">
      <pivotArea dataOnly="0" labelOnly="1" outline="0" fieldPosition="0">
        <references count="1">
          <reference field="2" count="0"/>
        </references>
      </pivotArea>
    </format>
    <format dxfId="3066">
      <pivotArea dataOnly="0" labelOnly="1" outline="0" fieldPosition="0">
        <references count="2">
          <reference field="2" count="1" selected="0">
            <x v="0"/>
          </reference>
          <reference field="7" count="1">
            <x v="84"/>
          </reference>
        </references>
      </pivotArea>
    </format>
    <format dxfId="3065">
      <pivotArea dataOnly="0" labelOnly="1" outline="0" fieldPosition="0">
        <references count="2">
          <reference field="2" count="1" selected="0">
            <x v="1"/>
          </reference>
          <reference field="7" count="1">
            <x v="85"/>
          </reference>
        </references>
      </pivotArea>
    </format>
    <format dxfId="3064">
      <pivotArea dataOnly="0" labelOnly="1" outline="0" fieldPosition="0">
        <references count="2">
          <reference field="2" count="1" selected="0">
            <x v="2"/>
          </reference>
          <reference field="7" count="1">
            <x v="86"/>
          </reference>
        </references>
      </pivotArea>
    </format>
    <format dxfId="3063">
      <pivotArea dataOnly="0" labelOnly="1" outline="0" fieldPosition="0">
        <references count="2">
          <reference field="2" count="1" selected="0">
            <x v="3"/>
          </reference>
          <reference field="7" count="1">
            <x v="87"/>
          </reference>
        </references>
      </pivotArea>
    </format>
    <format dxfId="3062">
      <pivotArea dataOnly="0" labelOnly="1" outline="0" fieldPosition="0">
        <references count="2">
          <reference field="2" count="1" selected="0">
            <x v="4"/>
          </reference>
          <reference field="7" count="1">
            <x v="88"/>
          </reference>
        </references>
      </pivotArea>
    </format>
    <format dxfId="3061">
      <pivotArea dataOnly="0" labelOnly="1" outline="0" fieldPosition="0">
        <references count="2">
          <reference field="2" count="1" selected="0">
            <x v="5"/>
          </reference>
          <reference field="7" count="1">
            <x v="89"/>
          </reference>
        </references>
      </pivotArea>
    </format>
    <format dxfId="3060">
      <pivotArea dataOnly="0" labelOnly="1" outline="0" fieldPosition="0">
        <references count="2">
          <reference field="2" count="1" selected="0">
            <x v="6"/>
          </reference>
          <reference field="7" count="1">
            <x v="89"/>
          </reference>
        </references>
      </pivotArea>
    </format>
    <format dxfId="3059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9.xml><?xml version="1.0" encoding="utf-8"?>
<pivotTableDefinition xmlns="http://schemas.openxmlformats.org/spreadsheetml/2006/main" name="TablaDinámica10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86:Q94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3144">
      <pivotArea type="origin" dataOnly="0" labelOnly="1" outline="0" fieldPosition="0"/>
    </format>
    <format dxfId="3143">
      <pivotArea field="-2" type="button" dataOnly="0" labelOnly="1" outline="0" axis="axisValues" fieldPosition="0"/>
    </format>
    <format dxfId="3142">
      <pivotArea type="topRight" dataOnly="0" labelOnly="1" outline="0" fieldPosition="0"/>
    </format>
    <format dxfId="3141">
      <pivotArea field="2" type="button" dataOnly="0" labelOnly="1" outline="0" axis="axisRow" fieldPosition="0"/>
    </format>
    <format dxfId="3140">
      <pivotArea field="2" type="button" dataOnly="0" labelOnly="1" outline="0" axis="axisRow" fieldPosition="0"/>
    </format>
    <format dxfId="3139">
      <pivotArea field="2" type="button" dataOnly="0" labelOnly="1" outline="0" axis="axisRow" fieldPosition="0"/>
    </format>
    <format dxfId="3138">
      <pivotArea field="7" type="button" dataOnly="0" labelOnly="1" outline="0" axis="axisRow" fieldPosition="1"/>
    </format>
    <format dxfId="3137">
      <pivotArea dataOnly="0" labelOnly="1" outline="0" fieldPosition="0">
        <references count="1">
          <reference field="4" count="0"/>
        </references>
      </pivotArea>
    </format>
    <format dxfId="3136">
      <pivotArea field="2" type="button" dataOnly="0" labelOnly="1" outline="0" axis="axisRow" fieldPosition="0"/>
    </format>
    <format dxfId="3135">
      <pivotArea field="7" type="button" dataOnly="0" labelOnly="1" outline="0" axis="axisRow" fieldPosition="1"/>
    </format>
    <format dxfId="3134">
      <pivotArea dataOnly="0" labelOnly="1" outline="0" fieldPosition="0">
        <references count="1">
          <reference field="4" count="0"/>
        </references>
      </pivotArea>
    </format>
    <format dxfId="3133">
      <pivotArea type="all" dataOnly="0" outline="0" fieldPosition="0"/>
    </format>
    <format dxfId="3132">
      <pivotArea outline="0" collapsedLevelsAreSubtotals="1" fieldPosition="0"/>
    </format>
    <format dxfId="3131">
      <pivotArea type="origin" dataOnly="0" labelOnly="1" outline="0" fieldPosition="0"/>
    </format>
    <format dxfId="3130">
      <pivotArea field="4" type="button" dataOnly="0" labelOnly="1" outline="0" axis="axisCol" fieldPosition="0"/>
    </format>
    <format dxfId="3129">
      <pivotArea type="topRight" dataOnly="0" labelOnly="1" outline="0" fieldPosition="0"/>
    </format>
    <format dxfId="3128">
      <pivotArea field="2" type="button" dataOnly="0" labelOnly="1" outline="0" axis="axisRow" fieldPosition="0"/>
    </format>
    <format dxfId="3127">
      <pivotArea field="7" type="button" dataOnly="0" labelOnly="1" outline="0" axis="axisRow" fieldPosition="1"/>
    </format>
    <format dxfId="3126">
      <pivotArea dataOnly="0" labelOnly="1" outline="0" fieldPosition="0">
        <references count="1">
          <reference field="2" count="0"/>
        </references>
      </pivotArea>
    </format>
    <format dxfId="3125">
      <pivotArea dataOnly="0" labelOnly="1" outline="0" fieldPosition="0">
        <references count="2">
          <reference field="2" count="1" selected="0">
            <x v="0"/>
          </reference>
          <reference field="7" count="1">
            <x v="30"/>
          </reference>
        </references>
      </pivotArea>
    </format>
    <format dxfId="3124">
      <pivotArea dataOnly="0" labelOnly="1" outline="0" fieldPosition="0">
        <references count="2">
          <reference field="2" count="1" selected="0">
            <x v="1"/>
          </reference>
          <reference field="7" count="1">
            <x v="31"/>
          </reference>
        </references>
      </pivotArea>
    </format>
    <format dxfId="3123">
      <pivotArea dataOnly="0" labelOnly="1" outline="0" fieldPosition="0">
        <references count="2">
          <reference field="2" count="1" selected="0">
            <x v="2"/>
          </reference>
          <reference field="7" count="1">
            <x v="32"/>
          </reference>
        </references>
      </pivotArea>
    </format>
    <format dxfId="3122">
      <pivotArea dataOnly="0" labelOnly="1" outline="0" fieldPosition="0">
        <references count="2">
          <reference field="2" count="1" selected="0">
            <x v="3"/>
          </reference>
          <reference field="7" count="1">
            <x v="33"/>
          </reference>
        </references>
      </pivotArea>
    </format>
    <format dxfId="3121">
      <pivotArea dataOnly="0" labelOnly="1" outline="0" fieldPosition="0">
        <references count="2">
          <reference field="2" count="1" selected="0">
            <x v="4"/>
          </reference>
          <reference field="7" count="1">
            <x v="34"/>
          </reference>
        </references>
      </pivotArea>
    </format>
    <format dxfId="3120">
      <pivotArea dataOnly="0" labelOnly="1" outline="0" fieldPosition="0">
        <references count="2">
          <reference field="2" count="1" selected="0">
            <x v="5"/>
          </reference>
          <reference field="7" count="1">
            <x v="35"/>
          </reference>
        </references>
      </pivotArea>
    </format>
    <format dxfId="3119">
      <pivotArea dataOnly="0" labelOnly="1" outline="0" fieldPosition="0">
        <references count="2">
          <reference field="2" count="1" selected="0">
            <x v="6"/>
          </reference>
          <reference field="7" count="1">
            <x v="35"/>
          </reference>
        </references>
      </pivotArea>
    </format>
    <format dxfId="3118">
      <pivotArea dataOnly="0" labelOnly="1" outline="0" fieldPosition="0">
        <references count="1">
          <reference field="4" count="0"/>
        </references>
      </pivotArea>
    </format>
    <format dxfId="3117">
      <pivotArea type="all" dataOnly="0" outline="0" fieldPosition="0"/>
    </format>
    <format dxfId="3116">
      <pivotArea outline="0" collapsedLevelsAreSubtotals="1" fieldPosition="0"/>
    </format>
    <format dxfId="3115">
      <pivotArea type="origin" dataOnly="0" labelOnly="1" outline="0" fieldPosition="0"/>
    </format>
    <format dxfId="3114">
      <pivotArea field="4" type="button" dataOnly="0" labelOnly="1" outline="0" axis="axisCol" fieldPosition="0"/>
    </format>
    <format dxfId="3113">
      <pivotArea type="topRight" dataOnly="0" labelOnly="1" outline="0" fieldPosition="0"/>
    </format>
    <format dxfId="3112">
      <pivotArea field="2" type="button" dataOnly="0" labelOnly="1" outline="0" axis="axisRow" fieldPosition="0"/>
    </format>
    <format dxfId="3111">
      <pivotArea field="7" type="button" dataOnly="0" labelOnly="1" outline="0" axis="axisRow" fieldPosition="1"/>
    </format>
    <format dxfId="3110">
      <pivotArea dataOnly="0" labelOnly="1" outline="0" fieldPosition="0">
        <references count="1">
          <reference field="2" count="0"/>
        </references>
      </pivotArea>
    </format>
    <format dxfId="3109">
      <pivotArea dataOnly="0" labelOnly="1" outline="0" fieldPosition="0">
        <references count="2">
          <reference field="2" count="1" selected="0">
            <x v="0"/>
          </reference>
          <reference field="7" count="1">
            <x v="30"/>
          </reference>
        </references>
      </pivotArea>
    </format>
    <format dxfId="3108">
      <pivotArea dataOnly="0" labelOnly="1" outline="0" fieldPosition="0">
        <references count="2">
          <reference field="2" count="1" selected="0">
            <x v="1"/>
          </reference>
          <reference field="7" count="1">
            <x v="31"/>
          </reference>
        </references>
      </pivotArea>
    </format>
    <format dxfId="3107">
      <pivotArea dataOnly="0" labelOnly="1" outline="0" fieldPosition="0">
        <references count="2">
          <reference field="2" count="1" selected="0">
            <x v="2"/>
          </reference>
          <reference field="7" count="1">
            <x v="32"/>
          </reference>
        </references>
      </pivotArea>
    </format>
    <format dxfId="3106">
      <pivotArea dataOnly="0" labelOnly="1" outline="0" fieldPosition="0">
        <references count="2">
          <reference field="2" count="1" selected="0">
            <x v="3"/>
          </reference>
          <reference field="7" count="1">
            <x v="33"/>
          </reference>
        </references>
      </pivotArea>
    </format>
    <format dxfId="3105">
      <pivotArea dataOnly="0" labelOnly="1" outline="0" fieldPosition="0">
        <references count="2">
          <reference field="2" count="1" selected="0">
            <x v="4"/>
          </reference>
          <reference field="7" count="1">
            <x v="34"/>
          </reference>
        </references>
      </pivotArea>
    </format>
    <format dxfId="3104">
      <pivotArea dataOnly="0" labelOnly="1" outline="0" fieldPosition="0">
        <references count="2">
          <reference field="2" count="1" selected="0">
            <x v="5"/>
          </reference>
          <reference field="7" count="1">
            <x v="35"/>
          </reference>
        </references>
      </pivotArea>
    </format>
    <format dxfId="3103">
      <pivotArea dataOnly="0" labelOnly="1" outline="0" fieldPosition="0">
        <references count="2">
          <reference field="2" count="1" selected="0">
            <x v="6"/>
          </reference>
          <reference field="7" count="1">
            <x v="35"/>
          </reference>
        </references>
      </pivotArea>
    </format>
    <format dxfId="3102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0.xml><?xml version="1.0" encoding="utf-8"?>
<pivotTableDefinition xmlns="http://schemas.openxmlformats.org/spreadsheetml/2006/main" name="TablaDinámica14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138:Q146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3187">
      <pivotArea type="origin" dataOnly="0" labelOnly="1" outline="0" fieldPosition="0"/>
    </format>
    <format dxfId="3186">
      <pivotArea field="-2" type="button" dataOnly="0" labelOnly="1" outline="0" axis="axisValues" fieldPosition="0"/>
    </format>
    <format dxfId="3185">
      <pivotArea type="topRight" dataOnly="0" labelOnly="1" outline="0" fieldPosition="0"/>
    </format>
    <format dxfId="3184">
      <pivotArea field="2" type="button" dataOnly="0" labelOnly="1" outline="0" axis="axisRow" fieldPosition="0"/>
    </format>
    <format dxfId="3183">
      <pivotArea field="2" type="button" dataOnly="0" labelOnly="1" outline="0" axis="axisRow" fieldPosition="0"/>
    </format>
    <format dxfId="3182">
      <pivotArea field="2" type="button" dataOnly="0" labelOnly="1" outline="0" axis="axisRow" fieldPosition="0"/>
    </format>
    <format dxfId="3181">
      <pivotArea field="7" type="button" dataOnly="0" labelOnly="1" outline="0" axis="axisRow" fieldPosition="1"/>
    </format>
    <format dxfId="3180">
      <pivotArea dataOnly="0" labelOnly="1" outline="0" fieldPosition="0">
        <references count="1">
          <reference field="4" count="0"/>
        </references>
      </pivotArea>
    </format>
    <format dxfId="3179">
      <pivotArea field="2" type="button" dataOnly="0" labelOnly="1" outline="0" axis="axisRow" fieldPosition="0"/>
    </format>
    <format dxfId="3178">
      <pivotArea field="7" type="button" dataOnly="0" labelOnly="1" outline="0" axis="axisRow" fieldPosition="1"/>
    </format>
    <format dxfId="3177">
      <pivotArea dataOnly="0" labelOnly="1" outline="0" fieldPosition="0">
        <references count="1">
          <reference field="4" count="0"/>
        </references>
      </pivotArea>
    </format>
    <format dxfId="3176">
      <pivotArea type="all" dataOnly="0" outline="0" fieldPosition="0"/>
    </format>
    <format dxfId="3175">
      <pivotArea outline="0" collapsedLevelsAreSubtotals="1" fieldPosition="0"/>
    </format>
    <format dxfId="3174">
      <pivotArea type="origin" dataOnly="0" labelOnly="1" outline="0" fieldPosition="0"/>
    </format>
    <format dxfId="3173">
      <pivotArea field="4" type="button" dataOnly="0" labelOnly="1" outline="0" axis="axisCol" fieldPosition="0"/>
    </format>
    <format dxfId="3172">
      <pivotArea type="topRight" dataOnly="0" labelOnly="1" outline="0" fieldPosition="0"/>
    </format>
    <format dxfId="3171">
      <pivotArea field="2" type="button" dataOnly="0" labelOnly="1" outline="0" axis="axisRow" fieldPosition="0"/>
    </format>
    <format dxfId="3170">
      <pivotArea field="7" type="button" dataOnly="0" labelOnly="1" outline="0" axis="axisRow" fieldPosition="1"/>
    </format>
    <format dxfId="3169">
      <pivotArea dataOnly="0" labelOnly="1" outline="0" fieldPosition="0">
        <references count="1">
          <reference field="2" count="0"/>
        </references>
      </pivotArea>
    </format>
    <format dxfId="3168">
      <pivotArea dataOnly="0" labelOnly="1" outline="0" fieldPosition="0">
        <references count="2">
          <reference field="2" count="1" selected="0">
            <x v="0"/>
          </reference>
          <reference field="7" count="1">
            <x v="54"/>
          </reference>
        </references>
      </pivotArea>
    </format>
    <format dxfId="3167">
      <pivotArea dataOnly="0" labelOnly="1" outline="0" fieldPosition="0">
        <references count="2">
          <reference field="2" count="1" selected="0">
            <x v="1"/>
          </reference>
          <reference field="7" count="1">
            <x v="55"/>
          </reference>
        </references>
      </pivotArea>
    </format>
    <format dxfId="3166">
      <pivotArea dataOnly="0" labelOnly="1" outline="0" fieldPosition="0">
        <references count="2">
          <reference field="2" count="1" selected="0">
            <x v="2"/>
          </reference>
          <reference field="7" count="1">
            <x v="56"/>
          </reference>
        </references>
      </pivotArea>
    </format>
    <format dxfId="3165">
      <pivotArea dataOnly="0" labelOnly="1" outline="0" fieldPosition="0">
        <references count="2">
          <reference field="2" count="1" selected="0">
            <x v="3"/>
          </reference>
          <reference field="7" count="1">
            <x v="57"/>
          </reference>
        </references>
      </pivotArea>
    </format>
    <format dxfId="3164">
      <pivotArea dataOnly="0" labelOnly="1" outline="0" fieldPosition="0">
        <references count="2">
          <reference field="2" count="1" selected="0">
            <x v="4"/>
          </reference>
          <reference field="7" count="1">
            <x v="58"/>
          </reference>
        </references>
      </pivotArea>
    </format>
    <format dxfId="3163">
      <pivotArea dataOnly="0" labelOnly="1" outline="0" fieldPosition="0">
        <references count="2">
          <reference field="2" count="1" selected="0">
            <x v="5"/>
          </reference>
          <reference field="7" count="1">
            <x v="59"/>
          </reference>
        </references>
      </pivotArea>
    </format>
    <format dxfId="3162">
      <pivotArea dataOnly="0" labelOnly="1" outline="0" fieldPosition="0">
        <references count="2">
          <reference field="2" count="1" selected="0">
            <x v="6"/>
          </reference>
          <reference field="7" count="1">
            <x v="59"/>
          </reference>
        </references>
      </pivotArea>
    </format>
    <format dxfId="3161">
      <pivotArea dataOnly="0" labelOnly="1" outline="0" fieldPosition="0">
        <references count="1">
          <reference field="4" count="0"/>
        </references>
      </pivotArea>
    </format>
    <format dxfId="3160">
      <pivotArea type="all" dataOnly="0" outline="0" fieldPosition="0"/>
    </format>
    <format dxfId="3159">
      <pivotArea outline="0" collapsedLevelsAreSubtotals="1" fieldPosition="0"/>
    </format>
    <format dxfId="3158">
      <pivotArea type="origin" dataOnly="0" labelOnly="1" outline="0" fieldPosition="0"/>
    </format>
    <format dxfId="3157">
      <pivotArea field="4" type="button" dataOnly="0" labelOnly="1" outline="0" axis="axisCol" fieldPosition="0"/>
    </format>
    <format dxfId="3156">
      <pivotArea type="topRight" dataOnly="0" labelOnly="1" outline="0" fieldPosition="0"/>
    </format>
    <format dxfId="3155">
      <pivotArea field="2" type="button" dataOnly="0" labelOnly="1" outline="0" axis="axisRow" fieldPosition="0"/>
    </format>
    <format dxfId="3154">
      <pivotArea field="7" type="button" dataOnly="0" labelOnly="1" outline="0" axis="axisRow" fieldPosition="1"/>
    </format>
    <format dxfId="3153">
      <pivotArea dataOnly="0" labelOnly="1" outline="0" fieldPosition="0">
        <references count="1">
          <reference field="2" count="0"/>
        </references>
      </pivotArea>
    </format>
    <format dxfId="3152">
      <pivotArea dataOnly="0" labelOnly="1" outline="0" fieldPosition="0">
        <references count="2">
          <reference field="2" count="1" selected="0">
            <x v="0"/>
          </reference>
          <reference field="7" count="1">
            <x v="54"/>
          </reference>
        </references>
      </pivotArea>
    </format>
    <format dxfId="3151">
      <pivotArea dataOnly="0" labelOnly="1" outline="0" fieldPosition="0">
        <references count="2">
          <reference field="2" count="1" selected="0">
            <x v="1"/>
          </reference>
          <reference field="7" count="1">
            <x v="55"/>
          </reference>
        </references>
      </pivotArea>
    </format>
    <format dxfId="3150">
      <pivotArea dataOnly="0" labelOnly="1" outline="0" fieldPosition="0">
        <references count="2">
          <reference field="2" count="1" selected="0">
            <x v="2"/>
          </reference>
          <reference field="7" count="1">
            <x v="56"/>
          </reference>
        </references>
      </pivotArea>
    </format>
    <format dxfId="3149">
      <pivotArea dataOnly="0" labelOnly="1" outline="0" fieldPosition="0">
        <references count="2">
          <reference field="2" count="1" selected="0">
            <x v="3"/>
          </reference>
          <reference field="7" count="1">
            <x v="57"/>
          </reference>
        </references>
      </pivotArea>
    </format>
    <format dxfId="3148">
      <pivotArea dataOnly="0" labelOnly="1" outline="0" fieldPosition="0">
        <references count="2">
          <reference field="2" count="1" selected="0">
            <x v="4"/>
          </reference>
          <reference field="7" count="1">
            <x v="58"/>
          </reference>
        </references>
      </pivotArea>
    </format>
    <format dxfId="3147">
      <pivotArea dataOnly="0" labelOnly="1" outline="0" fieldPosition="0">
        <references count="2">
          <reference field="2" count="1" selected="0">
            <x v="5"/>
          </reference>
          <reference field="7" count="1">
            <x v="59"/>
          </reference>
        </references>
      </pivotArea>
    </format>
    <format dxfId="3146">
      <pivotArea dataOnly="0" labelOnly="1" outline="0" fieldPosition="0">
        <references count="2">
          <reference field="2" count="1" selected="0">
            <x v="6"/>
          </reference>
          <reference field="7" count="1">
            <x v="59"/>
          </reference>
        </references>
      </pivotArea>
    </format>
    <format dxfId="3145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1.xml><?xml version="1.0" encoding="utf-8"?>
<pivotTableDefinition xmlns="http://schemas.openxmlformats.org/spreadsheetml/2006/main" name="TablaDinámica7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47:Q55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3230">
      <pivotArea type="origin" dataOnly="0" labelOnly="1" outline="0" fieldPosition="0"/>
    </format>
    <format dxfId="3229">
      <pivotArea field="-2" type="button" dataOnly="0" labelOnly="1" outline="0" axis="axisValues" fieldPosition="0"/>
    </format>
    <format dxfId="3228">
      <pivotArea type="topRight" dataOnly="0" labelOnly="1" outline="0" fieldPosition="0"/>
    </format>
    <format dxfId="3227">
      <pivotArea field="2" type="button" dataOnly="0" labelOnly="1" outline="0" axis="axisRow" fieldPosition="0"/>
    </format>
    <format dxfId="3226">
      <pivotArea field="2" type="button" dataOnly="0" labelOnly="1" outline="0" axis="axisRow" fieldPosition="0"/>
    </format>
    <format dxfId="3225">
      <pivotArea field="2" type="button" dataOnly="0" labelOnly="1" outline="0" axis="axisRow" fieldPosition="0"/>
    </format>
    <format dxfId="3224">
      <pivotArea field="7" type="button" dataOnly="0" labelOnly="1" outline="0" axis="axisRow" fieldPosition="1"/>
    </format>
    <format dxfId="3223">
      <pivotArea dataOnly="0" labelOnly="1" outline="0" fieldPosition="0">
        <references count="1">
          <reference field="4" count="0"/>
        </references>
      </pivotArea>
    </format>
    <format dxfId="3222">
      <pivotArea field="2" type="button" dataOnly="0" labelOnly="1" outline="0" axis="axisRow" fieldPosition="0"/>
    </format>
    <format dxfId="3221">
      <pivotArea field="7" type="button" dataOnly="0" labelOnly="1" outline="0" axis="axisRow" fieldPosition="1"/>
    </format>
    <format dxfId="3220">
      <pivotArea dataOnly="0" labelOnly="1" outline="0" fieldPosition="0">
        <references count="1">
          <reference field="4" count="0"/>
        </references>
      </pivotArea>
    </format>
    <format dxfId="3219">
      <pivotArea type="all" dataOnly="0" outline="0" fieldPosition="0"/>
    </format>
    <format dxfId="3218">
      <pivotArea outline="0" collapsedLevelsAreSubtotals="1" fieldPosition="0"/>
    </format>
    <format dxfId="3217">
      <pivotArea type="origin" dataOnly="0" labelOnly="1" outline="0" fieldPosition="0"/>
    </format>
    <format dxfId="3216">
      <pivotArea field="4" type="button" dataOnly="0" labelOnly="1" outline="0" axis="axisCol" fieldPosition="0"/>
    </format>
    <format dxfId="3215">
      <pivotArea type="topRight" dataOnly="0" labelOnly="1" outline="0" fieldPosition="0"/>
    </format>
    <format dxfId="3214">
      <pivotArea field="2" type="button" dataOnly="0" labelOnly="1" outline="0" axis="axisRow" fieldPosition="0"/>
    </format>
    <format dxfId="3213">
      <pivotArea field="7" type="button" dataOnly="0" labelOnly="1" outline="0" axis="axisRow" fieldPosition="1"/>
    </format>
    <format dxfId="3212">
      <pivotArea dataOnly="0" labelOnly="1" outline="0" fieldPosition="0">
        <references count="1">
          <reference field="2" count="0"/>
        </references>
      </pivotArea>
    </format>
    <format dxfId="3211">
      <pivotArea dataOnly="0" labelOnly="1" outline="0" fieldPosition="0">
        <references count="2">
          <reference field="2" count="1" selected="0">
            <x v="0"/>
          </reference>
          <reference field="7" count="1">
            <x v="12"/>
          </reference>
        </references>
      </pivotArea>
    </format>
    <format dxfId="3210">
      <pivotArea dataOnly="0" labelOnly="1" outline="0" fieldPosition="0">
        <references count="2">
          <reference field="2" count="1" selected="0">
            <x v="1"/>
          </reference>
          <reference field="7" count="1">
            <x v="13"/>
          </reference>
        </references>
      </pivotArea>
    </format>
    <format dxfId="3209">
      <pivotArea dataOnly="0" labelOnly="1" outline="0" fieldPosition="0">
        <references count="2">
          <reference field="2" count="1" selected="0">
            <x v="2"/>
          </reference>
          <reference field="7" count="1">
            <x v="14"/>
          </reference>
        </references>
      </pivotArea>
    </format>
    <format dxfId="3208">
      <pivotArea dataOnly="0" labelOnly="1" outline="0" fieldPosition="0">
        <references count="2">
          <reference field="2" count="1" selected="0">
            <x v="3"/>
          </reference>
          <reference field="7" count="1">
            <x v="15"/>
          </reference>
        </references>
      </pivotArea>
    </format>
    <format dxfId="3207">
      <pivotArea dataOnly="0" labelOnly="1" outline="0" fieldPosition="0">
        <references count="2">
          <reference field="2" count="1" selected="0">
            <x v="4"/>
          </reference>
          <reference field="7" count="1">
            <x v="16"/>
          </reference>
        </references>
      </pivotArea>
    </format>
    <format dxfId="3206">
      <pivotArea dataOnly="0" labelOnly="1" outline="0" fieldPosition="0">
        <references count="2">
          <reference field="2" count="1" selected="0">
            <x v="5"/>
          </reference>
          <reference field="7" count="1">
            <x v="17"/>
          </reference>
        </references>
      </pivotArea>
    </format>
    <format dxfId="3205">
      <pivotArea dataOnly="0" labelOnly="1" outline="0" fieldPosition="0">
        <references count="2">
          <reference field="2" count="1" selected="0">
            <x v="6"/>
          </reference>
          <reference field="7" count="1">
            <x v="17"/>
          </reference>
        </references>
      </pivotArea>
    </format>
    <format dxfId="3204">
      <pivotArea dataOnly="0" labelOnly="1" outline="0" fieldPosition="0">
        <references count="1">
          <reference field="4" count="0"/>
        </references>
      </pivotArea>
    </format>
    <format dxfId="3203">
      <pivotArea type="all" dataOnly="0" outline="0" fieldPosition="0"/>
    </format>
    <format dxfId="3202">
      <pivotArea outline="0" collapsedLevelsAreSubtotals="1" fieldPosition="0"/>
    </format>
    <format dxfId="3201">
      <pivotArea type="origin" dataOnly="0" labelOnly="1" outline="0" fieldPosition="0"/>
    </format>
    <format dxfId="3200">
      <pivotArea field="4" type="button" dataOnly="0" labelOnly="1" outline="0" axis="axisCol" fieldPosition="0"/>
    </format>
    <format dxfId="3199">
      <pivotArea type="topRight" dataOnly="0" labelOnly="1" outline="0" fieldPosition="0"/>
    </format>
    <format dxfId="3198">
      <pivotArea field="2" type="button" dataOnly="0" labelOnly="1" outline="0" axis="axisRow" fieldPosition="0"/>
    </format>
    <format dxfId="3197">
      <pivotArea field="7" type="button" dataOnly="0" labelOnly="1" outline="0" axis="axisRow" fieldPosition="1"/>
    </format>
    <format dxfId="3196">
      <pivotArea dataOnly="0" labelOnly="1" outline="0" fieldPosition="0">
        <references count="1">
          <reference field="2" count="0"/>
        </references>
      </pivotArea>
    </format>
    <format dxfId="3195">
      <pivotArea dataOnly="0" labelOnly="1" outline="0" fieldPosition="0">
        <references count="2">
          <reference field="2" count="1" selected="0">
            <x v="0"/>
          </reference>
          <reference field="7" count="1">
            <x v="12"/>
          </reference>
        </references>
      </pivotArea>
    </format>
    <format dxfId="3194">
      <pivotArea dataOnly="0" labelOnly="1" outline="0" fieldPosition="0">
        <references count="2">
          <reference field="2" count="1" selected="0">
            <x v="1"/>
          </reference>
          <reference field="7" count="1">
            <x v="13"/>
          </reference>
        </references>
      </pivotArea>
    </format>
    <format dxfId="3193">
      <pivotArea dataOnly="0" labelOnly="1" outline="0" fieldPosition="0">
        <references count="2">
          <reference field="2" count="1" selected="0">
            <x v="2"/>
          </reference>
          <reference field="7" count="1">
            <x v="14"/>
          </reference>
        </references>
      </pivotArea>
    </format>
    <format dxfId="3192">
      <pivotArea dataOnly="0" labelOnly="1" outline="0" fieldPosition="0">
        <references count="2">
          <reference field="2" count="1" selected="0">
            <x v="3"/>
          </reference>
          <reference field="7" count="1">
            <x v="15"/>
          </reference>
        </references>
      </pivotArea>
    </format>
    <format dxfId="3191">
      <pivotArea dataOnly="0" labelOnly="1" outline="0" fieldPosition="0">
        <references count="2">
          <reference field="2" count="1" selected="0">
            <x v="4"/>
          </reference>
          <reference field="7" count="1">
            <x v="16"/>
          </reference>
        </references>
      </pivotArea>
    </format>
    <format dxfId="3190">
      <pivotArea dataOnly="0" labelOnly="1" outline="0" fieldPosition="0">
        <references count="2">
          <reference field="2" count="1" selected="0">
            <x v="5"/>
          </reference>
          <reference field="7" count="1">
            <x v="17"/>
          </reference>
        </references>
      </pivotArea>
    </format>
    <format dxfId="3189">
      <pivotArea dataOnly="0" labelOnly="1" outline="0" fieldPosition="0">
        <references count="2">
          <reference field="2" count="1" selected="0">
            <x v="6"/>
          </reference>
          <reference field="7" count="1">
            <x v="17"/>
          </reference>
        </references>
      </pivotArea>
    </format>
    <format dxfId="3188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2.xml><?xml version="1.0" encoding="utf-8"?>
<pivotTableDefinition xmlns="http://schemas.openxmlformats.org/spreadsheetml/2006/main" name="TablaDinámica17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177:Q185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3273">
      <pivotArea type="origin" dataOnly="0" labelOnly="1" outline="0" fieldPosition="0"/>
    </format>
    <format dxfId="3272">
      <pivotArea field="-2" type="button" dataOnly="0" labelOnly="1" outline="0" axis="axisValues" fieldPosition="0"/>
    </format>
    <format dxfId="3271">
      <pivotArea type="topRight" dataOnly="0" labelOnly="1" outline="0" fieldPosition="0"/>
    </format>
    <format dxfId="3270">
      <pivotArea field="2" type="button" dataOnly="0" labelOnly="1" outline="0" axis="axisRow" fieldPosition="0"/>
    </format>
    <format dxfId="3269">
      <pivotArea field="2" type="button" dataOnly="0" labelOnly="1" outline="0" axis="axisRow" fieldPosition="0"/>
    </format>
    <format dxfId="3268">
      <pivotArea field="2" type="button" dataOnly="0" labelOnly="1" outline="0" axis="axisRow" fieldPosition="0"/>
    </format>
    <format dxfId="3267">
      <pivotArea field="7" type="button" dataOnly="0" labelOnly="1" outline="0" axis="axisRow" fieldPosition="1"/>
    </format>
    <format dxfId="3266">
      <pivotArea dataOnly="0" labelOnly="1" outline="0" fieldPosition="0">
        <references count="1">
          <reference field="4" count="0"/>
        </references>
      </pivotArea>
    </format>
    <format dxfId="3265">
      <pivotArea field="2" type="button" dataOnly="0" labelOnly="1" outline="0" axis="axisRow" fieldPosition="0"/>
    </format>
    <format dxfId="3264">
      <pivotArea field="7" type="button" dataOnly="0" labelOnly="1" outline="0" axis="axisRow" fieldPosition="1"/>
    </format>
    <format dxfId="3263">
      <pivotArea dataOnly="0" labelOnly="1" outline="0" fieldPosition="0">
        <references count="1">
          <reference field="4" count="0"/>
        </references>
      </pivotArea>
    </format>
    <format dxfId="3262">
      <pivotArea type="all" dataOnly="0" outline="0" fieldPosition="0"/>
    </format>
    <format dxfId="3261">
      <pivotArea outline="0" collapsedLevelsAreSubtotals="1" fieldPosition="0"/>
    </format>
    <format dxfId="3260">
      <pivotArea type="origin" dataOnly="0" labelOnly="1" outline="0" fieldPosition="0"/>
    </format>
    <format dxfId="3259">
      <pivotArea field="4" type="button" dataOnly="0" labelOnly="1" outline="0" axis="axisCol" fieldPosition="0"/>
    </format>
    <format dxfId="3258">
      <pivotArea type="topRight" dataOnly="0" labelOnly="1" outline="0" fieldPosition="0"/>
    </format>
    <format dxfId="3257">
      <pivotArea field="2" type="button" dataOnly="0" labelOnly="1" outline="0" axis="axisRow" fieldPosition="0"/>
    </format>
    <format dxfId="3256">
      <pivotArea field="7" type="button" dataOnly="0" labelOnly="1" outline="0" axis="axisRow" fieldPosition="1"/>
    </format>
    <format dxfId="3255">
      <pivotArea dataOnly="0" labelOnly="1" outline="0" fieldPosition="0">
        <references count="1">
          <reference field="2" count="0"/>
        </references>
      </pivotArea>
    </format>
    <format dxfId="3254">
      <pivotArea dataOnly="0" labelOnly="1" outline="0" fieldPosition="0">
        <references count="2">
          <reference field="2" count="1" selected="0">
            <x v="0"/>
          </reference>
          <reference field="7" count="1">
            <x v="72"/>
          </reference>
        </references>
      </pivotArea>
    </format>
    <format dxfId="3253">
      <pivotArea dataOnly="0" labelOnly="1" outline="0" fieldPosition="0">
        <references count="2">
          <reference field="2" count="1" selected="0">
            <x v="1"/>
          </reference>
          <reference field="7" count="1">
            <x v="73"/>
          </reference>
        </references>
      </pivotArea>
    </format>
    <format dxfId="3252">
      <pivotArea dataOnly="0" labelOnly="1" outline="0" fieldPosition="0">
        <references count="2">
          <reference field="2" count="1" selected="0">
            <x v="2"/>
          </reference>
          <reference field="7" count="1">
            <x v="74"/>
          </reference>
        </references>
      </pivotArea>
    </format>
    <format dxfId="3251">
      <pivotArea dataOnly="0" labelOnly="1" outline="0" fieldPosition="0">
        <references count="2">
          <reference field="2" count="1" selected="0">
            <x v="3"/>
          </reference>
          <reference field="7" count="1">
            <x v="75"/>
          </reference>
        </references>
      </pivotArea>
    </format>
    <format dxfId="3250">
      <pivotArea dataOnly="0" labelOnly="1" outline="0" fieldPosition="0">
        <references count="2">
          <reference field="2" count="1" selected="0">
            <x v="4"/>
          </reference>
          <reference field="7" count="1">
            <x v="76"/>
          </reference>
        </references>
      </pivotArea>
    </format>
    <format dxfId="3249">
      <pivotArea dataOnly="0" labelOnly="1" outline="0" fieldPosition="0">
        <references count="2">
          <reference field="2" count="1" selected="0">
            <x v="5"/>
          </reference>
          <reference field="7" count="1">
            <x v="77"/>
          </reference>
        </references>
      </pivotArea>
    </format>
    <format dxfId="3248">
      <pivotArea dataOnly="0" labelOnly="1" outline="0" fieldPosition="0">
        <references count="2">
          <reference field="2" count="1" selected="0">
            <x v="6"/>
          </reference>
          <reference field="7" count="1">
            <x v="77"/>
          </reference>
        </references>
      </pivotArea>
    </format>
    <format dxfId="3247">
      <pivotArea dataOnly="0" labelOnly="1" outline="0" fieldPosition="0">
        <references count="1">
          <reference field="4" count="0"/>
        </references>
      </pivotArea>
    </format>
    <format dxfId="3246">
      <pivotArea type="all" dataOnly="0" outline="0" fieldPosition="0"/>
    </format>
    <format dxfId="3245">
      <pivotArea outline="0" collapsedLevelsAreSubtotals="1" fieldPosition="0"/>
    </format>
    <format dxfId="3244">
      <pivotArea type="origin" dataOnly="0" labelOnly="1" outline="0" fieldPosition="0"/>
    </format>
    <format dxfId="3243">
      <pivotArea field="4" type="button" dataOnly="0" labelOnly="1" outline="0" axis="axisCol" fieldPosition="0"/>
    </format>
    <format dxfId="3242">
      <pivotArea type="topRight" dataOnly="0" labelOnly="1" outline="0" fieldPosition="0"/>
    </format>
    <format dxfId="3241">
      <pivotArea field="2" type="button" dataOnly="0" labelOnly="1" outline="0" axis="axisRow" fieldPosition="0"/>
    </format>
    <format dxfId="3240">
      <pivotArea field="7" type="button" dataOnly="0" labelOnly="1" outline="0" axis="axisRow" fieldPosition="1"/>
    </format>
    <format dxfId="3239">
      <pivotArea dataOnly="0" labelOnly="1" outline="0" fieldPosition="0">
        <references count="1">
          <reference field="2" count="0"/>
        </references>
      </pivotArea>
    </format>
    <format dxfId="3238">
      <pivotArea dataOnly="0" labelOnly="1" outline="0" fieldPosition="0">
        <references count="2">
          <reference field="2" count="1" selected="0">
            <x v="0"/>
          </reference>
          <reference field="7" count="1">
            <x v="72"/>
          </reference>
        </references>
      </pivotArea>
    </format>
    <format dxfId="3237">
      <pivotArea dataOnly="0" labelOnly="1" outline="0" fieldPosition="0">
        <references count="2">
          <reference field="2" count="1" selected="0">
            <x v="1"/>
          </reference>
          <reference field="7" count="1">
            <x v="73"/>
          </reference>
        </references>
      </pivotArea>
    </format>
    <format dxfId="3236">
      <pivotArea dataOnly="0" labelOnly="1" outline="0" fieldPosition="0">
        <references count="2">
          <reference field="2" count="1" selected="0">
            <x v="2"/>
          </reference>
          <reference field="7" count="1">
            <x v="74"/>
          </reference>
        </references>
      </pivotArea>
    </format>
    <format dxfId="3235">
      <pivotArea dataOnly="0" labelOnly="1" outline="0" fieldPosition="0">
        <references count="2">
          <reference field="2" count="1" selected="0">
            <x v="3"/>
          </reference>
          <reference field="7" count="1">
            <x v="75"/>
          </reference>
        </references>
      </pivotArea>
    </format>
    <format dxfId="3234">
      <pivotArea dataOnly="0" labelOnly="1" outline="0" fieldPosition="0">
        <references count="2">
          <reference field="2" count="1" selected="0">
            <x v="4"/>
          </reference>
          <reference field="7" count="1">
            <x v="76"/>
          </reference>
        </references>
      </pivotArea>
    </format>
    <format dxfId="3233">
      <pivotArea dataOnly="0" labelOnly="1" outline="0" fieldPosition="0">
        <references count="2">
          <reference field="2" count="1" selected="0">
            <x v="5"/>
          </reference>
          <reference field="7" count="1">
            <x v="77"/>
          </reference>
        </references>
      </pivotArea>
    </format>
    <format dxfId="3232">
      <pivotArea dataOnly="0" labelOnly="1" outline="0" fieldPosition="0">
        <references count="2">
          <reference field="2" count="1" selected="0">
            <x v="6"/>
          </reference>
          <reference field="7" count="1">
            <x v="77"/>
          </reference>
        </references>
      </pivotArea>
    </format>
    <format dxfId="3231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3.xml><?xml version="1.0" encoding="utf-8"?>
<pivotTableDefinition xmlns="http://schemas.openxmlformats.org/spreadsheetml/2006/main" name="TablaDinámica6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gridDropZones="1" multipleFieldFilters="0" chartFormat="1">
  <location ref="A34:Q42" firstHeaderRow="1" firstDataRow="2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9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5">
        <item x="0"/>
        <item x="9"/>
        <item x="10"/>
        <item x="11"/>
        <item x="12"/>
        <item x="1"/>
        <item x="2"/>
        <item x="3"/>
        <item x="4"/>
        <item x="5"/>
        <item x="6"/>
        <item x="7"/>
        <item x="8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7"/>
  </rowFields>
  <rowItems count="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5"/>
    </i>
  </rowItems>
  <colFields count="1">
    <field x="4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pageFields count="1">
    <pageField fld="1" hier="-1"/>
  </pageFields>
  <dataFields count="1">
    <dataField name="Suma de Fallecimientos" fld="6" baseField="0" baseItem="0"/>
  </dataFields>
  <formats count="43">
    <format dxfId="3316">
      <pivotArea type="origin" dataOnly="0" labelOnly="1" outline="0" fieldPosition="0"/>
    </format>
    <format dxfId="3315">
      <pivotArea field="-2" type="button" dataOnly="0" labelOnly="1" outline="0" axis="axisValues" fieldPosition="0"/>
    </format>
    <format dxfId="3314">
      <pivotArea type="topRight" dataOnly="0" labelOnly="1" outline="0" fieldPosition="0"/>
    </format>
    <format dxfId="3313">
      <pivotArea field="2" type="button" dataOnly="0" labelOnly="1" outline="0" axis="axisRow" fieldPosition="0"/>
    </format>
    <format dxfId="3312">
      <pivotArea field="2" type="button" dataOnly="0" labelOnly="1" outline="0" axis="axisRow" fieldPosition="0"/>
    </format>
    <format dxfId="3311">
      <pivotArea field="2" type="button" dataOnly="0" labelOnly="1" outline="0" axis="axisRow" fieldPosition="0"/>
    </format>
    <format dxfId="3310">
      <pivotArea field="7" type="button" dataOnly="0" labelOnly="1" outline="0" axis="axisRow" fieldPosition="1"/>
    </format>
    <format dxfId="3309">
      <pivotArea dataOnly="0" labelOnly="1" outline="0" fieldPosition="0">
        <references count="1">
          <reference field="4" count="0"/>
        </references>
      </pivotArea>
    </format>
    <format dxfId="3308">
      <pivotArea field="2" type="button" dataOnly="0" labelOnly="1" outline="0" axis="axisRow" fieldPosition="0"/>
    </format>
    <format dxfId="3307">
      <pivotArea field="7" type="button" dataOnly="0" labelOnly="1" outline="0" axis="axisRow" fieldPosition="1"/>
    </format>
    <format dxfId="3306">
      <pivotArea dataOnly="0" labelOnly="1" outline="0" fieldPosition="0">
        <references count="1">
          <reference field="4" count="0"/>
        </references>
      </pivotArea>
    </format>
    <format dxfId="3305">
      <pivotArea type="all" dataOnly="0" outline="0" fieldPosition="0"/>
    </format>
    <format dxfId="3304">
      <pivotArea outline="0" collapsedLevelsAreSubtotals="1" fieldPosition="0"/>
    </format>
    <format dxfId="3303">
      <pivotArea type="origin" dataOnly="0" labelOnly="1" outline="0" fieldPosition="0"/>
    </format>
    <format dxfId="3302">
      <pivotArea field="4" type="button" dataOnly="0" labelOnly="1" outline="0" axis="axisCol" fieldPosition="0"/>
    </format>
    <format dxfId="3301">
      <pivotArea type="topRight" dataOnly="0" labelOnly="1" outline="0" fieldPosition="0"/>
    </format>
    <format dxfId="3300">
      <pivotArea field="2" type="button" dataOnly="0" labelOnly="1" outline="0" axis="axisRow" fieldPosition="0"/>
    </format>
    <format dxfId="3299">
      <pivotArea field="7" type="button" dataOnly="0" labelOnly="1" outline="0" axis="axisRow" fieldPosition="1"/>
    </format>
    <format dxfId="3298">
      <pivotArea dataOnly="0" labelOnly="1" outline="0" fieldPosition="0">
        <references count="1">
          <reference field="2" count="0"/>
        </references>
      </pivotArea>
    </format>
    <format dxfId="3297">
      <pivotArea dataOnly="0" labelOnly="1" outline="0" fieldPosition="0">
        <references count="2">
          <reference field="2" count="1" selected="0">
            <x v="0"/>
          </reference>
          <reference field="7" count="1">
            <x v="6"/>
          </reference>
        </references>
      </pivotArea>
    </format>
    <format dxfId="3296">
      <pivotArea dataOnly="0" labelOnly="1" outline="0" fieldPosition="0">
        <references count="2">
          <reference field="2" count="1" selected="0">
            <x v="1"/>
          </reference>
          <reference field="7" count="1">
            <x v="7"/>
          </reference>
        </references>
      </pivotArea>
    </format>
    <format dxfId="3295">
      <pivotArea dataOnly="0" labelOnly="1" outline="0" fieldPosition="0">
        <references count="2">
          <reference field="2" count="1" selected="0">
            <x v="2"/>
          </reference>
          <reference field="7" count="1">
            <x v="8"/>
          </reference>
        </references>
      </pivotArea>
    </format>
    <format dxfId="3294">
      <pivotArea dataOnly="0" labelOnly="1" outline="0" fieldPosition="0">
        <references count="2">
          <reference field="2" count="1" selected="0">
            <x v="3"/>
          </reference>
          <reference field="7" count="1">
            <x v="9"/>
          </reference>
        </references>
      </pivotArea>
    </format>
    <format dxfId="3293">
      <pivotArea dataOnly="0" labelOnly="1" outline="0" fieldPosition="0">
        <references count="2">
          <reference field="2" count="1" selected="0">
            <x v="4"/>
          </reference>
          <reference field="7" count="1">
            <x v="10"/>
          </reference>
        </references>
      </pivotArea>
    </format>
    <format dxfId="3292">
      <pivotArea dataOnly="0" labelOnly="1" outline="0" fieldPosition="0">
        <references count="2">
          <reference field="2" count="1" selected="0">
            <x v="5"/>
          </reference>
          <reference field="7" count="1">
            <x v="11"/>
          </reference>
        </references>
      </pivotArea>
    </format>
    <format dxfId="3291">
      <pivotArea dataOnly="0" labelOnly="1" outline="0" fieldPosition="0">
        <references count="2">
          <reference field="2" count="1" selected="0">
            <x v="6"/>
          </reference>
          <reference field="7" count="1">
            <x v="11"/>
          </reference>
        </references>
      </pivotArea>
    </format>
    <format dxfId="3290">
      <pivotArea dataOnly="0" labelOnly="1" outline="0" fieldPosition="0">
        <references count="1">
          <reference field="4" count="0"/>
        </references>
      </pivotArea>
    </format>
    <format dxfId="3289">
      <pivotArea type="all" dataOnly="0" outline="0" fieldPosition="0"/>
    </format>
    <format dxfId="3288">
      <pivotArea outline="0" collapsedLevelsAreSubtotals="1" fieldPosition="0"/>
    </format>
    <format dxfId="3287">
      <pivotArea type="origin" dataOnly="0" labelOnly="1" outline="0" fieldPosition="0"/>
    </format>
    <format dxfId="3286">
      <pivotArea field="4" type="button" dataOnly="0" labelOnly="1" outline="0" axis="axisCol" fieldPosition="0"/>
    </format>
    <format dxfId="3285">
      <pivotArea type="topRight" dataOnly="0" labelOnly="1" outline="0" fieldPosition="0"/>
    </format>
    <format dxfId="3284">
      <pivotArea field="2" type="button" dataOnly="0" labelOnly="1" outline="0" axis="axisRow" fieldPosition="0"/>
    </format>
    <format dxfId="3283">
      <pivotArea field="7" type="button" dataOnly="0" labelOnly="1" outline="0" axis="axisRow" fieldPosition="1"/>
    </format>
    <format dxfId="3282">
      <pivotArea dataOnly="0" labelOnly="1" outline="0" fieldPosition="0">
        <references count="1">
          <reference field="2" count="0"/>
        </references>
      </pivotArea>
    </format>
    <format dxfId="3281">
      <pivotArea dataOnly="0" labelOnly="1" outline="0" fieldPosition="0">
        <references count="2">
          <reference field="2" count="1" selected="0">
            <x v="0"/>
          </reference>
          <reference field="7" count="1">
            <x v="6"/>
          </reference>
        </references>
      </pivotArea>
    </format>
    <format dxfId="3280">
      <pivotArea dataOnly="0" labelOnly="1" outline="0" fieldPosition="0">
        <references count="2">
          <reference field="2" count="1" selected="0">
            <x v="1"/>
          </reference>
          <reference field="7" count="1">
            <x v="7"/>
          </reference>
        </references>
      </pivotArea>
    </format>
    <format dxfId="3279">
      <pivotArea dataOnly="0" labelOnly="1" outline="0" fieldPosition="0">
        <references count="2">
          <reference field="2" count="1" selected="0">
            <x v="2"/>
          </reference>
          <reference field="7" count="1">
            <x v="8"/>
          </reference>
        </references>
      </pivotArea>
    </format>
    <format dxfId="3278">
      <pivotArea dataOnly="0" labelOnly="1" outline="0" fieldPosition="0">
        <references count="2">
          <reference field="2" count="1" selected="0">
            <x v="3"/>
          </reference>
          <reference field="7" count="1">
            <x v="9"/>
          </reference>
        </references>
      </pivotArea>
    </format>
    <format dxfId="3277">
      <pivotArea dataOnly="0" labelOnly="1" outline="0" fieldPosition="0">
        <references count="2">
          <reference field="2" count="1" selected="0">
            <x v="4"/>
          </reference>
          <reference field="7" count="1">
            <x v="10"/>
          </reference>
        </references>
      </pivotArea>
    </format>
    <format dxfId="3276">
      <pivotArea dataOnly="0" labelOnly="1" outline="0" fieldPosition="0">
        <references count="2">
          <reference field="2" count="1" selected="0">
            <x v="5"/>
          </reference>
          <reference field="7" count="1">
            <x v="11"/>
          </reference>
        </references>
      </pivotArea>
    </format>
    <format dxfId="3275">
      <pivotArea dataOnly="0" labelOnly="1" outline="0" fieldPosition="0">
        <references count="2">
          <reference field="2" count="1" selected="0">
            <x v="6"/>
          </reference>
          <reference field="7" count="1">
            <x v="11"/>
          </reference>
        </references>
      </pivotArea>
    </format>
    <format dxfId="3274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4.xml><?xml version="1.0" encoding="utf-8"?>
<pivotTableDefinition xmlns="http://schemas.openxmlformats.org/spreadsheetml/2006/main" name="TablaDinámica5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F3:H60" firstHeaderRow="1" firstDataRow="2" firstDataCol="1"/>
  <pivotFields count="4">
    <pivotField axis="axisRow" multipleItemSelectionAllowed="1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axis="axisCol" showAll="0">
      <items count="8">
        <item h="1" x="0"/>
        <item h="1" x="1"/>
        <item h="1" x="2"/>
        <item h="1" x="3"/>
        <item h="1" x="4"/>
        <item h="1" x="5"/>
        <item x="6"/>
        <item t="default"/>
      </items>
    </pivotField>
    <pivotField showAll="0"/>
    <pivotField dataField="1" showAll="0"/>
  </pivotFields>
  <rowFields count="1">
    <field x="0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1"/>
  </colFields>
  <colItems count="2">
    <i>
      <x v="6"/>
    </i>
    <i t="grand">
      <x/>
    </i>
  </colItems>
  <dataFields count="1">
    <dataField name="Suma de Población Femenina" fld="3" baseField="0" baseItem="0"/>
  </dataFields>
  <formats count="7">
    <format dxfId="2523">
      <pivotArea collapsedLevelsAreSubtotals="1" fieldPosition="0">
        <references count="1">
          <reference field="1" count="0"/>
        </references>
      </pivotArea>
    </format>
    <format dxfId="2524">
      <pivotArea collapsedLevelsAreSubtotals="1" fieldPosition="0">
        <references count="1">
          <reference field="1" count="0"/>
        </references>
      </pivotArea>
    </format>
    <format dxfId="2525">
      <pivotArea collapsedLevelsAreSubtotals="1" fieldPosition="0">
        <references count="1">
          <reference field="1" count="0"/>
        </references>
      </pivotArea>
    </format>
    <format dxfId="2526">
      <pivotArea field="0" grandCol="1" collapsedLevelsAreSubtotals="1" axis="axisRow" fieldPosition="0">
        <references count="1">
          <reference field="0" count="0"/>
        </references>
      </pivotArea>
    </format>
    <format dxfId="2527">
      <pivotArea field="0" grandCol="1" collapsedLevelsAreSubtotals="1" axis="axisRow" fieldPosition="0">
        <references count="1">
          <reference field="0" count="0"/>
        </references>
      </pivotArea>
    </format>
    <format dxfId="2528">
      <pivotArea field="0" grandCol="1" collapsedLevelsAreSubtotals="1" axis="axisRow" fieldPosition="0">
        <references count="1">
          <reference field="0" count="0"/>
        </references>
      </pivotArea>
    </format>
    <format dxfId="2529">
      <pivotArea field="0" grandCol="1" collapsedLevelsAreSubtotals="1" axis="axisRow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Año" sourceName="Año">
  <pivotTables>
    <pivotTable tabId="12" name="TablaDinámica4"/>
    <pivotTable tabId="17" name="TablaDinámica4"/>
  </pivotTables>
  <data>
    <tabular pivotCacheId="1">
      <items count="19">
        <i x="0" s="1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Año1" sourceName="Año">
  <pivotTables>
    <pivotTable tabId="19" name="TablaDinámica4"/>
    <pivotTable tabId="18" name="TablaDinámica10"/>
    <pivotTable tabId="18" name="TablaDinámica11"/>
    <pivotTable tabId="18" name="TablaDinámica12"/>
    <pivotTable tabId="18" name="TablaDinámica13"/>
    <pivotTable tabId="18" name="TablaDinámica14"/>
    <pivotTable tabId="18" name="TablaDinámica15"/>
    <pivotTable tabId="18" name="TablaDinámica16"/>
    <pivotTable tabId="18" name="TablaDinámica17"/>
    <pivotTable tabId="18" name="TablaDinámica18"/>
    <pivotTable tabId="18" name="TablaDinámica19"/>
    <pivotTable tabId="18" name="TablaDinámica20"/>
    <pivotTable tabId="18" name="TablaDinámica21"/>
    <pivotTable tabId="18" name="TablaDinámica22"/>
    <pivotTable tabId="18" name="TablaDinámica23"/>
    <pivotTable tabId="18" name="TablaDinámica4"/>
    <pivotTable tabId="18" name="TablaDinámica6"/>
    <pivotTable tabId="18" name="TablaDinámica7"/>
    <pivotTable tabId="18" name="TablaDinámica8"/>
    <pivotTable tabId="18" name="TablaDinámica9"/>
  </pivotTables>
  <data>
    <tabular pivotCacheId="2">
      <items count="19">
        <i x="0" s="1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Grupo_Etario" sourceName="Grupo Etario">
  <pivotTables>
    <pivotTable tabId="20" name="TablaDinámica5"/>
  </pivotTables>
  <data>
    <tabular pivotCacheId="3">
      <items count="7">
        <i x="0"/>
        <i x="2"/>
        <i x="3"/>
        <i x="4"/>
        <i x="1"/>
        <i x="5"/>
        <i x="6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Grupo_Etario1" sourceName="Grupo Etario">
  <pivotTables>
    <pivotTable tabId="21" name="TablaDinámica5"/>
  </pivotTables>
  <data>
    <tabular pivotCacheId="3">
      <items count="7">
        <i x="0"/>
        <i x="2"/>
        <i x="3"/>
        <i x="4"/>
        <i x="1" s="1"/>
        <i x="5"/>
        <i x="6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rupo Etario 1" cache="SegmentaciónDeDatos_Grupo_Etario1" caption="Grupo Etari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ño" cache="SegmentaciónDeDatos_Año" caption="Año" style="SlicerStyleOther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ño 1" cache="SegmentaciónDeDatos_Año1" caption="Año" style="SlicerStyleOther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rupo Etario" cache="SegmentaciónDeDatos_Grupo_Etario" caption="Grupo Etario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Relationship Id="rId4" Type="http://schemas.microsoft.com/office/2007/relationships/slicer" Target="../slicers/slicer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13" Type="http://schemas.openxmlformats.org/officeDocument/2006/relationships/pivotTable" Target="../pivotTables/pivotTable17.xml"/><Relationship Id="rId18" Type="http://schemas.openxmlformats.org/officeDocument/2006/relationships/pivotTable" Target="../pivotTables/pivotTable2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12" Type="http://schemas.openxmlformats.org/officeDocument/2006/relationships/pivotTable" Target="../pivotTables/pivotTable16.xml"/><Relationship Id="rId17" Type="http://schemas.openxmlformats.org/officeDocument/2006/relationships/pivotTable" Target="../pivotTables/pivotTable21.xml"/><Relationship Id="rId2" Type="http://schemas.openxmlformats.org/officeDocument/2006/relationships/pivotTable" Target="../pivotTables/pivotTable6.xml"/><Relationship Id="rId16" Type="http://schemas.openxmlformats.org/officeDocument/2006/relationships/pivotTable" Target="../pivotTables/pivotTable20.xml"/><Relationship Id="rId20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11" Type="http://schemas.openxmlformats.org/officeDocument/2006/relationships/pivotTable" Target="../pivotTables/pivotTable15.xml"/><Relationship Id="rId5" Type="http://schemas.openxmlformats.org/officeDocument/2006/relationships/pivotTable" Target="../pivotTables/pivotTable9.xml"/><Relationship Id="rId15" Type="http://schemas.openxmlformats.org/officeDocument/2006/relationships/pivotTable" Target="../pivotTables/pivotTable19.xml"/><Relationship Id="rId10" Type="http://schemas.openxmlformats.org/officeDocument/2006/relationships/pivotTable" Target="../pivotTables/pivotTable14.xml"/><Relationship Id="rId19" Type="http://schemas.openxmlformats.org/officeDocument/2006/relationships/pivotTable" Target="../pivotTables/pivotTable23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Relationship Id="rId14" Type="http://schemas.openxmlformats.org/officeDocument/2006/relationships/pivotTable" Target="../pivotTables/pivotTable1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"/>
  <sheetViews>
    <sheetView topLeftCell="M1" zoomScaleNormal="100" workbookViewId="0">
      <selection activeCell="G12" sqref="G12"/>
    </sheetView>
  </sheetViews>
  <sheetFormatPr baseColWidth="10" defaultRowHeight="15" x14ac:dyDescent="0.25"/>
  <cols>
    <col min="2" max="2" width="12" bestFit="1" customWidth="1"/>
    <col min="3" max="3" width="14.5703125" style="2" bestFit="1" customWidth="1"/>
    <col min="4" max="4" width="19.140625" style="2" bestFit="1" customWidth="1"/>
    <col min="6" max="6" width="22.85546875" customWidth="1"/>
    <col min="7" max="7" width="22.42578125" customWidth="1"/>
    <col min="8" max="8" width="12.5703125" customWidth="1"/>
    <col min="9" max="9" width="13.140625" customWidth="1"/>
    <col min="10" max="10" width="27.85546875" style="86" customWidth="1"/>
    <col min="11" max="11" width="11" customWidth="1"/>
    <col min="12" max="13" width="10" customWidth="1"/>
    <col min="14" max="14" width="12.5703125" customWidth="1"/>
    <col min="15" max="15" width="27.42578125" customWidth="1"/>
    <col min="16" max="16" width="22.85546875" customWidth="1"/>
    <col min="17" max="17" width="27.42578125" customWidth="1"/>
    <col min="18" max="18" width="22.85546875" customWidth="1"/>
    <col min="19" max="19" width="27.42578125" customWidth="1"/>
    <col min="20" max="20" width="22.85546875" customWidth="1"/>
    <col min="21" max="21" width="32.42578125" customWidth="1"/>
    <col min="22" max="22" width="27.85546875" customWidth="1"/>
    <col min="23" max="24" width="12" bestFit="1" customWidth="1"/>
    <col min="25" max="25" width="10" customWidth="1"/>
    <col min="26" max="26" width="27.42578125" bestFit="1" customWidth="1"/>
    <col min="27" max="29" width="12" bestFit="1" customWidth="1"/>
    <col min="30" max="41" width="10" customWidth="1"/>
    <col min="42" max="43" width="12" bestFit="1" customWidth="1"/>
    <col min="44" max="44" width="10" customWidth="1"/>
    <col min="45" max="45" width="27.85546875" bestFit="1" customWidth="1"/>
    <col min="46" max="46" width="32.42578125" bestFit="1" customWidth="1"/>
  </cols>
  <sheetData>
    <row r="1" spans="1:15" x14ac:dyDescent="0.25">
      <c r="A1" t="s">
        <v>23</v>
      </c>
      <c r="B1" t="s">
        <v>22</v>
      </c>
      <c r="C1" s="2" t="s">
        <v>203</v>
      </c>
      <c r="D1" s="2" t="s">
        <v>204</v>
      </c>
    </row>
    <row r="2" spans="1:15" x14ac:dyDescent="0.25">
      <c r="A2" s="2">
        <v>1996</v>
      </c>
      <c r="B2" t="s">
        <v>6</v>
      </c>
      <c r="C2" s="2">
        <v>2669011.0638103201</v>
      </c>
      <c r="D2" s="2">
        <v>1308550.7828250399</v>
      </c>
    </row>
    <row r="3" spans="1:15" x14ac:dyDescent="0.25">
      <c r="A3" s="2">
        <v>1997</v>
      </c>
      <c r="B3" t="s">
        <v>6</v>
      </c>
      <c r="C3" s="2">
        <v>2689637.03828619</v>
      </c>
      <c r="D3" s="2">
        <v>1317732.8696950199</v>
      </c>
      <c r="F3" s="5" t="s">
        <v>216</v>
      </c>
      <c r="G3" s="5" t="s">
        <v>208</v>
      </c>
    </row>
    <row r="4" spans="1:15" x14ac:dyDescent="0.25">
      <c r="A4" s="2">
        <v>1998</v>
      </c>
      <c r="B4" t="s">
        <v>6</v>
      </c>
      <c r="C4" s="2">
        <v>2707580.5191430999</v>
      </c>
      <c r="D4" s="2">
        <v>1325697.93484751</v>
      </c>
      <c r="F4" s="5" t="s">
        <v>205</v>
      </c>
      <c r="G4" t="s">
        <v>5</v>
      </c>
      <c r="H4" t="s">
        <v>206</v>
      </c>
      <c r="J4" s="86" t="s">
        <v>23</v>
      </c>
      <c r="K4" t="s">
        <v>209</v>
      </c>
      <c r="L4" t="s">
        <v>217</v>
      </c>
      <c r="O4" t="str">
        <f>+G4</f>
        <v>5-14</v>
      </c>
    </row>
    <row r="5" spans="1:15" x14ac:dyDescent="0.25">
      <c r="A5" s="2">
        <v>1999</v>
      </c>
      <c r="B5" t="s">
        <v>6</v>
      </c>
      <c r="C5" s="2">
        <v>2723058.5063810302</v>
      </c>
      <c r="D5" s="2">
        <v>1332528.9782825001</v>
      </c>
      <c r="F5" s="6">
        <v>1996</v>
      </c>
      <c r="G5" s="1">
        <v>5336689.2615659405</v>
      </c>
      <c r="H5" s="83">
        <v>5336689.2615659405</v>
      </c>
      <c r="J5" s="86">
        <v>1996</v>
      </c>
      <c r="K5" s="1">
        <f>+G5</f>
        <v>5336689.2615659405</v>
      </c>
      <c r="L5" s="1"/>
    </row>
    <row r="6" spans="1:15" x14ac:dyDescent="0.25">
      <c r="A6" s="2">
        <v>2000</v>
      </c>
      <c r="B6" t="s">
        <v>6</v>
      </c>
      <c r="C6" s="2">
        <v>2736288</v>
      </c>
      <c r="D6" s="2">
        <v>1338309</v>
      </c>
      <c r="F6" s="6">
        <v>1997</v>
      </c>
      <c r="G6" s="1">
        <v>5352218.1569395596</v>
      </c>
      <c r="H6" s="83">
        <v>5352218.1569395596</v>
      </c>
      <c r="J6" s="86">
        <v>1997</v>
      </c>
      <c r="K6" s="1">
        <f t="shared" ref="K6:K59" si="0">+G6</f>
        <v>5352218.1569395596</v>
      </c>
    </row>
    <row r="7" spans="1:15" x14ac:dyDescent="0.25">
      <c r="A7" s="2">
        <v>2001</v>
      </c>
      <c r="B7" t="s">
        <v>6</v>
      </c>
      <c r="C7" s="2">
        <v>2747486</v>
      </c>
      <c r="D7" s="2">
        <v>1343121</v>
      </c>
      <c r="F7" s="6">
        <v>1998</v>
      </c>
      <c r="G7" s="1">
        <v>5360232.5784697803</v>
      </c>
      <c r="H7" s="83">
        <v>5360232.5784697803</v>
      </c>
      <c r="J7" s="86">
        <v>1998</v>
      </c>
      <c r="K7" s="1">
        <f t="shared" si="0"/>
        <v>5360232.5784697803</v>
      </c>
    </row>
    <row r="8" spans="1:15" x14ac:dyDescent="0.25">
      <c r="A8" s="2">
        <v>2002</v>
      </c>
      <c r="B8" t="s">
        <v>6</v>
      </c>
      <c r="C8" s="2">
        <v>2756879</v>
      </c>
      <c r="D8" s="2">
        <v>1347045</v>
      </c>
      <c r="F8" s="6">
        <v>1999</v>
      </c>
      <c r="G8" s="1">
        <v>5362927.5261565903</v>
      </c>
      <c r="H8" s="83">
        <v>5362927.5261565903</v>
      </c>
      <c r="J8" s="86">
        <v>1999</v>
      </c>
      <c r="K8" s="1">
        <f t="shared" si="0"/>
        <v>5362927.5261565903</v>
      </c>
    </row>
    <row r="9" spans="1:15" x14ac:dyDescent="0.25">
      <c r="A9" s="2">
        <v>2003</v>
      </c>
      <c r="B9" t="s">
        <v>6</v>
      </c>
      <c r="C9" s="2">
        <v>2764684</v>
      </c>
      <c r="D9" s="2">
        <v>1350164</v>
      </c>
      <c r="F9" s="6">
        <v>2000</v>
      </c>
      <c r="G9" s="1">
        <v>5362498</v>
      </c>
      <c r="H9" s="83">
        <v>5362498</v>
      </c>
      <c r="J9" s="86">
        <v>2000</v>
      </c>
      <c r="K9" s="1">
        <f t="shared" si="0"/>
        <v>5362498</v>
      </c>
    </row>
    <row r="10" spans="1:15" x14ac:dyDescent="0.25">
      <c r="A10" s="2">
        <v>2004</v>
      </c>
      <c r="B10" t="s">
        <v>6</v>
      </c>
      <c r="C10" s="2">
        <v>2770821</v>
      </c>
      <c r="D10" s="2">
        <v>1352508</v>
      </c>
      <c r="F10" s="6">
        <v>2001</v>
      </c>
      <c r="G10" s="1">
        <v>5361139</v>
      </c>
      <c r="H10" s="83">
        <v>5361139</v>
      </c>
      <c r="J10" s="86">
        <v>2001</v>
      </c>
      <c r="K10" s="1">
        <f t="shared" si="0"/>
        <v>5361139</v>
      </c>
    </row>
    <row r="11" spans="1:15" x14ac:dyDescent="0.25">
      <c r="A11" s="2">
        <v>2005</v>
      </c>
      <c r="B11" t="s">
        <v>6</v>
      </c>
      <c r="C11" s="2">
        <v>2774961</v>
      </c>
      <c r="D11" s="2">
        <v>1353852</v>
      </c>
      <c r="F11" s="6">
        <v>2002</v>
      </c>
      <c r="G11" s="1">
        <v>5361107</v>
      </c>
      <c r="H11" s="83">
        <v>5361107</v>
      </c>
      <c r="J11" s="86">
        <v>2002</v>
      </c>
      <c r="K11" s="1">
        <f t="shared" si="0"/>
        <v>5361107</v>
      </c>
    </row>
    <row r="12" spans="1:15" x14ac:dyDescent="0.25">
      <c r="A12" s="2">
        <v>2006</v>
      </c>
      <c r="B12" t="s">
        <v>6</v>
      </c>
      <c r="C12" s="2">
        <v>2777568</v>
      </c>
      <c r="D12" s="2">
        <v>1354432</v>
      </c>
      <c r="F12" s="6">
        <v>2003</v>
      </c>
      <c r="G12" s="1">
        <v>5364597</v>
      </c>
      <c r="H12" s="83">
        <v>5364597</v>
      </c>
      <c r="J12" s="86">
        <v>2003</v>
      </c>
      <c r="K12" s="1">
        <f t="shared" si="0"/>
        <v>5364597</v>
      </c>
    </row>
    <row r="13" spans="1:15" x14ac:dyDescent="0.25">
      <c r="A13" s="2">
        <v>2007</v>
      </c>
      <c r="B13" t="s">
        <v>6</v>
      </c>
      <c r="C13" s="2">
        <v>2778731</v>
      </c>
      <c r="D13" s="2">
        <v>1354234</v>
      </c>
      <c r="F13" s="6">
        <v>2004</v>
      </c>
      <c r="G13" s="1">
        <v>5372677</v>
      </c>
      <c r="H13" s="83">
        <v>5372677</v>
      </c>
      <c r="J13" s="86">
        <v>2004</v>
      </c>
      <c r="K13" s="1">
        <f t="shared" si="0"/>
        <v>5372677</v>
      </c>
    </row>
    <row r="14" spans="1:15" x14ac:dyDescent="0.25">
      <c r="A14" s="2">
        <v>2008</v>
      </c>
      <c r="B14" t="s">
        <v>6</v>
      </c>
      <c r="C14" s="2">
        <v>2778239</v>
      </c>
      <c r="D14" s="2">
        <v>1353145</v>
      </c>
      <c r="F14" s="6">
        <v>2005</v>
      </c>
      <c r="G14" s="1">
        <v>5386812</v>
      </c>
      <c r="H14" s="83">
        <v>5386812</v>
      </c>
      <c r="J14" s="86">
        <v>2005</v>
      </c>
      <c r="K14" s="1">
        <f t="shared" si="0"/>
        <v>5386812</v>
      </c>
    </row>
    <row r="15" spans="1:15" x14ac:dyDescent="0.25">
      <c r="A15" s="2">
        <v>2009</v>
      </c>
      <c r="B15" t="s">
        <v>6</v>
      </c>
      <c r="C15" s="2">
        <v>2775920</v>
      </c>
      <c r="D15" s="2">
        <v>1351158</v>
      </c>
      <c r="F15" s="6">
        <v>2006</v>
      </c>
      <c r="G15" s="1">
        <v>5407717</v>
      </c>
      <c r="H15" s="83">
        <v>5407717</v>
      </c>
      <c r="J15" s="86">
        <v>2006</v>
      </c>
      <c r="K15" s="1">
        <f t="shared" si="0"/>
        <v>5407717</v>
      </c>
    </row>
    <row r="16" spans="1:15" x14ac:dyDescent="0.25">
      <c r="A16" s="2">
        <v>2010</v>
      </c>
      <c r="B16" t="s">
        <v>6</v>
      </c>
      <c r="C16" s="2">
        <v>2771760</v>
      </c>
      <c r="D16" s="2">
        <v>1348289</v>
      </c>
      <c r="F16" s="6">
        <v>2007</v>
      </c>
      <c r="G16" s="1">
        <v>5427910</v>
      </c>
      <c r="H16" s="83">
        <v>5427910</v>
      </c>
      <c r="J16" s="86">
        <v>2007</v>
      </c>
      <c r="K16" s="1">
        <f t="shared" si="0"/>
        <v>5427910</v>
      </c>
    </row>
    <row r="17" spans="1:11" x14ac:dyDescent="0.25">
      <c r="A17" s="2">
        <v>2011</v>
      </c>
      <c r="B17" t="s">
        <v>6</v>
      </c>
      <c r="C17" s="2">
        <v>2765898</v>
      </c>
      <c r="D17" s="2">
        <v>1344595</v>
      </c>
      <c r="F17" s="6">
        <v>2008</v>
      </c>
      <c r="G17" s="1">
        <v>5448390</v>
      </c>
      <c r="H17" s="83">
        <v>5448390</v>
      </c>
      <c r="J17" s="86">
        <v>2008</v>
      </c>
      <c r="K17" s="1">
        <f t="shared" si="0"/>
        <v>5448390</v>
      </c>
    </row>
    <row r="18" spans="1:11" x14ac:dyDescent="0.25">
      <c r="A18" s="2">
        <v>2012</v>
      </c>
      <c r="B18" t="s">
        <v>6</v>
      </c>
      <c r="C18" s="2">
        <v>2759356.4495101599</v>
      </c>
      <c r="D18" s="2">
        <v>1340586.3214094499</v>
      </c>
      <c r="F18" s="6">
        <v>2009</v>
      </c>
      <c r="G18" s="1">
        <v>5469822</v>
      </c>
      <c r="H18" s="83">
        <v>5469822</v>
      </c>
      <c r="J18" s="86">
        <v>2009</v>
      </c>
      <c r="K18" s="1">
        <f t="shared" si="0"/>
        <v>5469822</v>
      </c>
    </row>
    <row r="19" spans="1:11" x14ac:dyDescent="0.25">
      <c r="A19" s="2">
        <v>2013</v>
      </c>
      <c r="B19" t="s">
        <v>6</v>
      </c>
      <c r="C19" s="2">
        <v>2752322.19750119</v>
      </c>
      <c r="D19" s="2">
        <v>1336364.77993838</v>
      </c>
      <c r="F19" s="6">
        <v>2010</v>
      </c>
      <c r="G19" s="1">
        <v>5492408</v>
      </c>
      <c r="H19" s="83">
        <v>5492408</v>
      </c>
      <c r="J19" s="86">
        <v>2010</v>
      </c>
      <c r="K19" s="1">
        <f t="shared" si="0"/>
        <v>5492408</v>
      </c>
    </row>
    <row r="20" spans="1:11" x14ac:dyDescent="0.25">
      <c r="A20" s="2">
        <v>2014</v>
      </c>
      <c r="B20" t="s">
        <v>6</v>
      </c>
      <c r="C20" s="2">
        <v>2744697</v>
      </c>
      <c r="D20" s="2">
        <v>1331891</v>
      </c>
      <c r="F20" s="6">
        <v>2011</v>
      </c>
      <c r="G20" s="1">
        <v>5516288</v>
      </c>
      <c r="H20" s="83">
        <v>5516288</v>
      </c>
      <c r="J20" s="86">
        <v>2011</v>
      </c>
      <c r="K20" s="1">
        <f t="shared" si="0"/>
        <v>5516288</v>
      </c>
    </row>
    <row r="21" spans="1:11" x14ac:dyDescent="0.25">
      <c r="A21" s="2">
        <v>2015</v>
      </c>
      <c r="B21" t="s">
        <v>6</v>
      </c>
      <c r="C21" s="2">
        <v>2736446</v>
      </c>
      <c r="D21" s="2">
        <v>1327162</v>
      </c>
      <c r="F21" s="6">
        <v>2012</v>
      </c>
      <c r="G21" s="1">
        <v>5537428.7927720398</v>
      </c>
      <c r="H21" s="83">
        <v>5537428.7927720398</v>
      </c>
      <c r="J21" s="86">
        <v>2012</v>
      </c>
      <c r="K21" s="1">
        <f t="shared" si="0"/>
        <v>5537428.7927720398</v>
      </c>
    </row>
    <row r="22" spans="1:11" x14ac:dyDescent="0.25">
      <c r="A22" s="2">
        <v>2016</v>
      </c>
      <c r="B22" t="s">
        <v>6</v>
      </c>
      <c r="C22" s="2">
        <v>2727735</v>
      </c>
      <c r="D22" s="2">
        <v>1322284</v>
      </c>
      <c r="F22" s="6">
        <v>2013</v>
      </c>
      <c r="G22" s="1">
        <v>5554323.1251711203</v>
      </c>
      <c r="H22" s="83">
        <v>5554323.1251711203</v>
      </c>
      <c r="J22" s="86">
        <v>2013</v>
      </c>
      <c r="K22" s="1">
        <f t="shared" si="0"/>
        <v>5554323.1251711203</v>
      </c>
    </row>
    <row r="23" spans="1:11" x14ac:dyDescent="0.25">
      <c r="A23" s="2">
        <v>2017</v>
      </c>
      <c r="B23" t="s">
        <v>6</v>
      </c>
      <c r="C23" s="2">
        <v>2718608</v>
      </c>
      <c r="D23" s="2">
        <v>1317267</v>
      </c>
      <c r="F23" s="6">
        <v>2014</v>
      </c>
      <c r="G23" s="1">
        <v>5566437</v>
      </c>
      <c r="H23" s="83">
        <v>5566437</v>
      </c>
      <c r="J23" s="86">
        <v>2014</v>
      </c>
      <c r="K23" s="1">
        <f t="shared" si="0"/>
        <v>5566437</v>
      </c>
    </row>
    <row r="24" spans="1:11" x14ac:dyDescent="0.25">
      <c r="A24" s="2">
        <v>2018</v>
      </c>
      <c r="B24" t="s">
        <v>6</v>
      </c>
      <c r="C24" s="2">
        <v>2709175</v>
      </c>
      <c r="D24" s="2">
        <v>1312141</v>
      </c>
      <c r="F24" s="6">
        <v>2015</v>
      </c>
      <c r="G24" s="1">
        <v>5573350</v>
      </c>
      <c r="H24" s="83">
        <v>5573350</v>
      </c>
      <c r="J24" s="86">
        <v>2015</v>
      </c>
      <c r="K24" s="1">
        <f t="shared" si="0"/>
        <v>5573350</v>
      </c>
    </row>
    <row r="25" spans="1:11" x14ac:dyDescent="0.25">
      <c r="A25" s="2">
        <v>2019</v>
      </c>
      <c r="B25" t="s">
        <v>6</v>
      </c>
      <c r="C25" s="2">
        <v>2699605</v>
      </c>
      <c r="D25" s="2">
        <v>1306965</v>
      </c>
      <c r="F25" s="6">
        <v>2016</v>
      </c>
      <c r="G25" s="1">
        <v>5575340</v>
      </c>
      <c r="H25" s="83">
        <v>5575340</v>
      </c>
      <c r="J25" s="86">
        <v>2016</v>
      </c>
      <c r="K25" s="1">
        <f t="shared" si="0"/>
        <v>5575340</v>
      </c>
    </row>
    <row r="26" spans="1:11" x14ac:dyDescent="0.25">
      <c r="A26" s="2">
        <v>2020</v>
      </c>
      <c r="B26" t="s">
        <v>6</v>
      </c>
      <c r="C26" s="2">
        <v>2689985</v>
      </c>
      <c r="D26" s="2">
        <v>1301784</v>
      </c>
      <c r="F26" s="6">
        <v>2017</v>
      </c>
      <c r="G26" s="1">
        <v>5573496</v>
      </c>
      <c r="H26" s="83">
        <v>5573496</v>
      </c>
      <c r="J26" s="86">
        <v>2017</v>
      </c>
      <c r="K26" s="1">
        <f t="shared" si="0"/>
        <v>5573496</v>
      </c>
    </row>
    <row r="27" spans="1:11" x14ac:dyDescent="0.25">
      <c r="A27" s="2">
        <v>2021</v>
      </c>
      <c r="B27" t="s">
        <v>6</v>
      </c>
      <c r="C27" s="2">
        <v>2680333</v>
      </c>
      <c r="D27" s="2">
        <v>1296614</v>
      </c>
      <c r="F27" s="6">
        <v>2018</v>
      </c>
      <c r="G27" s="1">
        <v>5568046</v>
      </c>
      <c r="H27" s="83">
        <v>5568046</v>
      </c>
      <c r="J27" s="86">
        <v>2018</v>
      </c>
      <c r="K27" s="1">
        <f t="shared" si="0"/>
        <v>5568046</v>
      </c>
    </row>
    <row r="28" spans="1:11" x14ac:dyDescent="0.25">
      <c r="A28" s="2">
        <v>2022</v>
      </c>
      <c r="B28" t="s">
        <v>6</v>
      </c>
      <c r="C28" s="2">
        <v>2670635.1419935199</v>
      </c>
      <c r="D28" s="2">
        <v>1291451.6877147299</v>
      </c>
      <c r="F28" s="6">
        <v>2019</v>
      </c>
      <c r="G28" s="1">
        <v>5559066</v>
      </c>
      <c r="H28" s="83">
        <v>5559066</v>
      </c>
      <c r="J28" s="86">
        <v>2019</v>
      </c>
      <c r="K28" s="1">
        <f t="shared" si="0"/>
        <v>5559066</v>
      </c>
    </row>
    <row r="29" spans="1:11" x14ac:dyDescent="0.25">
      <c r="A29" s="2">
        <v>2023</v>
      </c>
      <c r="B29" t="s">
        <v>6</v>
      </c>
      <c r="C29" s="2">
        <v>2660849.5209805202</v>
      </c>
      <c r="D29" s="2">
        <v>1286275.46661056</v>
      </c>
      <c r="F29" s="6">
        <v>2020</v>
      </c>
      <c r="G29" s="1">
        <v>5546905</v>
      </c>
      <c r="H29" s="83">
        <v>5546905</v>
      </c>
      <c r="J29" s="86">
        <v>2020</v>
      </c>
      <c r="K29" s="1">
        <f t="shared" si="0"/>
        <v>5546905</v>
      </c>
    </row>
    <row r="30" spans="1:11" x14ac:dyDescent="0.25">
      <c r="A30" s="2">
        <v>2024</v>
      </c>
      <c r="B30" t="s">
        <v>6</v>
      </c>
      <c r="C30" s="2">
        <v>2650928.1394772502</v>
      </c>
      <c r="D30" s="2">
        <v>1281059.7622011099</v>
      </c>
      <c r="F30" s="6">
        <v>2021</v>
      </c>
      <c r="G30" s="1">
        <v>5531902</v>
      </c>
      <c r="H30" s="83">
        <v>5531902</v>
      </c>
      <c r="J30" s="86">
        <v>2021</v>
      </c>
      <c r="K30" s="1">
        <f t="shared" si="0"/>
        <v>5531902</v>
      </c>
    </row>
    <row r="31" spans="1:11" x14ac:dyDescent="0.25">
      <c r="A31" s="2">
        <v>2025</v>
      </c>
      <c r="B31" t="s">
        <v>6</v>
      </c>
      <c r="C31" s="2">
        <v>2640823</v>
      </c>
      <c r="D31" s="2">
        <v>1275779</v>
      </c>
      <c r="F31" s="6">
        <v>2022</v>
      </c>
      <c r="G31" s="1">
        <v>5515313.4642677801</v>
      </c>
      <c r="H31" s="83">
        <v>5515313.4642677801</v>
      </c>
      <c r="J31" s="86">
        <v>2022</v>
      </c>
      <c r="K31" s="1">
        <f t="shared" si="0"/>
        <v>5515313.4642677801</v>
      </c>
    </row>
    <row r="32" spans="1:11" x14ac:dyDescent="0.25">
      <c r="A32" s="2">
        <v>2026</v>
      </c>
      <c r="B32" t="s">
        <v>6</v>
      </c>
      <c r="C32" s="2">
        <v>2630489.9688964402</v>
      </c>
      <c r="D32" s="2">
        <v>1270409.9398000799</v>
      </c>
      <c r="F32" s="6">
        <v>2023</v>
      </c>
      <c r="G32" s="1">
        <v>5497652.9705544701</v>
      </c>
      <c r="H32" s="83">
        <v>5497652.9705544701</v>
      </c>
      <c r="J32" s="86">
        <v>2023</v>
      </c>
      <c r="K32" s="1">
        <f t="shared" si="0"/>
        <v>5497652.9705544701</v>
      </c>
    </row>
    <row r="33" spans="1:11" x14ac:dyDescent="0.25">
      <c r="A33" s="2">
        <v>2027</v>
      </c>
      <c r="B33" t="s">
        <v>6</v>
      </c>
      <c r="C33" s="2">
        <v>2619900.3678399101</v>
      </c>
      <c r="D33" s="2">
        <v>1264938.6785111299</v>
      </c>
      <c r="F33" s="6">
        <v>2024</v>
      </c>
      <c r="G33" s="1">
        <v>5479167.7415639302</v>
      </c>
      <c r="H33" s="83">
        <v>5479167.7415639302</v>
      </c>
      <c r="J33" s="86">
        <v>2024</v>
      </c>
      <c r="K33" s="1">
        <f t="shared" si="0"/>
        <v>5479167.7415639302</v>
      </c>
    </row>
    <row r="34" spans="1:11" x14ac:dyDescent="0.25">
      <c r="A34" s="2">
        <v>2028</v>
      </c>
      <c r="B34" t="s">
        <v>6</v>
      </c>
      <c r="C34" s="2">
        <v>2609029.3823351599</v>
      </c>
      <c r="D34" s="2">
        <v>1259353.6473221399</v>
      </c>
      <c r="F34" s="6">
        <v>2025</v>
      </c>
      <c r="G34" s="1">
        <v>5460105</v>
      </c>
      <c r="H34" s="83">
        <v>5460105</v>
      </c>
      <c r="J34" s="86">
        <v>2025</v>
      </c>
      <c r="K34" s="1">
        <f t="shared" si="0"/>
        <v>5460105</v>
      </c>
    </row>
    <row r="35" spans="1:11" x14ac:dyDescent="0.25">
      <c r="A35" s="2">
        <v>2029</v>
      </c>
      <c r="B35" t="s">
        <v>6</v>
      </c>
      <c r="C35" s="2">
        <v>2597852.1978869401</v>
      </c>
      <c r="D35" s="2">
        <v>1253643.2774220901</v>
      </c>
      <c r="F35" s="6">
        <v>2026</v>
      </c>
      <c r="G35" s="1">
        <v>5440671.6133808298</v>
      </c>
      <c r="H35" s="83">
        <v>5440671.6133808298</v>
      </c>
      <c r="J35" s="86">
        <v>2026</v>
      </c>
      <c r="K35" s="1">
        <f t="shared" si="0"/>
        <v>5440671.6133808298</v>
      </c>
    </row>
    <row r="36" spans="1:11" x14ac:dyDescent="0.25">
      <c r="A36" s="2">
        <v>2030</v>
      </c>
      <c r="B36" t="s">
        <v>6</v>
      </c>
      <c r="C36" s="2">
        <v>2586344</v>
      </c>
      <c r="D36" s="2">
        <v>1247796</v>
      </c>
      <c r="F36" s="6">
        <v>2027</v>
      </c>
      <c r="G36" s="1">
        <v>5420913.0284816902</v>
      </c>
      <c r="H36" s="83">
        <v>5420913.0284816902</v>
      </c>
      <c r="J36" s="86">
        <v>2027</v>
      </c>
      <c r="K36" s="1">
        <f t="shared" si="0"/>
        <v>5420913.0284816902</v>
      </c>
    </row>
    <row r="37" spans="1:11" x14ac:dyDescent="0.25">
      <c r="A37" s="2">
        <v>2031</v>
      </c>
      <c r="B37" t="s">
        <v>6</v>
      </c>
      <c r="C37" s="2">
        <v>2574483.4837658899</v>
      </c>
      <c r="D37" s="2">
        <v>1241801.7015114599</v>
      </c>
      <c r="F37" s="6">
        <v>2028</v>
      </c>
      <c r="G37" s="1">
        <v>5400834.3368921401</v>
      </c>
      <c r="H37" s="83">
        <v>5400834.3368921401</v>
      </c>
      <c r="J37" s="86">
        <v>2028</v>
      </c>
      <c r="K37" s="1">
        <f t="shared" si="0"/>
        <v>5400834.3368921401</v>
      </c>
    </row>
    <row r="38" spans="1:11" x14ac:dyDescent="0.25">
      <c r="A38" s="2">
        <v>2032</v>
      </c>
      <c r="B38" t="s">
        <v>6</v>
      </c>
      <c r="C38" s="2">
        <v>2562263.3826233102</v>
      </c>
      <c r="D38" s="2">
        <v>1235656.08947853</v>
      </c>
      <c r="F38" s="6">
        <v>2029</v>
      </c>
      <c r="G38" s="1">
        <v>5380440.6302017197</v>
      </c>
      <c r="H38" s="83">
        <v>5380440.6302017197</v>
      </c>
      <c r="J38" s="86">
        <v>2029</v>
      </c>
      <c r="K38" s="1">
        <f t="shared" si="0"/>
        <v>5380440.6302017197</v>
      </c>
    </row>
    <row r="39" spans="1:11" x14ac:dyDescent="0.25">
      <c r="A39" s="2">
        <v>2033</v>
      </c>
      <c r="B39" t="s">
        <v>6</v>
      </c>
      <c r="C39" s="2">
        <v>2549679.9395977999</v>
      </c>
      <c r="D39" s="2">
        <v>1229356.3266898701</v>
      </c>
      <c r="F39" s="6">
        <v>2030</v>
      </c>
      <c r="G39" s="1">
        <v>5359737</v>
      </c>
      <c r="H39" s="83">
        <v>5359737</v>
      </c>
      <c r="J39" s="86">
        <v>2030</v>
      </c>
      <c r="K39" s="1">
        <f t="shared" si="0"/>
        <v>5359737</v>
      </c>
    </row>
    <row r="40" spans="1:11" x14ac:dyDescent="0.25">
      <c r="A40" s="2">
        <v>2034</v>
      </c>
      <c r="B40" t="s">
        <v>6</v>
      </c>
      <c r="C40" s="2">
        <v>2536729.3977148598</v>
      </c>
      <c r="D40" s="2">
        <v>1222899.57593414</v>
      </c>
      <c r="F40" s="6">
        <v>2031</v>
      </c>
      <c r="G40" s="1">
        <v>5338717.9682608796</v>
      </c>
      <c r="H40" s="83">
        <v>5338717.9682608796</v>
      </c>
      <c r="J40" s="86">
        <v>2031</v>
      </c>
      <c r="K40" s="1">
        <f t="shared" si="0"/>
        <v>5338717.9682608796</v>
      </c>
    </row>
    <row r="41" spans="1:11" x14ac:dyDescent="0.25">
      <c r="A41" s="2">
        <v>2035</v>
      </c>
      <c r="B41" t="s">
        <v>6</v>
      </c>
      <c r="C41" s="2">
        <v>2523408</v>
      </c>
      <c r="D41" s="2">
        <v>1216283</v>
      </c>
      <c r="F41" s="6">
        <v>2032</v>
      </c>
      <c r="G41" s="1">
        <v>5317335.7784956601</v>
      </c>
      <c r="H41" s="83">
        <v>5317335.7784956601</v>
      </c>
      <c r="J41" s="86">
        <v>2032</v>
      </c>
      <c r="K41" s="1">
        <f t="shared" si="0"/>
        <v>5317335.7784956601</v>
      </c>
    </row>
    <row r="42" spans="1:11" x14ac:dyDescent="0.25">
      <c r="A42" s="2">
        <v>2036</v>
      </c>
      <c r="B42" t="s">
        <v>6</v>
      </c>
      <c r="C42" s="2">
        <v>2509718.6240400202</v>
      </c>
      <c r="D42" s="2">
        <v>1209506.9421540599</v>
      </c>
      <c r="F42" s="6">
        <v>2033</v>
      </c>
      <c r="G42" s="1">
        <v>5295532.1046000104</v>
      </c>
      <c r="H42" s="83">
        <v>5295532.1046000104</v>
      </c>
      <c r="J42" s="86">
        <v>2033</v>
      </c>
      <c r="K42" s="1">
        <f t="shared" si="0"/>
        <v>5295532.1046000104</v>
      </c>
    </row>
    <row r="43" spans="1:11" x14ac:dyDescent="0.25">
      <c r="A43" s="2">
        <v>2037</v>
      </c>
      <c r="B43" t="s">
        <v>6</v>
      </c>
      <c r="C43" s="2">
        <v>2495690.6856668298</v>
      </c>
      <c r="D43" s="2">
        <v>1202584.4675747401</v>
      </c>
      <c r="F43" s="6">
        <v>2034</v>
      </c>
      <c r="G43" s="1">
        <v>5273248.6204695702</v>
      </c>
      <c r="H43" s="83">
        <v>5273248.6204695702</v>
      </c>
      <c r="J43" s="86">
        <v>2034</v>
      </c>
      <c r="K43" s="1">
        <f t="shared" si="0"/>
        <v>5273248.6204695702</v>
      </c>
    </row>
    <row r="44" spans="1:11" x14ac:dyDescent="0.25">
      <c r="A44" s="2">
        <v>2038</v>
      </c>
      <c r="B44" t="s">
        <v>6</v>
      </c>
      <c r="C44" s="2">
        <v>2481360.2352736401</v>
      </c>
      <c r="D44" s="2">
        <v>1195531.82191838</v>
      </c>
      <c r="F44" s="6">
        <v>2035</v>
      </c>
      <c r="G44" s="1">
        <v>5250427</v>
      </c>
      <c r="H44" s="83">
        <v>5250427</v>
      </c>
      <c r="J44" s="86">
        <v>2035</v>
      </c>
      <c r="K44" s="1">
        <f t="shared" si="0"/>
        <v>5250427</v>
      </c>
    </row>
    <row r="45" spans="1:11" x14ac:dyDescent="0.25">
      <c r="A45" s="2">
        <v>2039</v>
      </c>
      <c r="B45" t="s">
        <v>6</v>
      </c>
      <c r="C45" s="2">
        <v>2466763.3232536302</v>
      </c>
      <c r="D45" s="2">
        <v>1188365.2508413501</v>
      </c>
      <c r="F45" s="6">
        <v>2036</v>
      </c>
      <c r="G45" s="1">
        <v>5227016.0335756503</v>
      </c>
      <c r="H45" s="83">
        <v>5227016.0335756503</v>
      </c>
      <c r="J45" s="86">
        <v>2036</v>
      </c>
      <c r="K45" s="1">
        <f t="shared" si="0"/>
        <v>5227016.0335756503</v>
      </c>
    </row>
    <row r="46" spans="1:11" x14ac:dyDescent="0.25">
      <c r="A46" s="2">
        <v>2040</v>
      </c>
      <c r="B46" t="s">
        <v>6</v>
      </c>
      <c r="C46" s="2">
        <v>2451936</v>
      </c>
      <c r="D46" s="2">
        <v>1181101</v>
      </c>
      <c r="F46" s="6">
        <v>2037</v>
      </c>
      <c r="G46" s="1">
        <v>5202992.9775356501</v>
      </c>
      <c r="H46" s="83">
        <v>5202992.9775356501</v>
      </c>
      <c r="J46" s="86">
        <v>2037</v>
      </c>
      <c r="K46" s="1">
        <f t="shared" si="0"/>
        <v>5202992.9775356501</v>
      </c>
    </row>
    <row r="47" spans="1:11" x14ac:dyDescent="0.25">
      <c r="A47" s="2">
        <v>2041</v>
      </c>
      <c r="B47" t="s">
        <v>6</v>
      </c>
      <c r="C47" s="2">
        <v>2436911.3320740401</v>
      </c>
      <c r="D47" s="2">
        <v>1173754.1138722801</v>
      </c>
      <c r="F47" s="6">
        <v>2038</v>
      </c>
      <c r="G47" s="1">
        <v>5178342.20470782</v>
      </c>
      <c r="H47" s="83">
        <v>5178342.20470782</v>
      </c>
      <c r="J47" s="86">
        <v>2038</v>
      </c>
      <c r="K47" s="1">
        <f t="shared" si="0"/>
        <v>5178342.20470782</v>
      </c>
    </row>
    <row r="48" spans="1:11" x14ac:dyDescent="0.25">
      <c r="A48" s="2">
        <v>2042</v>
      </c>
      <c r="B48" t="s">
        <v>6</v>
      </c>
      <c r="C48" s="2">
        <v>2421710.4507093602</v>
      </c>
      <c r="D48" s="2">
        <v>1166334.8322225099</v>
      </c>
      <c r="F48" s="6">
        <v>2039</v>
      </c>
      <c r="G48" s="1">
        <v>5153048.0879199998</v>
      </c>
      <c r="H48" s="83">
        <v>5153048.0879199998</v>
      </c>
      <c r="J48" s="86">
        <v>2039</v>
      </c>
      <c r="K48" s="1">
        <f t="shared" si="0"/>
        <v>5153048.0879199998</v>
      </c>
    </row>
    <row r="49" spans="1:11" x14ac:dyDescent="0.25">
      <c r="A49" s="2">
        <v>2043</v>
      </c>
      <c r="B49" t="s">
        <v>6</v>
      </c>
      <c r="C49" s="2">
        <v>2406351.5033076499</v>
      </c>
      <c r="D49" s="2">
        <v>1158852.1936365999</v>
      </c>
      <c r="F49" s="6">
        <v>2040</v>
      </c>
      <c r="G49" s="1">
        <v>5127095</v>
      </c>
      <c r="H49" s="83">
        <v>5127095</v>
      </c>
      <c r="J49" s="86">
        <v>2040</v>
      </c>
      <c r="K49" s="1">
        <f t="shared" si="0"/>
        <v>5127095</v>
      </c>
    </row>
    <row r="50" spans="1:11" x14ac:dyDescent="0.25">
      <c r="A50" s="2">
        <v>2044</v>
      </c>
      <c r="B50" t="s">
        <v>6</v>
      </c>
      <c r="C50" s="2">
        <v>2390852.6372706401</v>
      </c>
      <c r="D50" s="2">
        <v>1151315.2367004601</v>
      </c>
      <c r="F50" s="6">
        <v>2041</v>
      </c>
      <c r="G50" s="1">
        <v>5100477.0894365199</v>
      </c>
      <c r="H50" s="83">
        <v>5100477.0894365199</v>
      </c>
      <c r="J50" s="86">
        <v>2041</v>
      </c>
      <c r="K50" s="1">
        <f t="shared" si="0"/>
        <v>5100477.0894365199</v>
      </c>
    </row>
    <row r="51" spans="1:11" x14ac:dyDescent="0.25">
      <c r="A51" s="2">
        <v>2045</v>
      </c>
      <c r="B51" t="s">
        <v>6</v>
      </c>
      <c r="C51" s="2">
        <v>2375232</v>
      </c>
      <c r="D51" s="2">
        <v>1143733</v>
      </c>
      <c r="F51" s="6">
        <v>2042</v>
      </c>
      <c r="G51" s="1">
        <v>5073227.6073617404</v>
      </c>
      <c r="H51" s="83">
        <v>5073227.6073617404</v>
      </c>
      <c r="J51" s="86">
        <v>2042</v>
      </c>
      <c r="K51" s="1">
        <f t="shared" si="0"/>
        <v>5073227.6073617404</v>
      </c>
    </row>
    <row r="52" spans="1:11" x14ac:dyDescent="0.25">
      <c r="A52" s="2">
        <v>2046</v>
      </c>
      <c r="B52" t="s">
        <v>6</v>
      </c>
      <c r="C52" s="2">
        <v>2359508.3356638299</v>
      </c>
      <c r="D52" s="2">
        <v>1136114.7623568201</v>
      </c>
      <c r="F52" s="6">
        <v>2043</v>
      </c>
      <c r="G52" s="1">
        <v>5045389.5805687001</v>
      </c>
      <c r="H52" s="83">
        <v>5045389.5805687001</v>
      </c>
      <c r="J52" s="86">
        <v>2043</v>
      </c>
      <c r="K52" s="1">
        <f t="shared" si="0"/>
        <v>5045389.5805687001</v>
      </c>
    </row>
    <row r="53" spans="1:11" x14ac:dyDescent="0.25">
      <c r="A53" s="2">
        <v>2047</v>
      </c>
      <c r="B53" t="s">
        <v>6</v>
      </c>
      <c r="C53" s="2">
        <v>2343702.7754957499</v>
      </c>
      <c r="D53" s="2">
        <v>1128470.7635352199</v>
      </c>
      <c r="F53" s="6">
        <v>2044</v>
      </c>
      <c r="G53" s="1">
        <v>5017006.0358504402</v>
      </c>
      <c r="H53" s="83">
        <v>5017006.0358504402</v>
      </c>
      <c r="J53" s="86">
        <v>2044</v>
      </c>
      <c r="K53" s="1">
        <f t="shared" si="0"/>
        <v>5017006.0358504402</v>
      </c>
    </row>
    <row r="54" spans="1:11" x14ac:dyDescent="0.25">
      <c r="A54" s="2">
        <v>2048</v>
      </c>
      <c r="B54" t="s">
        <v>6</v>
      </c>
      <c r="C54" s="2">
        <v>2327837.0474957498</v>
      </c>
      <c r="D54" s="2">
        <v>1120811.4835352199</v>
      </c>
      <c r="F54" s="6">
        <v>2045</v>
      </c>
      <c r="G54" s="1">
        <v>4988120</v>
      </c>
      <c r="H54" s="83">
        <v>4988120</v>
      </c>
      <c r="J54" s="86">
        <v>2045</v>
      </c>
      <c r="K54" s="1">
        <f t="shared" si="0"/>
        <v>4988120</v>
      </c>
    </row>
    <row r="55" spans="1:11" x14ac:dyDescent="0.25">
      <c r="A55" s="2">
        <v>2049</v>
      </c>
      <c r="B55" t="s">
        <v>6</v>
      </c>
      <c r="C55" s="2">
        <v>2311932.8796638302</v>
      </c>
      <c r="D55" s="2">
        <v>1113147.4023568199</v>
      </c>
      <c r="F55" s="6">
        <v>2046</v>
      </c>
      <c r="G55" s="1">
        <v>4958772.5446782596</v>
      </c>
      <c r="H55" s="83">
        <v>4958772.5446782596</v>
      </c>
      <c r="J55" s="86">
        <v>2046</v>
      </c>
      <c r="K55" s="1">
        <f t="shared" si="0"/>
        <v>4958772.5446782596</v>
      </c>
    </row>
    <row r="56" spans="1:11" x14ac:dyDescent="0.25">
      <c r="A56" s="2">
        <v>2050</v>
      </c>
      <c r="B56" t="s">
        <v>6</v>
      </c>
      <c r="C56" s="2">
        <v>2296012</v>
      </c>
      <c r="D56" s="2">
        <v>1105489</v>
      </c>
      <c r="F56" s="6">
        <v>2047</v>
      </c>
      <c r="G56" s="1">
        <v>4928996.9210173897</v>
      </c>
      <c r="H56" s="83">
        <v>4928996.9210173897</v>
      </c>
      <c r="J56" s="86">
        <v>2047</v>
      </c>
      <c r="K56" s="1">
        <f t="shared" si="0"/>
        <v>4928996.9210173897</v>
      </c>
    </row>
    <row r="57" spans="1:11" x14ac:dyDescent="0.25">
      <c r="A57" s="2">
        <v>1996</v>
      </c>
      <c r="B57" s="85" t="s">
        <v>5</v>
      </c>
      <c r="C57" s="2">
        <v>5336689.2615659405</v>
      </c>
      <c r="D57" s="2">
        <v>2617766.7452121698</v>
      </c>
      <c r="F57" s="6">
        <v>2048</v>
      </c>
      <c r="G57" s="1">
        <v>4898824.4250173904</v>
      </c>
      <c r="H57" s="83">
        <v>4898824.4250173904</v>
      </c>
      <c r="J57" s="86">
        <v>2048</v>
      </c>
      <c r="K57" s="1">
        <f t="shared" si="0"/>
        <v>4898824.4250173904</v>
      </c>
    </row>
    <row r="58" spans="1:11" x14ac:dyDescent="0.25">
      <c r="A58" s="2">
        <v>1997</v>
      </c>
      <c r="B58" s="85" t="s">
        <v>5</v>
      </c>
      <c r="C58" s="2">
        <v>5352218.1569395596</v>
      </c>
      <c r="D58" s="2">
        <v>2625110.0471272999</v>
      </c>
      <c r="F58" s="6">
        <v>2049</v>
      </c>
      <c r="G58" s="1">
        <v>4868286.3526782598</v>
      </c>
      <c r="H58" s="83">
        <v>4868286.3526782598</v>
      </c>
      <c r="J58" s="86">
        <v>2049</v>
      </c>
      <c r="K58" s="1">
        <f t="shared" si="0"/>
        <v>4868286.3526782598</v>
      </c>
    </row>
    <row r="59" spans="1:11" x14ac:dyDescent="0.25">
      <c r="A59" s="2">
        <v>1998</v>
      </c>
      <c r="B59" s="85" t="s">
        <v>5</v>
      </c>
      <c r="C59" s="2">
        <v>5360232.5784697803</v>
      </c>
      <c r="D59" s="2">
        <v>2628255.52356365</v>
      </c>
      <c r="F59" s="6">
        <v>2050</v>
      </c>
      <c r="G59" s="1">
        <v>4837414</v>
      </c>
      <c r="H59" s="83">
        <v>4837414</v>
      </c>
      <c r="J59" s="86">
        <v>2050</v>
      </c>
      <c r="K59" s="1">
        <f t="shared" si="0"/>
        <v>4837414</v>
      </c>
    </row>
    <row r="60" spans="1:11" x14ac:dyDescent="0.25">
      <c r="A60" s="2">
        <v>1999</v>
      </c>
      <c r="B60" s="85" t="s">
        <v>5</v>
      </c>
      <c r="C60" s="2">
        <v>5362927.5261565903</v>
      </c>
      <c r="D60" s="2">
        <v>2628380.1745212199</v>
      </c>
      <c r="F60" s="6" t="s">
        <v>206</v>
      </c>
      <c r="G60" s="1">
        <v>293004832.55859154</v>
      </c>
      <c r="H60" s="7">
        <v>293004832.55859154</v>
      </c>
    </row>
    <row r="61" spans="1:11" x14ac:dyDescent="0.25">
      <c r="A61" s="2">
        <v>2000</v>
      </c>
      <c r="B61" s="85" t="s">
        <v>5</v>
      </c>
      <c r="C61" s="2">
        <v>5362498</v>
      </c>
      <c r="D61" s="2">
        <v>2626661</v>
      </c>
    </row>
    <row r="62" spans="1:11" x14ac:dyDescent="0.25">
      <c r="A62" s="2">
        <v>2001</v>
      </c>
      <c r="B62" s="85" t="s">
        <v>5</v>
      </c>
      <c r="C62" s="2">
        <v>5361139</v>
      </c>
      <c r="D62" s="2">
        <v>2624275</v>
      </c>
    </row>
    <row r="63" spans="1:11" x14ac:dyDescent="0.25">
      <c r="A63" s="2">
        <v>2002</v>
      </c>
      <c r="B63" s="85" t="s">
        <v>5</v>
      </c>
      <c r="C63" s="2">
        <v>5361107</v>
      </c>
      <c r="D63" s="2">
        <v>2622422</v>
      </c>
    </row>
    <row r="64" spans="1:11" x14ac:dyDescent="0.25">
      <c r="A64" s="2">
        <v>2003</v>
      </c>
      <c r="B64" s="85" t="s">
        <v>5</v>
      </c>
      <c r="C64" s="2">
        <v>5364597</v>
      </c>
      <c r="D64" s="2">
        <v>2622279</v>
      </c>
    </row>
    <row r="65" spans="1:4" x14ac:dyDescent="0.25">
      <c r="A65" s="2">
        <v>2004</v>
      </c>
      <c r="B65" s="85" t="s">
        <v>5</v>
      </c>
      <c r="C65" s="2">
        <v>5372677</v>
      </c>
      <c r="D65" s="2">
        <v>2624530</v>
      </c>
    </row>
    <row r="66" spans="1:4" x14ac:dyDescent="0.25">
      <c r="A66" s="2">
        <v>2005</v>
      </c>
      <c r="B66" s="85" t="s">
        <v>5</v>
      </c>
      <c r="C66" s="2">
        <v>5386812</v>
      </c>
      <c r="D66" s="2">
        <v>2629864</v>
      </c>
    </row>
    <row r="67" spans="1:4" x14ac:dyDescent="0.25">
      <c r="A67" s="2">
        <v>2006</v>
      </c>
      <c r="B67" s="85" t="s">
        <v>5</v>
      </c>
      <c r="C67" s="2">
        <v>5407717</v>
      </c>
      <c r="D67" s="2">
        <v>2638747</v>
      </c>
    </row>
    <row r="68" spans="1:4" x14ac:dyDescent="0.25">
      <c r="A68" s="2">
        <v>2007</v>
      </c>
      <c r="B68" s="85" t="s">
        <v>5</v>
      </c>
      <c r="C68" s="2">
        <v>5427910</v>
      </c>
      <c r="D68" s="2">
        <v>2647233</v>
      </c>
    </row>
    <row r="69" spans="1:4" x14ac:dyDescent="0.25">
      <c r="A69" s="2">
        <v>2008</v>
      </c>
      <c r="B69" s="85" t="s">
        <v>5</v>
      </c>
      <c r="C69" s="2">
        <v>5448390</v>
      </c>
      <c r="D69" s="2">
        <v>2655740</v>
      </c>
    </row>
    <row r="70" spans="1:4" x14ac:dyDescent="0.25">
      <c r="A70" s="2">
        <v>2009</v>
      </c>
      <c r="B70" s="85" t="s">
        <v>5</v>
      </c>
      <c r="C70" s="2">
        <v>5469822</v>
      </c>
      <c r="D70" s="2">
        <v>2664671</v>
      </c>
    </row>
    <row r="71" spans="1:4" x14ac:dyDescent="0.25">
      <c r="A71" s="2">
        <v>2010</v>
      </c>
      <c r="B71" s="85" t="s">
        <v>5</v>
      </c>
      <c r="C71" s="2">
        <v>5492408</v>
      </c>
      <c r="D71" s="2">
        <v>2674173</v>
      </c>
    </row>
    <row r="72" spans="1:4" x14ac:dyDescent="0.25">
      <c r="A72" s="2">
        <v>2011</v>
      </c>
      <c r="B72" s="85" t="s">
        <v>5</v>
      </c>
      <c r="C72" s="2">
        <v>5516288</v>
      </c>
      <c r="D72" s="2">
        <v>2684312</v>
      </c>
    </row>
    <row r="73" spans="1:4" x14ac:dyDescent="0.25">
      <c r="A73" s="2">
        <v>2012</v>
      </c>
      <c r="B73" s="85" t="s">
        <v>5</v>
      </c>
      <c r="C73" s="2">
        <v>5537428.7927720398</v>
      </c>
      <c r="D73" s="2">
        <v>2693165.8826794801</v>
      </c>
    </row>
    <row r="74" spans="1:4" x14ac:dyDescent="0.25">
      <c r="A74" s="2">
        <v>2013</v>
      </c>
      <c r="B74" s="85" t="s">
        <v>5</v>
      </c>
      <c r="C74" s="2">
        <v>5554323.1251711203</v>
      </c>
      <c r="D74" s="2">
        <v>2699988.6782491799</v>
      </c>
    </row>
    <row r="75" spans="1:4" x14ac:dyDescent="0.25">
      <c r="A75" s="2">
        <v>2014</v>
      </c>
      <c r="B75" s="85" t="s">
        <v>5</v>
      </c>
      <c r="C75" s="2">
        <v>5566437</v>
      </c>
      <c r="D75" s="2">
        <v>2704490</v>
      </c>
    </row>
    <row r="76" spans="1:4" x14ac:dyDescent="0.25">
      <c r="A76" s="2">
        <v>2015</v>
      </c>
      <c r="B76" s="85" t="s">
        <v>5</v>
      </c>
      <c r="C76" s="2">
        <v>5573350</v>
      </c>
      <c r="D76" s="2">
        <v>2706441</v>
      </c>
    </row>
    <row r="77" spans="1:4" x14ac:dyDescent="0.25">
      <c r="A77" s="2">
        <v>2016</v>
      </c>
      <c r="B77" s="85" t="s">
        <v>5</v>
      </c>
      <c r="C77" s="2">
        <v>5575340</v>
      </c>
      <c r="D77" s="2">
        <v>2705992</v>
      </c>
    </row>
    <row r="78" spans="1:4" x14ac:dyDescent="0.25">
      <c r="A78" s="2">
        <v>2017</v>
      </c>
      <c r="B78" s="85" t="s">
        <v>5</v>
      </c>
      <c r="C78" s="2">
        <v>5573496</v>
      </c>
      <c r="D78" s="2">
        <v>2703744</v>
      </c>
    </row>
    <row r="79" spans="1:4" x14ac:dyDescent="0.25">
      <c r="A79" s="2">
        <v>2018</v>
      </c>
      <c r="B79" s="85" t="s">
        <v>5</v>
      </c>
      <c r="C79" s="2">
        <v>5568046</v>
      </c>
      <c r="D79" s="2">
        <v>2699815</v>
      </c>
    </row>
    <row r="80" spans="1:4" x14ac:dyDescent="0.25">
      <c r="A80" s="2">
        <v>2019</v>
      </c>
      <c r="B80" s="85" t="s">
        <v>5</v>
      </c>
      <c r="C80" s="2">
        <v>5559066</v>
      </c>
      <c r="D80" s="2">
        <v>2694141</v>
      </c>
    </row>
    <row r="81" spans="1:4" x14ac:dyDescent="0.25">
      <c r="A81" s="2">
        <v>2020</v>
      </c>
      <c r="B81" s="85" t="s">
        <v>5</v>
      </c>
      <c r="C81" s="2">
        <v>5546905</v>
      </c>
      <c r="D81" s="2">
        <v>2687030</v>
      </c>
    </row>
    <row r="82" spans="1:4" x14ac:dyDescent="0.25">
      <c r="A82" s="2">
        <v>2021</v>
      </c>
      <c r="B82" s="85" t="s">
        <v>5</v>
      </c>
      <c r="C82" s="2">
        <v>5531902</v>
      </c>
      <c r="D82" s="2">
        <v>2678582</v>
      </c>
    </row>
    <row r="83" spans="1:4" x14ac:dyDescent="0.25">
      <c r="A83" s="2">
        <v>2022</v>
      </c>
      <c r="B83" s="85" t="s">
        <v>5</v>
      </c>
      <c r="C83" s="2">
        <v>5515313.4642677801</v>
      </c>
      <c r="D83" s="2">
        <v>2669422.5493597598</v>
      </c>
    </row>
    <row r="84" spans="1:4" x14ac:dyDescent="0.25">
      <c r="A84" s="2">
        <v>2023</v>
      </c>
      <c r="B84" s="85" t="s">
        <v>5</v>
      </c>
      <c r="C84" s="2">
        <v>5497652.9705544701</v>
      </c>
      <c r="D84" s="2">
        <v>2659814.7242302699</v>
      </c>
    </row>
    <row r="85" spans="1:4" x14ac:dyDescent="0.25">
      <c r="A85" s="2">
        <v>2024</v>
      </c>
      <c r="B85" s="85" t="s">
        <v>5</v>
      </c>
      <c r="C85" s="2">
        <v>5479167.7415639302</v>
      </c>
      <c r="D85" s="2">
        <v>2649880.7869856399</v>
      </c>
    </row>
    <row r="86" spans="1:4" x14ac:dyDescent="0.25">
      <c r="A86" s="2">
        <v>2025</v>
      </c>
      <c r="B86" s="85" t="s">
        <v>5</v>
      </c>
      <c r="C86" s="2">
        <v>5460105</v>
      </c>
      <c r="D86" s="2">
        <v>2639743</v>
      </c>
    </row>
    <row r="87" spans="1:4" x14ac:dyDescent="0.25">
      <c r="A87" s="2">
        <v>2026</v>
      </c>
      <c r="B87" s="85" t="s">
        <v>5</v>
      </c>
      <c r="C87" s="2">
        <v>5440671.6133808298</v>
      </c>
      <c r="D87" s="2">
        <v>2629502.3496310599</v>
      </c>
    </row>
    <row r="88" spans="1:4" x14ac:dyDescent="0.25">
      <c r="A88" s="2">
        <v>2027</v>
      </c>
      <c r="B88" s="85" t="s">
        <v>5</v>
      </c>
      <c r="C88" s="2">
        <v>5420913.0284816902</v>
      </c>
      <c r="D88" s="2">
        <v>2619174.7181709199</v>
      </c>
    </row>
    <row r="89" spans="1:4" x14ac:dyDescent="0.25">
      <c r="A89" s="2">
        <v>2028</v>
      </c>
      <c r="B89" s="85" t="s">
        <v>5</v>
      </c>
      <c r="C89" s="2">
        <v>5400834.3368921401</v>
      </c>
      <c r="D89" s="2">
        <v>2608754.71189524</v>
      </c>
    </row>
    <row r="90" spans="1:4" x14ac:dyDescent="0.25">
      <c r="A90" s="2">
        <v>2029</v>
      </c>
      <c r="B90" s="85" t="s">
        <v>5</v>
      </c>
      <c r="C90" s="2">
        <v>5380440.6302017197</v>
      </c>
      <c r="D90" s="2">
        <v>2598236.9370797002</v>
      </c>
    </row>
    <row r="91" spans="1:4" x14ac:dyDescent="0.25">
      <c r="A91" s="2">
        <v>2030</v>
      </c>
      <c r="B91" s="85" t="s">
        <v>5</v>
      </c>
      <c r="C91" s="2">
        <v>5359737</v>
      </c>
      <c r="D91" s="2">
        <v>2587616</v>
      </c>
    </row>
    <row r="92" spans="1:4" x14ac:dyDescent="0.25">
      <c r="A92" s="2">
        <v>2031</v>
      </c>
      <c r="B92" s="85" t="s">
        <v>5</v>
      </c>
      <c r="C92" s="2">
        <v>5338717.9682608796</v>
      </c>
      <c r="D92" s="2">
        <v>2576882.6741295001</v>
      </c>
    </row>
    <row r="93" spans="1:4" x14ac:dyDescent="0.25">
      <c r="A93" s="2">
        <v>2032</v>
      </c>
      <c r="B93" s="85" t="s">
        <v>5</v>
      </c>
      <c r="C93" s="2">
        <v>5317335.7784956601</v>
      </c>
      <c r="D93" s="2">
        <v>2566012.40173238</v>
      </c>
    </row>
    <row r="94" spans="1:4" x14ac:dyDescent="0.25">
      <c r="A94" s="2">
        <v>2033</v>
      </c>
      <c r="B94" s="85" t="s">
        <v>5</v>
      </c>
      <c r="C94" s="2">
        <v>5295532.1046000104</v>
      </c>
      <c r="D94" s="2">
        <v>2554976.79227051</v>
      </c>
    </row>
    <row r="95" spans="1:4" x14ac:dyDescent="0.25">
      <c r="A95" s="2">
        <v>2034</v>
      </c>
      <c r="B95" s="85" t="s">
        <v>5</v>
      </c>
      <c r="C95" s="2">
        <v>5273248.6204695702</v>
      </c>
      <c r="D95" s="2">
        <v>2543747.45520576</v>
      </c>
    </row>
    <row r="96" spans="1:4" x14ac:dyDescent="0.25">
      <c r="A96" s="2">
        <v>2035</v>
      </c>
      <c r="B96" s="85" t="s">
        <v>5</v>
      </c>
      <c r="C96" s="2">
        <v>5250427</v>
      </c>
      <c r="D96" s="2">
        <v>2532296</v>
      </c>
    </row>
    <row r="97" spans="1:4" x14ac:dyDescent="0.25">
      <c r="A97" s="2">
        <v>2036</v>
      </c>
      <c r="B97" s="85" t="s">
        <v>5</v>
      </c>
      <c r="C97" s="2">
        <v>5227016.0335756503</v>
      </c>
      <c r="D97" s="2">
        <v>2520597.13785093</v>
      </c>
    </row>
    <row r="98" spans="1:4" x14ac:dyDescent="0.25">
      <c r="A98" s="2">
        <v>2037</v>
      </c>
      <c r="B98" s="85" t="s">
        <v>5</v>
      </c>
      <c r="C98" s="2">
        <v>5202992.9775356501</v>
      </c>
      <c r="D98" s="2">
        <v>2508637.9868995701</v>
      </c>
    </row>
    <row r="99" spans="1:4" x14ac:dyDescent="0.25">
      <c r="A99" s="2">
        <v>2038</v>
      </c>
      <c r="B99" s="85" t="s">
        <v>5</v>
      </c>
      <c r="C99" s="2">
        <v>5178342.20470782</v>
      </c>
      <c r="D99" s="2">
        <v>2496408.7670227299</v>
      </c>
    </row>
    <row r="100" spans="1:4" x14ac:dyDescent="0.25">
      <c r="A100" s="2">
        <v>2039</v>
      </c>
      <c r="B100" s="85" t="s">
        <v>5</v>
      </c>
      <c r="C100" s="2">
        <v>5153048.0879199998</v>
      </c>
      <c r="D100" s="2">
        <v>2483899.69809727</v>
      </c>
    </row>
    <row r="101" spans="1:4" x14ac:dyDescent="0.25">
      <c r="A101" s="2">
        <v>2040</v>
      </c>
      <c r="B101" s="85" t="s">
        <v>5</v>
      </c>
      <c r="C101" s="2">
        <v>5127095</v>
      </c>
      <c r="D101" s="2">
        <v>2471101</v>
      </c>
    </row>
    <row r="102" spans="1:4" x14ac:dyDescent="0.25">
      <c r="A102" s="2">
        <v>2041</v>
      </c>
      <c r="B102" s="85" t="s">
        <v>5</v>
      </c>
      <c r="C102" s="2">
        <v>5100477.0894365199</v>
      </c>
      <c r="D102" s="2">
        <v>2458008.1984667601</v>
      </c>
    </row>
    <row r="103" spans="1:4" x14ac:dyDescent="0.25">
      <c r="A103" s="2">
        <v>2042</v>
      </c>
      <c r="B103" s="85" t="s">
        <v>5</v>
      </c>
      <c r="C103" s="2">
        <v>5073227.6073617404</v>
      </c>
      <c r="D103" s="2">
        <v>2444638.0426693498</v>
      </c>
    </row>
    <row r="104" spans="1:4" x14ac:dyDescent="0.25">
      <c r="A104" s="2">
        <v>2043</v>
      </c>
      <c r="B104" s="85" t="s">
        <v>5</v>
      </c>
      <c r="C104" s="2">
        <v>5045389.5805687001</v>
      </c>
      <c r="D104" s="2">
        <v>2431012.5876385602</v>
      </c>
    </row>
    <row r="105" spans="1:4" x14ac:dyDescent="0.25">
      <c r="A105" s="2">
        <v>2044</v>
      </c>
      <c r="B105" s="85" t="s">
        <v>5</v>
      </c>
      <c r="C105" s="2">
        <v>5017006.0358504402</v>
      </c>
      <c r="D105" s="2">
        <v>2417153.8884051801</v>
      </c>
    </row>
    <row r="106" spans="1:4" x14ac:dyDescent="0.25">
      <c r="A106" s="2">
        <v>2045</v>
      </c>
      <c r="B106" s="85" t="s">
        <v>5</v>
      </c>
      <c r="C106" s="2">
        <v>4988120</v>
      </c>
      <c r="D106" s="2">
        <v>2403084</v>
      </c>
    </row>
    <row r="107" spans="1:4" x14ac:dyDescent="0.25">
      <c r="A107" s="2">
        <v>2046</v>
      </c>
      <c r="B107" s="85" t="s">
        <v>5</v>
      </c>
      <c r="C107" s="2">
        <v>4958772.5446782596</v>
      </c>
      <c r="D107" s="2">
        <v>2388823.9162820098</v>
      </c>
    </row>
    <row r="108" spans="1:4" x14ac:dyDescent="0.25">
      <c r="A108" s="2">
        <v>2047</v>
      </c>
      <c r="B108" s="85" t="s">
        <v>5</v>
      </c>
      <c r="C108" s="2">
        <v>4928996.9210173897</v>
      </c>
      <c r="D108" s="2">
        <v>2374390.3864230202</v>
      </c>
    </row>
    <row r="109" spans="1:4" x14ac:dyDescent="0.25">
      <c r="A109" s="2">
        <v>2048</v>
      </c>
      <c r="B109" s="85" t="s">
        <v>5</v>
      </c>
      <c r="C109" s="2">
        <v>4898824.4250173904</v>
      </c>
      <c r="D109" s="2">
        <v>2359799.09842302</v>
      </c>
    </row>
    <row r="110" spans="1:4" x14ac:dyDescent="0.25">
      <c r="A110" s="2">
        <v>2049</v>
      </c>
      <c r="B110" s="85" t="s">
        <v>5</v>
      </c>
      <c r="C110" s="2">
        <v>4868286.3526782598</v>
      </c>
      <c r="D110" s="2">
        <v>2345065.7402820098</v>
      </c>
    </row>
    <row r="111" spans="1:4" x14ac:dyDescent="0.25">
      <c r="A111" s="2">
        <v>2050</v>
      </c>
      <c r="B111" s="85" t="s">
        <v>5</v>
      </c>
      <c r="C111" s="2">
        <v>4837414</v>
      </c>
      <c r="D111" s="2">
        <v>2330206</v>
      </c>
    </row>
    <row r="112" spans="1:4" x14ac:dyDescent="0.25">
      <c r="A112" s="2">
        <v>1996</v>
      </c>
      <c r="B112" s="84" t="s">
        <v>4</v>
      </c>
      <c r="C112" s="2">
        <v>4328734.7335640304</v>
      </c>
      <c r="D112" s="2">
        <v>2136825.68729656</v>
      </c>
    </row>
    <row r="113" spans="1:4" x14ac:dyDescent="0.25">
      <c r="A113" s="2">
        <v>1997</v>
      </c>
      <c r="B113" s="84" t="s">
        <v>4</v>
      </c>
      <c r="C113" s="2">
        <v>4441903.2401384199</v>
      </c>
      <c r="D113" s="2">
        <v>2190257.4123779298</v>
      </c>
    </row>
    <row r="114" spans="1:4" x14ac:dyDescent="0.25">
      <c r="A114" s="2">
        <v>1998</v>
      </c>
      <c r="B114" s="84" t="s">
        <v>4</v>
      </c>
      <c r="C114" s="2">
        <v>4551586.6200692104</v>
      </c>
      <c r="D114" s="2">
        <v>2242694.2061889698</v>
      </c>
    </row>
    <row r="115" spans="1:4" x14ac:dyDescent="0.25">
      <c r="A115" s="2">
        <v>1999</v>
      </c>
      <c r="B115" s="84" t="s">
        <v>4</v>
      </c>
      <c r="C115" s="2">
        <v>4656740.8733564001</v>
      </c>
      <c r="D115" s="2">
        <v>2293434.06872966</v>
      </c>
    </row>
    <row r="116" spans="1:4" x14ac:dyDescent="0.25">
      <c r="A116" s="2">
        <v>2000</v>
      </c>
      <c r="B116" s="84" t="s">
        <v>4</v>
      </c>
      <c r="C116" s="2">
        <v>4756322</v>
      </c>
      <c r="D116" s="2">
        <v>2341775</v>
      </c>
    </row>
    <row r="117" spans="1:4" x14ac:dyDescent="0.25">
      <c r="A117" s="2">
        <v>2001</v>
      </c>
      <c r="B117" s="84" t="s">
        <v>4</v>
      </c>
      <c r="C117" s="2">
        <v>4849286</v>
      </c>
      <c r="D117" s="2">
        <v>2387015</v>
      </c>
    </row>
    <row r="118" spans="1:4" x14ac:dyDescent="0.25">
      <c r="A118" s="2">
        <v>2002</v>
      </c>
      <c r="B118" s="84" t="s">
        <v>4</v>
      </c>
      <c r="C118" s="2">
        <v>4934568</v>
      </c>
      <c r="D118" s="2">
        <v>2428415</v>
      </c>
    </row>
    <row r="119" spans="1:4" x14ac:dyDescent="0.25">
      <c r="A119" s="2">
        <v>2003</v>
      </c>
      <c r="B119" s="84" t="s">
        <v>4</v>
      </c>
      <c r="C119" s="2">
        <v>5011124</v>
      </c>
      <c r="D119" s="2">
        <v>2465273</v>
      </c>
    </row>
    <row r="120" spans="1:4" x14ac:dyDescent="0.25">
      <c r="A120" s="2">
        <v>2004</v>
      </c>
      <c r="B120" s="84" t="s">
        <v>4</v>
      </c>
      <c r="C120" s="2">
        <v>5078223</v>
      </c>
      <c r="D120" s="2">
        <v>2497409</v>
      </c>
    </row>
    <row r="121" spans="1:4" x14ac:dyDescent="0.25">
      <c r="A121" s="2">
        <v>2005</v>
      </c>
      <c r="B121" s="84" t="s">
        <v>4</v>
      </c>
      <c r="C121" s="2">
        <v>5134473</v>
      </c>
      <c r="D121" s="2">
        <v>2524017</v>
      </c>
    </row>
    <row r="122" spans="1:4" x14ac:dyDescent="0.25">
      <c r="A122" s="2">
        <v>2006</v>
      </c>
      <c r="B122" s="84" t="s">
        <v>4</v>
      </c>
      <c r="C122" s="2">
        <v>5178861</v>
      </c>
      <c r="D122" s="2">
        <v>2544731</v>
      </c>
    </row>
    <row r="123" spans="1:4" x14ac:dyDescent="0.25">
      <c r="A123" s="2">
        <v>2007</v>
      </c>
      <c r="B123" s="84" t="s">
        <v>4</v>
      </c>
      <c r="C123" s="2">
        <v>5216537</v>
      </c>
      <c r="D123" s="2">
        <v>2561885</v>
      </c>
    </row>
    <row r="124" spans="1:4" x14ac:dyDescent="0.25">
      <c r="A124" s="2">
        <v>2008</v>
      </c>
      <c r="B124" s="84" t="s">
        <v>4</v>
      </c>
      <c r="C124" s="2">
        <v>5246997</v>
      </c>
      <c r="D124" s="2">
        <v>2575138</v>
      </c>
    </row>
    <row r="125" spans="1:4" x14ac:dyDescent="0.25">
      <c r="A125" s="2">
        <v>2009</v>
      </c>
      <c r="B125" s="84" t="s">
        <v>4</v>
      </c>
      <c r="C125" s="2">
        <v>5270463</v>
      </c>
      <c r="D125" s="2">
        <v>2584791</v>
      </c>
    </row>
    <row r="126" spans="1:4" x14ac:dyDescent="0.25">
      <c r="A126" s="2">
        <v>2010</v>
      </c>
      <c r="B126" s="84" t="s">
        <v>4</v>
      </c>
      <c r="C126" s="2">
        <v>5286720</v>
      </c>
      <c r="D126" s="2">
        <v>2590746</v>
      </c>
    </row>
    <row r="127" spans="1:4" x14ac:dyDescent="0.25">
      <c r="A127" s="2">
        <v>2011</v>
      </c>
      <c r="B127" s="84" t="s">
        <v>4</v>
      </c>
      <c r="C127" s="2">
        <v>5296319</v>
      </c>
      <c r="D127" s="2">
        <v>2593350</v>
      </c>
    </row>
    <row r="128" spans="1:4" x14ac:dyDescent="0.25">
      <c r="A128" s="2">
        <v>2012</v>
      </c>
      <c r="B128" s="84" t="s">
        <v>4</v>
      </c>
      <c r="C128" s="2">
        <v>5307779.7280284902</v>
      </c>
      <c r="D128" s="2">
        <v>2596932.5593387499</v>
      </c>
    </row>
    <row r="129" spans="1:4" x14ac:dyDescent="0.25">
      <c r="A129" s="2">
        <v>2013</v>
      </c>
      <c r="B129" s="84" t="s">
        <v>4</v>
      </c>
      <c r="C129" s="2">
        <v>5323364.8480997998</v>
      </c>
      <c r="D129" s="2">
        <v>2602650.6589393602</v>
      </c>
    </row>
    <row r="130" spans="1:4" x14ac:dyDescent="0.25">
      <c r="A130" s="2">
        <v>2014</v>
      </c>
      <c r="B130" s="84" t="s">
        <v>4</v>
      </c>
      <c r="C130" s="2">
        <v>5343109</v>
      </c>
      <c r="D130" s="2">
        <v>2610538</v>
      </c>
    </row>
    <row r="131" spans="1:4" x14ac:dyDescent="0.25">
      <c r="A131" s="2">
        <v>2015</v>
      </c>
      <c r="B131" s="84" t="s">
        <v>4</v>
      </c>
      <c r="C131" s="2">
        <v>5367806</v>
      </c>
      <c r="D131" s="2">
        <v>2621029</v>
      </c>
    </row>
    <row r="132" spans="1:4" x14ac:dyDescent="0.25">
      <c r="A132" s="2">
        <v>2016</v>
      </c>
      <c r="B132" s="84" t="s">
        <v>4</v>
      </c>
      <c r="C132" s="2">
        <v>5398165</v>
      </c>
      <c r="D132" s="2">
        <v>2634556</v>
      </c>
    </row>
    <row r="133" spans="1:4" x14ac:dyDescent="0.25">
      <c r="A133" s="2">
        <v>2017</v>
      </c>
      <c r="B133" s="84" t="s">
        <v>4</v>
      </c>
      <c r="C133" s="2">
        <v>5426428</v>
      </c>
      <c r="D133" s="2">
        <v>2647206</v>
      </c>
    </row>
    <row r="134" spans="1:4" x14ac:dyDescent="0.25">
      <c r="A134" s="2">
        <v>2018</v>
      </c>
      <c r="B134" s="84" t="s">
        <v>4</v>
      </c>
      <c r="C134" s="2">
        <v>5453734</v>
      </c>
      <c r="D134" s="2">
        <v>2659556</v>
      </c>
    </row>
    <row r="135" spans="1:4" x14ac:dyDescent="0.25">
      <c r="A135" s="2">
        <v>2019</v>
      </c>
      <c r="B135" s="84" t="s">
        <v>4</v>
      </c>
      <c r="C135" s="2">
        <v>5480534</v>
      </c>
      <c r="D135" s="2">
        <v>2671642</v>
      </c>
    </row>
    <row r="136" spans="1:4" x14ac:dyDescent="0.25">
      <c r="A136" s="2">
        <v>2020</v>
      </c>
      <c r="B136" s="84" t="s">
        <v>4</v>
      </c>
      <c r="C136" s="2">
        <v>5507023</v>
      </c>
      <c r="D136" s="2">
        <v>2683674</v>
      </c>
    </row>
    <row r="137" spans="1:4" x14ac:dyDescent="0.25">
      <c r="A137" s="2">
        <v>2021</v>
      </c>
      <c r="B137" s="84" t="s">
        <v>4</v>
      </c>
      <c r="C137" s="2">
        <v>5533215</v>
      </c>
      <c r="D137" s="2">
        <v>2695573</v>
      </c>
    </row>
    <row r="138" spans="1:4" x14ac:dyDescent="0.25">
      <c r="A138" s="2">
        <v>2022</v>
      </c>
      <c r="B138" s="84" t="s">
        <v>4</v>
      </c>
      <c r="C138" s="2">
        <v>5555111.8207854796</v>
      </c>
      <c r="D138" s="2">
        <v>2705375.1793875098</v>
      </c>
    </row>
    <row r="139" spans="1:4" x14ac:dyDescent="0.25">
      <c r="A139" s="2">
        <v>2023</v>
      </c>
      <c r="B139" s="84" t="s">
        <v>4</v>
      </c>
      <c r="C139" s="2">
        <v>5571772.4462051298</v>
      </c>
      <c r="D139" s="2">
        <v>2712613.4295200398</v>
      </c>
    </row>
    <row r="140" spans="1:4" x14ac:dyDescent="0.25">
      <c r="A140" s="2">
        <v>2024</v>
      </c>
      <c r="B140" s="84" t="s">
        <v>4</v>
      </c>
      <c r="C140" s="2">
        <v>5583355.8485222096</v>
      </c>
      <c r="D140" s="2">
        <v>2717347.7148925602</v>
      </c>
    </row>
    <row r="141" spans="1:4" x14ac:dyDescent="0.25">
      <c r="A141" s="2">
        <v>2025</v>
      </c>
      <c r="B141" s="84" t="s">
        <v>4</v>
      </c>
      <c r="C141" s="2">
        <v>5590021</v>
      </c>
      <c r="D141" s="2">
        <v>2719638</v>
      </c>
    </row>
    <row r="142" spans="1:4" x14ac:dyDescent="0.25">
      <c r="A142" s="2">
        <v>2026</v>
      </c>
      <c r="B142" s="84" t="s">
        <v>4</v>
      </c>
      <c r="C142" s="2">
        <v>5591974.48870965</v>
      </c>
      <c r="D142" s="2">
        <v>2719574.80790625</v>
      </c>
    </row>
    <row r="143" spans="1:4" x14ac:dyDescent="0.25">
      <c r="A143" s="2">
        <v>2027</v>
      </c>
      <c r="B143" s="84" t="s">
        <v>4</v>
      </c>
      <c r="C143" s="2">
        <v>5589613.3659538804</v>
      </c>
      <c r="D143" s="2">
        <v>2717370.8959508701</v>
      </c>
    </row>
    <row r="144" spans="1:4" x14ac:dyDescent="0.25">
      <c r="A144" s="2">
        <v>2028</v>
      </c>
      <c r="B144" s="84" t="s">
        <v>4</v>
      </c>
      <c r="C144" s="2">
        <v>5583382.2988432804</v>
      </c>
      <c r="D144" s="2">
        <v>2713269.5800423701</v>
      </c>
    </row>
    <row r="145" spans="1:4" x14ac:dyDescent="0.25">
      <c r="A145" s="2">
        <v>2029</v>
      </c>
      <c r="B145" s="84" t="s">
        <v>4</v>
      </c>
      <c r="C145" s="2">
        <v>5573725.9544884497</v>
      </c>
      <c r="D145" s="2">
        <v>2707514.17608925</v>
      </c>
    </row>
    <row r="146" spans="1:4" x14ac:dyDescent="0.25">
      <c r="A146" s="2">
        <v>2030</v>
      </c>
      <c r="B146" s="84" t="s">
        <v>4</v>
      </c>
      <c r="C146" s="2">
        <v>5561089</v>
      </c>
      <c r="D146" s="2">
        <v>2700348</v>
      </c>
    </row>
    <row r="147" spans="1:4" x14ac:dyDescent="0.25">
      <c r="A147" s="2">
        <v>2031</v>
      </c>
      <c r="B147" s="84" t="s">
        <v>4</v>
      </c>
      <c r="C147" s="2">
        <v>5545920.6990931202</v>
      </c>
      <c r="D147" s="2">
        <v>2692012.0349286501</v>
      </c>
    </row>
    <row r="148" spans="1:4" x14ac:dyDescent="0.25">
      <c r="A148" s="2">
        <v>2032</v>
      </c>
      <c r="B148" s="84" t="s">
        <v>4</v>
      </c>
      <c r="C148" s="2">
        <v>5528688.7019014601</v>
      </c>
      <c r="D148" s="2">
        <v>2682737.93301132</v>
      </c>
    </row>
    <row r="149" spans="1:4" x14ac:dyDescent="0.25">
      <c r="A149" s="2">
        <v>2033</v>
      </c>
      <c r="B149" s="84" t="s">
        <v>4</v>
      </c>
      <c r="C149" s="2">
        <v>5509865.2551632198</v>
      </c>
      <c r="D149" s="2">
        <v>2672755.0136296698</v>
      </c>
    </row>
    <row r="150" spans="1:4" x14ac:dyDescent="0.25">
      <c r="A150" s="2">
        <v>2034</v>
      </c>
      <c r="B150" s="84" t="s">
        <v>4</v>
      </c>
      <c r="C150" s="2">
        <v>5489922.6056166599</v>
      </c>
      <c r="D150" s="2">
        <v>2662292.5961653399</v>
      </c>
    </row>
    <row r="151" spans="1:4" x14ac:dyDescent="0.25">
      <c r="A151" s="2">
        <v>2035</v>
      </c>
      <c r="B151" s="84" t="s">
        <v>4</v>
      </c>
      <c r="C151" s="2">
        <v>5469333</v>
      </c>
      <c r="D151" s="2">
        <v>2651580</v>
      </c>
    </row>
    <row r="152" spans="1:4" x14ac:dyDescent="0.25">
      <c r="A152" s="2">
        <v>2036</v>
      </c>
      <c r="B152" s="84" t="s">
        <v>4</v>
      </c>
      <c r="C152" s="2">
        <v>5448485.9789178502</v>
      </c>
      <c r="D152" s="2">
        <v>2640805.15637916</v>
      </c>
    </row>
    <row r="153" spans="1:4" x14ac:dyDescent="0.25">
      <c r="A153" s="2">
        <v>2037</v>
      </c>
      <c r="B153" s="84" t="s">
        <v>4</v>
      </c>
      <c r="C153" s="2">
        <v>5427440.2584402999</v>
      </c>
      <c r="D153" s="2">
        <v>2629990.4440038502</v>
      </c>
    </row>
    <row r="154" spans="1:4" x14ac:dyDescent="0.25">
      <c r="A154" s="2">
        <v>2038</v>
      </c>
      <c r="B154" s="84" t="s">
        <v>4</v>
      </c>
      <c r="C154" s="2">
        <v>5406171.8485038299</v>
      </c>
      <c r="D154" s="2">
        <v>2619116.8534389599</v>
      </c>
    </row>
    <row r="155" spans="1:4" x14ac:dyDescent="0.25">
      <c r="A155" s="2">
        <v>2039</v>
      </c>
      <c r="B155" s="84" t="s">
        <v>4</v>
      </c>
      <c r="C155" s="2">
        <v>5384656.7590448996</v>
      </c>
      <c r="D155" s="2">
        <v>2608165.3752493798</v>
      </c>
    </row>
    <row r="156" spans="1:4" x14ac:dyDescent="0.25">
      <c r="A156" s="2">
        <v>2040</v>
      </c>
      <c r="B156" s="84" t="s">
        <v>4</v>
      </c>
      <c r="C156" s="2">
        <v>5362871</v>
      </c>
      <c r="D156" s="2">
        <v>2597117</v>
      </c>
    </row>
    <row r="157" spans="1:4" x14ac:dyDescent="0.25">
      <c r="A157" s="2">
        <v>2041</v>
      </c>
      <c r="B157" s="84" t="s">
        <v>4</v>
      </c>
      <c r="C157" s="2">
        <v>5340789.1292354902</v>
      </c>
      <c r="D157" s="2">
        <v>2585953.6035547</v>
      </c>
    </row>
    <row r="158" spans="1:4" x14ac:dyDescent="0.25">
      <c r="A158" s="2">
        <v>2042</v>
      </c>
      <c r="B158" s="84" t="s">
        <v>4</v>
      </c>
      <c r="C158" s="2">
        <v>5318379.8963373499</v>
      </c>
      <c r="D158" s="2">
        <v>2574660.6029732702</v>
      </c>
    </row>
    <row r="159" spans="1:4" x14ac:dyDescent="0.25">
      <c r="A159" s="2">
        <v>2043</v>
      </c>
      <c r="B159" s="84" t="s">
        <v>4</v>
      </c>
      <c r="C159" s="2">
        <v>5295610.5988214696</v>
      </c>
      <c r="D159" s="2">
        <v>2563224.3006145</v>
      </c>
    </row>
    <row r="160" spans="1:4" x14ac:dyDescent="0.25">
      <c r="A160" s="2">
        <v>2044</v>
      </c>
      <c r="B160" s="84" t="s">
        <v>4</v>
      </c>
      <c r="C160" s="2">
        <v>5272448.5342037203</v>
      </c>
      <c r="D160" s="2">
        <v>2551630.9988371502</v>
      </c>
    </row>
    <row r="161" spans="1:4" x14ac:dyDescent="0.25">
      <c r="A161" s="2">
        <v>2045</v>
      </c>
      <c r="B161" s="84" t="s">
        <v>4</v>
      </c>
      <c r="C161" s="2">
        <v>5248861</v>
      </c>
      <c r="D161" s="2">
        <v>2539867</v>
      </c>
    </row>
    <row r="162" spans="1:4" x14ac:dyDescent="0.25">
      <c r="A162" s="2">
        <v>2046</v>
      </c>
      <c r="B162" s="84" t="s">
        <v>4</v>
      </c>
      <c r="C162" s="2">
        <v>5224815.5841402002</v>
      </c>
      <c r="D162" s="2">
        <v>2527918.4294020399</v>
      </c>
    </row>
    <row r="163" spans="1:4" x14ac:dyDescent="0.25">
      <c r="A163" s="2">
        <v>2047</v>
      </c>
      <c r="B163" s="84" t="s">
        <v>4</v>
      </c>
      <c r="C163" s="2">
        <v>5200281.0362102902</v>
      </c>
      <c r="D163" s="2">
        <v>2515770.7041030601</v>
      </c>
    </row>
    <row r="164" spans="1:4" x14ac:dyDescent="0.25">
      <c r="A164" s="2">
        <v>2048</v>
      </c>
      <c r="B164" s="84" t="s">
        <v>4</v>
      </c>
      <c r="C164" s="2">
        <v>5175226.3962102896</v>
      </c>
      <c r="D164" s="2">
        <v>2503409.0641030599</v>
      </c>
    </row>
    <row r="165" spans="1:4" x14ac:dyDescent="0.25">
      <c r="A165" s="2">
        <v>2049</v>
      </c>
      <c r="B165" s="84" t="s">
        <v>4</v>
      </c>
      <c r="C165" s="2">
        <v>5149620.7041402003</v>
      </c>
      <c r="D165" s="2">
        <v>2490818.7494020402</v>
      </c>
    </row>
    <row r="166" spans="1:4" x14ac:dyDescent="0.25">
      <c r="A166" s="2">
        <v>2050</v>
      </c>
      <c r="B166" s="84" t="s">
        <v>4</v>
      </c>
      <c r="C166" s="2">
        <v>5123433</v>
      </c>
      <c r="D166" s="2">
        <v>2477985</v>
      </c>
    </row>
    <row r="167" spans="1:4" x14ac:dyDescent="0.25">
      <c r="A167" s="2">
        <v>1996</v>
      </c>
      <c r="B167" s="84" t="s">
        <v>3</v>
      </c>
      <c r="C167" s="2">
        <v>6500086.9398599695</v>
      </c>
      <c r="D167" s="2">
        <v>3245545.2890741802</v>
      </c>
    </row>
    <row r="168" spans="1:4" x14ac:dyDescent="0.25">
      <c r="A168" s="2">
        <v>1997</v>
      </c>
      <c r="B168" s="84" t="s">
        <v>3</v>
      </c>
      <c r="C168" s="2">
        <v>6652916.9639159804</v>
      </c>
      <c r="D168" s="2">
        <v>3319788.9734445098</v>
      </c>
    </row>
    <row r="169" spans="1:4" x14ac:dyDescent="0.25">
      <c r="A169" s="2">
        <v>1998</v>
      </c>
      <c r="B169" s="84" t="s">
        <v>3</v>
      </c>
      <c r="C169" s="2">
        <v>6800752.4819579897</v>
      </c>
      <c r="D169" s="2">
        <v>3392799.98672225</v>
      </c>
    </row>
    <row r="170" spans="1:4" x14ac:dyDescent="0.25">
      <c r="A170" s="2">
        <v>1999</v>
      </c>
      <c r="B170" s="84" t="s">
        <v>3</v>
      </c>
      <c r="C170" s="2">
        <v>6944474.4939860003</v>
      </c>
      <c r="D170" s="2">
        <v>3464730.3289074199</v>
      </c>
    </row>
    <row r="171" spans="1:4" x14ac:dyDescent="0.25">
      <c r="A171" s="2">
        <v>2000</v>
      </c>
      <c r="B171" s="84" t="s">
        <v>3</v>
      </c>
      <c r="C171" s="2">
        <v>7084964</v>
      </c>
      <c r="D171" s="2">
        <v>3535732</v>
      </c>
    </row>
    <row r="172" spans="1:4" x14ac:dyDescent="0.25">
      <c r="A172" s="2">
        <v>2001</v>
      </c>
      <c r="B172" s="84" t="s">
        <v>3</v>
      </c>
      <c r="C172" s="2">
        <v>7223102</v>
      </c>
      <c r="D172" s="2">
        <v>3605957</v>
      </c>
    </row>
    <row r="173" spans="1:4" x14ac:dyDescent="0.25">
      <c r="A173" s="2">
        <v>2002</v>
      </c>
      <c r="B173" s="84" t="s">
        <v>3</v>
      </c>
      <c r="C173" s="2">
        <v>7359839</v>
      </c>
      <c r="D173" s="2">
        <v>3675559</v>
      </c>
    </row>
    <row r="174" spans="1:4" x14ac:dyDescent="0.25">
      <c r="A174" s="2">
        <v>2003</v>
      </c>
      <c r="B174" s="84" t="s">
        <v>3</v>
      </c>
      <c r="C174" s="2">
        <v>7496056</v>
      </c>
      <c r="D174" s="2">
        <v>3744690</v>
      </c>
    </row>
    <row r="175" spans="1:4" x14ac:dyDescent="0.25">
      <c r="A175" s="2">
        <v>2004</v>
      </c>
      <c r="B175" s="84" t="s">
        <v>3</v>
      </c>
      <c r="C175" s="2">
        <v>7631406</v>
      </c>
      <c r="D175" s="2">
        <v>3813358</v>
      </c>
    </row>
    <row r="176" spans="1:4" x14ac:dyDescent="0.25">
      <c r="A176" s="2">
        <v>2005</v>
      </c>
      <c r="B176" s="84" t="s">
        <v>3</v>
      </c>
      <c r="C176" s="2">
        <v>7765159</v>
      </c>
      <c r="D176" s="2">
        <v>3881062</v>
      </c>
    </row>
    <row r="177" spans="1:4" x14ac:dyDescent="0.25">
      <c r="A177" s="2">
        <v>2006</v>
      </c>
      <c r="B177" s="84" t="s">
        <v>3</v>
      </c>
      <c r="C177" s="2">
        <v>7897108</v>
      </c>
      <c r="D177" s="2">
        <v>3947836</v>
      </c>
    </row>
    <row r="178" spans="1:4" x14ac:dyDescent="0.25">
      <c r="A178" s="2">
        <v>2007</v>
      </c>
      <c r="B178" s="84" t="s">
        <v>3</v>
      </c>
      <c r="C178" s="2">
        <v>8032843</v>
      </c>
      <c r="D178" s="2">
        <v>4016163</v>
      </c>
    </row>
    <row r="179" spans="1:4" x14ac:dyDescent="0.25">
      <c r="A179" s="2">
        <v>2008</v>
      </c>
      <c r="B179" s="84" t="s">
        <v>3</v>
      </c>
      <c r="C179" s="2">
        <v>8172306</v>
      </c>
      <c r="D179" s="2">
        <v>4085944</v>
      </c>
    </row>
    <row r="180" spans="1:4" x14ac:dyDescent="0.25">
      <c r="A180" s="2">
        <v>2009</v>
      </c>
      <c r="B180" s="84" t="s">
        <v>3</v>
      </c>
      <c r="C180" s="2">
        <v>8314639</v>
      </c>
      <c r="D180" s="2">
        <v>4156891</v>
      </c>
    </row>
    <row r="181" spans="1:4" x14ac:dyDescent="0.25">
      <c r="A181" s="2">
        <v>2010</v>
      </c>
      <c r="B181" s="84" t="s">
        <v>3</v>
      </c>
      <c r="C181" s="2">
        <v>8458444</v>
      </c>
      <c r="D181" s="2">
        <v>4228246</v>
      </c>
    </row>
    <row r="182" spans="1:4" x14ac:dyDescent="0.25">
      <c r="A182" s="2">
        <v>2011</v>
      </c>
      <c r="B182" s="84" t="s">
        <v>3</v>
      </c>
      <c r="C182" s="2">
        <v>8602515</v>
      </c>
      <c r="D182" s="2">
        <v>4299392</v>
      </c>
    </row>
    <row r="183" spans="1:4" x14ac:dyDescent="0.25">
      <c r="A183" s="2">
        <v>2012</v>
      </c>
      <c r="B183" s="84" t="s">
        <v>3</v>
      </c>
      <c r="C183" s="2">
        <v>8748082.6996606905</v>
      </c>
      <c r="D183" s="2">
        <v>4370928.8062696801</v>
      </c>
    </row>
    <row r="184" spans="1:4" x14ac:dyDescent="0.25">
      <c r="A184" s="2">
        <v>2013</v>
      </c>
      <c r="B184" s="84" t="s">
        <v>3</v>
      </c>
      <c r="C184" s="2">
        <v>8893718.1904660594</v>
      </c>
      <c r="D184" s="2">
        <v>4442157.0636299504</v>
      </c>
    </row>
    <row r="185" spans="1:4" x14ac:dyDescent="0.25">
      <c r="A185" s="2">
        <v>2014</v>
      </c>
      <c r="B185" s="84" t="s">
        <v>3</v>
      </c>
      <c r="C185" s="2">
        <v>9037113</v>
      </c>
      <c r="D185" s="2">
        <v>4511948</v>
      </c>
    </row>
    <row r="186" spans="1:4" x14ac:dyDescent="0.25">
      <c r="A186" s="2">
        <v>2015</v>
      </c>
      <c r="B186" s="84" t="s">
        <v>3</v>
      </c>
      <c r="C186" s="2">
        <v>9175801</v>
      </c>
      <c r="D186" s="2">
        <v>4579107</v>
      </c>
    </row>
    <row r="187" spans="1:4" x14ac:dyDescent="0.25">
      <c r="A187" s="2">
        <v>2016</v>
      </c>
      <c r="B187" s="84" t="s">
        <v>3</v>
      </c>
      <c r="C187" s="2">
        <v>9308502</v>
      </c>
      <c r="D187" s="2">
        <v>4643064</v>
      </c>
    </row>
    <row r="188" spans="1:4" x14ac:dyDescent="0.25">
      <c r="A188" s="2">
        <v>2017</v>
      </c>
      <c r="B188" s="84" t="s">
        <v>3</v>
      </c>
      <c r="C188" s="2">
        <v>9439303</v>
      </c>
      <c r="D188" s="2">
        <v>4705864</v>
      </c>
    </row>
    <row r="189" spans="1:4" x14ac:dyDescent="0.25">
      <c r="A189" s="2">
        <v>2018</v>
      </c>
      <c r="B189" s="84" t="s">
        <v>3</v>
      </c>
      <c r="C189" s="2">
        <v>9567621</v>
      </c>
      <c r="D189" s="2">
        <v>4767189</v>
      </c>
    </row>
    <row r="190" spans="1:4" x14ac:dyDescent="0.25">
      <c r="A190" s="2">
        <v>2019</v>
      </c>
      <c r="B190" s="84" t="s">
        <v>3</v>
      </c>
      <c r="C190" s="2">
        <v>9692789</v>
      </c>
      <c r="D190" s="2">
        <v>4826694</v>
      </c>
    </row>
    <row r="191" spans="1:4" x14ac:dyDescent="0.25">
      <c r="A191" s="2">
        <v>2020</v>
      </c>
      <c r="B191" s="84" t="s">
        <v>3</v>
      </c>
      <c r="C191" s="2">
        <v>9813819</v>
      </c>
      <c r="D191" s="2">
        <v>4884011</v>
      </c>
    </row>
    <row r="192" spans="1:4" x14ac:dyDescent="0.25">
      <c r="A192" s="2">
        <v>2021</v>
      </c>
      <c r="B192" s="84" t="s">
        <v>3</v>
      </c>
      <c r="C192" s="2">
        <v>9930251</v>
      </c>
      <c r="D192" s="2">
        <v>4938950</v>
      </c>
    </row>
    <row r="193" spans="1:4" x14ac:dyDescent="0.25">
      <c r="A193" s="2">
        <v>2022</v>
      </c>
      <c r="B193" s="84" t="s">
        <v>3</v>
      </c>
      <c r="C193" s="2">
        <v>10041289.8193714</v>
      </c>
      <c r="D193" s="2">
        <v>4991116.9863489904</v>
      </c>
    </row>
    <row r="194" spans="1:4" x14ac:dyDescent="0.25">
      <c r="A194" s="2">
        <v>2023</v>
      </c>
      <c r="B194" s="84" t="s">
        <v>3</v>
      </c>
      <c r="C194" s="2">
        <v>10146152.620208099</v>
      </c>
      <c r="D194" s="2">
        <v>5040143.4329743003</v>
      </c>
    </row>
    <row r="195" spans="1:4" x14ac:dyDescent="0.25">
      <c r="A195" s="2">
        <v>2024</v>
      </c>
      <c r="B195" s="84" t="s">
        <v>3</v>
      </c>
      <c r="C195" s="2">
        <v>10244097.8609407</v>
      </c>
      <c r="D195" s="2">
        <v>5085686.9131124597</v>
      </c>
    </row>
    <row r="196" spans="1:4" x14ac:dyDescent="0.25">
      <c r="A196" s="2">
        <v>2025</v>
      </c>
      <c r="B196" s="84" t="s">
        <v>3</v>
      </c>
      <c r="C196" s="2">
        <v>10334384</v>
      </c>
      <c r="D196" s="2">
        <v>5127405</v>
      </c>
    </row>
    <row r="197" spans="1:4" x14ac:dyDescent="0.25">
      <c r="A197" s="2">
        <v>2026</v>
      </c>
      <c r="B197" s="84" t="s">
        <v>3</v>
      </c>
      <c r="C197" s="2">
        <v>10416432.6860944</v>
      </c>
      <c r="D197" s="2">
        <v>5165033.5900817998</v>
      </c>
    </row>
    <row r="198" spans="1:4" x14ac:dyDescent="0.25">
      <c r="A198" s="2">
        <v>2027</v>
      </c>
      <c r="B198" s="84" t="s">
        <v>3</v>
      </c>
      <c r="C198" s="2">
        <v>10490318.3290438</v>
      </c>
      <c r="D198" s="2">
        <v>5198621.8726361198</v>
      </c>
    </row>
    <row r="199" spans="1:4" x14ac:dyDescent="0.25">
      <c r="A199" s="2">
        <v>2028</v>
      </c>
      <c r="B199" s="84" t="s">
        <v>3</v>
      </c>
      <c r="C199" s="2">
        <v>10556278.528945999</v>
      </c>
      <c r="D199" s="2">
        <v>5228297.3601495298</v>
      </c>
    </row>
    <row r="200" spans="1:4" x14ac:dyDescent="0.25">
      <c r="A200" s="2">
        <v>2029</v>
      </c>
      <c r="B200" s="84" t="s">
        <v>3</v>
      </c>
      <c r="C200" s="2">
        <v>10614550.885898801</v>
      </c>
      <c r="D200" s="2">
        <v>5254187.5651086196</v>
      </c>
    </row>
    <row r="201" spans="1:4" x14ac:dyDescent="0.25">
      <c r="A201" s="2">
        <v>2030</v>
      </c>
      <c r="B201" s="84" t="s">
        <v>3</v>
      </c>
      <c r="C201" s="2">
        <v>10665373</v>
      </c>
      <c r="D201" s="2">
        <v>5276420</v>
      </c>
    </row>
    <row r="202" spans="1:4" x14ac:dyDescent="0.25">
      <c r="A202" s="2">
        <v>2031</v>
      </c>
      <c r="B202" s="84" t="s">
        <v>3</v>
      </c>
      <c r="C202" s="2">
        <v>10709162.607898099</v>
      </c>
      <c r="D202" s="2">
        <v>5295213.0128264697</v>
      </c>
    </row>
    <row r="203" spans="1:4" x14ac:dyDescent="0.25">
      <c r="A203" s="2">
        <v>2032</v>
      </c>
      <c r="B203" s="84" t="s">
        <v>3</v>
      </c>
      <c r="C203" s="2">
        <v>10747057.9924448</v>
      </c>
      <c r="D203" s="2">
        <v>5311148.2936557503</v>
      </c>
    </row>
    <row r="204" spans="1:4" x14ac:dyDescent="0.25">
      <c r="A204" s="2">
        <v>2033</v>
      </c>
      <c r="B204" s="84" t="s">
        <v>3</v>
      </c>
      <c r="C204" s="2">
        <v>10780377.573042501</v>
      </c>
      <c r="D204" s="2">
        <v>5324898.3680718103</v>
      </c>
    </row>
    <row r="205" spans="1:4" x14ac:dyDescent="0.25">
      <c r="A205" s="2">
        <v>2034</v>
      </c>
      <c r="B205" s="84" t="s">
        <v>3</v>
      </c>
      <c r="C205" s="2">
        <v>10810439.7690934</v>
      </c>
      <c r="D205" s="2">
        <v>5337135.7616585698</v>
      </c>
    </row>
    <row r="206" spans="1:4" x14ac:dyDescent="0.25">
      <c r="A206" s="2">
        <v>2035</v>
      </c>
      <c r="B206" s="84" t="s">
        <v>3</v>
      </c>
      <c r="C206" s="2">
        <v>10838563</v>
      </c>
      <c r="D206" s="2">
        <v>5348533</v>
      </c>
    </row>
    <row r="207" spans="1:4" x14ac:dyDescent="0.25">
      <c r="A207" s="2">
        <v>2036</v>
      </c>
      <c r="B207" s="84" t="s">
        <v>3</v>
      </c>
      <c r="C207" s="2">
        <v>10865668.714313099</v>
      </c>
      <c r="D207" s="2">
        <v>5359559.2546123201</v>
      </c>
    </row>
    <row r="208" spans="1:4" x14ac:dyDescent="0.25">
      <c r="A208" s="2">
        <v>2037</v>
      </c>
      <c r="B208" s="84" t="s">
        <v>3</v>
      </c>
      <c r="C208" s="2">
        <v>10891090.477176899</v>
      </c>
      <c r="D208" s="2">
        <v>5369870.2807408702</v>
      </c>
    </row>
    <row r="209" spans="1:4" x14ac:dyDescent="0.25">
      <c r="A209" s="2">
        <v>2038</v>
      </c>
      <c r="B209" s="84" t="s">
        <v>3</v>
      </c>
      <c r="C209" s="2">
        <v>10913764.882884201</v>
      </c>
      <c r="D209" s="2">
        <v>5378918.4795632502</v>
      </c>
    </row>
    <row r="210" spans="1:4" x14ac:dyDescent="0.25">
      <c r="A210" s="2">
        <v>2039</v>
      </c>
      <c r="B210" s="84" t="s">
        <v>3</v>
      </c>
      <c r="C210" s="2">
        <v>10932628.5257277</v>
      </c>
      <c r="D210" s="2">
        <v>5386156.2522570901</v>
      </c>
    </row>
    <row r="211" spans="1:4" x14ac:dyDescent="0.25">
      <c r="A211" s="2">
        <v>2040</v>
      </c>
      <c r="B211" s="84" t="s">
        <v>3</v>
      </c>
      <c r="C211" s="2">
        <v>10946618</v>
      </c>
      <c r="D211" s="2">
        <v>5391036</v>
      </c>
    </row>
    <row r="212" spans="1:4" x14ac:dyDescent="0.25">
      <c r="A212" s="2">
        <v>2041</v>
      </c>
      <c r="B212" s="84" t="s">
        <v>3</v>
      </c>
      <c r="C212" s="2">
        <v>10954889.3828496</v>
      </c>
      <c r="D212" s="2">
        <v>5393122.5687242504</v>
      </c>
    </row>
    <row r="213" spans="1:4" x14ac:dyDescent="0.25">
      <c r="A213" s="2">
        <v>2042</v>
      </c>
      <c r="B213" s="84" t="s">
        <v>3</v>
      </c>
      <c r="C213" s="2">
        <v>10957476.6828475</v>
      </c>
      <c r="D213" s="2">
        <v>5392430.5833807802</v>
      </c>
    </row>
    <row r="214" spans="1:4" x14ac:dyDescent="0.25">
      <c r="A214" s="2">
        <v>2043</v>
      </c>
      <c r="B214" s="84" t="s">
        <v>3</v>
      </c>
      <c r="C214" s="2">
        <v>10954633.3914207</v>
      </c>
      <c r="D214" s="2">
        <v>5389087.1136751799</v>
      </c>
    </row>
    <row r="215" spans="1:4" x14ac:dyDescent="0.25">
      <c r="A215" s="2">
        <v>2044</v>
      </c>
      <c r="B215" s="84" t="s">
        <v>3</v>
      </c>
      <c r="C215" s="2">
        <v>10946612.9999959</v>
      </c>
      <c r="D215" s="2">
        <v>5383219.2293130597</v>
      </c>
    </row>
    <row r="216" spans="1:4" x14ac:dyDescent="0.25">
      <c r="A216" s="2">
        <v>2045</v>
      </c>
      <c r="B216" s="84" t="s">
        <v>3</v>
      </c>
      <c r="C216" s="2">
        <v>10933669</v>
      </c>
      <c r="D216" s="2">
        <v>5374954</v>
      </c>
    </row>
    <row r="217" spans="1:4" x14ac:dyDescent="0.25">
      <c r="A217" s="2">
        <v>2046</v>
      </c>
      <c r="B217" s="84" t="s">
        <v>3</v>
      </c>
      <c r="C217" s="2">
        <v>10916010.9862886</v>
      </c>
      <c r="D217" s="2">
        <v>5364396.0064906701</v>
      </c>
    </row>
    <row r="218" spans="1:4" x14ac:dyDescent="0.25">
      <c r="A218" s="2">
        <v>2047</v>
      </c>
      <c r="B218" s="84" t="s">
        <v>3</v>
      </c>
      <c r="C218" s="2">
        <v>10893672.967432899</v>
      </c>
      <c r="D218" s="2">
        <v>5351559.8737360099</v>
      </c>
    </row>
    <row r="219" spans="1:4" x14ac:dyDescent="0.25">
      <c r="A219" s="2">
        <v>2048</v>
      </c>
      <c r="B219" s="84" t="s">
        <v>3</v>
      </c>
      <c r="C219" s="2">
        <v>10866645.055432901</v>
      </c>
      <c r="D219" s="2">
        <v>5336437.73773601</v>
      </c>
    </row>
    <row r="220" spans="1:4" x14ac:dyDescent="0.25">
      <c r="A220" s="2">
        <v>2049</v>
      </c>
      <c r="B220" s="84" t="s">
        <v>3</v>
      </c>
      <c r="C220" s="2">
        <v>10834917.3622886</v>
      </c>
      <c r="D220" s="2">
        <v>5319021.7344906703</v>
      </c>
    </row>
    <row r="221" spans="1:4" x14ac:dyDescent="0.25">
      <c r="A221" s="2">
        <v>2050</v>
      </c>
      <c r="B221" s="84" t="s">
        <v>3</v>
      </c>
      <c r="C221" s="2">
        <v>10798480</v>
      </c>
      <c r="D221" s="2">
        <v>5299304</v>
      </c>
    </row>
    <row r="222" spans="1:4" x14ac:dyDescent="0.25">
      <c r="A222" s="2">
        <v>1996</v>
      </c>
      <c r="B222" s="84" t="s">
        <v>2</v>
      </c>
      <c r="C222" s="2">
        <v>2862216.4853526298</v>
      </c>
      <c r="D222" s="2">
        <v>1448877.9572723201</v>
      </c>
    </row>
    <row r="223" spans="1:4" x14ac:dyDescent="0.25">
      <c r="A223" s="2">
        <v>1997</v>
      </c>
      <c r="B223" s="84" t="s">
        <v>2</v>
      </c>
      <c r="C223" s="2">
        <v>2950439.89121158</v>
      </c>
      <c r="D223" s="2">
        <v>1494497.7743633899</v>
      </c>
    </row>
    <row r="224" spans="1:4" x14ac:dyDescent="0.25">
      <c r="A224" s="2">
        <v>1998</v>
      </c>
      <c r="B224" s="84" t="s">
        <v>2</v>
      </c>
      <c r="C224" s="2">
        <v>3048176.4456057898</v>
      </c>
      <c r="D224" s="2">
        <v>1544756.3871817</v>
      </c>
    </row>
    <row r="225" spans="1:4" x14ac:dyDescent="0.25">
      <c r="A225" s="2">
        <v>1999</v>
      </c>
      <c r="B225" s="84" t="s">
        <v>2</v>
      </c>
      <c r="C225" s="2">
        <v>3155060.14853526</v>
      </c>
      <c r="D225" s="2">
        <v>1599513.7957272299</v>
      </c>
    </row>
    <row r="226" spans="1:4" x14ac:dyDescent="0.25">
      <c r="A226" s="2">
        <v>2000</v>
      </c>
      <c r="B226" s="84" t="s">
        <v>2</v>
      </c>
      <c r="C226" s="2">
        <v>3270725</v>
      </c>
      <c r="D226" s="2">
        <v>1658630</v>
      </c>
    </row>
    <row r="227" spans="1:4" x14ac:dyDescent="0.25">
      <c r="A227" s="2">
        <v>2001</v>
      </c>
      <c r="B227" s="84" t="s">
        <v>2</v>
      </c>
      <c r="C227" s="2">
        <v>3394805</v>
      </c>
      <c r="D227" s="2">
        <v>1721965</v>
      </c>
    </row>
    <row r="228" spans="1:4" x14ac:dyDescent="0.25">
      <c r="A228" s="2">
        <v>2002</v>
      </c>
      <c r="B228" s="84" t="s">
        <v>2</v>
      </c>
      <c r="C228" s="2">
        <v>3526909</v>
      </c>
      <c r="D228" s="2">
        <v>1789361</v>
      </c>
    </row>
    <row r="229" spans="1:4" x14ac:dyDescent="0.25">
      <c r="A229" s="2">
        <v>2003</v>
      </c>
      <c r="B229" s="84" t="s">
        <v>2</v>
      </c>
      <c r="C229" s="2">
        <v>3666671</v>
      </c>
      <c r="D229" s="2">
        <v>1860678</v>
      </c>
    </row>
    <row r="230" spans="1:4" x14ac:dyDescent="0.25">
      <c r="A230" s="2">
        <v>2004</v>
      </c>
      <c r="B230" s="84" t="s">
        <v>2</v>
      </c>
      <c r="C230" s="2">
        <v>3814359</v>
      </c>
      <c r="D230" s="2">
        <v>1936129</v>
      </c>
    </row>
    <row r="231" spans="1:4" x14ac:dyDescent="0.25">
      <c r="A231" s="2">
        <v>2005</v>
      </c>
      <c r="B231" s="84" t="s">
        <v>2</v>
      </c>
      <c r="C231" s="2">
        <v>3970997</v>
      </c>
      <c r="D231" s="2">
        <v>2016148</v>
      </c>
    </row>
    <row r="232" spans="1:4" x14ac:dyDescent="0.25">
      <c r="A232" s="2">
        <v>2006</v>
      </c>
      <c r="B232" s="84" t="s">
        <v>2</v>
      </c>
      <c r="C232" s="2">
        <v>4136588</v>
      </c>
      <c r="D232" s="2">
        <v>2100791</v>
      </c>
    </row>
    <row r="233" spans="1:4" x14ac:dyDescent="0.25">
      <c r="A233" s="2">
        <v>2007</v>
      </c>
      <c r="B233" s="84" t="s">
        <v>2</v>
      </c>
      <c r="C233" s="2">
        <v>4307510</v>
      </c>
      <c r="D233" s="2">
        <v>2188071</v>
      </c>
    </row>
    <row r="234" spans="1:4" x14ac:dyDescent="0.25">
      <c r="A234" s="2">
        <v>2008</v>
      </c>
      <c r="B234" s="84" t="s">
        <v>2</v>
      </c>
      <c r="C234" s="2">
        <v>4483302</v>
      </c>
      <c r="D234" s="2">
        <v>2277674</v>
      </c>
    </row>
    <row r="235" spans="1:4" x14ac:dyDescent="0.25">
      <c r="A235" s="2">
        <v>2009</v>
      </c>
      <c r="B235" s="84" t="s">
        <v>2</v>
      </c>
      <c r="C235" s="2">
        <v>4663733</v>
      </c>
      <c r="D235" s="2">
        <v>2369589</v>
      </c>
    </row>
    <row r="236" spans="1:4" x14ac:dyDescent="0.25">
      <c r="A236" s="2">
        <v>2010</v>
      </c>
      <c r="B236" s="84" t="s">
        <v>2</v>
      </c>
      <c r="C236" s="2">
        <v>4849717</v>
      </c>
      <c r="D236" s="2">
        <v>2464321</v>
      </c>
    </row>
    <row r="237" spans="1:4" x14ac:dyDescent="0.25">
      <c r="A237" s="2">
        <v>2011</v>
      </c>
      <c r="B237" s="84" t="s">
        <v>2</v>
      </c>
      <c r="C237" s="2">
        <v>5041154</v>
      </c>
      <c r="D237" s="2">
        <v>2561836</v>
      </c>
    </row>
    <row r="238" spans="1:4" x14ac:dyDescent="0.25">
      <c r="A238" s="2">
        <v>2012</v>
      </c>
      <c r="B238" s="84" t="s">
        <v>2</v>
      </c>
      <c r="C238" s="2">
        <v>5230482.0778962998</v>
      </c>
      <c r="D238" s="2">
        <v>2658291.2681631502</v>
      </c>
    </row>
    <row r="239" spans="1:4" x14ac:dyDescent="0.25">
      <c r="A239" s="2">
        <v>2013</v>
      </c>
      <c r="B239" s="84" t="s">
        <v>2</v>
      </c>
      <c r="C239" s="2">
        <v>5415783.9591287402</v>
      </c>
      <c r="D239" s="2">
        <v>2752738.9724179399</v>
      </c>
    </row>
    <row r="240" spans="1:4" x14ac:dyDescent="0.25">
      <c r="A240" s="2">
        <v>2014</v>
      </c>
      <c r="B240" s="84" t="s">
        <v>2</v>
      </c>
      <c r="C240" s="2">
        <v>5597164</v>
      </c>
      <c r="D240" s="2">
        <v>2845267</v>
      </c>
    </row>
    <row r="241" spans="1:4" x14ac:dyDescent="0.25">
      <c r="A241" s="2">
        <v>2015</v>
      </c>
      <c r="B241" s="84" t="s">
        <v>2</v>
      </c>
      <c r="C241" s="2">
        <v>5775263</v>
      </c>
      <c r="D241" s="2">
        <v>2936287</v>
      </c>
    </row>
    <row r="242" spans="1:4" x14ac:dyDescent="0.25">
      <c r="A242" s="2">
        <v>2016</v>
      </c>
      <c r="B242" s="84" t="s">
        <v>2</v>
      </c>
      <c r="C242" s="2">
        <v>5951212</v>
      </c>
      <c r="D242" s="2">
        <v>3026508</v>
      </c>
    </row>
    <row r="243" spans="1:4" x14ac:dyDescent="0.25">
      <c r="A243" s="2">
        <v>2017</v>
      </c>
      <c r="B243" s="84" t="s">
        <v>2</v>
      </c>
      <c r="C243" s="2">
        <v>6121481</v>
      </c>
      <c r="D243" s="2">
        <v>3113814</v>
      </c>
    </row>
    <row r="244" spans="1:4" x14ac:dyDescent="0.25">
      <c r="A244" s="2">
        <v>2018</v>
      </c>
      <c r="B244" s="84" t="s">
        <v>2</v>
      </c>
      <c r="C244" s="2">
        <v>6286135</v>
      </c>
      <c r="D244" s="2">
        <v>3198208</v>
      </c>
    </row>
    <row r="245" spans="1:4" x14ac:dyDescent="0.25">
      <c r="A245" s="2">
        <v>2019</v>
      </c>
      <c r="B245" s="84" t="s">
        <v>2</v>
      </c>
      <c r="C245" s="2">
        <v>6445325</v>
      </c>
      <c r="D245" s="2">
        <v>3279753</v>
      </c>
    </row>
    <row r="246" spans="1:4" x14ac:dyDescent="0.25">
      <c r="A246" s="2">
        <v>2020</v>
      </c>
      <c r="B246" s="84" t="s">
        <v>2</v>
      </c>
      <c r="C246" s="2">
        <v>6599955</v>
      </c>
      <c r="D246" s="2">
        <v>3358849</v>
      </c>
    </row>
    <row r="247" spans="1:4" x14ac:dyDescent="0.25">
      <c r="A247" s="2">
        <v>2021</v>
      </c>
      <c r="B247" s="84" t="s">
        <v>2</v>
      </c>
      <c r="C247" s="2">
        <v>6750023</v>
      </c>
      <c r="D247" s="2">
        <v>3435467</v>
      </c>
    </row>
    <row r="248" spans="1:4" x14ac:dyDescent="0.25">
      <c r="A248" s="2">
        <v>2022</v>
      </c>
      <c r="B248" s="84" t="s">
        <v>2</v>
      </c>
      <c r="C248" s="2">
        <v>6898495.7158323303</v>
      </c>
      <c r="D248" s="2">
        <v>3511067.1228666902</v>
      </c>
    </row>
    <row r="249" spans="1:4" x14ac:dyDescent="0.25">
      <c r="A249" s="2">
        <v>2023</v>
      </c>
      <c r="B249" s="84" t="s">
        <v>2</v>
      </c>
      <c r="C249" s="2">
        <v>7046282.0434969701</v>
      </c>
      <c r="D249" s="2">
        <v>3586103.79280383</v>
      </c>
    </row>
    <row r="250" spans="1:4" x14ac:dyDescent="0.25">
      <c r="A250" s="2">
        <v>2024</v>
      </c>
      <c r="B250" s="84" t="s">
        <v>2</v>
      </c>
      <c r="C250" s="2">
        <v>7193503.3494131202</v>
      </c>
      <c r="D250" s="2">
        <v>3660644.06633905</v>
      </c>
    </row>
    <row r="251" spans="1:4" x14ac:dyDescent="0.25">
      <c r="A251" s="2">
        <v>2025</v>
      </c>
      <c r="B251" s="84" t="s">
        <v>2</v>
      </c>
      <c r="C251" s="2">
        <v>7340281</v>
      </c>
      <c r="D251" s="2">
        <v>3734755</v>
      </c>
    </row>
    <row r="252" spans="1:4" x14ac:dyDescent="0.25">
      <c r="A252" s="2">
        <v>2026</v>
      </c>
      <c r="B252" s="84" t="s">
        <v>2</v>
      </c>
      <c r="C252" s="2">
        <v>7486733.9836954903</v>
      </c>
      <c r="D252" s="2">
        <v>3808499.50992506</v>
      </c>
    </row>
    <row r="253" spans="1:4" x14ac:dyDescent="0.25">
      <c r="A253" s="2">
        <v>2027</v>
      </c>
      <c r="B253" s="84" t="s">
        <v>2</v>
      </c>
      <c r="C253" s="2">
        <v>7632971.77701208</v>
      </c>
      <c r="D253" s="2">
        <v>3881923.95069553</v>
      </c>
    </row>
    <row r="254" spans="1:4" x14ac:dyDescent="0.25">
      <c r="A254" s="2">
        <v>2028</v>
      </c>
      <c r="B254" s="84" t="s">
        <v>2</v>
      </c>
      <c r="C254" s="2">
        <v>7779101.4784809304</v>
      </c>
      <c r="D254" s="2">
        <v>3955070.5365034798</v>
      </c>
    </row>
    <row r="255" spans="1:4" x14ac:dyDescent="0.25">
      <c r="A255" s="2">
        <v>2029</v>
      </c>
      <c r="B255" s="84" t="s">
        <v>2</v>
      </c>
      <c r="C255" s="2">
        <v>7925230.1866331901</v>
      </c>
      <c r="D255" s="2">
        <v>4027981.48154095</v>
      </c>
    </row>
    <row r="256" spans="1:4" x14ac:dyDescent="0.25">
      <c r="A256" s="2">
        <v>2030</v>
      </c>
      <c r="B256" s="84" t="s">
        <v>2</v>
      </c>
      <c r="C256" s="2">
        <v>8071465</v>
      </c>
      <c r="D256" s="2">
        <v>4100699</v>
      </c>
    </row>
    <row r="257" spans="1:4" x14ac:dyDescent="0.25">
      <c r="A257" s="2">
        <v>2031</v>
      </c>
      <c r="B257" s="84" t="s">
        <v>2</v>
      </c>
      <c r="C257" s="2">
        <v>8217736.8963633804</v>
      </c>
      <c r="D257" s="2">
        <v>4173181.16454995</v>
      </c>
    </row>
    <row r="258" spans="1:4" x14ac:dyDescent="0.25">
      <c r="A258" s="2">
        <v>2032</v>
      </c>
      <c r="B258" s="84" t="s">
        <v>2</v>
      </c>
      <c r="C258" s="2">
        <v>8363272.3705087798</v>
      </c>
      <c r="D258" s="2">
        <v>4245049.48176922</v>
      </c>
    </row>
    <row r="259" spans="1:4" x14ac:dyDescent="0.25">
      <c r="A259" s="2">
        <v>2033</v>
      </c>
      <c r="B259" s="84" t="s">
        <v>2</v>
      </c>
      <c r="C259" s="2">
        <v>8507121.7964724805</v>
      </c>
      <c r="D259" s="2">
        <v>4315841.3167135203</v>
      </c>
    </row>
    <row r="260" spans="1:4" x14ac:dyDescent="0.25">
      <c r="A260" s="2">
        <v>2034</v>
      </c>
      <c r="B260" s="84" t="s">
        <v>2</v>
      </c>
      <c r="C260" s="2">
        <v>8648335.5482907891</v>
      </c>
      <c r="D260" s="2">
        <v>4385094.0344385495</v>
      </c>
    </row>
    <row r="261" spans="1:4" x14ac:dyDescent="0.25">
      <c r="A261" s="2">
        <v>2035</v>
      </c>
      <c r="B261" s="84" t="s">
        <v>2</v>
      </c>
      <c r="C261" s="2">
        <v>8785964</v>
      </c>
      <c r="D261" s="2">
        <v>4452345</v>
      </c>
    </row>
    <row r="262" spans="1:4" x14ac:dyDescent="0.25">
      <c r="A262" s="2">
        <v>2036</v>
      </c>
      <c r="B262" s="84" t="s">
        <v>2</v>
      </c>
      <c r="C262" s="2">
        <v>8919225.1108509805</v>
      </c>
      <c r="D262" s="2">
        <v>4517216.5438751597</v>
      </c>
    </row>
    <row r="263" spans="1:4" x14ac:dyDescent="0.25">
      <c r="A263" s="2">
        <v>2037</v>
      </c>
      <c r="B263" s="84" t="s">
        <v>2</v>
      </c>
      <c r="C263" s="2">
        <v>9048007.1809528098</v>
      </c>
      <c r="D263" s="2">
        <v>4579670.8582275901</v>
      </c>
    </row>
    <row r="264" spans="1:4" x14ac:dyDescent="0.25">
      <c r="A264" s="2">
        <v>2038</v>
      </c>
      <c r="B264" s="84" t="s">
        <v>2</v>
      </c>
      <c r="C264" s="2">
        <v>9172366.0956291594</v>
      </c>
      <c r="D264" s="2">
        <v>4639755.1006424399</v>
      </c>
    </row>
    <row r="265" spans="1:4" x14ac:dyDescent="0.25">
      <c r="A265" s="2">
        <v>2039</v>
      </c>
      <c r="B265" s="84" t="s">
        <v>2</v>
      </c>
      <c r="C265" s="2">
        <v>9292357.7402036693</v>
      </c>
      <c r="D265" s="2">
        <v>4697516.4287048597</v>
      </c>
    </row>
    <row r="266" spans="1:4" x14ac:dyDescent="0.25">
      <c r="A266" s="2">
        <v>2040</v>
      </c>
      <c r="B266" s="84" t="s">
        <v>2</v>
      </c>
      <c r="C266" s="2">
        <v>9408038</v>
      </c>
      <c r="D266" s="2">
        <v>4753002</v>
      </c>
    </row>
    <row r="267" spans="1:4" x14ac:dyDescent="0.25">
      <c r="A267" s="2">
        <v>2041</v>
      </c>
      <c r="B267" s="84" t="s">
        <v>2</v>
      </c>
      <c r="C267" s="2">
        <v>9519357.6842327099</v>
      </c>
      <c r="D267" s="2">
        <v>4806204.6759494198</v>
      </c>
    </row>
    <row r="268" spans="1:4" x14ac:dyDescent="0.25">
      <c r="A268" s="2">
        <v>2042</v>
      </c>
      <c r="B268" s="84" t="s">
        <v>2</v>
      </c>
      <c r="C268" s="2">
        <v>9625847.2976799794</v>
      </c>
      <c r="D268" s="2">
        <v>4856900.13332042</v>
      </c>
    </row>
    <row r="269" spans="1:4" x14ac:dyDescent="0.25">
      <c r="A269" s="2">
        <v>2043</v>
      </c>
      <c r="B269" s="84" t="s">
        <v>2</v>
      </c>
      <c r="C269" s="2">
        <v>9726932.2690108903</v>
      </c>
      <c r="D269" s="2">
        <v>4904809.7527167099</v>
      </c>
    </row>
    <row r="270" spans="1:4" x14ac:dyDescent="0.25">
      <c r="A270" s="2">
        <v>2044</v>
      </c>
      <c r="B270" s="84" t="s">
        <v>2</v>
      </c>
      <c r="C270" s="2">
        <v>9822038.0268945396</v>
      </c>
      <c r="D270" s="2">
        <v>4949654.9147420004</v>
      </c>
    </row>
    <row r="271" spans="1:4" x14ac:dyDescent="0.25">
      <c r="A271" s="2">
        <v>2045</v>
      </c>
      <c r="B271" s="84" t="s">
        <v>2</v>
      </c>
      <c r="C271" s="2">
        <v>9910590</v>
      </c>
      <c r="D271" s="2">
        <v>4991157</v>
      </c>
    </row>
    <row r="272" spans="1:4" x14ac:dyDescent="0.25">
      <c r="A272" s="2">
        <v>2046</v>
      </c>
      <c r="B272" s="84" t="s">
        <v>2</v>
      </c>
      <c r="C272" s="2">
        <v>9992034.6322181895</v>
      </c>
      <c r="D272" s="2">
        <v>5029048.2483271398</v>
      </c>
    </row>
    <row r="273" spans="1:4" x14ac:dyDescent="0.25">
      <c r="A273" s="2">
        <v>2047</v>
      </c>
      <c r="B273" s="84" t="s">
        <v>2</v>
      </c>
      <c r="C273" s="2">
        <v>10065902.4283273</v>
      </c>
      <c r="D273" s="2">
        <v>5063104.3364907196</v>
      </c>
    </row>
    <row r="274" spans="1:4" x14ac:dyDescent="0.25">
      <c r="A274" s="2">
        <v>2048</v>
      </c>
      <c r="B274" s="84" t="s">
        <v>2</v>
      </c>
      <c r="C274" s="2">
        <v>10131744.9083273</v>
      </c>
      <c r="D274" s="2">
        <v>5093111.8004907202</v>
      </c>
    </row>
    <row r="275" spans="1:4" x14ac:dyDescent="0.25">
      <c r="A275" s="2">
        <v>2049</v>
      </c>
      <c r="B275" s="84" t="s">
        <v>2</v>
      </c>
      <c r="C275" s="2">
        <v>10189113.5922182</v>
      </c>
      <c r="D275" s="2">
        <v>5118857.1763271401</v>
      </c>
    </row>
    <row r="276" spans="1:4" x14ac:dyDescent="0.25">
      <c r="A276" s="2">
        <v>2050</v>
      </c>
      <c r="B276" s="84" t="s">
        <v>2</v>
      </c>
      <c r="C276" s="2">
        <v>10237560</v>
      </c>
      <c r="D276" s="2">
        <v>5140127</v>
      </c>
    </row>
    <row r="277" spans="1:4" x14ac:dyDescent="0.25">
      <c r="A277" s="2">
        <v>1996</v>
      </c>
      <c r="B277" s="84" t="s">
        <v>1</v>
      </c>
      <c r="C277" s="2">
        <v>710343.28776711202</v>
      </c>
      <c r="D277" s="2">
        <v>373487.34083337098</v>
      </c>
    </row>
    <row r="278" spans="1:4" x14ac:dyDescent="0.25">
      <c r="A278" s="2">
        <v>1997</v>
      </c>
      <c r="B278" s="84" t="s">
        <v>1</v>
      </c>
      <c r="C278" s="2">
        <v>717390.37266026705</v>
      </c>
      <c r="D278" s="2">
        <v>377918.60450002301</v>
      </c>
    </row>
    <row r="279" spans="1:4" x14ac:dyDescent="0.25">
      <c r="A279" s="2">
        <v>1998</v>
      </c>
      <c r="B279" s="84" t="s">
        <v>1</v>
      </c>
      <c r="C279" s="2">
        <v>727932.186330133</v>
      </c>
      <c r="D279" s="2">
        <v>383636.80225001101</v>
      </c>
    </row>
    <row r="280" spans="1:4" x14ac:dyDescent="0.25">
      <c r="A280" s="2">
        <v>1999</v>
      </c>
      <c r="B280" s="84" t="s">
        <v>1</v>
      </c>
      <c r="C280" s="2">
        <v>741553.72877671104</v>
      </c>
      <c r="D280" s="2">
        <v>390568.93408333702</v>
      </c>
    </row>
    <row r="281" spans="1:4" x14ac:dyDescent="0.25">
      <c r="A281" s="2">
        <v>2000</v>
      </c>
      <c r="B281" s="84" t="s">
        <v>1</v>
      </c>
      <c r="C281" s="2">
        <v>757840</v>
      </c>
      <c r="D281" s="2">
        <v>398642</v>
      </c>
    </row>
    <row r="282" spans="1:4" x14ac:dyDescent="0.25">
      <c r="A282" s="2">
        <v>2001</v>
      </c>
      <c r="B282" s="84" t="s">
        <v>1</v>
      </c>
      <c r="C282" s="2">
        <v>776376</v>
      </c>
      <c r="D282" s="2">
        <v>407783</v>
      </c>
    </row>
    <row r="283" spans="1:4" x14ac:dyDescent="0.25">
      <c r="A283" s="2">
        <v>2002</v>
      </c>
      <c r="B283" s="84" t="s">
        <v>1</v>
      </c>
      <c r="C283" s="2">
        <v>796712</v>
      </c>
      <c r="D283" s="2">
        <v>417907</v>
      </c>
    </row>
    <row r="284" spans="1:4" x14ac:dyDescent="0.25">
      <c r="A284" s="2">
        <v>2003</v>
      </c>
      <c r="B284" s="84" t="s">
        <v>1</v>
      </c>
      <c r="C284" s="2">
        <v>818433</v>
      </c>
      <c r="D284" s="2">
        <v>428941</v>
      </c>
    </row>
    <row r="285" spans="1:4" x14ac:dyDescent="0.25">
      <c r="A285" s="2">
        <v>2004</v>
      </c>
      <c r="B285" s="84" t="s">
        <v>1</v>
      </c>
      <c r="C285" s="2">
        <v>841739</v>
      </c>
      <c r="D285" s="2">
        <v>441018</v>
      </c>
    </row>
    <row r="286" spans="1:4" x14ac:dyDescent="0.25">
      <c r="A286" s="2">
        <v>2005</v>
      </c>
      <c r="B286" s="84" t="s">
        <v>1</v>
      </c>
      <c r="C286" s="2">
        <v>866819</v>
      </c>
      <c r="D286" s="2">
        <v>454245</v>
      </c>
    </row>
    <row r="287" spans="1:4" x14ac:dyDescent="0.25">
      <c r="A287" s="2">
        <v>2006</v>
      </c>
      <c r="B287" s="84" t="s">
        <v>1</v>
      </c>
      <c r="C287" s="2">
        <v>893794</v>
      </c>
      <c r="D287" s="2">
        <v>468680</v>
      </c>
    </row>
    <row r="288" spans="1:4" x14ac:dyDescent="0.25">
      <c r="A288" s="2">
        <v>2007</v>
      </c>
      <c r="B288" s="84" t="s">
        <v>1</v>
      </c>
      <c r="C288" s="2">
        <v>922773</v>
      </c>
      <c r="D288" s="2">
        <v>484321</v>
      </c>
    </row>
    <row r="289" spans="1:4" x14ac:dyDescent="0.25">
      <c r="A289" s="2">
        <v>2008</v>
      </c>
      <c r="B289" s="84" t="s">
        <v>1</v>
      </c>
      <c r="C289" s="2">
        <v>953869</v>
      </c>
      <c r="D289" s="2">
        <v>501201</v>
      </c>
    </row>
    <row r="290" spans="1:4" x14ac:dyDescent="0.25">
      <c r="A290" s="2">
        <v>2009</v>
      </c>
      <c r="B290" s="84" t="s">
        <v>1</v>
      </c>
      <c r="C290" s="2">
        <v>987212</v>
      </c>
      <c r="D290" s="2">
        <v>519377</v>
      </c>
    </row>
    <row r="291" spans="1:4" x14ac:dyDescent="0.25">
      <c r="A291" s="2">
        <v>2010</v>
      </c>
      <c r="B291" s="84" t="s">
        <v>1</v>
      </c>
      <c r="C291" s="2">
        <v>1022974</v>
      </c>
      <c r="D291" s="2">
        <v>538921</v>
      </c>
    </row>
    <row r="292" spans="1:4" x14ac:dyDescent="0.25">
      <c r="A292" s="2">
        <v>2011</v>
      </c>
      <c r="B292" s="84" t="s">
        <v>1</v>
      </c>
      <c r="C292" s="2">
        <v>1061340</v>
      </c>
      <c r="D292" s="2">
        <v>559899</v>
      </c>
    </row>
    <row r="293" spans="1:4" x14ac:dyDescent="0.25">
      <c r="A293" s="2">
        <v>2012</v>
      </c>
      <c r="B293" s="84" t="s">
        <v>1</v>
      </c>
      <c r="C293" s="2">
        <v>1102796.7939262099</v>
      </c>
      <c r="D293" s="2">
        <v>582433.94467592705</v>
      </c>
    </row>
    <row r="294" spans="1:4" x14ac:dyDescent="0.25">
      <c r="A294" s="2">
        <v>2013</v>
      </c>
      <c r="B294" s="84" t="s">
        <v>1</v>
      </c>
      <c r="C294" s="2">
        <v>1147296.6505007599</v>
      </c>
      <c r="D294" s="2">
        <v>606480.27141564596</v>
      </c>
    </row>
    <row r="295" spans="1:4" x14ac:dyDescent="0.25">
      <c r="A295" s="2">
        <v>2014</v>
      </c>
      <c r="B295" s="84" t="s">
        <v>1</v>
      </c>
      <c r="C295" s="2">
        <v>1194627</v>
      </c>
      <c r="D295" s="2">
        <v>631943</v>
      </c>
    </row>
    <row r="296" spans="1:4" x14ac:dyDescent="0.25">
      <c r="A296" s="2">
        <v>2015</v>
      </c>
      <c r="B296" s="84" t="s">
        <v>1</v>
      </c>
      <c r="C296" s="2">
        <v>1243739</v>
      </c>
      <c r="D296" s="2">
        <v>658220</v>
      </c>
    </row>
    <row r="297" spans="1:4" x14ac:dyDescent="0.25">
      <c r="A297" s="2">
        <v>2016</v>
      </c>
      <c r="B297" s="84" t="s">
        <v>1</v>
      </c>
      <c r="C297" s="2">
        <v>1292953</v>
      </c>
      <c r="D297" s="2">
        <v>684235</v>
      </c>
    </row>
    <row r="298" spans="1:4" x14ac:dyDescent="0.25">
      <c r="A298" s="2">
        <v>2017</v>
      </c>
      <c r="B298" s="84" t="s">
        <v>1</v>
      </c>
      <c r="C298" s="2">
        <v>1348121</v>
      </c>
      <c r="D298" s="2">
        <v>713237</v>
      </c>
    </row>
    <row r="299" spans="1:4" x14ac:dyDescent="0.25">
      <c r="A299" s="2">
        <v>2018</v>
      </c>
      <c r="B299" s="84" t="s">
        <v>1</v>
      </c>
      <c r="C299" s="2">
        <v>1408591</v>
      </c>
      <c r="D299" s="2">
        <v>744935</v>
      </c>
    </row>
    <row r="300" spans="1:4" x14ac:dyDescent="0.25">
      <c r="A300" s="2">
        <v>2019</v>
      </c>
      <c r="B300" s="84" t="s">
        <v>1</v>
      </c>
      <c r="C300" s="2">
        <v>1473950</v>
      </c>
      <c r="D300" s="2">
        <v>779238</v>
      </c>
    </row>
    <row r="301" spans="1:4" x14ac:dyDescent="0.25">
      <c r="A301" s="2">
        <v>2020</v>
      </c>
      <c r="B301" s="84" t="s">
        <v>1</v>
      </c>
      <c r="C301" s="2">
        <v>1543699</v>
      </c>
      <c r="D301" s="2">
        <v>815798</v>
      </c>
    </row>
    <row r="302" spans="1:4" x14ac:dyDescent="0.25">
      <c r="A302" s="2">
        <v>2021</v>
      </c>
      <c r="B302" s="84" t="s">
        <v>1</v>
      </c>
      <c r="C302" s="2">
        <v>1617531</v>
      </c>
      <c r="D302" s="2">
        <v>854515</v>
      </c>
    </row>
    <row r="303" spans="1:4" x14ac:dyDescent="0.25">
      <c r="A303" s="2">
        <v>2022</v>
      </c>
      <c r="B303" s="84" t="s">
        <v>1</v>
      </c>
      <c r="C303" s="2">
        <v>1695561.6179397299</v>
      </c>
      <c r="D303" s="2">
        <v>895435.59485032898</v>
      </c>
    </row>
    <row r="304" spans="1:4" x14ac:dyDescent="0.25">
      <c r="A304" s="2">
        <v>2023</v>
      </c>
      <c r="B304" s="84" t="s">
        <v>1</v>
      </c>
      <c r="C304" s="2">
        <v>1777773.0231401001</v>
      </c>
      <c r="D304" s="2">
        <v>938553.24645900598</v>
      </c>
    </row>
    <row r="305" spans="1:4" x14ac:dyDescent="0.25">
      <c r="A305" s="2">
        <v>2024</v>
      </c>
      <c r="B305" s="84" t="s">
        <v>1</v>
      </c>
      <c r="C305" s="2">
        <v>1864088.91677042</v>
      </c>
      <c r="D305" s="2">
        <v>983844.774838179</v>
      </c>
    </row>
    <row r="306" spans="1:4" x14ac:dyDescent="0.25">
      <c r="A306" s="2">
        <v>2025</v>
      </c>
      <c r="B306" s="84" t="s">
        <v>1</v>
      </c>
      <c r="C306" s="2">
        <v>1954433</v>
      </c>
      <c r="D306" s="2">
        <v>1031287</v>
      </c>
    </row>
    <row r="307" spans="1:4" x14ac:dyDescent="0.25">
      <c r="A307" s="2">
        <v>2026</v>
      </c>
      <c r="B307" s="84" t="s">
        <v>1</v>
      </c>
      <c r="C307" s="2">
        <v>2048490.86358963</v>
      </c>
      <c r="D307" s="2">
        <v>1080724.1317328301</v>
      </c>
    </row>
    <row r="308" spans="1:4" x14ac:dyDescent="0.25">
      <c r="A308" s="2">
        <v>2027</v>
      </c>
      <c r="B308" s="84" t="s">
        <v>1</v>
      </c>
      <c r="C308" s="2">
        <v>2144995.6566661401</v>
      </c>
      <c r="D308" s="2">
        <v>1131469.93892984</v>
      </c>
    </row>
    <row r="309" spans="1:4" x14ac:dyDescent="0.25">
      <c r="A309" s="2">
        <v>2028</v>
      </c>
      <c r="B309" s="84" t="s">
        <v>1</v>
      </c>
      <c r="C309" s="2">
        <v>2242442.4179478199</v>
      </c>
      <c r="D309" s="2">
        <v>1182705.58026045</v>
      </c>
    </row>
    <row r="310" spans="1:4" x14ac:dyDescent="0.25">
      <c r="A310" s="2">
        <v>2029</v>
      </c>
      <c r="B310" s="84" t="s">
        <v>1</v>
      </c>
      <c r="C310" s="2">
        <v>2339326.18615301</v>
      </c>
      <c r="D310" s="2">
        <v>1233612.2143940399</v>
      </c>
    </row>
    <row r="311" spans="1:4" x14ac:dyDescent="0.25">
      <c r="A311" s="2">
        <v>2030</v>
      </c>
      <c r="B311" s="84" t="s">
        <v>1</v>
      </c>
      <c r="C311" s="2">
        <v>2434142</v>
      </c>
      <c r="D311" s="2">
        <v>1283371</v>
      </c>
    </row>
    <row r="312" spans="1:4" x14ac:dyDescent="0.25">
      <c r="A312" s="2">
        <v>2031</v>
      </c>
      <c r="B312" s="84" t="s">
        <v>1</v>
      </c>
      <c r="C312" s="2">
        <v>2525497.0653350898</v>
      </c>
      <c r="D312" s="2">
        <v>1331229.28971938</v>
      </c>
    </row>
    <row r="313" spans="1:4" x14ac:dyDescent="0.25">
      <c r="A313" s="2">
        <v>2032</v>
      </c>
      <c r="B313" s="84" t="s">
        <v>1</v>
      </c>
      <c r="C313" s="2">
        <v>2612447.2565164701</v>
      </c>
      <c r="D313" s="2">
        <v>1376699.2120798</v>
      </c>
    </row>
    <row r="314" spans="1:4" x14ac:dyDescent="0.25">
      <c r="A314" s="2">
        <v>2033</v>
      </c>
      <c r="B314" s="84" t="s">
        <v>1</v>
      </c>
      <c r="C314" s="2">
        <v>2694160.6150302999</v>
      </c>
      <c r="D314" s="2">
        <v>1419359.0895805301</v>
      </c>
    </row>
    <row r="315" spans="1:4" x14ac:dyDescent="0.25">
      <c r="A315" s="2">
        <v>2034</v>
      </c>
      <c r="B315" s="84" t="s">
        <v>1</v>
      </c>
      <c r="C315" s="2">
        <v>2769805.18236276</v>
      </c>
      <c r="D315" s="2">
        <v>1458787.2447208399</v>
      </c>
    </row>
    <row r="316" spans="1:4" x14ac:dyDescent="0.25">
      <c r="A316" s="2">
        <v>2035</v>
      </c>
      <c r="B316" s="84" t="s">
        <v>1</v>
      </c>
      <c r="C316" s="2">
        <v>2838549</v>
      </c>
      <c r="D316" s="2">
        <v>1494562</v>
      </c>
    </row>
    <row r="317" spans="1:4" x14ac:dyDescent="0.25">
      <c r="A317" s="2">
        <v>2036</v>
      </c>
      <c r="B317" s="84" t="s">
        <v>1</v>
      </c>
      <c r="C317" s="2">
        <v>2900011.1150699998</v>
      </c>
      <c r="D317" s="2">
        <v>1526491.79738965</v>
      </c>
    </row>
    <row r="318" spans="1:4" x14ac:dyDescent="0.25">
      <c r="A318" s="2">
        <v>2037</v>
      </c>
      <c r="B318" s="84" t="s">
        <v>1</v>
      </c>
      <c r="C318" s="2">
        <v>2955614.5972679802</v>
      </c>
      <c r="D318" s="2">
        <v>1555305.5567509499</v>
      </c>
    </row>
    <row r="319" spans="1:4" x14ac:dyDescent="0.25">
      <c r="A319" s="2">
        <v>2038</v>
      </c>
      <c r="B319" s="84" t="s">
        <v>1</v>
      </c>
      <c r="C319" s="2">
        <v>3007233.52193096</v>
      </c>
      <c r="D319" s="2">
        <v>1581962.31741742</v>
      </c>
    </row>
    <row r="320" spans="1:4" x14ac:dyDescent="0.25">
      <c r="A320" s="2">
        <v>2039</v>
      </c>
      <c r="B320" s="84" t="s">
        <v>1</v>
      </c>
      <c r="C320" s="2">
        <v>3056741.9643959599</v>
      </c>
      <c r="D320" s="2">
        <v>1607421.1187225999</v>
      </c>
    </row>
    <row r="321" spans="1:4" x14ac:dyDescent="0.25">
      <c r="A321" s="2">
        <v>2040</v>
      </c>
      <c r="B321" s="84" t="s">
        <v>1</v>
      </c>
      <c r="C321" s="2">
        <v>3106014</v>
      </c>
      <c r="D321" s="2">
        <v>1632641</v>
      </c>
    </row>
    <row r="322" spans="1:4" x14ac:dyDescent="0.25">
      <c r="A322" s="2">
        <v>2041</v>
      </c>
      <c r="B322" s="84" t="s">
        <v>1</v>
      </c>
      <c r="C322" s="2">
        <v>3156725.2583848899</v>
      </c>
      <c r="D322" s="2">
        <v>1658481.08072201</v>
      </c>
    </row>
    <row r="323" spans="1:4" x14ac:dyDescent="0.25">
      <c r="A323" s="2">
        <v>2042</v>
      </c>
      <c r="B323" s="84" t="s">
        <v>1</v>
      </c>
      <c r="C323" s="2">
        <v>3209757.5864115902</v>
      </c>
      <c r="D323" s="2">
        <v>1685400.8009164</v>
      </c>
    </row>
    <row r="324" spans="1:4" x14ac:dyDescent="0.25">
      <c r="A324" s="2">
        <v>2043</v>
      </c>
      <c r="B324" s="84" t="s">
        <v>1</v>
      </c>
      <c r="C324" s="2">
        <v>3265794.3852458498</v>
      </c>
      <c r="D324" s="2">
        <v>1713759.68074978</v>
      </c>
    </row>
    <row r="325" spans="1:4" x14ac:dyDescent="0.25">
      <c r="A325" s="2">
        <v>2044</v>
      </c>
      <c r="B325" s="84" t="s">
        <v>1</v>
      </c>
      <c r="C325" s="2">
        <v>3325519.0560534</v>
      </c>
      <c r="D325" s="2">
        <v>1743917.2403887799</v>
      </c>
    </row>
    <row r="326" spans="1:4" x14ac:dyDescent="0.25">
      <c r="A326" s="2">
        <v>2045</v>
      </c>
      <c r="B326" s="84" t="s">
        <v>1</v>
      </c>
      <c r="C326" s="2">
        <v>3389615</v>
      </c>
      <c r="D326" s="2">
        <v>1776233</v>
      </c>
    </row>
    <row r="327" spans="1:4" x14ac:dyDescent="0.25">
      <c r="A327" s="2">
        <v>2046</v>
      </c>
      <c r="B327" s="84" t="s">
        <v>1</v>
      </c>
      <c r="C327" s="2">
        <v>3458805.30739043</v>
      </c>
      <c r="D327" s="2">
        <v>1811086.4637223</v>
      </c>
    </row>
    <row r="328" spans="1:4" x14ac:dyDescent="0.25">
      <c r="A328" s="2">
        <v>2047</v>
      </c>
      <c r="B328" s="84" t="s">
        <v>1</v>
      </c>
      <c r="C328" s="2">
        <v>3533971.82508564</v>
      </c>
      <c r="D328" s="2">
        <v>1848937.0715834601</v>
      </c>
    </row>
    <row r="329" spans="1:4" x14ac:dyDescent="0.25">
      <c r="A329" s="2">
        <v>2048</v>
      </c>
      <c r="B329" s="84" t="s">
        <v>1</v>
      </c>
      <c r="C329" s="2">
        <v>3616036.0890856399</v>
      </c>
      <c r="D329" s="2">
        <v>1890264.2475834601</v>
      </c>
    </row>
    <row r="330" spans="1:4" x14ac:dyDescent="0.25">
      <c r="A330" s="2">
        <v>2049</v>
      </c>
      <c r="B330" s="84" t="s">
        <v>1</v>
      </c>
      <c r="C330" s="2">
        <v>3705919.6353904302</v>
      </c>
      <c r="D330" s="2">
        <v>1935547.4157223001</v>
      </c>
    </row>
    <row r="331" spans="1:4" x14ac:dyDescent="0.25">
      <c r="A331" s="2">
        <v>2050</v>
      </c>
      <c r="B331" s="84" t="s">
        <v>1</v>
      </c>
      <c r="C331" s="2">
        <v>3804544</v>
      </c>
      <c r="D331" s="2">
        <v>1985266</v>
      </c>
    </row>
    <row r="332" spans="1:4" x14ac:dyDescent="0.25">
      <c r="A332" s="2">
        <v>1996</v>
      </c>
      <c r="B332" s="84" t="s">
        <v>0</v>
      </c>
      <c r="C332" s="2">
        <v>710343.28776711202</v>
      </c>
      <c r="D332" s="2">
        <v>373487.34083337098</v>
      </c>
    </row>
    <row r="333" spans="1:4" x14ac:dyDescent="0.25">
      <c r="A333" s="2">
        <v>1997</v>
      </c>
      <c r="B333" s="84" t="s">
        <v>0</v>
      </c>
      <c r="C333" s="2">
        <v>717390.37266026705</v>
      </c>
      <c r="D333" s="2">
        <v>377918.60450002301</v>
      </c>
    </row>
    <row r="334" spans="1:4" x14ac:dyDescent="0.25">
      <c r="A334" s="2">
        <v>1998</v>
      </c>
      <c r="B334" s="84" t="s">
        <v>0</v>
      </c>
      <c r="C334" s="2">
        <v>727932.186330133</v>
      </c>
      <c r="D334" s="2">
        <v>383636.80225001101</v>
      </c>
    </row>
    <row r="335" spans="1:4" x14ac:dyDescent="0.25">
      <c r="A335" s="2">
        <v>1999</v>
      </c>
      <c r="B335" s="84" t="s">
        <v>0</v>
      </c>
      <c r="C335" s="2">
        <v>741553.72877671104</v>
      </c>
      <c r="D335" s="2">
        <v>390568.93408333702</v>
      </c>
    </row>
    <row r="336" spans="1:4" x14ac:dyDescent="0.25">
      <c r="A336" s="2">
        <v>2000</v>
      </c>
      <c r="B336" s="84" t="s">
        <v>0</v>
      </c>
      <c r="C336" s="2">
        <v>757840</v>
      </c>
      <c r="D336" s="2">
        <v>398642</v>
      </c>
    </row>
    <row r="337" spans="1:4" x14ac:dyDescent="0.25">
      <c r="A337" s="2">
        <v>2001</v>
      </c>
      <c r="B337" s="84" t="s">
        <v>0</v>
      </c>
      <c r="C337" s="2">
        <v>776376</v>
      </c>
      <c r="D337" s="2">
        <v>407783</v>
      </c>
    </row>
    <row r="338" spans="1:4" x14ac:dyDescent="0.25">
      <c r="A338" s="2">
        <v>2002</v>
      </c>
      <c r="B338" s="84" t="s">
        <v>0</v>
      </c>
      <c r="C338" s="2">
        <v>796712</v>
      </c>
      <c r="D338" s="2">
        <v>417907</v>
      </c>
    </row>
    <row r="339" spans="1:4" x14ac:dyDescent="0.25">
      <c r="A339" s="2">
        <v>2003</v>
      </c>
      <c r="B339" s="84" t="s">
        <v>0</v>
      </c>
      <c r="C339" s="2">
        <v>818433</v>
      </c>
      <c r="D339" s="2">
        <v>428941</v>
      </c>
    </row>
    <row r="340" spans="1:4" x14ac:dyDescent="0.25">
      <c r="A340" s="2">
        <v>2004</v>
      </c>
      <c r="B340" s="84" t="s">
        <v>0</v>
      </c>
      <c r="C340" s="2">
        <v>841739</v>
      </c>
      <c r="D340" s="2">
        <v>441018</v>
      </c>
    </row>
    <row r="341" spans="1:4" x14ac:dyDescent="0.25">
      <c r="A341" s="2">
        <v>2005</v>
      </c>
      <c r="B341" s="84" t="s">
        <v>0</v>
      </c>
      <c r="C341" s="2">
        <v>866819</v>
      </c>
      <c r="D341" s="2">
        <v>454245</v>
      </c>
    </row>
    <row r="342" spans="1:4" x14ac:dyDescent="0.25">
      <c r="A342" s="2">
        <v>2006</v>
      </c>
      <c r="B342" s="84" t="s">
        <v>0</v>
      </c>
      <c r="C342" s="2">
        <v>893794</v>
      </c>
      <c r="D342" s="2">
        <v>468680</v>
      </c>
    </row>
    <row r="343" spans="1:4" x14ac:dyDescent="0.25">
      <c r="A343" s="2">
        <v>2007</v>
      </c>
      <c r="B343" s="84" t="s">
        <v>0</v>
      </c>
      <c r="C343" s="2">
        <v>922773</v>
      </c>
      <c r="D343" s="2">
        <v>484321</v>
      </c>
    </row>
    <row r="344" spans="1:4" x14ac:dyDescent="0.25">
      <c r="A344" s="2">
        <v>2008</v>
      </c>
      <c r="B344" s="84" t="s">
        <v>0</v>
      </c>
      <c r="C344" s="2">
        <v>953869</v>
      </c>
      <c r="D344" s="2">
        <v>501201</v>
      </c>
    </row>
    <row r="345" spans="1:4" x14ac:dyDescent="0.25">
      <c r="A345" s="2">
        <v>2009</v>
      </c>
      <c r="B345" s="84" t="s">
        <v>0</v>
      </c>
      <c r="C345" s="2">
        <v>987212</v>
      </c>
      <c r="D345" s="2">
        <v>519377</v>
      </c>
    </row>
    <row r="346" spans="1:4" x14ac:dyDescent="0.25">
      <c r="A346" s="2">
        <v>2010</v>
      </c>
      <c r="B346" s="84" t="s">
        <v>0</v>
      </c>
      <c r="C346" s="2">
        <v>1022974</v>
      </c>
      <c r="D346" s="2">
        <v>538921</v>
      </c>
    </row>
    <row r="347" spans="1:4" x14ac:dyDescent="0.25">
      <c r="A347" s="2">
        <v>2011</v>
      </c>
      <c r="B347" s="84" t="s">
        <v>0</v>
      </c>
      <c r="C347" s="2">
        <v>1061340</v>
      </c>
      <c r="D347" s="2">
        <v>559899</v>
      </c>
    </row>
    <row r="348" spans="1:4" x14ac:dyDescent="0.25">
      <c r="A348" s="2">
        <v>2012</v>
      </c>
      <c r="B348" s="84" t="s">
        <v>0</v>
      </c>
      <c r="C348" s="2">
        <v>1102796.7939262099</v>
      </c>
      <c r="D348" s="2">
        <v>582433.94467592705</v>
      </c>
    </row>
    <row r="349" spans="1:4" x14ac:dyDescent="0.25">
      <c r="A349" s="2">
        <v>2013</v>
      </c>
      <c r="B349" s="84" t="s">
        <v>0</v>
      </c>
      <c r="C349" s="2">
        <v>1147296.6505007599</v>
      </c>
      <c r="D349" s="2">
        <v>606480.27141564596</v>
      </c>
    </row>
    <row r="350" spans="1:4" x14ac:dyDescent="0.25">
      <c r="A350" s="2">
        <v>2014</v>
      </c>
      <c r="B350" s="84" t="s">
        <v>0</v>
      </c>
      <c r="C350" s="2">
        <v>1194627</v>
      </c>
      <c r="D350" s="2">
        <v>631943</v>
      </c>
    </row>
    <row r="351" spans="1:4" x14ac:dyDescent="0.25">
      <c r="A351" s="2">
        <v>2015</v>
      </c>
      <c r="B351" s="84" t="s">
        <v>0</v>
      </c>
      <c r="C351" s="2">
        <v>1243739</v>
      </c>
      <c r="D351" s="2">
        <v>658220</v>
      </c>
    </row>
    <row r="352" spans="1:4" x14ac:dyDescent="0.25">
      <c r="A352" s="2">
        <v>2016</v>
      </c>
      <c r="B352" s="84" t="s">
        <v>0</v>
      </c>
      <c r="C352" s="2">
        <v>1292953</v>
      </c>
      <c r="D352" s="2">
        <v>684235</v>
      </c>
    </row>
    <row r="353" spans="1:4" x14ac:dyDescent="0.25">
      <c r="A353" s="2">
        <v>2017</v>
      </c>
      <c r="B353" s="84" t="s">
        <v>0</v>
      </c>
      <c r="C353" s="2">
        <v>1348121</v>
      </c>
      <c r="D353" s="2">
        <v>713237</v>
      </c>
    </row>
    <row r="354" spans="1:4" x14ac:dyDescent="0.25">
      <c r="A354" s="2">
        <v>2018</v>
      </c>
      <c r="B354" s="84" t="s">
        <v>0</v>
      </c>
      <c r="C354" s="2">
        <v>1408591</v>
      </c>
      <c r="D354" s="2">
        <v>744935</v>
      </c>
    </row>
    <row r="355" spans="1:4" x14ac:dyDescent="0.25">
      <c r="A355" s="2">
        <v>2019</v>
      </c>
      <c r="B355" s="84" t="s">
        <v>0</v>
      </c>
      <c r="C355" s="2">
        <v>1473950</v>
      </c>
      <c r="D355" s="2">
        <v>779238</v>
      </c>
    </row>
    <row r="356" spans="1:4" x14ac:dyDescent="0.25">
      <c r="A356" s="2">
        <v>2020</v>
      </c>
      <c r="B356" s="84" t="s">
        <v>0</v>
      </c>
      <c r="C356" s="2">
        <v>1543699</v>
      </c>
      <c r="D356" s="2">
        <v>815798</v>
      </c>
    </row>
    <row r="357" spans="1:4" x14ac:dyDescent="0.25">
      <c r="A357" s="2">
        <v>2021</v>
      </c>
      <c r="B357" s="84" t="s">
        <v>0</v>
      </c>
      <c r="C357" s="2">
        <v>1617531</v>
      </c>
      <c r="D357" s="2">
        <v>854515</v>
      </c>
    </row>
    <row r="358" spans="1:4" x14ac:dyDescent="0.25">
      <c r="A358" s="2">
        <v>2022</v>
      </c>
      <c r="B358" s="84" t="s">
        <v>0</v>
      </c>
      <c r="C358" s="2">
        <v>1695561.6179397299</v>
      </c>
      <c r="D358" s="2">
        <v>895435.59485032898</v>
      </c>
    </row>
    <row r="359" spans="1:4" x14ac:dyDescent="0.25">
      <c r="A359" s="2">
        <v>2023</v>
      </c>
      <c r="B359" s="84" t="s">
        <v>0</v>
      </c>
      <c r="C359" s="2">
        <v>1777773.0231401001</v>
      </c>
      <c r="D359" s="2">
        <v>938553.24645900598</v>
      </c>
    </row>
    <row r="360" spans="1:4" x14ac:dyDescent="0.25">
      <c r="A360" s="2">
        <v>2024</v>
      </c>
      <c r="B360" s="84" t="s">
        <v>0</v>
      </c>
      <c r="C360" s="2">
        <v>1864088.91677042</v>
      </c>
      <c r="D360" s="2">
        <v>983844.774838179</v>
      </c>
    </row>
    <row r="361" spans="1:4" x14ac:dyDescent="0.25">
      <c r="A361" s="2">
        <v>2025</v>
      </c>
      <c r="B361" s="84" t="s">
        <v>0</v>
      </c>
      <c r="C361" s="2">
        <v>1954433</v>
      </c>
      <c r="D361" s="2">
        <v>1031287</v>
      </c>
    </row>
    <row r="362" spans="1:4" x14ac:dyDescent="0.25">
      <c r="A362" s="2">
        <v>2026</v>
      </c>
      <c r="B362" s="84" t="s">
        <v>0</v>
      </c>
      <c r="C362" s="2">
        <v>2048490.86358963</v>
      </c>
      <c r="D362" s="2">
        <v>1080724.1317328301</v>
      </c>
    </row>
    <row r="363" spans="1:4" x14ac:dyDescent="0.25">
      <c r="A363" s="2">
        <v>2027</v>
      </c>
      <c r="B363" s="84" t="s">
        <v>0</v>
      </c>
      <c r="C363" s="2">
        <v>2144995.6566661401</v>
      </c>
      <c r="D363" s="2">
        <v>1131469.93892984</v>
      </c>
    </row>
    <row r="364" spans="1:4" x14ac:dyDescent="0.25">
      <c r="A364" s="2">
        <v>2028</v>
      </c>
      <c r="B364" s="84" t="s">
        <v>0</v>
      </c>
      <c r="C364" s="2">
        <v>2242442.4179478199</v>
      </c>
      <c r="D364" s="2">
        <v>1182705.58026045</v>
      </c>
    </row>
    <row r="365" spans="1:4" x14ac:dyDescent="0.25">
      <c r="A365" s="2">
        <v>2029</v>
      </c>
      <c r="B365" s="84" t="s">
        <v>0</v>
      </c>
      <c r="C365" s="2">
        <v>2339326.18615301</v>
      </c>
      <c r="D365" s="2">
        <v>1233612.2143940399</v>
      </c>
    </row>
    <row r="366" spans="1:4" x14ac:dyDescent="0.25">
      <c r="A366" s="2">
        <v>2030</v>
      </c>
      <c r="B366" s="84" t="s">
        <v>0</v>
      </c>
      <c r="C366" s="2">
        <v>2434142</v>
      </c>
      <c r="D366" s="2">
        <v>1283371</v>
      </c>
    </row>
    <row r="367" spans="1:4" x14ac:dyDescent="0.25">
      <c r="A367" s="2">
        <v>2031</v>
      </c>
      <c r="B367" s="84" t="s">
        <v>0</v>
      </c>
      <c r="C367" s="2">
        <v>2525497.0653350898</v>
      </c>
      <c r="D367" s="2">
        <v>1331229.28971938</v>
      </c>
    </row>
    <row r="368" spans="1:4" x14ac:dyDescent="0.25">
      <c r="A368" s="2">
        <v>2032</v>
      </c>
      <c r="B368" s="84" t="s">
        <v>0</v>
      </c>
      <c r="C368" s="2">
        <v>2612447.2565164701</v>
      </c>
      <c r="D368" s="2">
        <v>1376699.2120798</v>
      </c>
    </row>
    <row r="369" spans="1:4" x14ac:dyDescent="0.25">
      <c r="A369" s="2">
        <v>2033</v>
      </c>
      <c r="B369" s="84" t="s">
        <v>0</v>
      </c>
      <c r="C369" s="2">
        <v>2694160.6150302999</v>
      </c>
      <c r="D369" s="2">
        <v>1419359.0895805301</v>
      </c>
    </row>
    <row r="370" spans="1:4" x14ac:dyDescent="0.25">
      <c r="A370" s="2">
        <v>2034</v>
      </c>
      <c r="B370" s="84" t="s">
        <v>0</v>
      </c>
      <c r="C370" s="2">
        <v>2769805.18236276</v>
      </c>
      <c r="D370" s="2">
        <v>1458787.2447208399</v>
      </c>
    </row>
    <row r="371" spans="1:4" x14ac:dyDescent="0.25">
      <c r="A371" s="2">
        <v>2035</v>
      </c>
      <c r="B371" s="84" t="s">
        <v>0</v>
      </c>
      <c r="C371" s="2">
        <v>2838549</v>
      </c>
      <c r="D371" s="2">
        <v>1494562</v>
      </c>
    </row>
    <row r="372" spans="1:4" x14ac:dyDescent="0.25">
      <c r="A372" s="2">
        <v>2036</v>
      </c>
      <c r="B372" s="84" t="s">
        <v>0</v>
      </c>
      <c r="C372" s="2">
        <v>2900011.1150699998</v>
      </c>
      <c r="D372" s="2">
        <v>1526491.79738965</v>
      </c>
    </row>
    <row r="373" spans="1:4" x14ac:dyDescent="0.25">
      <c r="A373" s="2">
        <v>2037</v>
      </c>
      <c r="B373" s="84" t="s">
        <v>0</v>
      </c>
      <c r="C373" s="2">
        <v>2955614.5972679802</v>
      </c>
      <c r="D373" s="2">
        <v>1555305.5567509499</v>
      </c>
    </row>
    <row r="374" spans="1:4" x14ac:dyDescent="0.25">
      <c r="A374" s="2">
        <v>2038</v>
      </c>
      <c r="B374" s="84" t="s">
        <v>0</v>
      </c>
      <c r="C374" s="2">
        <v>3007233.52193096</v>
      </c>
      <c r="D374" s="2">
        <v>1581962.31741742</v>
      </c>
    </row>
    <row r="375" spans="1:4" x14ac:dyDescent="0.25">
      <c r="A375" s="2">
        <v>2039</v>
      </c>
      <c r="B375" s="84" t="s">
        <v>0</v>
      </c>
      <c r="C375" s="2">
        <v>3056741.9643959599</v>
      </c>
      <c r="D375" s="2">
        <v>1607421.1187225999</v>
      </c>
    </row>
    <row r="376" spans="1:4" x14ac:dyDescent="0.25">
      <c r="A376" s="2">
        <v>2040</v>
      </c>
      <c r="B376" s="84" t="s">
        <v>0</v>
      </c>
      <c r="C376" s="2">
        <v>3106014</v>
      </c>
      <c r="D376" s="2">
        <v>1632641</v>
      </c>
    </row>
    <row r="377" spans="1:4" x14ac:dyDescent="0.25">
      <c r="A377" s="2">
        <v>2041</v>
      </c>
      <c r="B377" s="84" t="s">
        <v>0</v>
      </c>
      <c r="C377" s="2">
        <v>3156725.2583848899</v>
      </c>
      <c r="D377" s="2">
        <v>1658481.08072201</v>
      </c>
    </row>
    <row r="378" spans="1:4" x14ac:dyDescent="0.25">
      <c r="A378" s="2">
        <v>2042</v>
      </c>
      <c r="B378" s="84" t="s">
        <v>0</v>
      </c>
      <c r="C378" s="2">
        <v>3209757.5864115902</v>
      </c>
      <c r="D378" s="2">
        <v>1685400.8009164</v>
      </c>
    </row>
    <row r="379" spans="1:4" x14ac:dyDescent="0.25">
      <c r="A379" s="2">
        <v>2043</v>
      </c>
      <c r="B379" s="84" t="s">
        <v>0</v>
      </c>
      <c r="C379" s="2">
        <v>3265794.3852458498</v>
      </c>
      <c r="D379" s="2">
        <v>1713759.68074978</v>
      </c>
    </row>
    <row r="380" spans="1:4" x14ac:dyDescent="0.25">
      <c r="A380" s="2">
        <v>2044</v>
      </c>
      <c r="B380" s="84" t="s">
        <v>0</v>
      </c>
      <c r="C380" s="2">
        <v>3325519.0560534</v>
      </c>
      <c r="D380" s="2">
        <v>1743917.2403887799</v>
      </c>
    </row>
    <row r="381" spans="1:4" x14ac:dyDescent="0.25">
      <c r="A381" s="2">
        <v>2045</v>
      </c>
      <c r="B381" s="84" t="s">
        <v>0</v>
      </c>
      <c r="C381" s="2">
        <v>3389615</v>
      </c>
      <c r="D381" s="2">
        <v>1776233</v>
      </c>
    </row>
    <row r="382" spans="1:4" x14ac:dyDescent="0.25">
      <c r="A382" s="2">
        <v>2046</v>
      </c>
      <c r="B382" s="84" t="s">
        <v>0</v>
      </c>
      <c r="C382" s="2">
        <v>3458805.30739043</v>
      </c>
      <c r="D382" s="2">
        <v>1811086.4637223</v>
      </c>
    </row>
    <row r="383" spans="1:4" x14ac:dyDescent="0.25">
      <c r="A383" s="2">
        <v>2047</v>
      </c>
      <c r="B383" s="84" t="s">
        <v>0</v>
      </c>
      <c r="C383" s="2">
        <v>3533971.82508564</v>
      </c>
      <c r="D383" s="2">
        <v>1848937.0715834601</v>
      </c>
    </row>
    <row r="384" spans="1:4" x14ac:dyDescent="0.25">
      <c r="A384" s="2">
        <v>2048</v>
      </c>
      <c r="B384" s="84" t="s">
        <v>0</v>
      </c>
      <c r="C384" s="2">
        <v>3616036.0890856399</v>
      </c>
      <c r="D384" s="2">
        <v>1890264.2475834601</v>
      </c>
    </row>
    <row r="385" spans="1:4" x14ac:dyDescent="0.25">
      <c r="A385" s="2">
        <v>2049</v>
      </c>
      <c r="B385" s="84" t="s">
        <v>0</v>
      </c>
      <c r="C385" s="2">
        <v>3705919.6353904302</v>
      </c>
      <c r="D385" s="2">
        <v>1935547.4157223001</v>
      </c>
    </row>
    <row r="386" spans="1:4" x14ac:dyDescent="0.25">
      <c r="A386" s="2">
        <v>2050</v>
      </c>
      <c r="B386" s="84" t="s">
        <v>0</v>
      </c>
      <c r="C386" s="2">
        <v>3804544</v>
      </c>
      <c r="D386" s="2">
        <v>1985266</v>
      </c>
    </row>
  </sheetData>
  <autoFilter ref="J4:K59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89"/>
  <sheetViews>
    <sheetView showGridLines="0" tabSelected="1" topLeftCell="E1" workbookViewId="0">
      <selection activeCell="K3" sqref="K3"/>
    </sheetView>
  </sheetViews>
  <sheetFormatPr baseColWidth="10" defaultRowHeight="15" x14ac:dyDescent="0.25"/>
  <cols>
    <col min="1" max="1" width="14.42578125" hidden="1" customWidth="1"/>
    <col min="2" max="2" width="18.28515625" hidden="1" customWidth="1"/>
    <col min="3" max="3" width="22.28515625" style="2" hidden="1" customWidth="1"/>
    <col min="4" max="4" width="9.140625" hidden="1" customWidth="1"/>
    <col min="5" max="7" width="14.140625" customWidth="1"/>
    <col min="8" max="8" width="21.140625" customWidth="1"/>
    <col min="9" max="10" width="20.140625" customWidth="1"/>
    <col min="11" max="11" width="26.85546875" customWidth="1"/>
    <col min="12" max="12" width="22.42578125" customWidth="1"/>
    <col min="13" max="13" width="20.140625" customWidth="1"/>
    <col min="14" max="14" width="23" bestFit="1" customWidth="1"/>
    <col min="15" max="15" width="20.140625" customWidth="1"/>
    <col min="16" max="16" width="32.140625" bestFit="1" customWidth="1"/>
    <col min="17" max="17" width="15.85546875" bestFit="1" customWidth="1"/>
    <col min="18" max="18" width="57.42578125" bestFit="1" customWidth="1"/>
    <col min="19" max="19" width="17.5703125" bestFit="1" customWidth="1"/>
    <col min="20" max="20" width="34.85546875" bestFit="1" customWidth="1"/>
    <col min="21" max="21" width="60.85546875" bestFit="1" customWidth="1"/>
    <col min="22" max="22" width="47.42578125" bestFit="1" customWidth="1"/>
    <col min="23" max="23" width="33.5703125" bestFit="1" customWidth="1"/>
    <col min="24" max="24" width="44.42578125" bestFit="1" customWidth="1"/>
    <col min="25" max="25" width="28.5703125" bestFit="1" customWidth="1"/>
    <col min="26" max="26" width="73.85546875" bestFit="1" customWidth="1"/>
    <col min="27" max="27" width="35.5703125" bestFit="1" customWidth="1"/>
    <col min="28" max="28" width="40.140625" bestFit="1" customWidth="1"/>
    <col min="29" max="29" width="30.42578125" bestFit="1" customWidth="1"/>
    <col min="30" max="30" width="67.85546875" bestFit="1" customWidth="1"/>
    <col min="31" max="31" width="27.28515625" bestFit="1" customWidth="1"/>
    <col min="32" max="32" width="22.42578125" bestFit="1" customWidth="1"/>
  </cols>
  <sheetData>
    <row r="1" spans="1:22" x14ac:dyDescent="0.25">
      <c r="A1" s="51" t="s">
        <v>194</v>
      </c>
    </row>
    <row r="3" spans="1:22" x14ac:dyDescent="0.25">
      <c r="A3" s="5" t="s">
        <v>23</v>
      </c>
      <c r="B3" s="6">
        <v>1996</v>
      </c>
      <c r="E3" s="51" t="s">
        <v>213</v>
      </c>
      <c r="O3">
        <v>100000</v>
      </c>
    </row>
    <row r="4" spans="1:22" x14ac:dyDescent="0.25">
      <c r="F4" s="73" t="s">
        <v>209</v>
      </c>
    </row>
    <row r="5" spans="1:22" s="21" customFormat="1" ht="24.75" x14ac:dyDescent="0.25">
      <c r="B5" s="22" t="s">
        <v>32</v>
      </c>
      <c r="L5" s="72" t="s">
        <v>186</v>
      </c>
      <c r="M5" s="72" t="s">
        <v>212</v>
      </c>
      <c r="R5"/>
      <c r="S5"/>
      <c r="T5"/>
      <c r="U5"/>
      <c r="V5"/>
    </row>
    <row r="6" spans="1:22" s="80" customFormat="1" ht="30" x14ac:dyDescent="0.25">
      <c r="A6" s="77" t="s">
        <v>22</v>
      </c>
      <c r="B6" s="78" t="s">
        <v>47</v>
      </c>
      <c r="C6" s="79" t="s">
        <v>46</v>
      </c>
      <c r="E6" s="81" t="s">
        <v>23</v>
      </c>
      <c r="F6" s="81" t="s">
        <v>22</v>
      </c>
      <c r="G6" s="81" t="s">
        <v>181</v>
      </c>
      <c r="H6" s="81" t="s">
        <v>182</v>
      </c>
      <c r="I6" s="46" t="s">
        <v>183</v>
      </c>
      <c r="J6" s="46" t="s">
        <v>189</v>
      </c>
      <c r="K6" s="46" t="s">
        <v>184</v>
      </c>
      <c r="L6" s="46" t="s">
        <v>185</v>
      </c>
      <c r="M6" s="47" t="s">
        <v>187</v>
      </c>
      <c r="N6" s="82" t="s">
        <v>192</v>
      </c>
      <c r="O6" s="82" t="s">
        <v>191</v>
      </c>
      <c r="P6" s="82" t="s">
        <v>31</v>
      </c>
      <c r="Q6" s="82" t="s">
        <v>30</v>
      </c>
    </row>
    <row r="7" spans="1:22" x14ac:dyDescent="0.25">
      <c r="A7" t="s">
        <v>6</v>
      </c>
      <c r="B7" s="1">
        <v>1308550.7828250399</v>
      </c>
      <c r="C7" s="7">
        <v>5092</v>
      </c>
      <c r="E7">
        <f>+$B$3</f>
        <v>1996</v>
      </c>
      <c r="F7" t="str">
        <f>+A7</f>
        <v>0-4</v>
      </c>
      <c r="G7" s="1">
        <f>+B7</f>
        <v>1308550.7828250399</v>
      </c>
      <c r="H7">
        <f>+C7</f>
        <v>5092</v>
      </c>
      <c r="I7" s="13">
        <f>+H7/G7</f>
        <v>3.8913277702580587E-3</v>
      </c>
      <c r="J7" s="20">
        <f>1-I7</f>
        <v>0.99610867222974198</v>
      </c>
      <c r="K7">
        <f>+G7-(0.5*H7)</f>
        <v>1306004.7828250399</v>
      </c>
      <c r="L7">
        <f>+H7/K7</f>
        <v>3.8989137459247377E-3</v>
      </c>
      <c r="M7" s="12">
        <f>+H7/(2*G7)</f>
        <v>1.9456638851290294E-3</v>
      </c>
      <c r="N7" s="12">
        <f>+G7/$G$14</f>
        <v>0.115621767221738</v>
      </c>
      <c r="O7" s="3">
        <f>+N7*$O$3</f>
        <v>11562.176722173801</v>
      </c>
      <c r="P7" s="24">
        <v>100000</v>
      </c>
      <c r="Q7" s="24">
        <f>+P7*I7</f>
        <v>389.13277702580586</v>
      </c>
    </row>
    <row r="8" spans="1:22" x14ac:dyDescent="0.25">
      <c r="A8" t="s">
        <v>5</v>
      </c>
      <c r="B8" s="1">
        <v>2617766.7452121698</v>
      </c>
      <c r="C8" s="7">
        <v>569</v>
      </c>
      <c r="E8">
        <f t="shared" ref="E8:E13" si="0">+$B$3</f>
        <v>1996</v>
      </c>
      <c r="F8" t="str">
        <f t="shared" ref="F8:F13" si="1">+A8</f>
        <v>5-14</v>
      </c>
      <c r="G8" s="1">
        <f t="shared" ref="G8:G13" si="2">+B8</f>
        <v>2617766.7452121698</v>
      </c>
      <c r="H8">
        <f t="shared" ref="H8:H13" si="3">+C8</f>
        <v>569</v>
      </c>
      <c r="I8" s="13">
        <f t="shared" ref="I8:I14" si="4">+H8/G8</f>
        <v>2.1736084815069442E-4</v>
      </c>
      <c r="J8" s="20">
        <f t="shared" ref="J8:J13" si="5">1-I8</f>
        <v>0.99978263915184928</v>
      </c>
      <c r="K8">
        <f t="shared" ref="K8:K13" si="6">+G8-(0.5*H8)</f>
        <v>2617482.2452121698</v>
      </c>
      <c r="L8">
        <f t="shared" ref="L8:L13" si="7">+H8/K8</f>
        <v>2.1738447358747129E-4</v>
      </c>
      <c r="M8" s="12">
        <f>+(H7+H8)/(2*G8)</f>
        <v>1.0812651681731821E-3</v>
      </c>
      <c r="N8" s="12">
        <f t="shared" ref="N8:N13" si="8">+G8/$G$14</f>
        <v>0.23130230880477559</v>
      </c>
      <c r="O8" s="3">
        <f t="shared" ref="O8:O13" si="9">+N8*$O$3</f>
        <v>23130.23088047756</v>
      </c>
      <c r="P8" s="24">
        <f>+P7-Q7</f>
        <v>99610.867222974193</v>
      </c>
      <c r="Q8" s="25">
        <f>+P8*I8</f>
        <v>21.651502584611876</v>
      </c>
    </row>
    <row r="9" spans="1:22" x14ac:dyDescent="0.25">
      <c r="A9" t="s">
        <v>4</v>
      </c>
      <c r="B9" s="1">
        <v>2136825.68729656</v>
      </c>
      <c r="C9" s="7">
        <v>790</v>
      </c>
      <c r="E9">
        <f t="shared" si="0"/>
        <v>1996</v>
      </c>
      <c r="F9" t="str">
        <f t="shared" si="1"/>
        <v>15-24</v>
      </c>
      <c r="G9" s="1">
        <f t="shared" si="2"/>
        <v>2136825.68729656</v>
      </c>
      <c r="H9">
        <f t="shared" si="3"/>
        <v>790</v>
      </c>
      <c r="I9" s="13">
        <f t="shared" si="4"/>
        <v>3.6970727406383878E-4</v>
      </c>
      <c r="J9" s="20">
        <f t="shared" si="5"/>
        <v>0.99963029272593618</v>
      </c>
      <c r="K9">
        <f t="shared" si="6"/>
        <v>2136430.68729656</v>
      </c>
      <c r="L9">
        <f t="shared" si="7"/>
        <v>3.697756284336405E-4</v>
      </c>
      <c r="M9" s="12">
        <f t="shared" ref="M9:M13" si="10">+(H8+H9)/(2*G9)</f>
        <v>3.1799505408402335E-4</v>
      </c>
      <c r="N9" s="12">
        <f t="shared" si="8"/>
        <v>0.18880701112466253</v>
      </c>
      <c r="O9" s="3">
        <f t="shared" si="9"/>
        <v>18880.701112466253</v>
      </c>
      <c r="P9" s="24">
        <f t="shared" ref="P9:P13" si="11">+P8-Q8</f>
        <v>99589.215720389577</v>
      </c>
      <c r="Q9" s="25">
        <f t="shared" ref="Q9:Q13" si="12">+P9*I9</f>
        <v>36.818857470140827</v>
      </c>
    </row>
    <row r="10" spans="1:22" x14ac:dyDescent="0.25">
      <c r="A10" t="s">
        <v>3</v>
      </c>
      <c r="B10" s="1">
        <v>3245545.2890741802</v>
      </c>
      <c r="C10" s="7">
        <v>2882</v>
      </c>
      <c r="E10">
        <f t="shared" si="0"/>
        <v>1996</v>
      </c>
      <c r="F10" t="str">
        <f t="shared" si="1"/>
        <v>25-44</v>
      </c>
      <c r="G10" s="1">
        <f t="shared" si="2"/>
        <v>3245545.2890741802</v>
      </c>
      <c r="H10">
        <f t="shared" si="3"/>
        <v>2882</v>
      </c>
      <c r="I10" s="13">
        <f t="shared" si="4"/>
        <v>8.8798637618830317E-4</v>
      </c>
      <c r="J10" s="20">
        <f t="shared" si="5"/>
        <v>0.99911201362381175</v>
      </c>
      <c r="K10">
        <f t="shared" si="6"/>
        <v>3244104.2890741802</v>
      </c>
      <c r="L10">
        <f t="shared" si="7"/>
        <v>8.8838081121691702E-4</v>
      </c>
      <c r="M10" s="12">
        <f t="shared" si="10"/>
        <v>5.6569846866125076E-4</v>
      </c>
      <c r="N10" s="12">
        <f t="shared" si="8"/>
        <v>0.28677196700826618</v>
      </c>
      <c r="O10" s="3">
        <f t="shared" si="9"/>
        <v>28677.196700826618</v>
      </c>
      <c r="P10" s="24">
        <f t="shared" si="11"/>
        <v>99552.396862919442</v>
      </c>
      <c r="Q10" s="25">
        <f t="shared" si="12"/>
        <v>88.401172131163634</v>
      </c>
    </row>
    <row r="11" spans="1:22" x14ac:dyDescent="0.25">
      <c r="A11" t="s">
        <v>2</v>
      </c>
      <c r="B11" s="1">
        <v>1448877.9572723201</v>
      </c>
      <c r="C11" s="7">
        <v>6671</v>
      </c>
      <c r="E11">
        <f t="shared" si="0"/>
        <v>1996</v>
      </c>
      <c r="F11" t="str">
        <f t="shared" si="1"/>
        <v>45-64</v>
      </c>
      <c r="G11" s="1">
        <f t="shared" si="2"/>
        <v>1448877.9572723201</v>
      </c>
      <c r="H11">
        <f t="shared" si="3"/>
        <v>6671</v>
      </c>
      <c r="I11" s="13">
        <f t="shared" si="4"/>
        <v>4.6042525297016234E-3</v>
      </c>
      <c r="J11" s="20">
        <f t="shared" si="5"/>
        <v>0.99539574747029835</v>
      </c>
      <c r="K11">
        <f t="shared" si="6"/>
        <v>1445542.4572723201</v>
      </c>
      <c r="L11">
        <f t="shared" si="7"/>
        <v>4.6148765582353811E-3</v>
      </c>
      <c r="M11" s="12">
        <f t="shared" si="10"/>
        <v>3.2966889833787741E-3</v>
      </c>
      <c r="N11" s="12">
        <f t="shared" si="8"/>
        <v>0.12802088547666704</v>
      </c>
      <c r="O11" s="3">
        <f t="shared" si="9"/>
        <v>12802.088547666704</v>
      </c>
      <c r="P11" s="24">
        <f t="shared" si="11"/>
        <v>99463.995690788273</v>
      </c>
      <c r="Q11" s="25">
        <f t="shared" si="12"/>
        <v>457.95735377354328</v>
      </c>
    </row>
    <row r="12" spans="1:22" x14ac:dyDescent="0.25">
      <c r="A12" t="s">
        <v>1</v>
      </c>
      <c r="B12" s="1">
        <v>373487.34083337098</v>
      </c>
      <c r="C12" s="7">
        <v>6002</v>
      </c>
      <c r="E12">
        <f t="shared" si="0"/>
        <v>1996</v>
      </c>
      <c r="F12" t="str">
        <f t="shared" si="1"/>
        <v>65-74</v>
      </c>
      <c r="G12" s="1">
        <f t="shared" si="2"/>
        <v>373487.34083337098</v>
      </c>
      <c r="H12">
        <f t="shared" si="3"/>
        <v>6002</v>
      </c>
      <c r="I12" s="13">
        <f t="shared" si="4"/>
        <v>1.6070156451909717E-2</v>
      </c>
      <c r="J12" s="20">
        <f t="shared" si="5"/>
        <v>0.98392984354809032</v>
      </c>
      <c r="K12">
        <f t="shared" si="6"/>
        <v>370486.34083337098</v>
      </c>
      <c r="L12">
        <f t="shared" si="7"/>
        <v>1.6200327349448613E-2</v>
      </c>
      <c r="M12" s="12">
        <f t="shared" si="10"/>
        <v>1.6965769136542141E-2</v>
      </c>
      <c r="N12" s="12">
        <f t="shared" si="8"/>
        <v>3.3000833402027599E-2</v>
      </c>
      <c r="O12" s="3">
        <f t="shared" si="9"/>
        <v>3300.0833402027597</v>
      </c>
      <c r="P12" s="24">
        <f t="shared" si="11"/>
        <v>99006.038337014732</v>
      </c>
      <c r="Q12" s="25">
        <f t="shared" si="12"/>
        <v>1591.042525759598</v>
      </c>
    </row>
    <row r="13" spans="1:22" x14ac:dyDescent="0.25">
      <c r="A13" t="s">
        <v>0</v>
      </c>
      <c r="B13" s="1">
        <v>186458.585231801</v>
      </c>
      <c r="C13" s="7">
        <v>11555</v>
      </c>
      <c r="E13">
        <f t="shared" si="0"/>
        <v>1996</v>
      </c>
      <c r="F13" t="str">
        <f t="shared" si="1"/>
        <v>75+</v>
      </c>
      <c r="G13" s="1">
        <f t="shared" si="2"/>
        <v>186458.585231801</v>
      </c>
      <c r="H13">
        <f t="shared" si="3"/>
        <v>11555</v>
      </c>
      <c r="I13" s="13">
        <f t="shared" si="4"/>
        <v>6.1970866000270734E-2</v>
      </c>
      <c r="J13" s="20">
        <f t="shared" si="5"/>
        <v>0.93802913399972931</v>
      </c>
      <c r="K13">
        <f t="shared" si="6"/>
        <v>180681.085231801</v>
      </c>
      <c r="L13">
        <f t="shared" si="7"/>
        <v>6.3952460686052204E-2</v>
      </c>
      <c r="M13" s="12">
        <f t="shared" si="10"/>
        <v>4.7080159860093181E-2</v>
      </c>
      <c r="N13" s="12">
        <f t="shared" si="8"/>
        <v>1.647522696186289E-2</v>
      </c>
      <c r="O13" s="3">
        <f t="shared" si="9"/>
        <v>1647.5226961862891</v>
      </c>
      <c r="P13" s="24">
        <f t="shared" si="11"/>
        <v>97414.995811255139</v>
      </c>
      <c r="Q13" s="25">
        <f t="shared" si="12"/>
        <v>6036.8916518362275</v>
      </c>
    </row>
    <row r="14" spans="1:22" x14ac:dyDescent="0.25">
      <c r="B14" s="18">
        <f>+SUM(B7:B13)</f>
        <v>11317512.387745444</v>
      </c>
      <c r="C14" s="18">
        <f>+SUM(C7:C13)</f>
        <v>33561</v>
      </c>
      <c r="E14" s="14" t="s">
        <v>190</v>
      </c>
      <c r="F14" s="19"/>
      <c r="G14" s="1">
        <f>+SUM(G7:G13)</f>
        <v>11317512.387745444</v>
      </c>
      <c r="H14" s="1">
        <f>+SUM(H7:H13)</f>
        <v>33561</v>
      </c>
      <c r="I14" s="13">
        <f t="shared" si="4"/>
        <v>2.9654043088426139E-3</v>
      </c>
      <c r="J14" s="20"/>
      <c r="M14" s="12"/>
      <c r="N14" s="12"/>
      <c r="O14" s="12"/>
      <c r="P14" s="1"/>
      <c r="Q14" s="23"/>
    </row>
    <row r="15" spans="1:22" x14ac:dyDescent="0.25">
      <c r="C15"/>
      <c r="E15" s="14"/>
      <c r="F15" s="19"/>
      <c r="Q15" s="23"/>
    </row>
    <row r="16" spans="1:22" x14ac:dyDescent="0.25">
      <c r="C16"/>
      <c r="E16" s="14"/>
      <c r="F16" s="19"/>
    </row>
    <row r="17" spans="3:10" ht="18.75" x14ac:dyDescent="0.3">
      <c r="C17"/>
      <c r="E17" s="49" t="s">
        <v>193</v>
      </c>
      <c r="F17" s="19"/>
    </row>
    <row r="18" spans="3:10" x14ac:dyDescent="0.25">
      <c r="C18"/>
      <c r="E18" s="14"/>
      <c r="F18" s="19"/>
      <c r="J18" s="71" t="s">
        <v>199</v>
      </c>
    </row>
    <row r="19" spans="3:10" s="50" customFormat="1" x14ac:dyDescent="0.25">
      <c r="E19" s="52" t="s">
        <v>195</v>
      </c>
      <c r="F19" s="53"/>
    </row>
    <row r="20" spans="3:10" x14ac:dyDescent="0.25">
      <c r="C20"/>
      <c r="E20" s="14"/>
      <c r="F20" s="19"/>
    </row>
    <row r="21" spans="3:10" x14ac:dyDescent="0.25">
      <c r="C21"/>
      <c r="E21" s="14"/>
      <c r="F21" s="19"/>
    </row>
    <row r="22" spans="3:10" x14ac:dyDescent="0.25">
      <c r="C22"/>
      <c r="E22" s="14"/>
      <c r="F22" s="19"/>
    </row>
    <row r="23" spans="3:10" x14ac:dyDescent="0.25">
      <c r="C23"/>
      <c r="E23" s="14"/>
      <c r="F23" s="19"/>
    </row>
    <row r="24" spans="3:10" x14ac:dyDescent="0.25">
      <c r="C24"/>
      <c r="E24" s="14"/>
      <c r="F24" s="19"/>
    </row>
    <row r="25" spans="3:10" x14ac:dyDescent="0.25">
      <c r="C25"/>
      <c r="E25" s="14"/>
      <c r="F25" s="19"/>
    </row>
    <row r="26" spans="3:10" x14ac:dyDescent="0.25">
      <c r="C26"/>
      <c r="E26" s="14"/>
      <c r="F26" s="19"/>
    </row>
    <row r="27" spans="3:10" x14ac:dyDescent="0.25">
      <c r="C27"/>
      <c r="E27" s="14"/>
      <c r="F27" s="19"/>
    </row>
    <row r="28" spans="3:10" x14ac:dyDescent="0.25">
      <c r="C28"/>
      <c r="E28" s="14"/>
      <c r="F28" s="19"/>
    </row>
    <row r="29" spans="3:10" x14ac:dyDescent="0.25">
      <c r="C29"/>
      <c r="E29" s="14"/>
      <c r="F29" s="19"/>
    </row>
    <row r="30" spans="3:10" x14ac:dyDescent="0.25">
      <c r="C30"/>
      <c r="E30" s="14"/>
      <c r="F30" s="19"/>
    </row>
    <row r="31" spans="3:10" x14ac:dyDescent="0.25">
      <c r="C31"/>
      <c r="E31" s="14"/>
      <c r="F31" s="19"/>
    </row>
    <row r="32" spans="3:10" x14ac:dyDescent="0.25">
      <c r="C32"/>
      <c r="E32" s="14"/>
      <c r="F32" s="19"/>
    </row>
    <row r="33" spans="3:13" x14ac:dyDescent="0.25">
      <c r="C33"/>
      <c r="E33" s="14"/>
      <c r="F33" s="19"/>
    </row>
    <row r="34" spans="3:13" x14ac:dyDescent="0.25">
      <c r="C34"/>
      <c r="E34" s="14"/>
      <c r="F34" s="19"/>
    </row>
    <row r="35" spans="3:13" x14ac:dyDescent="0.25">
      <c r="C35"/>
      <c r="E35" s="75" t="s">
        <v>198</v>
      </c>
      <c r="F35" s="75"/>
      <c r="G35" s="75"/>
      <c r="H35" s="75"/>
      <c r="J35" s="74" t="s">
        <v>197</v>
      </c>
      <c r="K35" s="74"/>
      <c r="L35" s="74"/>
    </row>
    <row r="36" spans="3:13" ht="15" customHeight="1" x14ac:dyDescent="0.25">
      <c r="C36"/>
      <c r="E36" s="75"/>
      <c r="F36" s="75"/>
      <c r="G36" s="75"/>
      <c r="H36" s="75"/>
      <c r="J36" s="74"/>
      <c r="K36" s="74"/>
      <c r="L36" s="74"/>
      <c r="M36" s="54" t="s">
        <v>196</v>
      </c>
    </row>
    <row r="37" spans="3:13" x14ac:dyDescent="0.25">
      <c r="C37"/>
      <c r="E37" s="55"/>
      <c r="F37" s="19"/>
      <c r="J37" s="54"/>
    </row>
    <row r="38" spans="3:13" x14ac:dyDescent="0.25">
      <c r="C38"/>
      <c r="E38" s="14"/>
      <c r="F38" s="19"/>
    </row>
    <row r="39" spans="3:13" x14ac:dyDescent="0.25">
      <c r="C39"/>
      <c r="E39" s="14"/>
      <c r="F39" s="19"/>
    </row>
    <row r="40" spans="3:13" x14ac:dyDescent="0.25">
      <c r="C40"/>
      <c r="E40" s="14"/>
      <c r="F40" s="19"/>
    </row>
    <row r="41" spans="3:13" x14ac:dyDescent="0.25">
      <c r="C41"/>
      <c r="E41" s="14"/>
      <c r="F41" s="19"/>
    </row>
    <row r="42" spans="3:13" x14ac:dyDescent="0.25">
      <c r="C42"/>
      <c r="E42" s="14"/>
      <c r="F42" s="19"/>
    </row>
    <row r="43" spans="3:13" x14ac:dyDescent="0.25">
      <c r="C43"/>
      <c r="E43" s="14"/>
      <c r="F43" s="19"/>
    </row>
    <row r="44" spans="3:13" x14ac:dyDescent="0.25">
      <c r="C44"/>
      <c r="E44" s="14"/>
      <c r="F44" s="19"/>
    </row>
    <row r="45" spans="3:13" x14ac:dyDescent="0.25">
      <c r="C45"/>
      <c r="E45" s="14"/>
      <c r="F45" s="19"/>
    </row>
    <row r="46" spans="3:13" x14ac:dyDescent="0.25">
      <c r="C46"/>
      <c r="E46" s="14"/>
      <c r="F46" s="19"/>
    </row>
    <row r="47" spans="3:13" x14ac:dyDescent="0.25">
      <c r="C47"/>
      <c r="E47" s="14"/>
      <c r="F47" s="19"/>
    </row>
    <row r="48" spans="3:13" x14ac:dyDescent="0.25">
      <c r="C48"/>
      <c r="E48" s="14"/>
      <c r="F48" s="19"/>
    </row>
    <row r="49" spans="3:6" x14ac:dyDescent="0.25">
      <c r="C49"/>
      <c r="E49" s="14"/>
      <c r="F49" s="19"/>
    </row>
    <row r="50" spans="3:6" x14ac:dyDescent="0.25">
      <c r="C50"/>
      <c r="E50" s="14"/>
      <c r="F50" s="19"/>
    </row>
    <row r="51" spans="3:6" x14ac:dyDescent="0.25">
      <c r="C51"/>
      <c r="E51" s="14"/>
      <c r="F51" s="19"/>
    </row>
    <row r="52" spans="3:6" x14ac:dyDescent="0.25">
      <c r="C52"/>
      <c r="E52" s="14"/>
      <c r="F52" s="19"/>
    </row>
    <row r="53" spans="3:6" x14ac:dyDescent="0.25">
      <c r="C53"/>
      <c r="E53" s="14"/>
      <c r="F53" s="19"/>
    </row>
    <row r="54" spans="3:6" x14ac:dyDescent="0.25">
      <c r="C54"/>
      <c r="E54" s="14"/>
      <c r="F54" s="19"/>
    </row>
    <row r="55" spans="3:6" x14ac:dyDescent="0.25">
      <c r="C55"/>
      <c r="E55" s="14"/>
      <c r="F55" s="19"/>
    </row>
    <row r="56" spans="3:6" x14ac:dyDescent="0.25">
      <c r="C56"/>
      <c r="E56" s="14"/>
      <c r="F56" s="19"/>
    </row>
    <row r="57" spans="3:6" x14ac:dyDescent="0.25">
      <c r="C57"/>
      <c r="E57" s="14"/>
      <c r="F57" s="19"/>
    </row>
    <row r="58" spans="3:6" x14ac:dyDescent="0.25">
      <c r="C58"/>
      <c r="E58" s="14"/>
      <c r="F58" s="19"/>
    </row>
    <row r="59" spans="3:6" x14ac:dyDescent="0.25">
      <c r="C59"/>
      <c r="E59" s="14"/>
      <c r="F59" s="19"/>
    </row>
    <row r="60" spans="3:6" x14ac:dyDescent="0.25">
      <c r="C60"/>
      <c r="E60" s="14"/>
      <c r="F60" s="19"/>
    </row>
    <row r="61" spans="3:6" x14ac:dyDescent="0.25">
      <c r="C61"/>
      <c r="E61" s="14"/>
      <c r="F61" s="19"/>
    </row>
    <row r="62" spans="3:6" x14ac:dyDescent="0.25">
      <c r="C62"/>
      <c r="E62" s="14"/>
      <c r="F62" s="19"/>
    </row>
    <row r="63" spans="3:6" x14ac:dyDescent="0.25">
      <c r="C63"/>
      <c r="E63" s="14"/>
      <c r="F63" s="19"/>
    </row>
    <row r="64" spans="3:6" x14ac:dyDescent="0.25">
      <c r="C64"/>
      <c r="E64" s="14"/>
      <c r="F64" s="19"/>
    </row>
    <row r="65" spans="3:6" x14ac:dyDescent="0.25">
      <c r="C65"/>
      <c r="E65" s="14"/>
      <c r="F65" s="19"/>
    </row>
    <row r="66" spans="3:6" x14ac:dyDescent="0.25">
      <c r="C66"/>
      <c r="E66" s="14"/>
      <c r="F66" s="19"/>
    </row>
    <row r="67" spans="3:6" x14ac:dyDescent="0.25">
      <c r="C67"/>
      <c r="E67" s="14"/>
      <c r="F67" s="19"/>
    </row>
    <row r="68" spans="3:6" x14ac:dyDescent="0.25">
      <c r="C68"/>
      <c r="E68" s="14"/>
      <c r="F68" s="19"/>
    </row>
    <row r="69" spans="3:6" x14ac:dyDescent="0.25">
      <c r="C69"/>
      <c r="E69" s="14"/>
      <c r="F69" s="19"/>
    </row>
    <row r="70" spans="3:6" x14ac:dyDescent="0.25">
      <c r="C70"/>
      <c r="E70" s="14"/>
      <c r="F70" s="19"/>
    </row>
    <row r="71" spans="3:6" x14ac:dyDescent="0.25">
      <c r="C71"/>
      <c r="E71" s="14"/>
      <c r="F71" s="19"/>
    </row>
    <row r="72" spans="3:6" x14ac:dyDescent="0.25">
      <c r="C72"/>
      <c r="E72" s="14"/>
      <c r="F72" s="19"/>
    </row>
    <row r="73" spans="3:6" x14ac:dyDescent="0.25">
      <c r="C73"/>
      <c r="E73" s="14"/>
      <c r="F73" s="19"/>
    </row>
    <row r="74" spans="3:6" x14ac:dyDescent="0.25">
      <c r="C74"/>
      <c r="E74" s="14"/>
      <c r="F74" s="19"/>
    </row>
    <row r="75" spans="3:6" x14ac:dyDescent="0.25">
      <c r="C75"/>
      <c r="E75" s="14"/>
      <c r="F75" s="19"/>
    </row>
    <row r="76" spans="3:6" x14ac:dyDescent="0.25">
      <c r="C76"/>
      <c r="E76" s="14"/>
      <c r="F76" s="19"/>
    </row>
    <row r="77" spans="3:6" x14ac:dyDescent="0.25">
      <c r="C77"/>
      <c r="E77" s="14"/>
      <c r="F77" s="19"/>
    </row>
    <row r="78" spans="3:6" x14ac:dyDescent="0.25">
      <c r="C78"/>
      <c r="E78" s="14"/>
      <c r="F78" s="19"/>
    </row>
    <row r="79" spans="3:6" x14ac:dyDescent="0.25">
      <c r="C79"/>
      <c r="E79" s="14"/>
      <c r="F79" s="19"/>
    </row>
    <row r="80" spans="3:6" x14ac:dyDescent="0.25">
      <c r="C80"/>
      <c r="E80" s="14"/>
      <c r="F80" s="19"/>
    </row>
    <row r="81" spans="3:6" x14ac:dyDescent="0.25">
      <c r="C81"/>
      <c r="E81" s="14"/>
      <c r="F81" s="19"/>
    </row>
    <row r="82" spans="3:6" x14ac:dyDescent="0.25">
      <c r="C82"/>
      <c r="E82" s="14"/>
      <c r="F82" s="19"/>
    </row>
    <row r="83" spans="3:6" x14ac:dyDescent="0.25">
      <c r="C83"/>
      <c r="E83" s="14"/>
      <c r="F83" s="19"/>
    </row>
    <row r="84" spans="3:6" x14ac:dyDescent="0.25">
      <c r="C84"/>
      <c r="E84" s="14"/>
      <c r="F84" s="19"/>
    </row>
    <row r="85" spans="3:6" x14ac:dyDescent="0.25">
      <c r="C85"/>
      <c r="E85" s="14"/>
      <c r="F85" s="19"/>
    </row>
    <row r="86" spans="3:6" x14ac:dyDescent="0.25">
      <c r="C86"/>
      <c r="E86" s="14"/>
      <c r="F86" s="19"/>
    </row>
    <row r="87" spans="3:6" x14ac:dyDescent="0.25">
      <c r="C87"/>
      <c r="E87" s="14"/>
      <c r="F87" s="19"/>
    </row>
    <row r="88" spans="3:6" x14ac:dyDescent="0.25">
      <c r="C88"/>
      <c r="E88" s="14"/>
      <c r="F88" s="19"/>
    </row>
    <row r="89" spans="3:6" x14ac:dyDescent="0.25">
      <c r="C89"/>
      <c r="E89" s="14"/>
      <c r="F89" s="19"/>
    </row>
    <row r="90" spans="3:6" x14ac:dyDescent="0.25">
      <c r="C90"/>
      <c r="E90" s="14"/>
      <c r="F90" s="19"/>
    </row>
    <row r="91" spans="3:6" x14ac:dyDescent="0.25">
      <c r="C91"/>
      <c r="E91" s="14"/>
      <c r="F91" s="19"/>
    </row>
    <row r="92" spans="3:6" x14ac:dyDescent="0.25">
      <c r="C92"/>
      <c r="E92" s="14"/>
      <c r="F92" s="19"/>
    </row>
    <row r="93" spans="3:6" x14ac:dyDescent="0.25">
      <c r="C93"/>
      <c r="E93" s="14"/>
      <c r="F93" s="19"/>
    </row>
    <row r="94" spans="3:6" x14ac:dyDescent="0.25">
      <c r="C94"/>
      <c r="E94" s="14"/>
      <c r="F94" s="19"/>
    </row>
    <row r="95" spans="3:6" x14ac:dyDescent="0.25">
      <c r="C95"/>
      <c r="E95" s="14"/>
      <c r="F95" s="19"/>
    </row>
    <row r="96" spans="3:6" x14ac:dyDescent="0.25">
      <c r="C96"/>
      <c r="E96" s="14"/>
      <c r="F96" s="19"/>
    </row>
    <row r="97" spans="3:6" x14ac:dyDescent="0.25">
      <c r="C97"/>
      <c r="E97" s="14"/>
      <c r="F97" s="19"/>
    </row>
    <row r="98" spans="3:6" x14ac:dyDescent="0.25">
      <c r="C98"/>
      <c r="E98" s="14"/>
      <c r="F98" s="19"/>
    </row>
    <row r="99" spans="3:6" x14ac:dyDescent="0.25">
      <c r="C99"/>
      <c r="E99" s="14"/>
      <c r="F99" s="19"/>
    </row>
    <row r="100" spans="3:6" x14ac:dyDescent="0.25">
      <c r="C100"/>
      <c r="E100" s="14"/>
      <c r="F100" s="19"/>
    </row>
    <row r="101" spans="3:6" x14ac:dyDescent="0.25">
      <c r="C101"/>
      <c r="E101" s="14"/>
      <c r="F101" s="19"/>
    </row>
    <row r="102" spans="3:6" x14ac:dyDescent="0.25">
      <c r="C102"/>
      <c r="E102" s="14"/>
      <c r="F102" s="19"/>
    </row>
    <row r="103" spans="3:6" x14ac:dyDescent="0.25">
      <c r="C103"/>
      <c r="E103" s="14"/>
      <c r="F103" s="19"/>
    </row>
    <row r="104" spans="3:6" x14ac:dyDescent="0.25">
      <c r="C104"/>
      <c r="E104" s="14"/>
      <c r="F104" s="19"/>
    </row>
    <row r="105" spans="3:6" x14ac:dyDescent="0.25">
      <c r="C105"/>
      <c r="E105" s="14"/>
      <c r="F105" s="19"/>
    </row>
    <row r="106" spans="3:6" x14ac:dyDescent="0.25">
      <c r="C106"/>
      <c r="E106" s="14"/>
      <c r="F106" s="19"/>
    </row>
    <row r="107" spans="3:6" x14ac:dyDescent="0.25">
      <c r="C107"/>
      <c r="E107" s="14"/>
      <c r="F107" s="19"/>
    </row>
    <row r="108" spans="3:6" x14ac:dyDescent="0.25">
      <c r="C108"/>
      <c r="E108" s="14"/>
      <c r="F108" s="19"/>
    </row>
    <row r="109" spans="3:6" x14ac:dyDescent="0.25">
      <c r="C109"/>
      <c r="E109" s="14"/>
      <c r="F109" s="19"/>
    </row>
    <row r="110" spans="3:6" x14ac:dyDescent="0.25">
      <c r="C110"/>
      <c r="E110" s="14"/>
      <c r="F110" s="19"/>
    </row>
    <row r="111" spans="3:6" x14ac:dyDescent="0.25">
      <c r="C111"/>
      <c r="E111" s="14"/>
      <c r="F111" s="19"/>
    </row>
    <row r="112" spans="3:6" x14ac:dyDescent="0.25">
      <c r="C112"/>
      <c r="E112" s="14"/>
      <c r="F112" s="19"/>
    </row>
    <row r="113" spans="3:6" x14ac:dyDescent="0.25">
      <c r="C113"/>
      <c r="E113" s="14"/>
      <c r="F113" s="19"/>
    </row>
    <row r="114" spans="3:6" x14ac:dyDescent="0.25">
      <c r="C114"/>
      <c r="E114" s="14"/>
      <c r="F114" s="19"/>
    </row>
    <row r="115" spans="3:6" x14ac:dyDescent="0.25">
      <c r="C115"/>
      <c r="E115" s="14"/>
      <c r="F115" s="19"/>
    </row>
    <row r="116" spans="3:6" x14ac:dyDescent="0.25">
      <c r="C116"/>
      <c r="E116" s="14"/>
      <c r="F116" s="19"/>
    </row>
    <row r="117" spans="3:6" x14ac:dyDescent="0.25">
      <c r="C117"/>
      <c r="E117" s="14"/>
      <c r="F117" s="19"/>
    </row>
    <row r="118" spans="3:6" x14ac:dyDescent="0.25">
      <c r="C118"/>
      <c r="E118" s="14"/>
      <c r="F118" s="19"/>
    </row>
    <row r="119" spans="3:6" x14ac:dyDescent="0.25">
      <c r="C119"/>
      <c r="E119" s="14"/>
      <c r="F119" s="19"/>
    </row>
    <row r="120" spans="3:6" x14ac:dyDescent="0.25">
      <c r="C120"/>
      <c r="E120" s="14"/>
      <c r="F120" s="19"/>
    </row>
    <row r="121" spans="3:6" x14ac:dyDescent="0.25">
      <c r="C121"/>
      <c r="E121" s="14"/>
      <c r="F121" s="19"/>
    </row>
    <row r="122" spans="3:6" x14ac:dyDescent="0.25">
      <c r="C122"/>
      <c r="E122" s="14"/>
      <c r="F122" s="19"/>
    </row>
    <row r="123" spans="3:6" x14ac:dyDescent="0.25">
      <c r="C123"/>
      <c r="E123" s="14"/>
      <c r="F123" s="19"/>
    </row>
    <row r="124" spans="3:6" x14ac:dyDescent="0.25">
      <c r="C124"/>
      <c r="E124" s="14"/>
      <c r="F124" s="19"/>
    </row>
    <row r="125" spans="3:6" x14ac:dyDescent="0.25">
      <c r="C125"/>
      <c r="E125" s="14"/>
      <c r="F125" s="19"/>
    </row>
    <row r="126" spans="3:6" x14ac:dyDescent="0.25">
      <c r="C126"/>
      <c r="E126" s="14"/>
      <c r="F126" s="19"/>
    </row>
    <row r="127" spans="3:6" x14ac:dyDescent="0.25">
      <c r="C127"/>
      <c r="E127" s="14"/>
      <c r="F127" s="19"/>
    </row>
    <row r="128" spans="3:6" x14ac:dyDescent="0.25">
      <c r="C128"/>
      <c r="E128" s="14"/>
      <c r="F128" s="19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  <row r="617" spans="3:3" x14ac:dyDescent="0.25">
      <c r="C617"/>
    </row>
    <row r="618" spans="3:3" x14ac:dyDescent="0.25">
      <c r="C618"/>
    </row>
    <row r="619" spans="3:3" x14ac:dyDescent="0.25">
      <c r="C619"/>
    </row>
    <row r="620" spans="3:3" x14ac:dyDescent="0.25">
      <c r="C620"/>
    </row>
    <row r="621" spans="3:3" x14ac:dyDescent="0.25">
      <c r="C621"/>
    </row>
    <row r="622" spans="3:3" x14ac:dyDescent="0.25">
      <c r="C622"/>
    </row>
    <row r="623" spans="3:3" x14ac:dyDescent="0.25">
      <c r="C623"/>
    </row>
    <row r="624" spans="3:3" x14ac:dyDescent="0.25">
      <c r="C624"/>
    </row>
    <row r="625" spans="3:3" x14ac:dyDescent="0.25">
      <c r="C625"/>
    </row>
    <row r="626" spans="3:3" x14ac:dyDescent="0.25">
      <c r="C626"/>
    </row>
    <row r="627" spans="3:3" x14ac:dyDescent="0.25">
      <c r="C627"/>
    </row>
    <row r="628" spans="3:3" x14ac:dyDescent="0.25">
      <c r="C628"/>
    </row>
    <row r="629" spans="3:3" x14ac:dyDescent="0.25">
      <c r="C629"/>
    </row>
    <row r="630" spans="3:3" x14ac:dyDescent="0.25">
      <c r="C630"/>
    </row>
    <row r="631" spans="3:3" x14ac:dyDescent="0.25">
      <c r="C631"/>
    </row>
    <row r="632" spans="3:3" x14ac:dyDescent="0.25">
      <c r="C632"/>
    </row>
    <row r="633" spans="3:3" x14ac:dyDescent="0.25">
      <c r="C633"/>
    </row>
    <row r="634" spans="3:3" x14ac:dyDescent="0.25">
      <c r="C634"/>
    </row>
    <row r="635" spans="3:3" x14ac:dyDescent="0.25">
      <c r="C635"/>
    </row>
    <row r="636" spans="3:3" x14ac:dyDescent="0.25">
      <c r="C636"/>
    </row>
    <row r="637" spans="3:3" x14ac:dyDescent="0.25">
      <c r="C637"/>
    </row>
    <row r="638" spans="3:3" x14ac:dyDescent="0.25">
      <c r="C638"/>
    </row>
    <row r="639" spans="3:3" x14ac:dyDescent="0.25">
      <c r="C639"/>
    </row>
    <row r="640" spans="3:3" x14ac:dyDescent="0.25">
      <c r="C640"/>
    </row>
    <row r="641" spans="3:3" x14ac:dyDescent="0.25">
      <c r="C641"/>
    </row>
    <row r="642" spans="3:3" x14ac:dyDescent="0.25">
      <c r="C642"/>
    </row>
    <row r="643" spans="3:3" x14ac:dyDescent="0.25">
      <c r="C643"/>
    </row>
    <row r="644" spans="3:3" x14ac:dyDescent="0.25">
      <c r="C644"/>
    </row>
    <row r="645" spans="3:3" x14ac:dyDescent="0.25">
      <c r="C645"/>
    </row>
    <row r="646" spans="3:3" x14ac:dyDescent="0.25">
      <c r="C646"/>
    </row>
    <row r="647" spans="3:3" x14ac:dyDescent="0.25">
      <c r="C647"/>
    </row>
    <row r="648" spans="3:3" x14ac:dyDescent="0.25">
      <c r="C648"/>
    </row>
    <row r="649" spans="3:3" x14ac:dyDescent="0.25">
      <c r="C649"/>
    </row>
    <row r="650" spans="3:3" x14ac:dyDescent="0.25">
      <c r="C650"/>
    </row>
    <row r="651" spans="3:3" x14ac:dyDescent="0.25">
      <c r="C651"/>
    </row>
    <row r="652" spans="3:3" x14ac:dyDescent="0.25">
      <c r="C652"/>
    </row>
    <row r="653" spans="3:3" x14ac:dyDescent="0.25">
      <c r="C653"/>
    </row>
    <row r="654" spans="3:3" x14ac:dyDescent="0.25">
      <c r="C654"/>
    </row>
    <row r="655" spans="3:3" x14ac:dyDescent="0.25">
      <c r="C655"/>
    </row>
    <row r="656" spans="3:3" x14ac:dyDescent="0.25">
      <c r="C656"/>
    </row>
    <row r="657" spans="3:3" x14ac:dyDescent="0.25">
      <c r="C657"/>
    </row>
    <row r="658" spans="3:3" x14ac:dyDescent="0.25">
      <c r="C658"/>
    </row>
    <row r="659" spans="3:3" x14ac:dyDescent="0.25">
      <c r="C659"/>
    </row>
    <row r="660" spans="3:3" x14ac:dyDescent="0.25">
      <c r="C660"/>
    </row>
    <row r="661" spans="3:3" x14ac:dyDescent="0.25">
      <c r="C661"/>
    </row>
    <row r="662" spans="3:3" x14ac:dyDescent="0.25">
      <c r="C662"/>
    </row>
    <row r="663" spans="3:3" x14ac:dyDescent="0.25">
      <c r="C663"/>
    </row>
    <row r="664" spans="3:3" x14ac:dyDescent="0.25">
      <c r="C664"/>
    </row>
    <row r="665" spans="3:3" x14ac:dyDescent="0.25">
      <c r="C665"/>
    </row>
    <row r="666" spans="3:3" x14ac:dyDescent="0.25">
      <c r="C666"/>
    </row>
    <row r="667" spans="3:3" x14ac:dyDescent="0.25">
      <c r="C667"/>
    </row>
    <row r="668" spans="3:3" x14ac:dyDescent="0.25">
      <c r="C668"/>
    </row>
    <row r="669" spans="3:3" x14ac:dyDescent="0.25">
      <c r="C669"/>
    </row>
    <row r="670" spans="3:3" x14ac:dyDescent="0.25">
      <c r="C670"/>
    </row>
    <row r="671" spans="3:3" x14ac:dyDescent="0.25">
      <c r="C671"/>
    </row>
    <row r="672" spans="3:3" x14ac:dyDescent="0.25">
      <c r="C672"/>
    </row>
    <row r="673" spans="3:3" x14ac:dyDescent="0.25">
      <c r="C673"/>
    </row>
    <row r="674" spans="3:3" x14ac:dyDescent="0.25">
      <c r="C674"/>
    </row>
    <row r="675" spans="3:3" x14ac:dyDescent="0.25">
      <c r="C675"/>
    </row>
    <row r="676" spans="3:3" x14ac:dyDescent="0.25">
      <c r="C676"/>
    </row>
    <row r="677" spans="3:3" x14ac:dyDescent="0.25">
      <c r="C677"/>
    </row>
    <row r="678" spans="3:3" x14ac:dyDescent="0.25">
      <c r="C678"/>
    </row>
    <row r="679" spans="3:3" x14ac:dyDescent="0.25">
      <c r="C679"/>
    </row>
    <row r="680" spans="3:3" x14ac:dyDescent="0.25">
      <c r="C680"/>
    </row>
    <row r="681" spans="3:3" x14ac:dyDescent="0.25">
      <c r="C681"/>
    </row>
    <row r="682" spans="3:3" x14ac:dyDescent="0.25">
      <c r="C682"/>
    </row>
    <row r="683" spans="3:3" x14ac:dyDescent="0.25">
      <c r="C683"/>
    </row>
    <row r="684" spans="3:3" x14ac:dyDescent="0.25">
      <c r="C684"/>
    </row>
    <row r="685" spans="3:3" x14ac:dyDescent="0.25">
      <c r="C685"/>
    </row>
    <row r="686" spans="3:3" x14ac:dyDescent="0.25">
      <c r="C686"/>
    </row>
    <row r="687" spans="3:3" x14ac:dyDescent="0.25">
      <c r="C687"/>
    </row>
    <row r="688" spans="3:3" x14ac:dyDescent="0.25">
      <c r="C688"/>
    </row>
    <row r="689" spans="3:3" x14ac:dyDescent="0.25">
      <c r="C689"/>
    </row>
    <row r="690" spans="3:3" x14ac:dyDescent="0.25">
      <c r="C690"/>
    </row>
    <row r="691" spans="3:3" x14ac:dyDescent="0.25">
      <c r="C691"/>
    </row>
    <row r="692" spans="3:3" x14ac:dyDescent="0.25">
      <c r="C692"/>
    </row>
    <row r="693" spans="3:3" x14ac:dyDescent="0.25">
      <c r="C693"/>
    </row>
    <row r="694" spans="3:3" x14ac:dyDescent="0.25">
      <c r="C694"/>
    </row>
    <row r="695" spans="3:3" x14ac:dyDescent="0.25">
      <c r="C695"/>
    </row>
    <row r="696" spans="3:3" x14ac:dyDescent="0.25">
      <c r="C696"/>
    </row>
    <row r="697" spans="3:3" x14ac:dyDescent="0.25">
      <c r="C697"/>
    </row>
    <row r="698" spans="3:3" x14ac:dyDescent="0.25">
      <c r="C698"/>
    </row>
    <row r="699" spans="3:3" x14ac:dyDescent="0.25">
      <c r="C699"/>
    </row>
    <row r="700" spans="3:3" x14ac:dyDescent="0.25">
      <c r="C700"/>
    </row>
    <row r="701" spans="3:3" x14ac:dyDescent="0.25">
      <c r="C701"/>
    </row>
    <row r="702" spans="3:3" x14ac:dyDescent="0.25">
      <c r="C702"/>
    </row>
    <row r="703" spans="3:3" x14ac:dyDescent="0.25">
      <c r="C703"/>
    </row>
    <row r="704" spans="3:3" x14ac:dyDescent="0.25">
      <c r="C704"/>
    </row>
    <row r="705" spans="3:3" x14ac:dyDescent="0.25">
      <c r="C705"/>
    </row>
    <row r="706" spans="3:3" x14ac:dyDescent="0.25">
      <c r="C706"/>
    </row>
    <row r="707" spans="3:3" x14ac:dyDescent="0.25">
      <c r="C707"/>
    </row>
    <row r="708" spans="3:3" x14ac:dyDescent="0.25">
      <c r="C708"/>
    </row>
    <row r="709" spans="3:3" x14ac:dyDescent="0.25">
      <c r="C709"/>
    </row>
    <row r="710" spans="3:3" x14ac:dyDescent="0.25">
      <c r="C710"/>
    </row>
    <row r="711" spans="3:3" x14ac:dyDescent="0.25">
      <c r="C711"/>
    </row>
    <row r="712" spans="3:3" x14ac:dyDescent="0.25">
      <c r="C712"/>
    </row>
    <row r="713" spans="3:3" x14ac:dyDescent="0.25">
      <c r="C713"/>
    </row>
    <row r="714" spans="3:3" x14ac:dyDescent="0.25">
      <c r="C714"/>
    </row>
    <row r="715" spans="3:3" x14ac:dyDescent="0.25">
      <c r="C715"/>
    </row>
    <row r="716" spans="3:3" x14ac:dyDescent="0.25">
      <c r="C716"/>
    </row>
    <row r="717" spans="3:3" x14ac:dyDescent="0.25">
      <c r="C717"/>
    </row>
    <row r="718" spans="3:3" x14ac:dyDescent="0.25">
      <c r="C718"/>
    </row>
    <row r="719" spans="3:3" x14ac:dyDescent="0.25">
      <c r="C719"/>
    </row>
    <row r="720" spans="3:3" x14ac:dyDescent="0.25">
      <c r="C720"/>
    </row>
    <row r="721" spans="3:3" x14ac:dyDescent="0.25">
      <c r="C721"/>
    </row>
    <row r="722" spans="3:3" x14ac:dyDescent="0.25">
      <c r="C722"/>
    </row>
    <row r="723" spans="3:3" x14ac:dyDescent="0.25">
      <c r="C723"/>
    </row>
    <row r="724" spans="3:3" x14ac:dyDescent="0.25">
      <c r="C724"/>
    </row>
    <row r="725" spans="3:3" x14ac:dyDescent="0.25">
      <c r="C725"/>
    </row>
    <row r="726" spans="3:3" x14ac:dyDescent="0.25">
      <c r="C726"/>
    </row>
    <row r="727" spans="3:3" x14ac:dyDescent="0.25">
      <c r="C727"/>
    </row>
    <row r="728" spans="3:3" x14ac:dyDescent="0.25">
      <c r="C728"/>
    </row>
    <row r="729" spans="3:3" x14ac:dyDescent="0.25">
      <c r="C729"/>
    </row>
    <row r="730" spans="3:3" x14ac:dyDescent="0.25">
      <c r="C730"/>
    </row>
    <row r="731" spans="3:3" x14ac:dyDescent="0.25">
      <c r="C731"/>
    </row>
    <row r="732" spans="3:3" x14ac:dyDescent="0.25">
      <c r="C732"/>
    </row>
    <row r="733" spans="3:3" x14ac:dyDescent="0.25">
      <c r="C733"/>
    </row>
    <row r="734" spans="3:3" x14ac:dyDescent="0.25">
      <c r="C734"/>
    </row>
    <row r="735" spans="3:3" x14ac:dyDescent="0.25">
      <c r="C735"/>
    </row>
    <row r="736" spans="3:3" x14ac:dyDescent="0.25">
      <c r="C736"/>
    </row>
    <row r="737" spans="3:3" x14ac:dyDescent="0.25">
      <c r="C737"/>
    </row>
    <row r="738" spans="3:3" x14ac:dyDescent="0.25">
      <c r="C738"/>
    </row>
    <row r="739" spans="3:3" x14ac:dyDescent="0.25">
      <c r="C739"/>
    </row>
    <row r="740" spans="3:3" x14ac:dyDescent="0.25">
      <c r="C740"/>
    </row>
    <row r="741" spans="3:3" x14ac:dyDescent="0.25">
      <c r="C741"/>
    </row>
    <row r="742" spans="3:3" x14ac:dyDescent="0.25">
      <c r="C742"/>
    </row>
    <row r="743" spans="3:3" x14ac:dyDescent="0.25">
      <c r="C743"/>
    </row>
    <row r="744" spans="3:3" x14ac:dyDescent="0.25">
      <c r="C744"/>
    </row>
    <row r="745" spans="3:3" x14ac:dyDescent="0.25">
      <c r="C745"/>
    </row>
    <row r="746" spans="3:3" x14ac:dyDescent="0.25">
      <c r="C746"/>
    </row>
    <row r="747" spans="3:3" x14ac:dyDescent="0.25">
      <c r="C747"/>
    </row>
    <row r="748" spans="3:3" x14ac:dyDescent="0.25">
      <c r="C748"/>
    </row>
    <row r="749" spans="3:3" x14ac:dyDescent="0.25">
      <c r="C749"/>
    </row>
    <row r="750" spans="3:3" x14ac:dyDescent="0.25">
      <c r="C750"/>
    </row>
    <row r="751" spans="3:3" x14ac:dyDescent="0.25">
      <c r="C751"/>
    </row>
    <row r="752" spans="3:3" x14ac:dyDescent="0.25">
      <c r="C752"/>
    </row>
    <row r="753" spans="3:3" x14ac:dyDescent="0.25">
      <c r="C753"/>
    </row>
    <row r="754" spans="3:3" x14ac:dyDescent="0.25">
      <c r="C754"/>
    </row>
    <row r="755" spans="3:3" x14ac:dyDescent="0.25">
      <c r="C755"/>
    </row>
    <row r="756" spans="3:3" x14ac:dyDescent="0.25">
      <c r="C756"/>
    </row>
    <row r="757" spans="3:3" x14ac:dyDescent="0.25">
      <c r="C757"/>
    </row>
    <row r="758" spans="3:3" x14ac:dyDescent="0.25">
      <c r="C758"/>
    </row>
    <row r="759" spans="3:3" x14ac:dyDescent="0.25">
      <c r="C759"/>
    </row>
    <row r="760" spans="3:3" x14ac:dyDescent="0.25">
      <c r="C760"/>
    </row>
    <row r="761" spans="3:3" x14ac:dyDescent="0.25">
      <c r="C761"/>
    </row>
    <row r="762" spans="3:3" x14ac:dyDescent="0.25">
      <c r="C762"/>
    </row>
    <row r="763" spans="3:3" x14ac:dyDescent="0.25">
      <c r="C763"/>
    </row>
    <row r="764" spans="3:3" x14ac:dyDescent="0.25">
      <c r="C764"/>
    </row>
    <row r="765" spans="3:3" x14ac:dyDescent="0.25">
      <c r="C765"/>
    </row>
    <row r="766" spans="3:3" x14ac:dyDescent="0.25">
      <c r="C766"/>
    </row>
    <row r="767" spans="3:3" x14ac:dyDescent="0.25">
      <c r="C767"/>
    </row>
    <row r="768" spans="3:3" x14ac:dyDescent="0.25">
      <c r="C768"/>
    </row>
    <row r="769" spans="3:3" x14ac:dyDescent="0.25">
      <c r="C769"/>
    </row>
    <row r="770" spans="3:3" x14ac:dyDescent="0.25">
      <c r="C770"/>
    </row>
    <row r="771" spans="3:3" x14ac:dyDescent="0.25">
      <c r="C771"/>
    </row>
    <row r="772" spans="3:3" x14ac:dyDescent="0.25">
      <c r="C772"/>
    </row>
    <row r="773" spans="3:3" x14ac:dyDescent="0.25">
      <c r="C773"/>
    </row>
    <row r="774" spans="3:3" x14ac:dyDescent="0.25">
      <c r="C774"/>
    </row>
    <row r="775" spans="3:3" x14ac:dyDescent="0.25">
      <c r="C775"/>
    </row>
    <row r="776" spans="3:3" x14ac:dyDescent="0.25">
      <c r="C776"/>
    </row>
    <row r="777" spans="3:3" x14ac:dyDescent="0.25">
      <c r="C777"/>
    </row>
    <row r="778" spans="3:3" x14ac:dyDescent="0.25">
      <c r="C778"/>
    </row>
    <row r="779" spans="3:3" x14ac:dyDescent="0.25">
      <c r="C779"/>
    </row>
    <row r="780" spans="3:3" x14ac:dyDescent="0.25">
      <c r="C780"/>
    </row>
    <row r="781" spans="3:3" x14ac:dyDescent="0.25">
      <c r="C781"/>
    </row>
    <row r="782" spans="3:3" x14ac:dyDescent="0.25">
      <c r="C782"/>
    </row>
    <row r="783" spans="3:3" x14ac:dyDescent="0.25">
      <c r="C783"/>
    </row>
    <row r="784" spans="3:3" x14ac:dyDescent="0.25">
      <c r="C784"/>
    </row>
    <row r="785" spans="3:3" x14ac:dyDescent="0.25">
      <c r="C785"/>
    </row>
    <row r="786" spans="3:3" x14ac:dyDescent="0.25">
      <c r="C786"/>
    </row>
    <row r="787" spans="3:3" x14ac:dyDescent="0.25">
      <c r="C787"/>
    </row>
    <row r="788" spans="3:3" x14ac:dyDescent="0.25">
      <c r="C788"/>
    </row>
    <row r="789" spans="3:3" x14ac:dyDescent="0.25">
      <c r="C789"/>
    </row>
    <row r="790" spans="3:3" x14ac:dyDescent="0.25">
      <c r="C790"/>
    </row>
    <row r="791" spans="3:3" x14ac:dyDescent="0.25">
      <c r="C791"/>
    </row>
    <row r="792" spans="3:3" x14ac:dyDescent="0.25">
      <c r="C792"/>
    </row>
    <row r="793" spans="3:3" x14ac:dyDescent="0.25">
      <c r="C793"/>
    </row>
    <row r="794" spans="3:3" x14ac:dyDescent="0.25">
      <c r="C794"/>
    </row>
    <row r="795" spans="3:3" x14ac:dyDescent="0.25">
      <c r="C795"/>
    </row>
    <row r="796" spans="3:3" x14ac:dyDescent="0.25">
      <c r="C796"/>
    </row>
    <row r="797" spans="3:3" x14ac:dyDescent="0.25">
      <c r="C797"/>
    </row>
    <row r="798" spans="3:3" x14ac:dyDescent="0.25">
      <c r="C798"/>
    </row>
    <row r="799" spans="3:3" x14ac:dyDescent="0.25">
      <c r="C799"/>
    </row>
    <row r="800" spans="3:3" x14ac:dyDescent="0.25">
      <c r="C800"/>
    </row>
    <row r="801" spans="3:3" x14ac:dyDescent="0.25">
      <c r="C801"/>
    </row>
    <row r="802" spans="3:3" x14ac:dyDescent="0.25">
      <c r="C802"/>
    </row>
    <row r="803" spans="3:3" x14ac:dyDescent="0.25">
      <c r="C803"/>
    </row>
    <row r="804" spans="3:3" x14ac:dyDescent="0.25">
      <c r="C804"/>
    </row>
    <row r="805" spans="3:3" x14ac:dyDescent="0.25">
      <c r="C805"/>
    </row>
    <row r="806" spans="3:3" x14ac:dyDescent="0.25">
      <c r="C806"/>
    </row>
    <row r="807" spans="3:3" x14ac:dyDescent="0.25">
      <c r="C807"/>
    </row>
    <row r="808" spans="3:3" x14ac:dyDescent="0.25">
      <c r="C808"/>
    </row>
    <row r="809" spans="3:3" x14ac:dyDescent="0.25">
      <c r="C809"/>
    </row>
    <row r="810" spans="3:3" x14ac:dyDescent="0.25">
      <c r="C810"/>
    </row>
    <row r="811" spans="3:3" x14ac:dyDescent="0.25">
      <c r="C811"/>
    </row>
    <row r="812" spans="3:3" x14ac:dyDescent="0.25">
      <c r="C812"/>
    </row>
    <row r="813" spans="3:3" x14ac:dyDescent="0.25">
      <c r="C813"/>
    </row>
    <row r="814" spans="3:3" x14ac:dyDescent="0.25">
      <c r="C814"/>
    </row>
    <row r="815" spans="3:3" x14ac:dyDescent="0.25">
      <c r="C815"/>
    </row>
    <row r="816" spans="3:3" x14ac:dyDescent="0.25">
      <c r="C816"/>
    </row>
    <row r="817" spans="3:3" x14ac:dyDescent="0.25">
      <c r="C817"/>
    </row>
    <row r="818" spans="3:3" x14ac:dyDescent="0.25">
      <c r="C818"/>
    </row>
    <row r="819" spans="3:3" x14ac:dyDescent="0.25">
      <c r="C819"/>
    </row>
    <row r="820" spans="3:3" x14ac:dyDescent="0.25">
      <c r="C820"/>
    </row>
    <row r="821" spans="3:3" x14ac:dyDescent="0.25">
      <c r="C821"/>
    </row>
    <row r="822" spans="3:3" x14ac:dyDescent="0.25">
      <c r="C822"/>
    </row>
    <row r="823" spans="3:3" x14ac:dyDescent="0.25">
      <c r="C823"/>
    </row>
    <row r="824" spans="3:3" x14ac:dyDescent="0.25">
      <c r="C824"/>
    </row>
    <row r="825" spans="3:3" x14ac:dyDescent="0.25">
      <c r="C825"/>
    </row>
    <row r="826" spans="3:3" x14ac:dyDescent="0.25">
      <c r="C826"/>
    </row>
    <row r="827" spans="3:3" x14ac:dyDescent="0.25">
      <c r="C827"/>
    </row>
    <row r="828" spans="3:3" x14ac:dyDescent="0.25">
      <c r="C828"/>
    </row>
    <row r="829" spans="3:3" x14ac:dyDescent="0.25">
      <c r="C829"/>
    </row>
    <row r="830" spans="3:3" x14ac:dyDescent="0.25">
      <c r="C830"/>
    </row>
    <row r="831" spans="3:3" x14ac:dyDescent="0.25">
      <c r="C831"/>
    </row>
    <row r="832" spans="3:3" x14ac:dyDescent="0.25">
      <c r="C832"/>
    </row>
    <row r="833" spans="3:3" x14ac:dyDescent="0.25">
      <c r="C833"/>
    </row>
    <row r="834" spans="3:3" x14ac:dyDescent="0.25">
      <c r="C834"/>
    </row>
    <row r="835" spans="3:3" x14ac:dyDescent="0.25">
      <c r="C835"/>
    </row>
    <row r="836" spans="3:3" x14ac:dyDescent="0.25">
      <c r="C836"/>
    </row>
    <row r="837" spans="3:3" x14ac:dyDescent="0.25">
      <c r="C837"/>
    </row>
    <row r="838" spans="3:3" x14ac:dyDescent="0.25">
      <c r="C838"/>
    </row>
    <row r="839" spans="3:3" x14ac:dyDescent="0.25">
      <c r="C839"/>
    </row>
    <row r="840" spans="3:3" x14ac:dyDescent="0.25">
      <c r="C840"/>
    </row>
    <row r="841" spans="3:3" x14ac:dyDescent="0.25">
      <c r="C841"/>
    </row>
    <row r="842" spans="3:3" x14ac:dyDescent="0.25">
      <c r="C842"/>
    </row>
    <row r="843" spans="3:3" x14ac:dyDescent="0.25">
      <c r="C843"/>
    </row>
    <row r="844" spans="3:3" x14ac:dyDescent="0.25">
      <c r="C844"/>
    </row>
    <row r="845" spans="3:3" x14ac:dyDescent="0.25">
      <c r="C845"/>
    </row>
    <row r="846" spans="3:3" x14ac:dyDescent="0.25">
      <c r="C846"/>
    </row>
    <row r="847" spans="3:3" x14ac:dyDescent="0.25">
      <c r="C847"/>
    </row>
    <row r="848" spans="3:3" x14ac:dyDescent="0.25">
      <c r="C848"/>
    </row>
    <row r="849" spans="3:3" x14ac:dyDescent="0.25">
      <c r="C849"/>
    </row>
    <row r="850" spans="3:3" x14ac:dyDescent="0.25">
      <c r="C850"/>
    </row>
    <row r="851" spans="3:3" x14ac:dyDescent="0.25">
      <c r="C851"/>
    </row>
    <row r="852" spans="3:3" x14ac:dyDescent="0.25">
      <c r="C852"/>
    </row>
    <row r="853" spans="3:3" x14ac:dyDescent="0.25">
      <c r="C853"/>
    </row>
    <row r="854" spans="3:3" x14ac:dyDescent="0.25">
      <c r="C854"/>
    </row>
    <row r="855" spans="3:3" x14ac:dyDescent="0.25">
      <c r="C855"/>
    </row>
    <row r="856" spans="3:3" x14ac:dyDescent="0.25">
      <c r="C856"/>
    </row>
    <row r="857" spans="3:3" x14ac:dyDescent="0.25">
      <c r="C857"/>
    </row>
    <row r="858" spans="3:3" x14ac:dyDescent="0.25">
      <c r="C858"/>
    </row>
    <row r="859" spans="3:3" x14ac:dyDescent="0.25">
      <c r="C859"/>
    </row>
    <row r="860" spans="3:3" x14ac:dyDescent="0.25">
      <c r="C860"/>
    </row>
    <row r="861" spans="3:3" x14ac:dyDescent="0.25">
      <c r="C861"/>
    </row>
    <row r="862" spans="3:3" x14ac:dyDescent="0.25">
      <c r="C862"/>
    </row>
    <row r="863" spans="3:3" x14ac:dyDescent="0.25">
      <c r="C863"/>
    </row>
    <row r="864" spans="3:3" x14ac:dyDescent="0.25">
      <c r="C864"/>
    </row>
    <row r="865" spans="3:3" x14ac:dyDescent="0.25">
      <c r="C865"/>
    </row>
    <row r="866" spans="3:3" x14ac:dyDescent="0.25">
      <c r="C866"/>
    </row>
    <row r="867" spans="3:3" x14ac:dyDescent="0.25">
      <c r="C867"/>
    </row>
    <row r="868" spans="3:3" x14ac:dyDescent="0.25">
      <c r="C868"/>
    </row>
    <row r="869" spans="3:3" x14ac:dyDescent="0.25">
      <c r="C869"/>
    </row>
    <row r="870" spans="3:3" x14ac:dyDescent="0.25">
      <c r="C870"/>
    </row>
    <row r="871" spans="3:3" x14ac:dyDescent="0.25">
      <c r="C871"/>
    </row>
    <row r="872" spans="3:3" x14ac:dyDescent="0.25">
      <c r="C872"/>
    </row>
    <row r="873" spans="3:3" x14ac:dyDescent="0.25">
      <c r="C873"/>
    </row>
    <row r="874" spans="3:3" x14ac:dyDescent="0.25">
      <c r="C874"/>
    </row>
    <row r="875" spans="3:3" x14ac:dyDescent="0.25">
      <c r="C875"/>
    </row>
    <row r="876" spans="3:3" x14ac:dyDescent="0.25">
      <c r="C876"/>
    </row>
    <row r="877" spans="3:3" x14ac:dyDescent="0.25">
      <c r="C877"/>
    </row>
    <row r="878" spans="3:3" x14ac:dyDescent="0.25">
      <c r="C878"/>
    </row>
    <row r="879" spans="3:3" x14ac:dyDescent="0.25">
      <c r="C879"/>
    </row>
    <row r="880" spans="3:3" x14ac:dyDescent="0.25">
      <c r="C880"/>
    </row>
    <row r="881" spans="3:3" x14ac:dyDescent="0.25">
      <c r="C881"/>
    </row>
    <row r="882" spans="3:3" x14ac:dyDescent="0.25">
      <c r="C882"/>
    </row>
    <row r="883" spans="3:3" x14ac:dyDescent="0.25">
      <c r="C883"/>
    </row>
    <row r="884" spans="3:3" x14ac:dyDescent="0.25">
      <c r="C884"/>
    </row>
    <row r="885" spans="3:3" x14ac:dyDescent="0.25">
      <c r="C885"/>
    </row>
    <row r="886" spans="3:3" x14ac:dyDescent="0.25">
      <c r="C886"/>
    </row>
    <row r="887" spans="3:3" x14ac:dyDescent="0.25">
      <c r="C887"/>
    </row>
    <row r="888" spans="3:3" x14ac:dyDescent="0.25">
      <c r="C888"/>
    </row>
    <row r="889" spans="3:3" x14ac:dyDescent="0.25">
      <c r="C889"/>
    </row>
    <row r="890" spans="3:3" x14ac:dyDescent="0.25">
      <c r="C890"/>
    </row>
    <row r="891" spans="3:3" x14ac:dyDescent="0.25">
      <c r="C891"/>
    </row>
    <row r="892" spans="3:3" x14ac:dyDescent="0.25">
      <c r="C892"/>
    </row>
    <row r="893" spans="3:3" x14ac:dyDescent="0.25">
      <c r="C893"/>
    </row>
    <row r="894" spans="3:3" x14ac:dyDescent="0.25">
      <c r="C894"/>
    </row>
    <row r="895" spans="3:3" x14ac:dyDescent="0.25">
      <c r="C895"/>
    </row>
    <row r="896" spans="3:3" x14ac:dyDescent="0.25">
      <c r="C896"/>
    </row>
    <row r="897" spans="3:3" x14ac:dyDescent="0.25">
      <c r="C897"/>
    </row>
    <row r="898" spans="3:3" x14ac:dyDescent="0.25">
      <c r="C898"/>
    </row>
    <row r="899" spans="3:3" x14ac:dyDescent="0.25">
      <c r="C899"/>
    </row>
    <row r="900" spans="3:3" x14ac:dyDescent="0.25">
      <c r="C900"/>
    </row>
    <row r="901" spans="3:3" x14ac:dyDescent="0.25">
      <c r="C901"/>
    </row>
    <row r="902" spans="3:3" x14ac:dyDescent="0.25">
      <c r="C902"/>
    </row>
    <row r="903" spans="3:3" x14ac:dyDescent="0.25">
      <c r="C903"/>
    </row>
    <row r="904" spans="3:3" x14ac:dyDescent="0.25">
      <c r="C904"/>
    </row>
    <row r="905" spans="3:3" x14ac:dyDescent="0.25">
      <c r="C905"/>
    </row>
    <row r="906" spans="3:3" x14ac:dyDescent="0.25">
      <c r="C906"/>
    </row>
    <row r="907" spans="3:3" x14ac:dyDescent="0.25">
      <c r="C907"/>
    </row>
    <row r="908" spans="3:3" x14ac:dyDescent="0.25">
      <c r="C908"/>
    </row>
    <row r="909" spans="3:3" x14ac:dyDescent="0.25">
      <c r="C909"/>
    </row>
    <row r="910" spans="3:3" x14ac:dyDescent="0.25">
      <c r="C910"/>
    </row>
    <row r="911" spans="3:3" x14ac:dyDescent="0.25">
      <c r="C911"/>
    </row>
    <row r="912" spans="3:3" x14ac:dyDescent="0.25">
      <c r="C912"/>
    </row>
    <row r="913" spans="3:3" x14ac:dyDescent="0.25">
      <c r="C913"/>
    </row>
    <row r="914" spans="3:3" x14ac:dyDescent="0.25">
      <c r="C914"/>
    </row>
    <row r="915" spans="3:3" x14ac:dyDescent="0.25">
      <c r="C915"/>
    </row>
    <row r="916" spans="3:3" x14ac:dyDescent="0.25">
      <c r="C916"/>
    </row>
    <row r="917" spans="3:3" x14ac:dyDescent="0.25">
      <c r="C917"/>
    </row>
    <row r="918" spans="3:3" x14ac:dyDescent="0.25">
      <c r="C918"/>
    </row>
    <row r="919" spans="3:3" x14ac:dyDescent="0.25">
      <c r="C919"/>
    </row>
    <row r="920" spans="3:3" x14ac:dyDescent="0.25">
      <c r="C920"/>
    </row>
    <row r="921" spans="3:3" x14ac:dyDescent="0.25">
      <c r="C921"/>
    </row>
    <row r="922" spans="3:3" x14ac:dyDescent="0.25">
      <c r="C922"/>
    </row>
    <row r="923" spans="3:3" x14ac:dyDescent="0.25">
      <c r="C923"/>
    </row>
    <row r="924" spans="3:3" x14ac:dyDescent="0.25">
      <c r="C924"/>
    </row>
    <row r="925" spans="3:3" x14ac:dyDescent="0.25">
      <c r="C925"/>
    </row>
    <row r="926" spans="3:3" x14ac:dyDescent="0.25">
      <c r="C926"/>
    </row>
    <row r="927" spans="3:3" x14ac:dyDescent="0.25">
      <c r="C927"/>
    </row>
    <row r="928" spans="3:3" x14ac:dyDescent="0.25">
      <c r="C928"/>
    </row>
    <row r="929" spans="3:3" x14ac:dyDescent="0.25">
      <c r="C929"/>
    </row>
    <row r="930" spans="3:3" x14ac:dyDescent="0.25">
      <c r="C930"/>
    </row>
    <row r="931" spans="3:3" x14ac:dyDescent="0.25">
      <c r="C931"/>
    </row>
    <row r="932" spans="3:3" x14ac:dyDescent="0.25">
      <c r="C932"/>
    </row>
    <row r="933" spans="3:3" x14ac:dyDescent="0.25">
      <c r="C933"/>
    </row>
    <row r="934" spans="3:3" x14ac:dyDescent="0.25">
      <c r="C934"/>
    </row>
    <row r="935" spans="3:3" x14ac:dyDescent="0.25">
      <c r="C935"/>
    </row>
    <row r="936" spans="3:3" x14ac:dyDescent="0.25">
      <c r="C936"/>
    </row>
    <row r="937" spans="3:3" x14ac:dyDescent="0.25">
      <c r="C937"/>
    </row>
    <row r="938" spans="3:3" x14ac:dyDescent="0.25">
      <c r="C938"/>
    </row>
    <row r="939" spans="3:3" x14ac:dyDescent="0.25">
      <c r="C939"/>
    </row>
    <row r="940" spans="3:3" x14ac:dyDescent="0.25">
      <c r="C940"/>
    </row>
    <row r="941" spans="3:3" x14ac:dyDescent="0.25">
      <c r="C941"/>
    </row>
    <row r="942" spans="3:3" x14ac:dyDescent="0.25">
      <c r="C942"/>
    </row>
    <row r="943" spans="3:3" x14ac:dyDescent="0.25">
      <c r="C943"/>
    </row>
    <row r="944" spans="3:3" x14ac:dyDescent="0.25">
      <c r="C944"/>
    </row>
    <row r="945" spans="3:3" x14ac:dyDescent="0.25">
      <c r="C945"/>
    </row>
    <row r="946" spans="3:3" x14ac:dyDescent="0.25">
      <c r="C946"/>
    </row>
    <row r="947" spans="3:3" x14ac:dyDescent="0.25">
      <c r="C947"/>
    </row>
    <row r="948" spans="3:3" x14ac:dyDescent="0.25">
      <c r="C948"/>
    </row>
    <row r="949" spans="3:3" x14ac:dyDescent="0.25">
      <c r="C949"/>
    </row>
    <row r="950" spans="3:3" x14ac:dyDescent="0.25">
      <c r="C950"/>
    </row>
    <row r="951" spans="3:3" x14ac:dyDescent="0.25">
      <c r="C951"/>
    </row>
    <row r="952" spans="3:3" x14ac:dyDescent="0.25">
      <c r="C952"/>
    </row>
    <row r="953" spans="3:3" x14ac:dyDescent="0.25">
      <c r="C953"/>
    </row>
    <row r="954" spans="3:3" x14ac:dyDescent="0.25">
      <c r="C954"/>
    </row>
    <row r="955" spans="3:3" x14ac:dyDescent="0.25">
      <c r="C955"/>
    </row>
    <row r="956" spans="3:3" x14ac:dyDescent="0.25">
      <c r="C956"/>
    </row>
    <row r="957" spans="3:3" x14ac:dyDescent="0.25">
      <c r="C957"/>
    </row>
    <row r="958" spans="3:3" x14ac:dyDescent="0.25">
      <c r="C958"/>
    </row>
    <row r="959" spans="3:3" x14ac:dyDescent="0.25">
      <c r="C959"/>
    </row>
    <row r="960" spans="3:3" x14ac:dyDescent="0.25">
      <c r="C960"/>
    </row>
    <row r="961" spans="3:3" x14ac:dyDescent="0.25">
      <c r="C961"/>
    </row>
    <row r="962" spans="3:3" x14ac:dyDescent="0.25">
      <c r="C962"/>
    </row>
    <row r="963" spans="3:3" x14ac:dyDescent="0.25">
      <c r="C963"/>
    </row>
    <row r="964" spans="3:3" x14ac:dyDescent="0.25">
      <c r="C964"/>
    </row>
    <row r="965" spans="3:3" x14ac:dyDescent="0.25">
      <c r="C965"/>
    </row>
    <row r="966" spans="3:3" x14ac:dyDescent="0.25">
      <c r="C966"/>
    </row>
    <row r="967" spans="3:3" x14ac:dyDescent="0.25">
      <c r="C967"/>
    </row>
    <row r="968" spans="3:3" x14ac:dyDescent="0.25">
      <c r="C968"/>
    </row>
    <row r="969" spans="3:3" x14ac:dyDescent="0.25">
      <c r="C969"/>
    </row>
    <row r="970" spans="3:3" x14ac:dyDescent="0.25">
      <c r="C970"/>
    </row>
    <row r="971" spans="3:3" x14ac:dyDescent="0.25">
      <c r="C971"/>
    </row>
    <row r="972" spans="3:3" x14ac:dyDescent="0.25">
      <c r="C972"/>
    </row>
    <row r="973" spans="3:3" x14ac:dyDescent="0.25">
      <c r="C973"/>
    </row>
    <row r="974" spans="3:3" x14ac:dyDescent="0.25">
      <c r="C974"/>
    </row>
    <row r="975" spans="3:3" x14ac:dyDescent="0.25">
      <c r="C975"/>
    </row>
    <row r="976" spans="3:3" x14ac:dyDescent="0.25">
      <c r="C976"/>
    </row>
    <row r="977" spans="3:3" x14ac:dyDescent="0.25">
      <c r="C977"/>
    </row>
    <row r="978" spans="3:3" x14ac:dyDescent="0.25">
      <c r="C978"/>
    </row>
    <row r="979" spans="3:3" x14ac:dyDescent="0.25">
      <c r="C979"/>
    </row>
    <row r="980" spans="3:3" x14ac:dyDescent="0.25">
      <c r="C980"/>
    </row>
    <row r="981" spans="3:3" x14ac:dyDescent="0.25">
      <c r="C981"/>
    </row>
    <row r="982" spans="3:3" x14ac:dyDescent="0.25">
      <c r="C982"/>
    </row>
    <row r="983" spans="3:3" x14ac:dyDescent="0.25">
      <c r="C983"/>
    </row>
    <row r="984" spans="3:3" x14ac:dyDescent="0.25">
      <c r="C984"/>
    </row>
    <row r="985" spans="3:3" x14ac:dyDescent="0.25">
      <c r="C985"/>
    </row>
    <row r="986" spans="3:3" x14ac:dyDescent="0.25">
      <c r="C986"/>
    </row>
    <row r="987" spans="3:3" x14ac:dyDescent="0.25">
      <c r="C987"/>
    </row>
    <row r="988" spans="3:3" x14ac:dyDescent="0.25">
      <c r="C988"/>
    </row>
    <row r="989" spans="3:3" x14ac:dyDescent="0.25">
      <c r="C989"/>
    </row>
    <row r="990" spans="3:3" x14ac:dyDescent="0.25">
      <c r="C990"/>
    </row>
    <row r="991" spans="3:3" x14ac:dyDescent="0.25">
      <c r="C991"/>
    </row>
    <row r="992" spans="3:3" x14ac:dyDescent="0.25">
      <c r="C992"/>
    </row>
    <row r="993" spans="3:3" x14ac:dyDescent="0.25">
      <c r="C993"/>
    </row>
    <row r="994" spans="3:3" x14ac:dyDescent="0.25">
      <c r="C994"/>
    </row>
    <row r="995" spans="3:3" x14ac:dyDescent="0.25">
      <c r="C995"/>
    </row>
    <row r="996" spans="3:3" x14ac:dyDescent="0.25">
      <c r="C996"/>
    </row>
    <row r="997" spans="3:3" x14ac:dyDescent="0.25">
      <c r="C997"/>
    </row>
    <row r="998" spans="3:3" x14ac:dyDescent="0.25">
      <c r="C998"/>
    </row>
    <row r="999" spans="3:3" x14ac:dyDescent="0.25">
      <c r="C999"/>
    </row>
    <row r="1000" spans="3:3" x14ac:dyDescent="0.25">
      <c r="C1000"/>
    </row>
    <row r="1001" spans="3:3" x14ac:dyDescent="0.25">
      <c r="C1001"/>
    </row>
    <row r="1002" spans="3:3" x14ac:dyDescent="0.25">
      <c r="C1002"/>
    </row>
    <row r="1003" spans="3:3" x14ac:dyDescent="0.25">
      <c r="C1003"/>
    </row>
    <row r="1004" spans="3:3" x14ac:dyDescent="0.25">
      <c r="C1004"/>
    </row>
    <row r="1005" spans="3:3" x14ac:dyDescent="0.25">
      <c r="C1005"/>
    </row>
    <row r="1006" spans="3:3" x14ac:dyDescent="0.25">
      <c r="C1006"/>
    </row>
    <row r="1007" spans="3:3" x14ac:dyDescent="0.25">
      <c r="C1007"/>
    </row>
    <row r="1008" spans="3:3" x14ac:dyDescent="0.25">
      <c r="C1008"/>
    </row>
    <row r="1009" spans="3:3" x14ac:dyDescent="0.25">
      <c r="C1009"/>
    </row>
    <row r="1010" spans="3:3" x14ac:dyDescent="0.25">
      <c r="C1010"/>
    </row>
    <row r="1011" spans="3:3" x14ac:dyDescent="0.25">
      <c r="C1011"/>
    </row>
    <row r="1012" spans="3:3" x14ac:dyDescent="0.25">
      <c r="C1012"/>
    </row>
    <row r="1013" spans="3:3" x14ac:dyDescent="0.25">
      <c r="C1013"/>
    </row>
    <row r="1014" spans="3:3" x14ac:dyDescent="0.25">
      <c r="C1014"/>
    </row>
    <row r="1015" spans="3:3" x14ac:dyDescent="0.25">
      <c r="C1015"/>
    </row>
    <row r="1016" spans="3:3" x14ac:dyDescent="0.25">
      <c r="C1016"/>
    </row>
    <row r="1017" spans="3:3" x14ac:dyDescent="0.25">
      <c r="C1017"/>
    </row>
    <row r="1018" spans="3:3" x14ac:dyDescent="0.25">
      <c r="C1018"/>
    </row>
    <row r="1019" spans="3:3" x14ac:dyDescent="0.25">
      <c r="C1019"/>
    </row>
    <row r="1020" spans="3:3" x14ac:dyDescent="0.25">
      <c r="C1020"/>
    </row>
    <row r="1021" spans="3:3" x14ac:dyDescent="0.25">
      <c r="C1021"/>
    </row>
    <row r="1022" spans="3:3" x14ac:dyDescent="0.25">
      <c r="C1022"/>
    </row>
    <row r="1023" spans="3:3" x14ac:dyDescent="0.25">
      <c r="C1023"/>
    </row>
    <row r="1024" spans="3:3" x14ac:dyDescent="0.25">
      <c r="C1024"/>
    </row>
    <row r="1025" spans="3:3" x14ac:dyDescent="0.25">
      <c r="C1025"/>
    </row>
    <row r="1026" spans="3:3" x14ac:dyDescent="0.25">
      <c r="C1026"/>
    </row>
    <row r="1027" spans="3:3" x14ac:dyDescent="0.25">
      <c r="C1027"/>
    </row>
    <row r="1028" spans="3:3" x14ac:dyDescent="0.25">
      <c r="C1028"/>
    </row>
    <row r="1029" spans="3:3" x14ac:dyDescent="0.25">
      <c r="C1029"/>
    </row>
    <row r="1030" spans="3:3" x14ac:dyDescent="0.25">
      <c r="C1030"/>
    </row>
    <row r="1031" spans="3:3" x14ac:dyDescent="0.25">
      <c r="C1031"/>
    </row>
    <row r="1032" spans="3:3" x14ac:dyDescent="0.25">
      <c r="C1032"/>
    </row>
    <row r="1033" spans="3:3" x14ac:dyDescent="0.25">
      <c r="C1033"/>
    </row>
    <row r="1034" spans="3:3" x14ac:dyDescent="0.25">
      <c r="C1034"/>
    </row>
    <row r="1035" spans="3:3" x14ac:dyDescent="0.25">
      <c r="C1035"/>
    </row>
    <row r="1036" spans="3:3" x14ac:dyDescent="0.25">
      <c r="C1036"/>
    </row>
    <row r="1037" spans="3:3" x14ac:dyDescent="0.25">
      <c r="C1037"/>
    </row>
    <row r="1038" spans="3:3" x14ac:dyDescent="0.25">
      <c r="C1038"/>
    </row>
    <row r="1039" spans="3:3" x14ac:dyDescent="0.25">
      <c r="C1039"/>
    </row>
    <row r="1040" spans="3:3" x14ac:dyDescent="0.25">
      <c r="C1040"/>
    </row>
    <row r="1041" spans="3:3" x14ac:dyDescent="0.25">
      <c r="C1041"/>
    </row>
    <row r="1042" spans="3:3" x14ac:dyDescent="0.25">
      <c r="C1042"/>
    </row>
    <row r="1043" spans="3:3" x14ac:dyDescent="0.25">
      <c r="C1043"/>
    </row>
    <row r="1044" spans="3:3" x14ac:dyDescent="0.25">
      <c r="C1044"/>
    </row>
    <row r="1045" spans="3:3" x14ac:dyDescent="0.25">
      <c r="C1045"/>
    </row>
    <row r="1046" spans="3:3" x14ac:dyDescent="0.25">
      <c r="C1046"/>
    </row>
    <row r="1047" spans="3:3" x14ac:dyDescent="0.25">
      <c r="C1047"/>
    </row>
    <row r="1048" spans="3:3" x14ac:dyDescent="0.25">
      <c r="C1048"/>
    </row>
    <row r="1049" spans="3:3" x14ac:dyDescent="0.25">
      <c r="C1049"/>
    </row>
    <row r="1050" spans="3:3" x14ac:dyDescent="0.25">
      <c r="C1050"/>
    </row>
    <row r="1051" spans="3:3" x14ac:dyDescent="0.25">
      <c r="C1051"/>
    </row>
    <row r="1052" spans="3:3" x14ac:dyDescent="0.25">
      <c r="C1052"/>
    </row>
    <row r="1053" spans="3:3" x14ac:dyDescent="0.25">
      <c r="C1053"/>
    </row>
    <row r="1054" spans="3:3" x14ac:dyDescent="0.25">
      <c r="C1054"/>
    </row>
    <row r="1055" spans="3:3" x14ac:dyDescent="0.25">
      <c r="C1055"/>
    </row>
    <row r="1056" spans="3:3" x14ac:dyDescent="0.25">
      <c r="C1056"/>
    </row>
    <row r="1057" spans="3:3" x14ac:dyDescent="0.25">
      <c r="C1057"/>
    </row>
    <row r="1058" spans="3:3" x14ac:dyDescent="0.25">
      <c r="C1058"/>
    </row>
    <row r="1059" spans="3:3" x14ac:dyDescent="0.25">
      <c r="C1059"/>
    </row>
    <row r="1060" spans="3:3" x14ac:dyDescent="0.25">
      <c r="C1060"/>
    </row>
    <row r="1061" spans="3:3" x14ac:dyDescent="0.25">
      <c r="C1061"/>
    </row>
    <row r="1062" spans="3:3" x14ac:dyDescent="0.25">
      <c r="C1062"/>
    </row>
    <row r="1063" spans="3:3" x14ac:dyDescent="0.25">
      <c r="C1063"/>
    </row>
    <row r="1064" spans="3:3" x14ac:dyDescent="0.25">
      <c r="C1064"/>
    </row>
    <row r="1065" spans="3:3" x14ac:dyDescent="0.25">
      <c r="C1065"/>
    </row>
    <row r="1066" spans="3:3" x14ac:dyDescent="0.25">
      <c r="C1066"/>
    </row>
    <row r="1067" spans="3:3" x14ac:dyDescent="0.25">
      <c r="C1067"/>
    </row>
    <row r="1068" spans="3:3" x14ac:dyDescent="0.25">
      <c r="C1068"/>
    </row>
    <row r="1069" spans="3:3" x14ac:dyDescent="0.25">
      <c r="C1069"/>
    </row>
    <row r="1070" spans="3:3" x14ac:dyDescent="0.25">
      <c r="C1070"/>
    </row>
    <row r="1071" spans="3:3" x14ac:dyDescent="0.25">
      <c r="C1071"/>
    </row>
    <row r="1072" spans="3:3" x14ac:dyDescent="0.25">
      <c r="C1072"/>
    </row>
    <row r="1073" spans="3:3" x14ac:dyDescent="0.25">
      <c r="C1073"/>
    </row>
    <row r="1074" spans="3:3" x14ac:dyDescent="0.25">
      <c r="C1074"/>
    </row>
    <row r="1075" spans="3:3" x14ac:dyDescent="0.25">
      <c r="C1075"/>
    </row>
    <row r="1076" spans="3:3" x14ac:dyDescent="0.25">
      <c r="C1076"/>
    </row>
    <row r="1077" spans="3:3" x14ac:dyDescent="0.25">
      <c r="C1077"/>
    </row>
    <row r="1078" spans="3:3" x14ac:dyDescent="0.25">
      <c r="C1078"/>
    </row>
    <row r="1079" spans="3:3" x14ac:dyDescent="0.25">
      <c r="C1079"/>
    </row>
    <row r="1080" spans="3:3" x14ac:dyDescent="0.25">
      <c r="C1080"/>
    </row>
    <row r="1081" spans="3:3" x14ac:dyDescent="0.25">
      <c r="C1081"/>
    </row>
    <row r="1082" spans="3:3" x14ac:dyDescent="0.25">
      <c r="C1082"/>
    </row>
    <row r="1083" spans="3:3" x14ac:dyDescent="0.25">
      <c r="C1083"/>
    </row>
    <row r="1084" spans="3:3" x14ac:dyDescent="0.25">
      <c r="C1084"/>
    </row>
    <row r="1085" spans="3:3" x14ac:dyDescent="0.25">
      <c r="C1085"/>
    </row>
    <row r="1086" spans="3:3" x14ac:dyDescent="0.25">
      <c r="C1086"/>
    </row>
    <row r="1087" spans="3:3" x14ac:dyDescent="0.25">
      <c r="C1087"/>
    </row>
    <row r="1088" spans="3:3" x14ac:dyDescent="0.25">
      <c r="C1088"/>
    </row>
    <row r="1089" spans="3:3" x14ac:dyDescent="0.25">
      <c r="C1089"/>
    </row>
    <row r="1090" spans="3:3" x14ac:dyDescent="0.25">
      <c r="C1090"/>
    </row>
    <row r="1091" spans="3:3" x14ac:dyDescent="0.25">
      <c r="C1091"/>
    </row>
    <row r="1092" spans="3:3" x14ac:dyDescent="0.25">
      <c r="C1092"/>
    </row>
    <row r="1093" spans="3:3" x14ac:dyDescent="0.25">
      <c r="C1093"/>
    </row>
    <row r="1094" spans="3:3" x14ac:dyDescent="0.25">
      <c r="C1094"/>
    </row>
    <row r="1095" spans="3:3" x14ac:dyDescent="0.25">
      <c r="C1095"/>
    </row>
    <row r="1096" spans="3:3" x14ac:dyDescent="0.25">
      <c r="C1096"/>
    </row>
    <row r="1097" spans="3:3" x14ac:dyDescent="0.25">
      <c r="C1097"/>
    </row>
    <row r="1098" spans="3:3" x14ac:dyDescent="0.25">
      <c r="C1098"/>
    </row>
    <row r="1099" spans="3:3" x14ac:dyDescent="0.25">
      <c r="C1099"/>
    </row>
    <row r="1100" spans="3:3" x14ac:dyDescent="0.25">
      <c r="C1100"/>
    </row>
    <row r="1101" spans="3:3" x14ac:dyDescent="0.25">
      <c r="C1101"/>
    </row>
    <row r="1102" spans="3:3" x14ac:dyDescent="0.25">
      <c r="C1102"/>
    </row>
    <row r="1103" spans="3:3" x14ac:dyDescent="0.25">
      <c r="C1103"/>
    </row>
    <row r="1104" spans="3:3" x14ac:dyDescent="0.25">
      <c r="C1104"/>
    </row>
    <row r="1105" spans="3:3" x14ac:dyDescent="0.25">
      <c r="C1105"/>
    </row>
    <row r="1106" spans="3:3" x14ac:dyDescent="0.25">
      <c r="C1106"/>
    </row>
    <row r="1107" spans="3:3" x14ac:dyDescent="0.25">
      <c r="C1107"/>
    </row>
    <row r="1108" spans="3:3" x14ac:dyDescent="0.25">
      <c r="C1108"/>
    </row>
    <row r="1109" spans="3:3" x14ac:dyDescent="0.25">
      <c r="C1109"/>
    </row>
    <row r="1110" spans="3:3" x14ac:dyDescent="0.25">
      <c r="C1110"/>
    </row>
    <row r="1111" spans="3:3" x14ac:dyDescent="0.25">
      <c r="C1111"/>
    </row>
    <row r="1112" spans="3:3" x14ac:dyDescent="0.25">
      <c r="C1112"/>
    </row>
    <row r="1113" spans="3:3" x14ac:dyDescent="0.25">
      <c r="C1113"/>
    </row>
    <row r="1114" spans="3:3" x14ac:dyDescent="0.25">
      <c r="C1114"/>
    </row>
    <row r="1115" spans="3:3" x14ac:dyDescent="0.25">
      <c r="C1115"/>
    </row>
    <row r="1116" spans="3:3" x14ac:dyDescent="0.25">
      <c r="C1116"/>
    </row>
    <row r="1117" spans="3:3" x14ac:dyDescent="0.25">
      <c r="C1117"/>
    </row>
    <row r="1118" spans="3:3" x14ac:dyDescent="0.25">
      <c r="C1118"/>
    </row>
    <row r="1119" spans="3:3" x14ac:dyDescent="0.25">
      <c r="C1119"/>
    </row>
    <row r="1120" spans="3:3" x14ac:dyDescent="0.25">
      <c r="C1120"/>
    </row>
    <row r="1121" spans="3:3" x14ac:dyDescent="0.25">
      <c r="C1121"/>
    </row>
    <row r="1122" spans="3:3" x14ac:dyDescent="0.25">
      <c r="C1122"/>
    </row>
    <row r="1123" spans="3:3" x14ac:dyDescent="0.25">
      <c r="C1123"/>
    </row>
    <row r="1124" spans="3:3" x14ac:dyDescent="0.25">
      <c r="C1124"/>
    </row>
    <row r="1125" spans="3:3" x14ac:dyDescent="0.25">
      <c r="C1125"/>
    </row>
    <row r="1126" spans="3:3" x14ac:dyDescent="0.25">
      <c r="C1126"/>
    </row>
    <row r="1127" spans="3:3" x14ac:dyDescent="0.25">
      <c r="C1127"/>
    </row>
    <row r="1128" spans="3:3" x14ac:dyDescent="0.25">
      <c r="C1128"/>
    </row>
    <row r="1129" spans="3:3" x14ac:dyDescent="0.25">
      <c r="C1129"/>
    </row>
    <row r="1130" spans="3:3" x14ac:dyDescent="0.25">
      <c r="C1130"/>
    </row>
    <row r="1131" spans="3:3" x14ac:dyDescent="0.25">
      <c r="C1131"/>
    </row>
    <row r="1132" spans="3:3" x14ac:dyDescent="0.25">
      <c r="C1132"/>
    </row>
    <row r="1133" spans="3:3" x14ac:dyDescent="0.25">
      <c r="C1133"/>
    </row>
    <row r="1134" spans="3:3" x14ac:dyDescent="0.25">
      <c r="C1134"/>
    </row>
    <row r="1135" spans="3:3" x14ac:dyDescent="0.25">
      <c r="C1135"/>
    </row>
    <row r="1136" spans="3:3" x14ac:dyDescent="0.25">
      <c r="C1136"/>
    </row>
    <row r="1137" spans="3:3" x14ac:dyDescent="0.25">
      <c r="C1137"/>
    </row>
    <row r="1138" spans="3:3" x14ac:dyDescent="0.25">
      <c r="C1138"/>
    </row>
    <row r="1139" spans="3:3" x14ac:dyDescent="0.25">
      <c r="C1139"/>
    </row>
    <row r="1140" spans="3:3" x14ac:dyDescent="0.25">
      <c r="C1140"/>
    </row>
    <row r="1141" spans="3:3" x14ac:dyDescent="0.25">
      <c r="C1141"/>
    </row>
    <row r="1142" spans="3:3" x14ac:dyDescent="0.25">
      <c r="C1142"/>
    </row>
    <row r="1143" spans="3:3" x14ac:dyDescent="0.25">
      <c r="C1143"/>
    </row>
    <row r="1144" spans="3:3" x14ac:dyDescent="0.25">
      <c r="C1144"/>
    </row>
    <row r="1145" spans="3:3" x14ac:dyDescent="0.25">
      <c r="C1145"/>
    </row>
    <row r="1146" spans="3:3" x14ac:dyDescent="0.25">
      <c r="C1146"/>
    </row>
    <row r="1147" spans="3:3" x14ac:dyDescent="0.25">
      <c r="C1147"/>
    </row>
    <row r="1148" spans="3:3" x14ac:dyDescent="0.25">
      <c r="C1148"/>
    </row>
    <row r="1149" spans="3:3" x14ac:dyDescent="0.25">
      <c r="C1149"/>
    </row>
    <row r="1150" spans="3:3" x14ac:dyDescent="0.25">
      <c r="C1150"/>
    </row>
    <row r="1151" spans="3:3" x14ac:dyDescent="0.25">
      <c r="C1151"/>
    </row>
    <row r="1152" spans="3:3" x14ac:dyDescent="0.25">
      <c r="C1152"/>
    </row>
    <row r="1153" spans="3:3" x14ac:dyDescent="0.25">
      <c r="C1153"/>
    </row>
    <row r="1154" spans="3:3" x14ac:dyDescent="0.25">
      <c r="C1154"/>
    </row>
    <row r="1155" spans="3:3" x14ac:dyDescent="0.25">
      <c r="C1155"/>
    </row>
    <row r="1156" spans="3:3" x14ac:dyDescent="0.25">
      <c r="C1156"/>
    </row>
    <row r="1157" spans="3:3" x14ac:dyDescent="0.25">
      <c r="C1157"/>
    </row>
    <row r="1158" spans="3:3" x14ac:dyDescent="0.25">
      <c r="C1158"/>
    </row>
    <row r="1159" spans="3:3" x14ac:dyDescent="0.25">
      <c r="C1159"/>
    </row>
    <row r="1160" spans="3:3" x14ac:dyDescent="0.25">
      <c r="C1160"/>
    </row>
    <row r="1161" spans="3:3" x14ac:dyDescent="0.25">
      <c r="C1161"/>
    </row>
    <row r="1162" spans="3:3" x14ac:dyDescent="0.25">
      <c r="C1162"/>
    </row>
    <row r="1163" spans="3:3" x14ac:dyDescent="0.25">
      <c r="C1163"/>
    </row>
    <row r="1164" spans="3:3" x14ac:dyDescent="0.25">
      <c r="C1164"/>
    </row>
    <row r="1165" spans="3:3" x14ac:dyDescent="0.25">
      <c r="C1165"/>
    </row>
    <row r="1166" spans="3:3" x14ac:dyDescent="0.25">
      <c r="C1166"/>
    </row>
    <row r="1167" spans="3:3" x14ac:dyDescent="0.25">
      <c r="C1167"/>
    </row>
    <row r="1168" spans="3:3" x14ac:dyDescent="0.25">
      <c r="C1168"/>
    </row>
    <row r="1169" spans="3:3" x14ac:dyDescent="0.25">
      <c r="C1169"/>
    </row>
    <row r="1170" spans="3:3" x14ac:dyDescent="0.25">
      <c r="C1170"/>
    </row>
    <row r="1171" spans="3:3" x14ac:dyDescent="0.25">
      <c r="C1171"/>
    </row>
    <row r="1172" spans="3:3" x14ac:dyDescent="0.25">
      <c r="C1172"/>
    </row>
    <row r="1173" spans="3:3" x14ac:dyDescent="0.25">
      <c r="C1173"/>
    </row>
    <row r="1174" spans="3:3" x14ac:dyDescent="0.25">
      <c r="C1174"/>
    </row>
    <row r="1175" spans="3:3" x14ac:dyDescent="0.25">
      <c r="C1175"/>
    </row>
    <row r="1176" spans="3:3" x14ac:dyDescent="0.25">
      <c r="C1176"/>
    </row>
    <row r="1177" spans="3:3" x14ac:dyDescent="0.25">
      <c r="C1177"/>
    </row>
    <row r="1178" spans="3:3" x14ac:dyDescent="0.25">
      <c r="C1178"/>
    </row>
    <row r="1179" spans="3:3" x14ac:dyDescent="0.25">
      <c r="C1179"/>
    </row>
    <row r="1180" spans="3:3" x14ac:dyDescent="0.25">
      <c r="C1180"/>
    </row>
    <row r="1181" spans="3:3" x14ac:dyDescent="0.25">
      <c r="C1181"/>
    </row>
    <row r="1182" spans="3:3" x14ac:dyDescent="0.25">
      <c r="C1182"/>
    </row>
    <row r="1183" spans="3:3" x14ac:dyDescent="0.25">
      <c r="C1183"/>
    </row>
    <row r="1184" spans="3:3" x14ac:dyDescent="0.25">
      <c r="C1184"/>
    </row>
    <row r="1185" spans="3:3" x14ac:dyDescent="0.25">
      <c r="C1185"/>
    </row>
    <row r="1186" spans="3:3" x14ac:dyDescent="0.25">
      <c r="C1186"/>
    </row>
    <row r="1187" spans="3:3" x14ac:dyDescent="0.25">
      <c r="C1187"/>
    </row>
    <row r="1188" spans="3:3" x14ac:dyDescent="0.25">
      <c r="C1188"/>
    </row>
    <row r="1189" spans="3:3" x14ac:dyDescent="0.25">
      <c r="C1189"/>
    </row>
    <row r="1190" spans="3:3" x14ac:dyDescent="0.25">
      <c r="C1190"/>
    </row>
    <row r="1191" spans="3:3" x14ac:dyDescent="0.25">
      <c r="C1191"/>
    </row>
    <row r="1192" spans="3:3" x14ac:dyDescent="0.25">
      <c r="C1192"/>
    </row>
    <row r="1193" spans="3:3" x14ac:dyDescent="0.25">
      <c r="C1193"/>
    </row>
    <row r="1194" spans="3:3" x14ac:dyDescent="0.25">
      <c r="C1194"/>
    </row>
    <row r="1195" spans="3:3" x14ac:dyDescent="0.25">
      <c r="C1195"/>
    </row>
    <row r="1196" spans="3:3" x14ac:dyDescent="0.25">
      <c r="C1196"/>
    </row>
    <row r="1197" spans="3:3" x14ac:dyDescent="0.25">
      <c r="C1197"/>
    </row>
    <row r="1198" spans="3:3" x14ac:dyDescent="0.25">
      <c r="C1198"/>
    </row>
    <row r="1199" spans="3:3" x14ac:dyDescent="0.25">
      <c r="C1199"/>
    </row>
    <row r="1200" spans="3:3" x14ac:dyDescent="0.25">
      <c r="C1200"/>
    </row>
    <row r="1201" spans="3:3" x14ac:dyDescent="0.25">
      <c r="C1201"/>
    </row>
    <row r="1202" spans="3:3" x14ac:dyDescent="0.25">
      <c r="C1202"/>
    </row>
    <row r="1203" spans="3:3" x14ac:dyDescent="0.25">
      <c r="C1203"/>
    </row>
    <row r="1204" spans="3:3" x14ac:dyDescent="0.25">
      <c r="C1204"/>
    </row>
    <row r="1205" spans="3:3" x14ac:dyDescent="0.25">
      <c r="C1205"/>
    </row>
    <row r="1206" spans="3:3" x14ac:dyDescent="0.25">
      <c r="C1206"/>
    </row>
    <row r="1207" spans="3:3" x14ac:dyDescent="0.25">
      <c r="C1207"/>
    </row>
    <row r="1208" spans="3:3" x14ac:dyDescent="0.25">
      <c r="C1208"/>
    </row>
    <row r="1209" spans="3:3" x14ac:dyDescent="0.25">
      <c r="C1209"/>
    </row>
    <row r="1210" spans="3:3" x14ac:dyDescent="0.25">
      <c r="C1210"/>
    </row>
    <row r="1211" spans="3:3" x14ac:dyDescent="0.25">
      <c r="C1211"/>
    </row>
    <row r="1212" spans="3:3" x14ac:dyDescent="0.25">
      <c r="C1212"/>
    </row>
    <row r="1213" spans="3:3" x14ac:dyDescent="0.25">
      <c r="C1213"/>
    </row>
    <row r="1214" spans="3:3" x14ac:dyDescent="0.25">
      <c r="C1214"/>
    </row>
    <row r="1215" spans="3:3" x14ac:dyDescent="0.25">
      <c r="C1215"/>
    </row>
    <row r="1216" spans="3:3" x14ac:dyDescent="0.25">
      <c r="C1216"/>
    </row>
    <row r="1217" spans="3:3" x14ac:dyDescent="0.25">
      <c r="C1217"/>
    </row>
    <row r="1218" spans="3:3" x14ac:dyDescent="0.25">
      <c r="C1218"/>
    </row>
    <row r="1219" spans="3:3" x14ac:dyDescent="0.25">
      <c r="C1219"/>
    </row>
    <row r="1220" spans="3:3" x14ac:dyDescent="0.25">
      <c r="C1220"/>
    </row>
    <row r="1221" spans="3:3" x14ac:dyDescent="0.25">
      <c r="C1221"/>
    </row>
    <row r="1222" spans="3:3" x14ac:dyDescent="0.25">
      <c r="C1222"/>
    </row>
    <row r="1223" spans="3:3" x14ac:dyDescent="0.25">
      <c r="C1223"/>
    </row>
    <row r="1224" spans="3:3" x14ac:dyDescent="0.25">
      <c r="C1224"/>
    </row>
    <row r="1225" spans="3:3" x14ac:dyDescent="0.25">
      <c r="C1225"/>
    </row>
    <row r="1226" spans="3:3" x14ac:dyDescent="0.25">
      <c r="C1226"/>
    </row>
    <row r="1227" spans="3:3" x14ac:dyDescent="0.25">
      <c r="C1227"/>
    </row>
    <row r="1228" spans="3:3" x14ac:dyDescent="0.25">
      <c r="C1228"/>
    </row>
    <row r="1229" spans="3:3" x14ac:dyDescent="0.25">
      <c r="C1229"/>
    </row>
    <row r="1230" spans="3:3" x14ac:dyDescent="0.25">
      <c r="C1230"/>
    </row>
    <row r="1231" spans="3:3" x14ac:dyDescent="0.25">
      <c r="C1231"/>
    </row>
    <row r="1232" spans="3:3" x14ac:dyDescent="0.25">
      <c r="C1232"/>
    </row>
    <row r="1233" spans="3:3" x14ac:dyDescent="0.25">
      <c r="C1233"/>
    </row>
    <row r="1234" spans="3:3" x14ac:dyDescent="0.25">
      <c r="C1234"/>
    </row>
    <row r="1235" spans="3:3" x14ac:dyDescent="0.25">
      <c r="C1235"/>
    </row>
    <row r="1236" spans="3:3" x14ac:dyDescent="0.25">
      <c r="C1236"/>
    </row>
    <row r="1237" spans="3:3" x14ac:dyDescent="0.25">
      <c r="C1237"/>
    </row>
    <row r="1238" spans="3:3" x14ac:dyDescent="0.25">
      <c r="C1238"/>
    </row>
    <row r="1239" spans="3:3" x14ac:dyDescent="0.25">
      <c r="C1239"/>
    </row>
    <row r="1240" spans="3:3" x14ac:dyDescent="0.25">
      <c r="C1240"/>
    </row>
    <row r="1241" spans="3:3" x14ac:dyDescent="0.25">
      <c r="C1241"/>
    </row>
    <row r="1242" spans="3:3" x14ac:dyDescent="0.25">
      <c r="C1242"/>
    </row>
    <row r="1243" spans="3:3" x14ac:dyDescent="0.25">
      <c r="C1243"/>
    </row>
    <row r="1244" spans="3:3" x14ac:dyDescent="0.25">
      <c r="C1244"/>
    </row>
    <row r="1245" spans="3:3" x14ac:dyDescent="0.25">
      <c r="C1245"/>
    </row>
    <row r="1246" spans="3:3" x14ac:dyDescent="0.25">
      <c r="C1246"/>
    </row>
    <row r="1247" spans="3:3" x14ac:dyDescent="0.25">
      <c r="C1247"/>
    </row>
    <row r="1248" spans="3:3" x14ac:dyDescent="0.25">
      <c r="C1248"/>
    </row>
    <row r="1249" spans="3:3" x14ac:dyDescent="0.25">
      <c r="C1249"/>
    </row>
    <row r="1250" spans="3:3" x14ac:dyDescent="0.25">
      <c r="C1250"/>
    </row>
    <row r="1251" spans="3:3" x14ac:dyDescent="0.25">
      <c r="C1251"/>
    </row>
    <row r="1252" spans="3:3" x14ac:dyDescent="0.25">
      <c r="C1252"/>
    </row>
    <row r="1253" spans="3:3" x14ac:dyDescent="0.25">
      <c r="C1253"/>
    </row>
    <row r="1254" spans="3:3" x14ac:dyDescent="0.25">
      <c r="C1254"/>
    </row>
    <row r="1255" spans="3:3" x14ac:dyDescent="0.25">
      <c r="C1255"/>
    </row>
    <row r="1256" spans="3:3" x14ac:dyDescent="0.25">
      <c r="C1256"/>
    </row>
    <row r="1257" spans="3:3" x14ac:dyDescent="0.25">
      <c r="C1257"/>
    </row>
    <row r="1258" spans="3:3" x14ac:dyDescent="0.25">
      <c r="C1258"/>
    </row>
    <row r="1259" spans="3:3" x14ac:dyDescent="0.25">
      <c r="C1259"/>
    </row>
    <row r="1260" spans="3:3" x14ac:dyDescent="0.25">
      <c r="C1260"/>
    </row>
    <row r="1261" spans="3:3" x14ac:dyDescent="0.25">
      <c r="C1261"/>
    </row>
    <row r="1262" spans="3:3" x14ac:dyDescent="0.25">
      <c r="C1262"/>
    </row>
    <row r="1263" spans="3:3" x14ac:dyDescent="0.25">
      <c r="C1263"/>
    </row>
    <row r="1264" spans="3:3" x14ac:dyDescent="0.25">
      <c r="C1264"/>
    </row>
    <row r="1265" spans="3:3" x14ac:dyDescent="0.25">
      <c r="C1265"/>
    </row>
    <row r="1266" spans="3:3" x14ac:dyDescent="0.25">
      <c r="C1266"/>
    </row>
    <row r="1267" spans="3:3" x14ac:dyDescent="0.25">
      <c r="C1267"/>
    </row>
    <row r="1268" spans="3:3" x14ac:dyDescent="0.25">
      <c r="C1268"/>
    </row>
    <row r="1269" spans="3:3" x14ac:dyDescent="0.25">
      <c r="C1269"/>
    </row>
    <row r="1270" spans="3:3" x14ac:dyDescent="0.25">
      <c r="C1270"/>
    </row>
    <row r="1271" spans="3:3" x14ac:dyDescent="0.25">
      <c r="C1271"/>
    </row>
    <row r="1272" spans="3:3" x14ac:dyDescent="0.25">
      <c r="C1272"/>
    </row>
    <row r="1273" spans="3:3" x14ac:dyDescent="0.25">
      <c r="C1273"/>
    </row>
    <row r="1274" spans="3:3" x14ac:dyDescent="0.25">
      <c r="C1274"/>
    </row>
    <row r="1275" spans="3:3" x14ac:dyDescent="0.25">
      <c r="C1275"/>
    </row>
    <row r="1276" spans="3:3" x14ac:dyDescent="0.25">
      <c r="C1276"/>
    </row>
    <row r="1277" spans="3:3" x14ac:dyDescent="0.25">
      <c r="C1277"/>
    </row>
    <row r="1278" spans="3:3" x14ac:dyDescent="0.25">
      <c r="C1278"/>
    </row>
    <row r="1279" spans="3:3" x14ac:dyDescent="0.25">
      <c r="C1279"/>
    </row>
    <row r="1280" spans="3:3" x14ac:dyDescent="0.25">
      <c r="C1280"/>
    </row>
    <row r="1281" spans="3:3" x14ac:dyDescent="0.25">
      <c r="C1281"/>
    </row>
    <row r="1282" spans="3:3" x14ac:dyDescent="0.25">
      <c r="C1282"/>
    </row>
    <row r="1283" spans="3:3" x14ac:dyDescent="0.25">
      <c r="C1283"/>
    </row>
    <row r="1284" spans="3:3" x14ac:dyDescent="0.25">
      <c r="C1284"/>
    </row>
    <row r="1285" spans="3:3" x14ac:dyDescent="0.25">
      <c r="C1285"/>
    </row>
    <row r="1286" spans="3:3" x14ac:dyDescent="0.25">
      <c r="C1286"/>
    </row>
    <row r="1287" spans="3:3" x14ac:dyDescent="0.25">
      <c r="C1287"/>
    </row>
    <row r="1288" spans="3:3" x14ac:dyDescent="0.25">
      <c r="C1288"/>
    </row>
    <row r="1289" spans="3:3" x14ac:dyDescent="0.25">
      <c r="C1289"/>
    </row>
    <row r="1290" spans="3:3" x14ac:dyDescent="0.25">
      <c r="C1290"/>
    </row>
    <row r="1291" spans="3:3" x14ac:dyDescent="0.25">
      <c r="C1291"/>
    </row>
    <row r="1292" spans="3:3" x14ac:dyDescent="0.25">
      <c r="C1292"/>
    </row>
    <row r="1293" spans="3:3" x14ac:dyDescent="0.25">
      <c r="C1293"/>
    </row>
    <row r="1294" spans="3:3" x14ac:dyDescent="0.25">
      <c r="C1294"/>
    </row>
    <row r="1295" spans="3:3" x14ac:dyDescent="0.25">
      <c r="C1295"/>
    </row>
    <row r="1296" spans="3:3" x14ac:dyDescent="0.25">
      <c r="C1296"/>
    </row>
    <row r="1297" spans="3:3" x14ac:dyDescent="0.25">
      <c r="C1297"/>
    </row>
    <row r="1298" spans="3:3" x14ac:dyDescent="0.25">
      <c r="C1298"/>
    </row>
    <row r="1299" spans="3:3" x14ac:dyDescent="0.25">
      <c r="C1299"/>
    </row>
    <row r="1300" spans="3:3" x14ac:dyDescent="0.25">
      <c r="C1300"/>
    </row>
    <row r="1301" spans="3:3" x14ac:dyDescent="0.25">
      <c r="C1301"/>
    </row>
    <row r="1302" spans="3:3" x14ac:dyDescent="0.25">
      <c r="C1302"/>
    </row>
    <row r="1303" spans="3:3" x14ac:dyDescent="0.25">
      <c r="C1303"/>
    </row>
    <row r="1304" spans="3:3" x14ac:dyDescent="0.25">
      <c r="C1304"/>
    </row>
    <row r="1305" spans="3:3" x14ac:dyDescent="0.25">
      <c r="C1305"/>
    </row>
    <row r="1306" spans="3:3" x14ac:dyDescent="0.25">
      <c r="C1306"/>
    </row>
    <row r="1307" spans="3:3" x14ac:dyDescent="0.25">
      <c r="C1307"/>
    </row>
    <row r="1308" spans="3:3" x14ac:dyDescent="0.25">
      <c r="C1308"/>
    </row>
    <row r="1309" spans="3:3" x14ac:dyDescent="0.25">
      <c r="C1309"/>
    </row>
    <row r="1310" spans="3:3" x14ac:dyDescent="0.25">
      <c r="C1310"/>
    </row>
    <row r="1311" spans="3:3" x14ac:dyDescent="0.25">
      <c r="C1311"/>
    </row>
    <row r="1312" spans="3:3" x14ac:dyDescent="0.25">
      <c r="C1312"/>
    </row>
    <row r="1313" spans="3:3" x14ac:dyDescent="0.25">
      <c r="C1313"/>
    </row>
    <row r="1314" spans="3:3" x14ac:dyDescent="0.25">
      <c r="C1314"/>
    </row>
    <row r="1315" spans="3:3" x14ac:dyDescent="0.25">
      <c r="C1315"/>
    </row>
    <row r="1316" spans="3:3" x14ac:dyDescent="0.25">
      <c r="C1316"/>
    </row>
    <row r="1317" spans="3:3" x14ac:dyDescent="0.25">
      <c r="C1317"/>
    </row>
    <row r="1318" spans="3:3" x14ac:dyDescent="0.25">
      <c r="C1318"/>
    </row>
    <row r="1319" spans="3:3" x14ac:dyDescent="0.25">
      <c r="C1319"/>
    </row>
    <row r="1320" spans="3:3" x14ac:dyDescent="0.25">
      <c r="C1320"/>
    </row>
    <row r="1321" spans="3:3" x14ac:dyDescent="0.25">
      <c r="C1321"/>
    </row>
    <row r="1322" spans="3:3" x14ac:dyDescent="0.25">
      <c r="C1322"/>
    </row>
    <row r="1323" spans="3:3" x14ac:dyDescent="0.25">
      <c r="C1323"/>
    </row>
    <row r="1324" spans="3:3" x14ac:dyDescent="0.25">
      <c r="C1324"/>
    </row>
    <row r="1325" spans="3:3" x14ac:dyDescent="0.25">
      <c r="C1325"/>
    </row>
    <row r="1326" spans="3:3" x14ac:dyDescent="0.25">
      <c r="C1326"/>
    </row>
    <row r="1327" spans="3:3" x14ac:dyDescent="0.25">
      <c r="C1327"/>
    </row>
    <row r="1328" spans="3:3" x14ac:dyDescent="0.25">
      <c r="C1328"/>
    </row>
    <row r="1329" spans="3:3" x14ac:dyDescent="0.25">
      <c r="C1329"/>
    </row>
    <row r="1330" spans="3:3" x14ac:dyDescent="0.25">
      <c r="C1330"/>
    </row>
    <row r="1331" spans="3:3" x14ac:dyDescent="0.25">
      <c r="C1331"/>
    </row>
    <row r="1332" spans="3:3" x14ac:dyDescent="0.25">
      <c r="C1332"/>
    </row>
    <row r="1333" spans="3:3" x14ac:dyDescent="0.25">
      <c r="C1333"/>
    </row>
    <row r="1334" spans="3:3" x14ac:dyDescent="0.25">
      <c r="C1334"/>
    </row>
    <row r="1335" spans="3:3" x14ac:dyDescent="0.25">
      <c r="C1335"/>
    </row>
    <row r="1336" spans="3:3" x14ac:dyDescent="0.25">
      <c r="C1336"/>
    </row>
    <row r="1337" spans="3:3" x14ac:dyDescent="0.25">
      <c r="C1337"/>
    </row>
    <row r="1338" spans="3:3" x14ac:dyDescent="0.25">
      <c r="C1338"/>
    </row>
    <row r="1339" spans="3:3" x14ac:dyDescent="0.25">
      <c r="C1339"/>
    </row>
    <row r="1340" spans="3:3" x14ac:dyDescent="0.25">
      <c r="C1340"/>
    </row>
    <row r="1341" spans="3:3" x14ac:dyDescent="0.25">
      <c r="C1341"/>
    </row>
    <row r="1342" spans="3:3" x14ac:dyDescent="0.25">
      <c r="C1342"/>
    </row>
    <row r="1343" spans="3:3" x14ac:dyDescent="0.25">
      <c r="C1343"/>
    </row>
    <row r="1344" spans="3:3" x14ac:dyDescent="0.25">
      <c r="C1344"/>
    </row>
    <row r="1345" spans="3:3" x14ac:dyDescent="0.25">
      <c r="C1345"/>
    </row>
    <row r="1346" spans="3:3" x14ac:dyDescent="0.25">
      <c r="C1346"/>
    </row>
    <row r="1347" spans="3:3" x14ac:dyDescent="0.25">
      <c r="C1347"/>
    </row>
    <row r="1348" spans="3:3" x14ac:dyDescent="0.25">
      <c r="C1348"/>
    </row>
    <row r="1349" spans="3:3" x14ac:dyDescent="0.25">
      <c r="C1349"/>
    </row>
    <row r="1350" spans="3:3" x14ac:dyDescent="0.25">
      <c r="C1350"/>
    </row>
    <row r="1351" spans="3:3" x14ac:dyDescent="0.25">
      <c r="C1351"/>
    </row>
    <row r="1352" spans="3:3" x14ac:dyDescent="0.25">
      <c r="C1352"/>
    </row>
    <row r="1353" spans="3:3" x14ac:dyDescent="0.25">
      <c r="C1353"/>
    </row>
    <row r="1354" spans="3:3" x14ac:dyDescent="0.25">
      <c r="C1354"/>
    </row>
    <row r="1355" spans="3:3" x14ac:dyDescent="0.25">
      <c r="C1355"/>
    </row>
    <row r="1356" spans="3:3" x14ac:dyDescent="0.25">
      <c r="C1356"/>
    </row>
    <row r="1357" spans="3:3" x14ac:dyDescent="0.25">
      <c r="C1357"/>
    </row>
    <row r="1358" spans="3:3" x14ac:dyDescent="0.25">
      <c r="C1358"/>
    </row>
    <row r="1359" spans="3:3" x14ac:dyDescent="0.25">
      <c r="C1359"/>
    </row>
    <row r="1360" spans="3:3" x14ac:dyDescent="0.25">
      <c r="C1360"/>
    </row>
    <row r="1361" spans="3:3" x14ac:dyDescent="0.25">
      <c r="C1361"/>
    </row>
    <row r="1362" spans="3:3" x14ac:dyDescent="0.25">
      <c r="C1362"/>
    </row>
    <row r="1363" spans="3:3" x14ac:dyDescent="0.25">
      <c r="C1363"/>
    </row>
    <row r="1364" spans="3:3" x14ac:dyDescent="0.25">
      <c r="C1364"/>
    </row>
    <row r="1365" spans="3:3" x14ac:dyDescent="0.25">
      <c r="C1365"/>
    </row>
    <row r="1366" spans="3:3" x14ac:dyDescent="0.25">
      <c r="C1366"/>
    </row>
    <row r="1367" spans="3:3" x14ac:dyDescent="0.25">
      <c r="C1367"/>
    </row>
    <row r="1368" spans="3:3" x14ac:dyDescent="0.25">
      <c r="C1368"/>
    </row>
    <row r="1369" spans="3:3" x14ac:dyDescent="0.25">
      <c r="C1369"/>
    </row>
    <row r="1370" spans="3:3" x14ac:dyDescent="0.25">
      <c r="C1370"/>
    </row>
    <row r="1371" spans="3:3" x14ac:dyDescent="0.25">
      <c r="C1371"/>
    </row>
    <row r="1372" spans="3:3" x14ac:dyDescent="0.25">
      <c r="C1372"/>
    </row>
    <row r="1373" spans="3:3" x14ac:dyDescent="0.25">
      <c r="C1373"/>
    </row>
    <row r="1374" spans="3:3" x14ac:dyDescent="0.25">
      <c r="C1374"/>
    </row>
    <row r="1375" spans="3:3" x14ac:dyDescent="0.25">
      <c r="C1375"/>
    </row>
    <row r="1376" spans="3:3" x14ac:dyDescent="0.25">
      <c r="C1376"/>
    </row>
    <row r="1377" spans="3:3" x14ac:dyDescent="0.25">
      <c r="C1377"/>
    </row>
    <row r="1378" spans="3:3" x14ac:dyDescent="0.25">
      <c r="C1378"/>
    </row>
    <row r="1379" spans="3:3" x14ac:dyDescent="0.25">
      <c r="C1379"/>
    </row>
    <row r="1380" spans="3:3" x14ac:dyDescent="0.25">
      <c r="C1380"/>
    </row>
    <row r="1381" spans="3:3" x14ac:dyDescent="0.25">
      <c r="C1381"/>
    </row>
    <row r="1382" spans="3:3" x14ac:dyDescent="0.25">
      <c r="C1382"/>
    </row>
    <row r="1383" spans="3:3" x14ac:dyDescent="0.25">
      <c r="C1383"/>
    </row>
    <row r="1384" spans="3:3" x14ac:dyDescent="0.25">
      <c r="C1384"/>
    </row>
    <row r="1385" spans="3:3" x14ac:dyDescent="0.25">
      <c r="C1385"/>
    </row>
    <row r="1386" spans="3:3" x14ac:dyDescent="0.25">
      <c r="C1386"/>
    </row>
    <row r="1387" spans="3:3" x14ac:dyDescent="0.25">
      <c r="C1387"/>
    </row>
    <row r="1388" spans="3:3" x14ac:dyDescent="0.25">
      <c r="C1388"/>
    </row>
    <row r="1389" spans="3:3" x14ac:dyDescent="0.25">
      <c r="C1389"/>
    </row>
    <row r="1390" spans="3:3" x14ac:dyDescent="0.25">
      <c r="C1390"/>
    </row>
    <row r="1391" spans="3:3" x14ac:dyDescent="0.25">
      <c r="C1391"/>
    </row>
    <row r="1392" spans="3:3" x14ac:dyDescent="0.25">
      <c r="C1392"/>
    </row>
    <row r="1393" spans="3:3" x14ac:dyDescent="0.25">
      <c r="C1393"/>
    </row>
    <row r="1394" spans="3:3" x14ac:dyDescent="0.25">
      <c r="C1394"/>
    </row>
    <row r="1395" spans="3:3" x14ac:dyDescent="0.25">
      <c r="C1395"/>
    </row>
    <row r="1396" spans="3:3" x14ac:dyDescent="0.25">
      <c r="C1396"/>
    </row>
    <row r="1397" spans="3:3" x14ac:dyDescent="0.25">
      <c r="C1397"/>
    </row>
    <row r="1398" spans="3:3" x14ac:dyDescent="0.25">
      <c r="C1398"/>
    </row>
    <row r="1399" spans="3:3" x14ac:dyDescent="0.25">
      <c r="C1399"/>
    </row>
    <row r="1400" spans="3:3" x14ac:dyDescent="0.25">
      <c r="C1400"/>
    </row>
    <row r="1401" spans="3:3" x14ac:dyDescent="0.25">
      <c r="C1401"/>
    </row>
    <row r="1402" spans="3:3" x14ac:dyDescent="0.25">
      <c r="C1402"/>
    </row>
    <row r="1403" spans="3:3" x14ac:dyDescent="0.25">
      <c r="C1403"/>
    </row>
    <row r="1404" spans="3:3" x14ac:dyDescent="0.25">
      <c r="C1404"/>
    </row>
    <row r="1405" spans="3:3" x14ac:dyDescent="0.25">
      <c r="C1405"/>
    </row>
    <row r="1406" spans="3:3" x14ac:dyDescent="0.25">
      <c r="C1406"/>
    </row>
    <row r="1407" spans="3:3" x14ac:dyDescent="0.25">
      <c r="C1407"/>
    </row>
    <row r="1408" spans="3:3" x14ac:dyDescent="0.25">
      <c r="C1408"/>
    </row>
    <row r="1409" spans="3:3" x14ac:dyDescent="0.25">
      <c r="C1409"/>
    </row>
    <row r="1410" spans="3:3" x14ac:dyDescent="0.25">
      <c r="C1410"/>
    </row>
    <row r="1411" spans="3:3" x14ac:dyDescent="0.25">
      <c r="C1411"/>
    </row>
    <row r="1412" spans="3:3" x14ac:dyDescent="0.25">
      <c r="C1412"/>
    </row>
    <row r="1413" spans="3:3" x14ac:dyDescent="0.25">
      <c r="C1413"/>
    </row>
    <row r="1414" spans="3:3" x14ac:dyDescent="0.25">
      <c r="C1414"/>
    </row>
    <row r="1415" spans="3:3" x14ac:dyDescent="0.25">
      <c r="C1415"/>
    </row>
    <row r="1416" spans="3:3" x14ac:dyDescent="0.25">
      <c r="C1416"/>
    </row>
    <row r="1417" spans="3:3" x14ac:dyDescent="0.25">
      <c r="C1417"/>
    </row>
    <row r="1418" spans="3:3" x14ac:dyDescent="0.25">
      <c r="C1418"/>
    </row>
    <row r="1419" spans="3:3" x14ac:dyDescent="0.25">
      <c r="C1419"/>
    </row>
    <row r="1420" spans="3:3" x14ac:dyDescent="0.25">
      <c r="C1420"/>
    </row>
    <row r="1421" spans="3:3" x14ac:dyDescent="0.25">
      <c r="C1421"/>
    </row>
    <row r="1422" spans="3:3" x14ac:dyDescent="0.25">
      <c r="C1422"/>
    </row>
    <row r="1423" spans="3:3" x14ac:dyDescent="0.25">
      <c r="C1423"/>
    </row>
    <row r="1424" spans="3:3" x14ac:dyDescent="0.25">
      <c r="C1424"/>
    </row>
    <row r="1425" spans="3:3" x14ac:dyDescent="0.25">
      <c r="C1425"/>
    </row>
    <row r="1426" spans="3:3" x14ac:dyDescent="0.25">
      <c r="C1426"/>
    </row>
    <row r="1427" spans="3:3" x14ac:dyDescent="0.25">
      <c r="C1427"/>
    </row>
    <row r="1428" spans="3:3" x14ac:dyDescent="0.25">
      <c r="C1428"/>
    </row>
    <row r="1429" spans="3:3" x14ac:dyDescent="0.25">
      <c r="C1429"/>
    </row>
    <row r="1430" spans="3:3" x14ac:dyDescent="0.25">
      <c r="C1430"/>
    </row>
    <row r="1431" spans="3:3" x14ac:dyDescent="0.25">
      <c r="C1431"/>
    </row>
    <row r="1432" spans="3:3" x14ac:dyDescent="0.25">
      <c r="C1432"/>
    </row>
    <row r="1433" spans="3:3" x14ac:dyDescent="0.25">
      <c r="C1433"/>
    </row>
    <row r="1434" spans="3:3" x14ac:dyDescent="0.25">
      <c r="C1434"/>
    </row>
    <row r="1435" spans="3:3" x14ac:dyDescent="0.25">
      <c r="C1435"/>
    </row>
    <row r="1436" spans="3:3" x14ac:dyDescent="0.25">
      <c r="C1436"/>
    </row>
    <row r="1437" spans="3:3" x14ac:dyDescent="0.25">
      <c r="C1437"/>
    </row>
    <row r="1438" spans="3:3" x14ac:dyDescent="0.25">
      <c r="C1438"/>
    </row>
    <row r="1439" spans="3:3" x14ac:dyDescent="0.25">
      <c r="C1439"/>
    </row>
    <row r="1440" spans="3:3" x14ac:dyDescent="0.25">
      <c r="C1440"/>
    </row>
    <row r="1441" spans="3:3" x14ac:dyDescent="0.25">
      <c r="C1441"/>
    </row>
    <row r="1442" spans="3:3" x14ac:dyDescent="0.25">
      <c r="C1442"/>
    </row>
    <row r="1443" spans="3:3" x14ac:dyDescent="0.25">
      <c r="C1443"/>
    </row>
    <row r="1444" spans="3:3" x14ac:dyDescent="0.25">
      <c r="C1444"/>
    </row>
    <row r="1445" spans="3:3" x14ac:dyDescent="0.25">
      <c r="C1445"/>
    </row>
    <row r="1446" spans="3:3" x14ac:dyDescent="0.25">
      <c r="C1446"/>
    </row>
    <row r="1447" spans="3:3" x14ac:dyDescent="0.25">
      <c r="C1447"/>
    </row>
    <row r="1448" spans="3:3" x14ac:dyDescent="0.25">
      <c r="C1448"/>
    </row>
    <row r="1449" spans="3:3" x14ac:dyDescent="0.25">
      <c r="C1449"/>
    </row>
    <row r="1450" spans="3:3" x14ac:dyDescent="0.25">
      <c r="C1450"/>
    </row>
    <row r="1451" spans="3:3" x14ac:dyDescent="0.25">
      <c r="C1451"/>
    </row>
    <row r="1452" spans="3:3" x14ac:dyDescent="0.25">
      <c r="C1452"/>
    </row>
    <row r="1453" spans="3:3" x14ac:dyDescent="0.25">
      <c r="C1453"/>
    </row>
    <row r="1454" spans="3:3" x14ac:dyDescent="0.25">
      <c r="C1454"/>
    </row>
    <row r="1455" spans="3:3" x14ac:dyDescent="0.25">
      <c r="C1455"/>
    </row>
    <row r="1456" spans="3:3" x14ac:dyDescent="0.25">
      <c r="C1456"/>
    </row>
    <row r="1457" spans="3:3" x14ac:dyDescent="0.25">
      <c r="C1457"/>
    </row>
    <row r="1458" spans="3:3" x14ac:dyDescent="0.25">
      <c r="C1458"/>
    </row>
    <row r="1459" spans="3:3" x14ac:dyDescent="0.25">
      <c r="C1459"/>
    </row>
    <row r="1460" spans="3:3" x14ac:dyDescent="0.25">
      <c r="C1460"/>
    </row>
    <row r="1461" spans="3:3" x14ac:dyDescent="0.25">
      <c r="C1461"/>
    </row>
    <row r="1462" spans="3:3" x14ac:dyDescent="0.25">
      <c r="C1462"/>
    </row>
    <row r="1463" spans="3:3" x14ac:dyDescent="0.25">
      <c r="C1463"/>
    </row>
    <row r="1464" spans="3:3" x14ac:dyDescent="0.25">
      <c r="C1464"/>
    </row>
    <row r="1465" spans="3:3" x14ac:dyDescent="0.25">
      <c r="C1465"/>
    </row>
    <row r="1466" spans="3:3" x14ac:dyDescent="0.25">
      <c r="C1466"/>
    </row>
    <row r="1467" spans="3:3" x14ac:dyDescent="0.25">
      <c r="C1467"/>
    </row>
    <row r="1468" spans="3:3" x14ac:dyDescent="0.25">
      <c r="C1468"/>
    </row>
    <row r="1469" spans="3:3" x14ac:dyDescent="0.25">
      <c r="C1469"/>
    </row>
    <row r="1470" spans="3:3" x14ac:dyDescent="0.25">
      <c r="C1470"/>
    </row>
    <row r="1471" spans="3:3" x14ac:dyDescent="0.25">
      <c r="C1471"/>
    </row>
    <row r="1472" spans="3:3" x14ac:dyDescent="0.25">
      <c r="C1472"/>
    </row>
    <row r="1473" spans="3:3" x14ac:dyDescent="0.25">
      <c r="C1473"/>
    </row>
    <row r="1474" spans="3:3" x14ac:dyDescent="0.25">
      <c r="C1474"/>
    </row>
    <row r="1475" spans="3:3" x14ac:dyDescent="0.25">
      <c r="C1475"/>
    </row>
    <row r="1476" spans="3:3" x14ac:dyDescent="0.25">
      <c r="C1476"/>
    </row>
    <row r="1477" spans="3:3" x14ac:dyDescent="0.25">
      <c r="C1477"/>
    </row>
    <row r="1478" spans="3:3" x14ac:dyDescent="0.25">
      <c r="C1478"/>
    </row>
    <row r="1479" spans="3:3" x14ac:dyDescent="0.25">
      <c r="C1479"/>
    </row>
    <row r="1480" spans="3:3" x14ac:dyDescent="0.25">
      <c r="C1480"/>
    </row>
    <row r="1481" spans="3:3" x14ac:dyDescent="0.25">
      <c r="C1481"/>
    </row>
    <row r="1482" spans="3:3" x14ac:dyDescent="0.25">
      <c r="C1482"/>
    </row>
    <row r="1483" spans="3:3" x14ac:dyDescent="0.25">
      <c r="C1483"/>
    </row>
    <row r="1484" spans="3:3" x14ac:dyDescent="0.25">
      <c r="C1484"/>
    </row>
    <row r="1485" spans="3:3" x14ac:dyDescent="0.25">
      <c r="C1485"/>
    </row>
    <row r="1486" spans="3:3" x14ac:dyDescent="0.25">
      <c r="C1486"/>
    </row>
    <row r="1487" spans="3:3" x14ac:dyDescent="0.25">
      <c r="C1487"/>
    </row>
    <row r="1488" spans="3:3" x14ac:dyDescent="0.25">
      <c r="C1488"/>
    </row>
    <row r="1489" spans="3:3" x14ac:dyDescent="0.25">
      <c r="C1489"/>
    </row>
    <row r="1490" spans="3:3" x14ac:dyDescent="0.25">
      <c r="C1490"/>
    </row>
    <row r="1491" spans="3:3" x14ac:dyDescent="0.25">
      <c r="C1491"/>
    </row>
    <row r="1492" spans="3:3" x14ac:dyDescent="0.25">
      <c r="C1492"/>
    </row>
    <row r="1493" spans="3:3" x14ac:dyDescent="0.25">
      <c r="C1493"/>
    </row>
    <row r="1494" spans="3:3" x14ac:dyDescent="0.25">
      <c r="C1494"/>
    </row>
    <row r="1495" spans="3:3" x14ac:dyDescent="0.25">
      <c r="C1495"/>
    </row>
    <row r="1496" spans="3:3" x14ac:dyDescent="0.25">
      <c r="C1496"/>
    </row>
    <row r="1497" spans="3:3" x14ac:dyDescent="0.25">
      <c r="C1497"/>
    </row>
    <row r="1498" spans="3:3" x14ac:dyDescent="0.25">
      <c r="C1498"/>
    </row>
    <row r="1499" spans="3:3" x14ac:dyDescent="0.25">
      <c r="C1499"/>
    </row>
    <row r="1500" spans="3:3" x14ac:dyDescent="0.25">
      <c r="C1500"/>
    </row>
    <row r="1501" spans="3:3" x14ac:dyDescent="0.25">
      <c r="C1501"/>
    </row>
    <row r="1502" spans="3:3" x14ac:dyDescent="0.25">
      <c r="C1502"/>
    </row>
    <row r="1503" spans="3:3" x14ac:dyDescent="0.25">
      <c r="C1503"/>
    </row>
    <row r="1504" spans="3:3" x14ac:dyDescent="0.25">
      <c r="C1504"/>
    </row>
    <row r="1505" spans="3:3" x14ac:dyDescent="0.25">
      <c r="C1505"/>
    </row>
    <row r="1506" spans="3:3" x14ac:dyDescent="0.25">
      <c r="C1506"/>
    </row>
    <row r="1507" spans="3:3" x14ac:dyDescent="0.25">
      <c r="C1507"/>
    </row>
    <row r="1508" spans="3:3" x14ac:dyDescent="0.25">
      <c r="C1508"/>
    </row>
    <row r="1509" spans="3:3" x14ac:dyDescent="0.25">
      <c r="C1509"/>
    </row>
    <row r="1510" spans="3:3" x14ac:dyDescent="0.25">
      <c r="C1510"/>
    </row>
    <row r="1511" spans="3:3" x14ac:dyDescent="0.25">
      <c r="C1511"/>
    </row>
    <row r="1512" spans="3:3" x14ac:dyDescent="0.25">
      <c r="C1512"/>
    </row>
    <row r="1513" spans="3:3" x14ac:dyDescent="0.25">
      <c r="C1513"/>
    </row>
    <row r="1514" spans="3:3" x14ac:dyDescent="0.25">
      <c r="C1514"/>
    </row>
    <row r="1515" spans="3:3" x14ac:dyDescent="0.25">
      <c r="C1515"/>
    </row>
    <row r="1516" spans="3:3" x14ac:dyDescent="0.25">
      <c r="C1516"/>
    </row>
    <row r="1517" spans="3:3" x14ac:dyDescent="0.25">
      <c r="C1517"/>
    </row>
    <row r="1518" spans="3:3" x14ac:dyDescent="0.25">
      <c r="C1518"/>
    </row>
    <row r="1519" spans="3:3" x14ac:dyDescent="0.25">
      <c r="C1519"/>
    </row>
    <row r="1520" spans="3:3" x14ac:dyDescent="0.25">
      <c r="C1520"/>
    </row>
    <row r="1521" spans="3:3" x14ac:dyDescent="0.25">
      <c r="C1521"/>
    </row>
    <row r="1522" spans="3:3" x14ac:dyDescent="0.25">
      <c r="C1522"/>
    </row>
    <row r="1523" spans="3:3" x14ac:dyDescent="0.25">
      <c r="C1523"/>
    </row>
    <row r="1524" spans="3:3" x14ac:dyDescent="0.25">
      <c r="C1524"/>
    </row>
    <row r="1525" spans="3:3" x14ac:dyDescent="0.25">
      <c r="C1525"/>
    </row>
    <row r="1526" spans="3:3" x14ac:dyDescent="0.25">
      <c r="C1526"/>
    </row>
    <row r="1527" spans="3:3" x14ac:dyDescent="0.25">
      <c r="C1527"/>
    </row>
    <row r="1528" spans="3:3" x14ac:dyDescent="0.25">
      <c r="C1528"/>
    </row>
    <row r="1529" spans="3:3" x14ac:dyDescent="0.25">
      <c r="C1529"/>
    </row>
    <row r="1530" spans="3:3" x14ac:dyDescent="0.25">
      <c r="C1530"/>
    </row>
    <row r="1531" spans="3:3" x14ac:dyDescent="0.25">
      <c r="C1531"/>
    </row>
    <row r="1532" spans="3:3" x14ac:dyDescent="0.25">
      <c r="C1532"/>
    </row>
    <row r="1533" spans="3:3" x14ac:dyDescent="0.25">
      <c r="C1533"/>
    </row>
    <row r="1534" spans="3:3" x14ac:dyDescent="0.25">
      <c r="C1534"/>
    </row>
    <row r="1535" spans="3:3" x14ac:dyDescent="0.25">
      <c r="C1535"/>
    </row>
    <row r="1536" spans="3:3" x14ac:dyDescent="0.25">
      <c r="C1536"/>
    </row>
    <row r="1537" spans="3:3" x14ac:dyDescent="0.25">
      <c r="C1537"/>
    </row>
    <row r="1538" spans="3:3" x14ac:dyDescent="0.25">
      <c r="C1538"/>
    </row>
    <row r="1539" spans="3:3" x14ac:dyDescent="0.25">
      <c r="C1539"/>
    </row>
    <row r="1540" spans="3:3" x14ac:dyDescent="0.25">
      <c r="C1540"/>
    </row>
    <row r="1541" spans="3:3" x14ac:dyDescent="0.25">
      <c r="C1541"/>
    </row>
    <row r="1542" spans="3:3" x14ac:dyDescent="0.25">
      <c r="C1542"/>
    </row>
    <row r="1543" spans="3:3" x14ac:dyDescent="0.25">
      <c r="C1543"/>
    </row>
    <row r="1544" spans="3:3" x14ac:dyDescent="0.25">
      <c r="C1544"/>
    </row>
    <row r="1545" spans="3:3" x14ac:dyDescent="0.25">
      <c r="C1545"/>
    </row>
    <row r="1546" spans="3:3" x14ac:dyDescent="0.25">
      <c r="C1546"/>
    </row>
    <row r="1547" spans="3:3" x14ac:dyDescent="0.25">
      <c r="C1547"/>
    </row>
    <row r="1548" spans="3:3" x14ac:dyDescent="0.25">
      <c r="C1548"/>
    </row>
    <row r="1549" spans="3:3" x14ac:dyDescent="0.25">
      <c r="C1549"/>
    </row>
    <row r="1550" spans="3:3" x14ac:dyDescent="0.25">
      <c r="C1550"/>
    </row>
    <row r="1551" spans="3:3" x14ac:dyDescent="0.25">
      <c r="C1551"/>
    </row>
    <row r="1552" spans="3:3" x14ac:dyDescent="0.25">
      <c r="C1552"/>
    </row>
    <row r="1553" spans="3:3" x14ac:dyDescent="0.25">
      <c r="C1553"/>
    </row>
    <row r="1554" spans="3:3" x14ac:dyDescent="0.25">
      <c r="C1554"/>
    </row>
    <row r="1555" spans="3:3" x14ac:dyDescent="0.25">
      <c r="C1555"/>
    </row>
    <row r="1556" spans="3:3" x14ac:dyDescent="0.25">
      <c r="C1556"/>
    </row>
    <row r="1557" spans="3:3" x14ac:dyDescent="0.25">
      <c r="C1557"/>
    </row>
    <row r="1558" spans="3:3" x14ac:dyDescent="0.25">
      <c r="C1558"/>
    </row>
    <row r="1559" spans="3:3" x14ac:dyDescent="0.25">
      <c r="C1559"/>
    </row>
    <row r="1560" spans="3:3" x14ac:dyDescent="0.25">
      <c r="C1560"/>
    </row>
    <row r="1561" spans="3:3" x14ac:dyDescent="0.25">
      <c r="C1561"/>
    </row>
    <row r="1562" spans="3:3" x14ac:dyDescent="0.25">
      <c r="C1562"/>
    </row>
    <row r="1563" spans="3:3" x14ac:dyDescent="0.25">
      <c r="C1563"/>
    </row>
    <row r="1564" spans="3:3" x14ac:dyDescent="0.25">
      <c r="C1564"/>
    </row>
    <row r="1565" spans="3:3" x14ac:dyDescent="0.25">
      <c r="C1565"/>
    </row>
    <row r="1566" spans="3:3" x14ac:dyDescent="0.25">
      <c r="C1566"/>
    </row>
    <row r="1567" spans="3:3" x14ac:dyDescent="0.25">
      <c r="C1567"/>
    </row>
    <row r="1568" spans="3:3" x14ac:dyDescent="0.25">
      <c r="C1568"/>
    </row>
    <row r="1569" spans="3:3" x14ac:dyDescent="0.25">
      <c r="C1569"/>
    </row>
    <row r="1570" spans="3:3" x14ac:dyDescent="0.25">
      <c r="C1570"/>
    </row>
    <row r="1571" spans="3:3" x14ac:dyDescent="0.25">
      <c r="C1571"/>
    </row>
    <row r="1572" spans="3:3" x14ac:dyDescent="0.25">
      <c r="C1572"/>
    </row>
    <row r="1573" spans="3:3" x14ac:dyDescent="0.25">
      <c r="C1573"/>
    </row>
    <row r="1574" spans="3:3" x14ac:dyDescent="0.25">
      <c r="C1574"/>
    </row>
    <row r="1575" spans="3:3" x14ac:dyDescent="0.25">
      <c r="C1575"/>
    </row>
    <row r="1576" spans="3:3" x14ac:dyDescent="0.25">
      <c r="C1576"/>
    </row>
    <row r="1577" spans="3:3" x14ac:dyDescent="0.25">
      <c r="C1577"/>
    </row>
    <row r="1578" spans="3:3" x14ac:dyDescent="0.25">
      <c r="C1578"/>
    </row>
    <row r="1579" spans="3:3" x14ac:dyDescent="0.25">
      <c r="C1579"/>
    </row>
    <row r="1580" spans="3:3" x14ac:dyDescent="0.25">
      <c r="C1580"/>
    </row>
    <row r="1581" spans="3:3" x14ac:dyDescent="0.25">
      <c r="C1581"/>
    </row>
    <row r="1582" spans="3:3" x14ac:dyDescent="0.25">
      <c r="C1582"/>
    </row>
    <row r="1583" spans="3:3" x14ac:dyDescent="0.25">
      <c r="C1583"/>
    </row>
    <row r="1584" spans="3:3" x14ac:dyDescent="0.25">
      <c r="C1584"/>
    </row>
    <row r="1585" spans="3:3" x14ac:dyDescent="0.25">
      <c r="C1585"/>
    </row>
    <row r="1586" spans="3:3" x14ac:dyDescent="0.25">
      <c r="C1586"/>
    </row>
    <row r="1587" spans="3:3" x14ac:dyDescent="0.25">
      <c r="C1587"/>
    </row>
    <row r="1588" spans="3:3" x14ac:dyDescent="0.25">
      <c r="C1588"/>
    </row>
    <row r="1589" spans="3:3" x14ac:dyDescent="0.25">
      <c r="C1589"/>
    </row>
    <row r="1590" spans="3:3" x14ac:dyDescent="0.25">
      <c r="C1590"/>
    </row>
    <row r="1591" spans="3:3" x14ac:dyDescent="0.25">
      <c r="C1591"/>
    </row>
    <row r="1592" spans="3:3" x14ac:dyDescent="0.25">
      <c r="C1592"/>
    </row>
    <row r="1593" spans="3:3" x14ac:dyDescent="0.25">
      <c r="C1593"/>
    </row>
    <row r="1594" spans="3:3" x14ac:dyDescent="0.25">
      <c r="C1594"/>
    </row>
    <row r="1595" spans="3:3" x14ac:dyDescent="0.25">
      <c r="C1595"/>
    </row>
    <row r="1596" spans="3:3" x14ac:dyDescent="0.25">
      <c r="C1596"/>
    </row>
    <row r="1597" spans="3:3" x14ac:dyDescent="0.25">
      <c r="C1597"/>
    </row>
    <row r="1598" spans="3:3" x14ac:dyDescent="0.25">
      <c r="C1598"/>
    </row>
    <row r="1599" spans="3:3" x14ac:dyDescent="0.25">
      <c r="C1599"/>
    </row>
    <row r="1600" spans="3:3" x14ac:dyDescent="0.25">
      <c r="C1600"/>
    </row>
    <row r="1601" spans="3:3" x14ac:dyDescent="0.25">
      <c r="C1601"/>
    </row>
    <row r="1602" spans="3:3" x14ac:dyDescent="0.25">
      <c r="C1602"/>
    </row>
    <row r="1603" spans="3:3" x14ac:dyDescent="0.25">
      <c r="C1603"/>
    </row>
    <row r="1604" spans="3:3" x14ac:dyDescent="0.25">
      <c r="C1604"/>
    </row>
    <row r="1605" spans="3:3" x14ac:dyDescent="0.25">
      <c r="C1605"/>
    </row>
    <row r="1606" spans="3:3" x14ac:dyDescent="0.25">
      <c r="C1606"/>
    </row>
    <row r="1607" spans="3:3" x14ac:dyDescent="0.25">
      <c r="C1607"/>
    </row>
    <row r="1608" spans="3:3" x14ac:dyDescent="0.25">
      <c r="C1608"/>
    </row>
    <row r="1609" spans="3:3" x14ac:dyDescent="0.25">
      <c r="C1609"/>
    </row>
    <row r="1610" spans="3:3" x14ac:dyDescent="0.25">
      <c r="C1610"/>
    </row>
    <row r="1611" spans="3:3" x14ac:dyDescent="0.25">
      <c r="C1611"/>
    </row>
    <row r="1612" spans="3:3" x14ac:dyDescent="0.25">
      <c r="C1612"/>
    </row>
    <row r="1613" spans="3:3" x14ac:dyDescent="0.25">
      <c r="C1613"/>
    </row>
    <row r="1614" spans="3:3" x14ac:dyDescent="0.25">
      <c r="C1614"/>
    </row>
    <row r="1615" spans="3:3" x14ac:dyDescent="0.25">
      <c r="C1615"/>
    </row>
    <row r="1616" spans="3:3" x14ac:dyDescent="0.25">
      <c r="C1616"/>
    </row>
    <row r="1617" spans="3:3" x14ac:dyDescent="0.25">
      <c r="C1617"/>
    </row>
    <row r="1618" spans="3:3" x14ac:dyDescent="0.25">
      <c r="C1618"/>
    </row>
    <row r="1619" spans="3:3" x14ac:dyDescent="0.25">
      <c r="C1619"/>
    </row>
    <row r="1620" spans="3:3" x14ac:dyDescent="0.25">
      <c r="C1620"/>
    </row>
    <row r="1621" spans="3:3" x14ac:dyDescent="0.25">
      <c r="C1621"/>
    </row>
    <row r="1622" spans="3:3" x14ac:dyDescent="0.25">
      <c r="C1622"/>
    </row>
    <row r="1623" spans="3:3" x14ac:dyDescent="0.25">
      <c r="C1623"/>
    </row>
    <row r="1624" spans="3:3" x14ac:dyDescent="0.25">
      <c r="C1624"/>
    </row>
    <row r="1625" spans="3:3" x14ac:dyDescent="0.25">
      <c r="C1625"/>
    </row>
    <row r="1626" spans="3:3" x14ac:dyDescent="0.25">
      <c r="C1626"/>
    </row>
    <row r="1627" spans="3:3" x14ac:dyDescent="0.25">
      <c r="C1627"/>
    </row>
    <row r="1628" spans="3:3" x14ac:dyDescent="0.25">
      <c r="C1628"/>
    </row>
    <row r="1629" spans="3:3" x14ac:dyDescent="0.25">
      <c r="C1629"/>
    </row>
    <row r="1630" spans="3:3" x14ac:dyDescent="0.25">
      <c r="C1630"/>
    </row>
    <row r="1631" spans="3:3" x14ac:dyDescent="0.25">
      <c r="C1631"/>
    </row>
    <row r="1632" spans="3:3" x14ac:dyDescent="0.25">
      <c r="C1632"/>
    </row>
    <row r="1633" spans="3:3" x14ac:dyDescent="0.25">
      <c r="C1633"/>
    </row>
    <row r="1634" spans="3:3" x14ac:dyDescent="0.25">
      <c r="C1634"/>
    </row>
    <row r="1635" spans="3:3" x14ac:dyDescent="0.25">
      <c r="C1635"/>
    </row>
    <row r="1636" spans="3:3" x14ac:dyDescent="0.25">
      <c r="C1636"/>
    </row>
    <row r="1637" spans="3:3" x14ac:dyDescent="0.25">
      <c r="C1637"/>
    </row>
    <row r="1638" spans="3:3" x14ac:dyDescent="0.25">
      <c r="C1638"/>
    </row>
    <row r="1639" spans="3:3" x14ac:dyDescent="0.25">
      <c r="C1639"/>
    </row>
    <row r="1640" spans="3:3" x14ac:dyDescent="0.25">
      <c r="C1640"/>
    </row>
    <row r="1641" spans="3:3" x14ac:dyDescent="0.25">
      <c r="C1641"/>
    </row>
    <row r="1642" spans="3:3" x14ac:dyDescent="0.25">
      <c r="C1642"/>
    </row>
    <row r="1643" spans="3:3" x14ac:dyDescent="0.25">
      <c r="C1643"/>
    </row>
    <row r="1644" spans="3:3" x14ac:dyDescent="0.25">
      <c r="C1644"/>
    </row>
    <row r="1645" spans="3:3" x14ac:dyDescent="0.25">
      <c r="C1645"/>
    </row>
    <row r="1646" spans="3:3" x14ac:dyDescent="0.25">
      <c r="C1646"/>
    </row>
    <row r="1647" spans="3:3" x14ac:dyDescent="0.25">
      <c r="C1647"/>
    </row>
    <row r="1648" spans="3:3" x14ac:dyDescent="0.25">
      <c r="C1648"/>
    </row>
    <row r="1649" spans="3:3" x14ac:dyDescent="0.25">
      <c r="C1649"/>
    </row>
    <row r="1650" spans="3:3" x14ac:dyDescent="0.25">
      <c r="C1650"/>
    </row>
    <row r="1651" spans="3:3" x14ac:dyDescent="0.25">
      <c r="C1651"/>
    </row>
    <row r="1652" spans="3:3" x14ac:dyDescent="0.25">
      <c r="C1652"/>
    </row>
    <row r="1653" spans="3:3" x14ac:dyDescent="0.25">
      <c r="C1653"/>
    </row>
    <row r="1654" spans="3:3" x14ac:dyDescent="0.25">
      <c r="C1654"/>
    </row>
    <row r="1655" spans="3:3" x14ac:dyDescent="0.25">
      <c r="C1655"/>
    </row>
    <row r="1656" spans="3:3" x14ac:dyDescent="0.25">
      <c r="C1656"/>
    </row>
    <row r="1657" spans="3:3" x14ac:dyDescent="0.25">
      <c r="C1657"/>
    </row>
    <row r="1658" spans="3:3" x14ac:dyDescent="0.25">
      <c r="C1658"/>
    </row>
    <row r="1659" spans="3:3" x14ac:dyDescent="0.25">
      <c r="C1659"/>
    </row>
    <row r="1660" spans="3:3" x14ac:dyDescent="0.25">
      <c r="C1660"/>
    </row>
    <row r="1661" spans="3:3" x14ac:dyDescent="0.25">
      <c r="C1661"/>
    </row>
    <row r="1662" spans="3:3" x14ac:dyDescent="0.25">
      <c r="C1662"/>
    </row>
    <row r="1663" spans="3:3" x14ac:dyDescent="0.25">
      <c r="C1663"/>
    </row>
    <row r="1664" spans="3:3" x14ac:dyDescent="0.25">
      <c r="C1664"/>
    </row>
    <row r="1665" spans="3:3" x14ac:dyDescent="0.25">
      <c r="C1665"/>
    </row>
    <row r="1666" spans="3:3" x14ac:dyDescent="0.25">
      <c r="C1666"/>
    </row>
    <row r="1667" spans="3:3" x14ac:dyDescent="0.25">
      <c r="C1667"/>
    </row>
    <row r="1668" spans="3:3" x14ac:dyDescent="0.25">
      <c r="C1668"/>
    </row>
    <row r="1669" spans="3:3" x14ac:dyDescent="0.25">
      <c r="C1669"/>
    </row>
    <row r="1670" spans="3:3" x14ac:dyDescent="0.25">
      <c r="C1670"/>
    </row>
    <row r="1671" spans="3:3" x14ac:dyDescent="0.25">
      <c r="C1671"/>
    </row>
    <row r="1672" spans="3:3" x14ac:dyDescent="0.25">
      <c r="C1672"/>
    </row>
    <row r="1673" spans="3:3" x14ac:dyDescent="0.25">
      <c r="C1673"/>
    </row>
    <row r="1674" spans="3:3" x14ac:dyDescent="0.25">
      <c r="C1674"/>
    </row>
    <row r="1675" spans="3:3" x14ac:dyDescent="0.25">
      <c r="C1675"/>
    </row>
    <row r="1676" spans="3:3" x14ac:dyDescent="0.25">
      <c r="C1676"/>
    </row>
    <row r="1677" spans="3:3" x14ac:dyDescent="0.25">
      <c r="C1677"/>
    </row>
    <row r="1678" spans="3:3" x14ac:dyDescent="0.25">
      <c r="C1678"/>
    </row>
    <row r="1679" spans="3:3" x14ac:dyDescent="0.25">
      <c r="C1679"/>
    </row>
    <row r="1680" spans="3:3" x14ac:dyDescent="0.25">
      <c r="C1680"/>
    </row>
    <row r="1681" spans="3:3" x14ac:dyDescent="0.25">
      <c r="C1681"/>
    </row>
    <row r="1682" spans="3:3" x14ac:dyDescent="0.25">
      <c r="C1682"/>
    </row>
    <row r="1683" spans="3:3" x14ac:dyDescent="0.25">
      <c r="C1683"/>
    </row>
    <row r="1684" spans="3:3" x14ac:dyDescent="0.25">
      <c r="C1684"/>
    </row>
    <row r="1685" spans="3:3" x14ac:dyDescent="0.25">
      <c r="C1685"/>
    </row>
    <row r="1686" spans="3:3" x14ac:dyDescent="0.25">
      <c r="C1686"/>
    </row>
    <row r="1687" spans="3:3" x14ac:dyDescent="0.25">
      <c r="C1687"/>
    </row>
    <row r="1688" spans="3:3" x14ac:dyDescent="0.25">
      <c r="C1688"/>
    </row>
    <row r="1689" spans="3:3" x14ac:dyDescent="0.25">
      <c r="C1689"/>
    </row>
    <row r="1690" spans="3:3" x14ac:dyDescent="0.25">
      <c r="C1690"/>
    </row>
    <row r="1691" spans="3:3" x14ac:dyDescent="0.25">
      <c r="C1691"/>
    </row>
    <row r="1692" spans="3:3" x14ac:dyDescent="0.25">
      <c r="C1692"/>
    </row>
    <row r="1693" spans="3:3" x14ac:dyDescent="0.25">
      <c r="C1693"/>
    </row>
    <row r="1694" spans="3:3" x14ac:dyDescent="0.25">
      <c r="C1694"/>
    </row>
    <row r="1695" spans="3:3" x14ac:dyDescent="0.25">
      <c r="C1695"/>
    </row>
    <row r="1696" spans="3:3" x14ac:dyDescent="0.25">
      <c r="C1696"/>
    </row>
    <row r="1697" spans="3:3" x14ac:dyDescent="0.25">
      <c r="C1697"/>
    </row>
    <row r="1698" spans="3:3" x14ac:dyDescent="0.25">
      <c r="C1698"/>
    </row>
    <row r="1699" spans="3:3" x14ac:dyDescent="0.25">
      <c r="C1699"/>
    </row>
    <row r="1700" spans="3:3" x14ac:dyDescent="0.25">
      <c r="C1700"/>
    </row>
    <row r="1701" spans="3:3" x14ac:dyDescent="0.25">
      <c r="C1701"/>
    </row>
    <row r="1702" spans="3:3" x14ac:dyDescent="0.25">
      <c r="C1702"/>
    </row>
    <row r="1703" spans="3:3" x14ac:dyDescent="0.25">
      <c r="C1703"/>
    </row>
    <row r="1704" spans="3:3" x14ac:dyDescent="0.25">
      <c r="C1704"/>
    </row>
    <row r="1705" spans="3:3" x14ac:dyDescent="0.25">
      <c r="C1705"/>
    </row>
    <row r="1706" spans="3:3" x14ac:dyDescent="0.25">
      <c r="C1706"/>
    </row>
    <row r="1707" spans="3:3" x14ac:dyDescent="0.25">
      <c r="C1707"/>
    </row>
    <row r="1708" spans="3:3" x14ac:dyDescent="0.25">
      <c r="C1708"/>
    </row>
    <row r="1709" spans="3:3" x14ac:dyDescent="0.25">
      <c r="C1709"/>
    </row>
    <row r="1710" spans="3:3" x14ac:dyDescent="0.25">
      <c r="C1710"/>
    </row>
    <row r="1711" spans="3:3" x14ac:dyDescent="0.25">
      <c r="C1711"/>
    </row>
    <row r="1712" spans="3:3" x14ac:dyDescent="0.25">
      <c r="C1712"/>
    </row>
    <row r="1713" spans="3:3" x14ac:dyDescent="0.25">
      <c r="C1713"/>
    </row>
    <row r="1714" spans="3:3" x14ac:dyDescent="0.25">
      <c r="C1714"/>
    </row>
    <row r="1715" spans="3:3" x14ac:dyDescent="0.25">
      <c r="C1715"/>
    </row>
    <row r="1716" spans="3:3" x14ac:dyDescent="0.25">
      <c r="C1716"/>
    </row>
    <row r="1717" spans="3:3" x14ac:dyDescent="0.25">
      <c r="C1717"/>
    </row>
    <row r="1718" spans="3:3" x14ac:dyDescent="0.25">
      <c r="C1718"/>
    </row>
    <row r="1719" spans="3:3" x14ac:dyDescent="0.25">
      <c r="C1719"/>
    </row>
    <row r="1720" spans="3:3" x14ac:dyDescent="0.25">
      <c r="C1720"/>
    </row>
    <row r="1721" spans="3:3" x14ac:dyDescent="0.25">
      <c r="C1721"/>
    </row>
    <row r="1722" spans="3:3" x14ac:dyDescent="0.25">
      <c r="C1722"/>
    </row>
    <row r="1723" spans="3:3" x14ac:dyDescent="0.25">
      <c r="C1723"/>
    </row>
    <row r="1724" spans="3:3" x14ac:dyDescent="0.25">
      <c r="C1724"/>
    </row>
    <row r="1725" spans="3:3" x14ac:dyDescent="0.25">
      <c r="C1725"/>
    </row>
    <row r="1726" spans="3:3" x14ac:dyDescent="0.25">
      <c r="C1726"/>
    </row>
    <row r="1727" spans="3:3" x14ac:dyDescent="0.25">
      <c r="C1727"/>
    </row>
    <row r="1728" spans="3:3" x14ac:dyDescent="0.25">
      <c r="C1728"/>
    </row>
    <row r="1729" spans="3:3" x14ac:dyDescent="0.25">
      <c r="C1729"/>
    </row>
    <row r="1730" spans="3:3" x14ac:dyDescent="0.25">
      <c r="C1730"/>
    </row>
    <row r="1731" spans="3:3" x14ac:dyDescent="0.25">
      <c r="C1731"/>
    </row>
    <row r="1732" spans="3:3" x14ac:dyDescent="0.25">
      <c r="C1732"/>
    </row>
    <row r="1733" spans="3:3" x14ac:dyDescent="0.25">
      <c r="C1733"/>
    </row>
    <row r="1734" spans="3:3" x14ac:dyDescent="0.25">
      <c r="C1734"/>
    </row>
    <row r="1735" spans="3:3" x14ac:dyDescent="0.25">
      <c r="C1735"/>
    </row>
    <row r="1736" spans="3:3" x14ac:dyDescent="0.25">
      <c r="C1736"/>
    </row>
    <row r="1737" spans="3:3" x14ac:dyDescent="0.25">
      <c r="C1737"/>
    </row>
    <row r="1738" spans="3:3" x14ac:dyDescent="0.25">
      <c r="C1738"/>
    </row>
    <row r="1739" spans="3:3" x14ac:dyDescent="0.25">
      <c r="C1739"/>
    </row>
    <row r="1740" spans="3:3" x14ac:dyDescent="0.25">
      <c r="C1740"/>
    </row>
    <row r="1741" spans="3:3" x14ac:dyDescent="0.25">
      <c r="C1741"/>
    </row>
    <row r="1742" spans="3:3" x14ac:dyDescent="0.25">
      <c r="C1742"/>
    </row>
    <row r="1743" spans="3:3" x14ac:dyDescent="0.25">
      <c r="C1743"/>
    </row>
    <row r="1744" spans="3:3" x14ac:dyDescent="0.25">
      <c r="C1744"/>
    </row>
    <row r="1745" spans="3:3" x14ac:dyDescent="0.25">
      <c r="C1745"/>
    </row>
    <row r="1746" spans="3:3" x14ac:dyDescent="0.25">
      <c r="C1746"/>
    </row>
    <row r="1747" spans="3:3" x14ac:dyDescent="0.25">
      <c r="C1747"/>
    </row>
    <row r="1748" spans="3:3" x14ac:dyDescent="0.25">
      <c r="C1748"/>
    </row>
    <row r="1749" spans="3:3" x14ac:dyDescent="0.25">
      <c r="C1749"/>
    </row>
    <row r="1750" spans="3:3" x14ac:dyDescent="0.25">
      <c r="C1750"/>
    </row>
    <row r="1751" spans="3:3" x14ac:dyDescent="0.25">
      <c r="C1751"/>
    </row>
    <row r="1752" spans="3:3" x14ac:dyDescent="0.25">
      <c r="C1752"/>
    </row>
    <row r="1753" spans="3:3" x14ac:dyDescent="0.25">
      <c r="C1753"/>
    </row>
    <row r="1754" spans="3:3" x14ac:dyDescent="0.25">
      <c r="C1754"/>
    </row>
    <row r="1755" spans="3:3" x14ac:dyDescent="0.25">
      <c r="C1755"/>
    </row>
    <row r="1756" spans="3:3" x14ac:dyDescent="0.25">
      <c r="C1756"/>
    </row>
    <row r="1757" spans="3:3" x14ac:dyDescent="0.25">
      <c r="C1757"/>
    </row>
    <row r="1758" spans="3:3" x14ac:dyDescent="0.25">
      <c r="C1758"/>
    </row>
    <row r="1759" spans="3:3" x14ac:dyDescent="0.25">
      <c r="C1759"/>
    </row>
    <row r="1760" spans="3:3" x14ac:dyDescent="0.25">
      <c r="C1760"/>
    </row>
    <row r="1761" spans="3:3" x14ac:dyDescent="0.25">
      <c r="C1761"/>
    </row>
    <row r="1762" spans="3:3" x14ac:dyDescent="0.25">
      <c r="C1762"/>
    </row>
    <row r="1763" spans="3:3" x14ac:dyDescent="0.25">
      <c r="C1763"/>
    </row>
    <row r="1764" spans="3:3" x14ac:dyDescent="0.25">
      <c r="C1764"/>
    </row>
    <row r="1765" spans="3:3" x14ac:dyDescent="0.25">
      <c r="C1765"/>
    </row>
    <row r="1766" spans="3:3" x14ac:dyDescent="0.25">
      <c r="C1766"/>
    </row>
    <row r="1767" spans="3:3" x14ac:dyDescent="0.25">
      <c r="C1767"/>
    </row>
    <row r="1768" spans="3:3" x14ac:dyDescent="0.25">
      <c r="C1768"/>
    </row>
    <row r="1769" spans="3:3" x14ac:dyDescent="0.25">
      <c r="C1769"/>
    </row>
    <row r="1770" spans="3:3" x14ac:dyDescent="0.25">
      <c r="C1770"/>
    </row>
    <row r="1771" spans="3:3" x14ac:dyDescent="0.25">
      <c r="C1771"/>
    </row>
    <row r="1772" spans="3:3" x14ac:dyDescent="0.25">
      <c r="C1772"/>
    </row>
    <row r="1773" spans="3:3" x14ac:dyDescent="0.25">
      <c r="C1773"/>
    </row>
    <row r="1774" spans="3:3" x14ac:dyDescent="0.25">
      <c r="C1774"/>
    </row>
    <row r="1775" spans="3:3" x14ac:dyDescent="0.25">
      <c r="C1775"/>
    </row>
    <row r="1776" spans="3:3" x14ac:dyDescent="0.25">
      <c r="C1776"/>
    </row>
    <row r="1777" spans="3:3" x14ac:dyDescent="0.25">
      <c r="C1777"/>
    </row>
    <row r="1778" spans="3:3" x14ac:dyDescent="0.25">
      <c r="C1778"/>
    </row>
    <row r="1779" spans="3:3" x14ac:dyDescent="0.25">
      <c r="C1779"/>
    </row>
    <row r="1780" spans="3:3" x14ac:dyDescent="0.25">
      <c r="C1780"/>
    </row>
    <row r="1781" spans="3:3" x14ac:dyDescent="0.25">
      <c r="C1781"/>
    </row>
    <row r="1782" spans="3:3" x14ac:dyDescent="0.25">
      <c r="C1782"/>
    </row>
    <row r="1783" spans="3:3" x14ac:dyDescent="0.25">
      <c r="C1783"/>
    </row>
    <row r="1784" spans="3:3" x14ac:dyDescent="0.25">
      <c r="C1784"/>
    </row>
    <row r="1785" spans="3:3" x14ac:dyDescent="0.25">
      <c r="C1785"/>
    </row>
    <row r="1786" spans="3:3" x14ac:dyDescent="0.25">
      <c r="C1786"/>
    </row>
    <row r="1787" spans="3:3" x14ac:dyDescent="0.25">
      <c r="C1787"/>
    </row>
    <row r="1788" spans="3:3" x14ac:dyDescent="0.25">
      <c r="C1788"/>
    </row>
    <row r="1789" spans="3:3" x14ac:dyDescent="0.25">
      <c r="C1789"/>
    </row>
    <row r="1790" spans="3:3" x14ac:dyDescent="0.25">
      <c r="C1790"/>
    </row>
    <row r="1791" spans="3:3" x14ac:dyDescent="0.25">
      <c r="C1791"/>
    </row>
    <row r="1792" spans="3:3" x14ac:dyDescent="0.25">
      <c r="C1792"/>
    </row>
    <row r="1793" spans="3:3" x14ac:dyDescent="0.25">
      <c r="C1793"/>
    </row>
    <row r="1794" spans="3:3" x14ac:dyDescent="0.25">
      <c r="C1794"/>
    </row>
    <row r="1795" spans="3:3" x14ac:dyDescent="0.25">
      <c r="C1795"/>
    </row>
    <row r="1796" spans="3:3" x14ac:dyDescent="0.25">
      <c r="C1796"/>
    </row>
    <row r="1797" spans="3:3" x14ac:dyDescent="0.25">
      <c r="C1797"/>
    </row>
    <row r="1798" spans="3:3" x14ac:dyDescent="0.25">
      <c r="C1798"/>
    </row>
    <row r="1799" spans="3:3" x14ac:dyDescent="0.25">
      <c r="C1799"/>
    </row>
    <row r="1800" spans="3:3" x14ac:dyDescent="0.25">
      <c r="C1800"/>
    </row>
    <row r="1801" spans="3:3" x14ac:dyDescent="0.25">
      <c r="C1801"/>
    </row>
    <row r="1802" spans="3:3" x14ac:dyDescent="0.25">
      <c r="C1802"/>
    </row>
    <row r="1803" spans="3:3" x14ac:dyDescent="0.25">
      <c r="C1803"/>
    </row>
    <row r="1804" spans="3:3" x14ac:dyDescent="0.25">
      <c r="C1804"/>
    </row>
    <row r="1805" spans="3:3" x14ac:dyDescent="0.25">
      <c r="C1805"/>
    </row>
    <row r="1806" spans="3:3" x14ac:dyDescent="0.25">
      <c r="C1806"/>
    </row>
    <row r="1807" spans="3:3" x14ac:dyDescent="0.25">
      <c r="C1807"/>
    </row>
    <row r="1808" spans="3:3" x14ac:dyDescent="0.25">
      <c r="C1808"/>
    </row>
    <row r="1809" spans="3:3" x14ac:dyDescent="0.25">
      <c r="C1809"/>
    </row>
    <row r="1810" spans="3:3" x14ac:dyDescent="0.25">
      <c r="C1810"/>
    </row>
    <row r="1811" spans="3:3" x14ac:dyDescent="0.25">
      <c r="C1811"/>
    </row>
    <row r="1812" spans="3:3" x14ac:dyDescent="0.25">
      <c r="C1812"/>
    </row>
    <row r="1813" spans="3:3" x14ac:dyDescent="0.25">
      <c r="C1813"/>
    </row>
    <row r="1814" spans="3:3" x14ac:dyDescent="0.25">
      <c r="C1814"/>
    </row>
    <row r="1815" spans="3:3" x14ac:dyDescent="0.25">
      <c r="C1815"/>
    </row>
    <row r="1816" spans="3:3" x14ac:dyDescent="0.25">
      <c r="C1816"/>
    </row>
    <row r="1817" spans="3:3" x14ac:dyDescent="0.25">
      <c r="C1817"/>
    </row>
    <row r="1818" spans="3:3" x14ac:dyDescent="0.25">
      <c r="C1818"/>
    </row>
    <row r="1819" spans="3:3" x14ac:dyDescent="0.25">
      <c r="C1819"/>
    </row>
    <row r="1820" spans="3:3" x14ac:dyDescent="0.25">
      <c r="C1820"/>
    </row>
    <row r="1821" spans="3:3" x14ac:dyDescent="0.25">
      <c r="C1821"/>
    </row>
    <row r="1822" spans="3:3" x14ac:dyDescent="0.25">
      <c r="C1822"/>
    </row>
    <row r="1823" spans="3:3" x14ac:dyDescent="0.25">
      <c r="C1823"/>
    </row>
    <row r="1824" spans="3:3" x14ac:dyDescent="0.25">
      <c r="C1824"/>
    </row>
    <row r="1825" spans="3:3" x14ac:dyDescent="0.25">
      <c r="C1825"/>
    </row>
    <row r="1826" spans="3:3" x14ac:dyDescent="0.25">
      <c r="C1826"/>
    </row>
    <row r="1827" spans="3:3" x14ac:dyDescent="0.25">
      <c r="C1827"/>
    </row>
    <row r="1828" spans="3:3" x14ac:dyDescent="0.25">
      <c r="C1828"/>
    </row>
    <row r="1829" spans="3:3" x14ac:dyDescent="0.25">
      <c r="C1829"/>
    </row>
    <row r="1830" spans="3:3" x14ac:dyDescent="0.25">
      <c r="C1830"/>
    </row>
    <row r="1831" spans="3:3" x14ac:dyDescent="0.25">
      <c r="C1831"/>
    </row>
    <row r="1832" spans="3:3" x14ac:dyDescent="0.25">
      <c r="C1832"/>
    </row>
    <row r="1833" spans="3:3" x14ac:dyDescent="0.25">
      <c r="C1833"/>
    </row>
    <row r="1834" spans="3:3" x14ac:dyDescent="0.25">
      <c r="C1834"/>
    </row>
    <row r="1835" spans="3:3" x14ac:dyDescent="0.25">
      <c r="C1835"/>
    </row>
    <row r="1836" spans="3:3" x14ac:dyDescent="0.25">
      <c r="C1836"/>
    </row>
    <row r="1837" spans="3:3" x14ac:dyDescent="0.25">
      <c r="C1837"/>
    </row>
    <row r="1838" spans="3:3" x14ac:dyDescent="0.25">
      <c r="C1838"/>
    </row>
    <row r="1839" spans="3:3" x14ac:dyDescent="0.25">
      <c r="C1839"/>
    </row>
    <row r="1840" spans="3:3" x14ac:dyDescent="0.25">
      <c r="C1840"/>
    </row>
    <row r="1841" spans="3:3" x14ac:dyDescent="0.25">
      <c r="C1841"/>
    </row>
    <row r="1842" spans="3:3" x14ac:dyDescent="0.25">
      <c r="C1842"/>
    </row>
    <row r="1843" spans="3:3" x14ac:dyDescent="0.25">
      <c r="C1843"/>
    </row>
    <row r="1844" spans="3:3" x14ac:dyDescent="0.25">
      <c r="C1844"/>
    </row>
    <row r="1845" spans="3:3" x14ac:dyDescent="0.25">
      <c r="C1845"/>
    </row>
    <row r="1846" spans="3:3" x14ac:dyDescent="0.25">
      <c r="C1846"/>
    </row>
    <row r="1847" spans="3:3" x14ac:dyDescent="0.25">
      <c r="C1847"/>
    </row>
    <row r="1848" spans="3:3" x14ac:dyDescent="0.25">
      <c r="C1848"/>
    </row>
    <row r="1849" spans="3:3" x14ac:dyDescent="0.25">
      <c r="C1849"/>
    </row>
    <row r="1850" spans="3:3" x14ac:dyDescent="0.25">
      <c r="C1850"/>
    </row>
    <row r="1851" spans="3:3" x14ac:dyDescent="0.25">
      <c r="C1851"/>
    </row>
    <row r="1852" spans="3:3" x14ac:dyDescent="0.25">
      <c r="C1852"/>
    </row>
    <row r="1853" spans="3:3" x14ac:dyDescent="0.25">
      <c r="C1853"/>
    </row>
    <row r="1854" spans="3:3" x14ac:dyDescent="0.25">
      <c r="C1854"/>
    </row>
    <row r="1855" spans="3:3" x14ac:dyDescent="0.25">
      <c r="C1855"/>
    </row>
    <row r="1856" spans="3:3" x14ac:dyDescent="0.25">
      <c r="C1856"/>
    </row>
    <row r="1857" spans="3:3" x14ac:dyDescent="0.25">
      <c r="C1857"/>
    </row>
    <row r="1858" spans="3:3" x14ac:dyDescent="0.25">
      <c r="C1858"/>
    </row>
    <row r="1859" spans="3:3" x14ac:dyDescent="0.25">
      <c r="C1859"/>
    </row>
    <row r="1860" spans="3:3" x14ac:dyDescent="0.25">
      <c r="C1860"/>
    </row>
    <row r="1861" spans="3:3" x14ac:dyDescent="0.25">
      <c r="C1861"/>
    </row>
    <row r="1862" spans="3:3" x14ac:dyDescent="0.25">
      <c r="C1862"/>
    </row>
    <row r="1863" spans="3:3" x14ac:dyDescent="0.25">
      <c r="C1863"/>
    </row>
    <row r="1864" spans="3:3" x14ac:dyDescent="0.25">
      <c r="C1864"/>
    </row>
    <row r="1865" spans="3:3" x14ac:dyDescent="0.25">
      <c r="C1865"/>
    </row>
    <row r="1866" spans="3:3" x14ac:dyDescent="0.25">
      <c r="C1866"/>
    </row>
    <row r="1867" spans="3:3" x14ac:dyDescent="0.25">
      <c r="C1867"/>
    </row>
    <row r="1868" spans="3:3" x14ac:dyDescent="0.25">
      <c r="C1868"/>
    </row>
    <row r="1869" spans="3:3" x14ac:dyDescent="0.25">
      <c r="C1869"/>
    </row>
    <row r="1870" spans="3:3" x14ac:dyDescent="0.25">
      <c r="C1870"/>
    </row>
    <row r="1871" spans="3:3" x14ac:dyDescent="0.25">
      <c r="C1871"/>
    </row>
    <row r="1872" spans="3:3" x14ac:dyDescent="0.25">
      <c r="C1872"/>
    </row>
    <row r="1873" spans="3:3" x14ac:dyDescent="0.25">
      <c r="C1873"/>
    </row>
    <row r="1874" spans="3:3" x14ac:dyDescent="0.25">
      <c r="C1874"/>
    </row>
    <row r="1875" spans="3:3" x14ac:dyDescent="0.25">
      <c r="C1875"/>
    </row>
    <row r="1876" spans="3:3" x14ac:dyDescent="0.25">
      <c r="C1876"/>
    </row>
    <row r="1877" spans="3:3" x14ac:dyDescent="0.25">
      <c r="C1877"/>
    </row>
    <row r="1878" spans="3:3" x14ac:dyDescent="0.25">
      <c r="C1878"/>
    </row>
    <row r="1879" spans="3:3" x14ac:dyDescent="0.25">
      <c r="C1879"/>
    </row>
    <row r="1880" spans="3:3" x14ac:dyDescent="0.25">
      <c r="C1880"/>
    </row>
    <row r="1881" spans="3:3" x14ac:dyDescent="0.25">
      <c r="C1881"/>
    </row>
    <row r="1882" spans="3:3" x14ac:dyDescent="0.25">
      <c r="C1882"/>
    </row>
    <row r="1883" spans="3:3" x14ac:dyDescent="0.25">
      <c r="C1883"/>
    </row>
    <row r="1884" spans="3:3" x14ac:dyDescent="0.25">
      <c r="C1884"/>
    </row>
    <row r="1885" spans="3:3" x14ac:dyDescent="0.25">
      <c r="C1885"/>
    </row>
    <row r="1886" spans="3:3" x14ac:dyDescent="0.25">
      <c r="C1886"/>
    </row>
    <row r="1887" spans="3:3" x14ac:dyDescent="0.25">
      <c r="C1887"/>
    </row>
    <row r="1888" spans="3:3" x14ac:dyDescent="0.25">
      <c r="C1888"/>
    </row>
    <row r="1889" spans="3:3" x14ac:dyDescent="0.25">
      <c r="C1889"/>
    </row>
    <row r="1890" spans="3:3" x14ac:dyDescent="0.25">
      <c r="C1890"/>
    </row>
    <row r="1891" spans="3:3" x14ac:dyDescent="0.25">
      <c r="C1891"/>
    </row>
    <row r="1892" spans="3:3" x14ac:dyDescent="0.25">
      <c r="C1892"/>
    </row>
    <row r="1893" spans="3:3" x14ac:dyDescent="0.25">
      <c r="C1893"/>
    </row>
    <row r="1894" spans="3:3" x14ac:dyDescent="0.25">
      <c r="C1894"/>
    </row>
    <row r="1895" spans="3:3" x14ac:dyDescent="0.25">
      <c r="C1895"/>
    </row>
    <row r="1896" spans="3:3" x14ac:dyDescent="0.25">
      <c r="C1896"/>
    </row>
    <row r="1897" spans="3:3" x14ac:dyDescent="0.25">
      <c r="C1897"/>
    </row>
    <row r="1898" spans="3:3" x14ac:dyDescent="0.25">
      <c r="C1898"/>
    </row>
    <row r="1899" spans="3:3" x14ac:dyDescent="0.25">
      <c r="C1899"/>
    </row>
    <row r="1900" spans="3:3" x14ac:dyDescent="0.25">
      <c r="C1900"/>
    </row>
    <row r="1901" spans="3:3" x14ac:dyDescent="0.25">
      <c r="C1901"/>
    </row>
    <row r="1902" spans="3:3" x14ac:dyDescent="0.25">
      <c r="C1902"/>
    </row>
    <row r="1903" spans="3:3" x14ac:dyDescent="0.25">
      <c r="C1903"/>
    </row>
    <row r="1904" spans="3:3" x14ac:dyDescent="0.25">
      <c r="C1904"/>
    </row>
    <row r="1905" spans="3:3" x14ac:dyDescent="0.25">
      <c r="C1905"/>
    </row>
    <row r="1906" spans="3:3" x14ac:dyDescent="0.25">
      <c r="C1906"/>
    </row>
    <row r="1907" spans="3:3" x14ac:dyDescent="0.25">
      <c r="C1907"/>
    </row>
    <row r="1908" spans="3:3" x14ac:dyDescent="0.25">
      <c r="C1908"/>
    </row>
    <row r="1909" spans="3:3" x14ac:dyDescent="0.25">
      <c r="C1909"/>
    </row>
    <row r="1910" spans="3:3" x14ac:dyDescent="0.25">
      <c r="C1910"/>
    </row>
    <row r="1911" spans="3:3" x14ac:dyDescent="0.25">
      <c r="C1911"/>
    </row>
    <row r="1912" spans="3:3" x14ac:dyDescent="0.25">
      <c r="C1912"/>
    </row>
    <row r="1913" spans="3:3" x14ac:dyDescent="0.25">
      <c r="C1913"/>
    </row>
    <row r="1914" spans="3:3" x14ac:dyDescent="0.25">
      <c r="C1914"/>
    </row>
    <row r="1915" spans="3:3" x14ac:dyDescent="0.25">
      <c r="C1915"/>
    </row>
    <row r="1916" spans="3:3" x14ac:dyDescent="0.25">
      <c r="C1916"/>
    </row>
    <row r="1917" spans="3:3" x14ac:dyDescent="0.25">
      <c r="C1917"/>
    </row>
    <row r="1918" spans="3:3" x14ac:dyDescent="0.25">
      <c r="C1918"/>
    </row>
    <row r="1919" spans="3:3" x14ac:dyDescent="0.25">
      <c r="C1919"/>
    </row>
    <row r="1920" spans="3:3" x14ac:dyDescent="0.25">
      <c r="C1920"/>
    </row>
    <row r="1921" spans="3:3" x14ac:dyDescent="0.25">
      <c r="C1921"/>
    </row>
    <row r="1922" spans="3:3" x14ac:dyDescent="0.25">
      <c r="C1922"/>
    </row>
    <row r="1923" spans="3:3" x14ac:dyDescent="0.25">
      <c r="C1923"/>
    </row>
    <row r="1924" spans="3:3" x14ac:dyDescent="0.25">
      <c r="C1924"/>
    </row>
    <row r="1925" spans="3:3" x14ac:dyDescent="0.25">
      <c r="C1925"/>
    </row>
    <row r="1926" spans="3:3" x14ac:dyDescent="0.25">
      <c r="C1926"/>
    </row>
    <row r="1927" spans="3:3" x14ac:dyDescent="0.25">
      <c r="C1927"/>
    </row>
    <row r="1928" spans="3:3" x14ac:dyDescent="0.25">
      <c r="C1928"/>
    </row>
    <row r="1929" spans="3:3" x14ac:dyDescent="0.25">
      <c r="C1929"/>
    </row>
    <row r="1930" spans="3:3" x14ac:dyDescent="0.25">
      <c r="C1930"/>
    </row>
    <row r="1931" spans="3:3" x14ac:dyDescent="0.25">
      <c r="C1931"/>
    </row>
    <row r="1932" spans="3:3" x14ac:dyDescent="0.25">
      <c r="C1932"/>
    </row>
    <row r="1933" spans="3:3" x14ac:dyDescent="0.25">
      <c r="C1933"/>
    </row>
    <row r="1934" spans="3:3" x14ac:dyDescent="0.25">
      <c r="C1934"/>
    </row>
    <row r="1935" spans="3:3" x14ac:dyDescent="0.25">
      <c r="C1935"/>
    </row>
    <row r="1936" spans="3:3" x14ac:dyDescent="0.25">
      <c r="C1936"/>
    </row>
    <row r="1937" spans="3:3" x14ac:dyDescent="0.25">
      <c r="C1937"/>
    </row>
    <row r="1938" spans="3:3" x14ac:dyDescent="0.25">
      <c r="C1938"/>
    </row>
    <row r="1939" spans="3:3" x14ac:dyDescent="0.25">
      <c r="C1939"/>
    </row>
    <row r="1940" spans="3:3" x14ac:dyDescent="0.25">
      <c r="C1940"/>
    </row>
    <row r="1941" spans="3:3" x14ac:dyDescent="0.25">
      <c r="C1941"/>
    </row>
    <row r="1942" spans="3:3" x14ac:dyDescent="0.25">
      <c r="C1942"/>
    </row>
    <row r="1943" spans="3:3" x14ac:dyDescent="0.25">
      <c r="C1943"/>
    </row>
    <row r="1944" spans="3:3" x14ac:dyDescent="0.25">
      <c r="C1944"/>
    </row>
    <row r="1945" spans="3:3" x14ac:dyDescent="0.25">
      <c r="C1945"/>
    </row>
    <row r="1946" spans="3:3" x14ac:dyDescent="0.25">
      <c r="C1946"/>
    </row>
    <row r="1947" spans="3:3" x14ac:dyDescent="0.25">
      <c r="C1947"/>
    </row>
    <row r="1948" spans="3:3" x14ac:dyDescent="0.25">
      <c r="C1948"/>
    </row>
    <row r="1949" spans="3:3" x14ac:dyDescent="0.25">
      <c r="C1949"/>
    </row>
    <row r="1950" spans="3:3" x14ac:dyDescent="0.25">
      <c r="C1950"/>
    </row>
    <row r="1951" spans="3:3" x14ac:dyDescent="0.25">
      <c r="C1951"/>
    </row>
    <row r="1952" spans="3:3" x14ac:dyDescent="0.25">
      <c r="C1952"/>
    </row>
    <row r="1953" spans="3:3" x14ac:dyDescent="0.25">
      <c r="C1953"/>
    </row>
    <row r="1954" spans="3:3" x14ac:dyDescent="0.25">
      <c r="C1954"/>
    </row>
    <row r="1955" spans="3:3" x14ac:dyDescent="0.25">
      <c r="C1955"/>
    </row>
    <row r="1956" spans="3:3" x14ac:dyDescent="0.25">
      <c r="C1956"/>
    </row>
    <row r="1957" spans="3:3" x14ac:dyDescent="0.25">
      <c r="C1957"/>
    </row>
    <row r="1958" spans="3:3" x14ac:dyDescent="0.25">
      <c r="C1958"/>
    </row>
    <row r="1959" spans="3:3" x14ac:dyDescent="0.25">
      <c r="C1959"/>
    </row>
    <row r="1960" spans="3:3" x14ac:dyDescent="0.25">
      <c r="C1960"/>
    </row>
    <row r="1961" spans="3:3" x14ac:dyDescent="0.25">
      <c r="C1961"/>
    </row>
    <row r="1962" spans="3:3" x14ac:dyDescent="0.25">
      <c r="C1962"/>
    </row>
    <row r="1963" spans="3:3" x14ac:dyDescent="0.25">
      <c r="C1963"/>
    </row>
    <row r="1964" spans="3:3" x14ac:dyDescent="0.25">
      <c r="C1964"/>
    </row>
    <row r="1965" spans="3:3" x14ac:dyDescent="0.25">
      <c r="C1965"/>
    </row>
    <row r="1966" spans="3:3" x14ac:dyDescent="0.25">
      <c r="C1966"/>
    </row>
    <row r="1967" spans="3:3" x14ac:dyDescent="0.25">
      <c r="C1967"/>
    </row>
    <row r="1968" spans="3:3" x14ac:dyDescent="0.25">
      <c r="C1968"/>
    </row>
    <row r="1969" spans="3:3" x14ac:dyDescent="0.25">
      <c r="C1969"/>
    </row>
    <row r="1970" spans="3:3" x14ac:dyDescent="0.25">
      <c r="C1970"/>
    </row>
    <row r="1971" spans="3:3" x14ac:dyDescent="0.25">
      <c r="C1971"/>
    </row>
    <row r="1972" spans="3:3" x14ac:dyDescent="0.25">
      <c r="C1972"/>
    </row>
    <row r="1973" spans="3:3" x14ac:dyDescent="0.25">
      <c r="C1973"/>
    </row>
    <row r="1974" spans="3:3" x14ac:dyDescent="0.25">
      <c r="C1974"/>
    </row>
    <row r="1975" spans="3:3" x14ac:dyDescent="0.25">
      <c r="C1975"/>
    </row>
    <row r="1976" spans="3:3" x14ac:dyDescent="0.25">
      <c r="C1976"/>
    </row>
    <row r="1977" spans="3:3" x14ac:dyDescent="0.25">
      <c r="C1977"/>
    </row>
    <row r="1978" spans="3:3" x14ac:dyDescent="0.25">
      <c r="C1978"/>
    </row>
    <row r="1979" spans="3:3" x14ac:dyDescent="0.25">
      <c r="C1979"/>
    </row>
    <row r="1980" spans="3:3" x14ac:dyDescent="0.25">
      <c r="C1980"/>
    </row>
    <row r="1981" spans="3:3" x14ac:dyDescent="0.25">
      <c r="C1981"/>
    </row>
    <row r="1982" spans="3:3" x14ac:dyDescent="0.25">
      <c r="C1982"/>
    </row>
    <row r="1983" spans="3:3" x14ac:dyDescent="0.25">
      <c r="C1983"/>
    </row>
    <row r="1984" spans="3:3" x14ac:dyDescent="0.25">
      <c r="C1984"/>
    </row>
    <row r="1985" spans="3:3" x14ac:dyDescent="0.25">
      <c r="C1985"/>
    </row>
    <row r="1986" spans="3:3" x14ac:dyDescent="0.25">
      <c r="C1986"/>
    </row>
    <row r="1987" spans="3:3" x14ac:dyDescent="0.25">
      <c r="C1987"/>
    </row>
    <row r="1988" spans="3:3" x14ac:dyDescent="0.25">
      <c r="C1988"/>
    </row>
    <row r="1989" spans="3:3" x14ac:dyDescent="0.25">
      <c r="C1989"/>
    </row>
    <row r="1990" spans="3:3" x14ac:dyDescent="0.25">
      <c r="C1990"/>
    </row>
    <row r="1991" spans="3:3" x14ac:dyDescent="0.25">
      <c r="C1991"/>
    </row>
    <row r="1992" spans="3:3" x14ac:dyDescent="0.25">
      <c r="C1992"/>
    </row>
    <row r="1993" spans="3:3" x14ac:dyDescent="0.25">
      <c r="C1993"/>
    </row>
    <row r="1994" spans="3:3" x14ac:dyDescent="0.25">
      <c r="C1994"/>
    </row>
    <row r="1995" spans="3:3" x14ac:dyDescent="0.25">
      <c r="C1995"/>
    </row>
    <row r="1996" spans="3:3" x14ac:dyDescent="0.25">
      <c r="C1996"/>
    </row>
    <row r="1997" spans="3:3" x14ac:dyDescent="0.25">
      <c r="C1997"/>
    </row>
    <row r="1998" spans="3:3" x14ac:dyDescent="0.25">
      <c r="C1998"/>
    </row>
    <row r="1999" spans="3:3" x14ac:dyDescent="0.25">
      <c r="C1999"/>
    </row>
    <row r="2000" spans="3:3" x14ac:dyDescent="0.25">
      <c r="C2000"/>
    </row>
    <row r="2001" spans="3:3" x14ac:dyDescent="0.25">
      <c r="C2001"/>
    </row>
    <row r="2002" spans="3:3" x14ac:dyDescent="0.25">
      <c r="C2002"/>
    </row>
    <row r="2003" spans="3:3" x14ac:dyDescent="0.25">
      <c r="C2003"/>
    </row>
    <row r="2004" spans="3:3" x14ac:dyDescent="0.25">
      <c r="C2004"/>
    </row>
    <row r="2005" spans="3:3" x14ac:dyDescent="0.25">
      <c r="C2005"/>
    </row>
    <row r="2006" spans="3:3" x14ac:dyDescent="0.25">
      <c r="C2006"/>
    </row>
    <row r="2007" spans="3:3" x14ac:dyDescent="0.25">
      <c r="C2007"/>
    </row>
    <row r="2008" spans="3:3" x14ac:dyDescent="0.25">
      <c r="C2008"/>
    </row>
    <row r="2009" spans="3:3" x14ac:dyDescent="0.25">
      <c r="C2009"/>
    </row>
    <row r="2010" spans="3:3" x14ac:dyDescent="0.25">
      <c r="C2010"/>
    </row>
    <row r="2011" spans="3:3" x14ac:dyDescent="0.25">
      <c r="C2011"/>
    </row>
    <row r="2012" spans="3:3" x14ac:dyDescent="0.25">
      <c r="C2012"/>
    </row>
    <row r="2013" spans="3:3" x14ac:dyDescent="0.25">
      <c r="C2013"/>
    </row>
    <row r="2014" spans="3:3" x14ac:dyDescent="0.25">
      <c r="C2014"/>
    </row>
    <row r="2015" spans="3:3" x14ac:dyDescent="0.25">
      <c r="C2015"/>
    </row>
    <row r="2016" spans="3:3" x14ac:dyDescent="0.25">
      <c r="C2016"/>
    </row>
    <row r="2017" spans="3:3" x14ac:dyDescent="0.25">
      <c r="C2017"/>
    </row>
    <row r="2018" spans="3:3" x14ac:dyDescent="0.25">
      <c r="C2018"/>
    </row>
    <row r="2019" spans="3:3" x14ac:dyDescent="0.25">
      <c r="C2019"/>
    </row>
    <row r="2020" spans="3:3" x14ac:dyDescent="0.25">
      <c r="C2020"/>
    </row>
    <row r="2021" spans="3:3" x14ac:dyDescent="0.25">
      <c r="C2021"/>
    </row>
    <row r="2022" spans="3:3" x14ac:dyDescent="0.25">
      <c r="C2022"/>
    </row>
    <row r="2023" spans="3:3" x14ac:dyDescent="0.25">
      <c r="C2023"/>
    </row>
    <row r="2024" spans="3:3" x14ac:dyDescent="0.25">
      <c r="C2024"/>
    </row>
    <row r="2025" spans="3:3" x14ac:dyDescent="0.25">
      <c r="C2025"/>
    </row>
    <row r="2026" spans="3:3" x14ac:dyDescent="0.25">
      <c r="C2026"/>
    </row>
    <row r="2027" spans="3:3" x14ac:dyDescent="0.25">
      <c r="C2027"/>
    </row>
    <row r="2028" spans="3:3" x14ac:dyDescent="0.25">
      <c r="C2028"/>
    </row>
    <row r="2029" spans="3:3" x14ac:dyDescent="0.25">
      <c r="C2029"/>
    </row>
    <row r="2030" spans="3:3" x14ac:dyDescent="0.25">
      <c r="C2030"/>
    </row>
    <row r="2031" spans="3:3" x14ac:dyDescent="0.25">
      <c r="C2031"/>
    </row>
    <row r="2032" spans="3:3" x14ac:dyDescent="0.25">
      <c r="C2032"/>
    </row>
    <row r="2033" spans="3:3" x14ac:dyDescent="0.25">
      <c r="C2033"/>
    </row>
    <row r="2034" spans="3:3" x14ac:dyDescent="0.25">
      <c r="C2034"/>
    </row>
    <row r="2035" spans="3:3" x14ac:dyDescent="0.25">
      <c r="C2035"/>
    </row>
    <row r="2036" spans="3:3" x14ac:dyDescent="0.25">
      <c r="C2036"/>
    </row>
    <row r="2037" spans="3:3" x14ac:dyDescent="0.25">
      <c r="C2037"/>
    </row>
    <row r="2038" spans="3:3" x14ac:dyDescent="0.25">
      <c r="C2038"/>
    </row>
    <row r="2039" spans="3:3" x14ac:dyDescent="0.25">
      <c r="C2039"/>
    </row>
    <row r="2040" spans="3:3" x14ac:dyDescent="0.25">
      <c r="C2040"/>
    </row>
    <row r="2041" spans="3:3" x14ac:dyDescent="0.25">
      <c r="C2041"/>
    </row>
    <row r="2042" spans="3:3" x14ac:dyDescent="0.25">
      <c r="C2042"/>
    </row>
    <row r="2043" spans="3:3" x14ac:dyDescent="0.25">
      <c r="C2043"/>
    </row>
    <row r="2044" spans="3:3" x14ac:dyDescent="0.25">
      <c r="C2044"/>
    </row>
    <row r="2045" spans="3:3" x14ac:dyDescent="0.25">
      <c r="C2045"/>
    </row>
    <row r="2046" spans="3:3" x14ac:dyDescent="0.25">
      <c r="C2046"/>
    </row>
    <row r="2047" spans="3:3" x14ac:dyDescent="0.25">
      <c r="C2047"/>
    </row>
    <row r="2048" spans="3:3" x14ac:dyDescent="0.25">
      <c r="C2048"/>
    </row>
    <row r="2049" spans="3:3" x14ac:dyDescent="0.25">
      <c r="C2049"/>
    </row>
    <row r="2050" spans="3:3" x14ac:dyDescent="0.25">
      <c r="C2050"/>
    </row>
    <row r="2051" spans="3:3" x14ac:dyDescent="0.25">
      <c r="C2051"/>
    </row>
    <row r="2052" spans="3:3" x14ac:dyDescent="0.25">
      <c r="C2052"/>
    </row>
    <row r="2053" spans="3:3" x14ac:dyDescent="0.25">
      <c r="C2053"/>
    </row>
    <row r="2054" spans="3:3" x14ac:dyDescent="0.25">
      <c r="C2054"/>
    </row>
    <row r="2055" spans="3:3" x14ac:dyDescent="0.25">
      <c r="C2055"/>
    </row>
    <row r="2056" spans="3:3" x14ac:dyDescent="0.25">
      <c r="C2056"/>
    </row>
    <row r="2057" spans="3:3" x14ac:dyDescent="0.25">
      <c r="C2057"/>
    </row>
    <row r="2058" spans="3:3" x14ac:dyDescent="0.25">
      <c r="C2058"/>
    </row>
    <row r="2059" spans="3:3" x14ac:dyDescent="0.25">
      <c r="C2059"/>
    </row>
    <row r="2060" spans="3:3" x14ac:dyDescent="0.25">
      <c r="C2060"/>
    </row>
    <row r="2061" spans="3:3" x14ac:dyDescent="0.25">
      <c r="C2061"/>
    </row>
    <row r="2062" spans="3:3" x14ac:dyDescent="0.25">
      <c r="C2062"/>
    </row>
    <row r="2063" spans="3:3" x14ac:dyDescent="0.25">
      <c r="C2063"/>
    </row>
    <row r="2064" spans="3:3" x14ac:dyDescent="0.25">
      <c r="C2064"/>
    </row>
    <row r="2065" spans="3:3" x14ac:dyDescent="0.25">
      <c r="C2065"/>
    </row>
    <row r="2066" spans="3:3" x14ac:dyDescent="0.25">
      <c r="C2066"/>
    </row>
    <row r="2067" spans="3:3" x14ac:dyDescent="0.25">
      <c r="C2067"/>
    </row>
    <row r="2068" spans="3:3" x14ac:dyDescent="0.25">
      <c r="C2068"/>
    </row>
    <row r="2069" spans="3:3" x14ac:dyDescent="0.25">
      <c r="C2069"/>
    </row>
    <row r="2070" spans="3:3" x14ac:dyDescent="0.25">
      <c r="C2070"/>
    </row>
    <row r="2071" spans="3:3" x14ac:dyDescent="0.25">
      <c r="C2071"/>
    </row>
    <row r="2072" spans="3:3" x14ac:dyDescent="0.25">
      <c r="C2072"/>
    </row>
    <row r="2073" spans="3:3" x14ac:dyDescent="0.25">
      <c r="C2073"/>
    </row>
    <row r="2074" spans="3:3" x14ac:dyDescent="0.25">
      <c r="C2074"/>
    </row>
    <row r="2075" spans="3:3" x14ac:dyDescent="0.25">
      <c r="C2075"/>
    </row>
    <row r="2076" spans="3:3" x14ac:dyDescent="0.25">
      <c r="C2076"/>
    </row>
    <row r="2077" spans="3:3" x14ac:dyDescent="0.25">
      <c r="C2077"/>
    </row>
    <row r="2078" spans="3:3" x14ac:dyDescent="0.25">
      <c r="C2078"/>
    </row>
    <row r="2079" spans="3:3" x14ac:dyDescent="0.25">
      <c r="C2079"/>
    </row>
    <row r="2080" spans="3:3" x14ac:dyDescent="0.25">
      <c r="C2080"/>
    </row>
    <row r="2081" spans="3:3" x14ac:dyDescent="0.25">
      <c r="C2081"/>
    </row>
    <row r="2082" spans="3:3" x14ac:dyDescent="0.25">
      <c r="C2082"/>
    </row>
    <row r="2083" spans="3:3" x14ac:dyDescent="0.25">
      <c r="C2083"/>
    </row>
    <row r="2084" spans="3:3" x14ac:dyDescent="0.25">
      <c r="C2084"/>
    </row>
    <row r="2085" spans="3:3" x14ac:dyDescent="0.25">
      <c r="C2085"/>
    </row>
    <row r="2086" spans="3:3" x14ac:dyDescent="0.25">
      <c r="C2086"/>
    </row>
    <row r="2087" spans="3:3" x14ac:dyDescent="0.25">
      <c r="C2087"/>
    </row>
    <row r="2088" spans="3:3" x14ac:dyDescent="0.25">
      <c r="C2088"/>
    </row>
    <row r="2089" spans="3:3" x14ac:dyDescent="0.25">
      <c r="C2089"/>
    </row>
    <row r="2090" spans="3:3" x14ac:dyDescent="0.25">
      <c r="C2090"/>
    </row>
    <row r="2091" spans="3:3" x14ac:dyDescent="0.25">
      <c r="C2091"/>
    </row>
    <row r="2092" spans="3:3" x14ac:dyDescent="0.25">
      <c r="C2092"/>
    </row>
    <row r="2093" spans="3:3" x14ac:dyDescent="0.25">
      <c r="C2093"/>
    </row>
    <row r="2094" spans="3:3" x14ac:dyDescent="0.25">
      <c r="C2094"/>
    </row>
    <row r="2095" spans="3:3" x14ac:dyDescent="0.25">
      <c r="C2095"/>
    </row>
    <row r="2096" spans="3:3" x14ac:dyDescent="0.25">
      <c r="C2096"/>
    </row>
    <row r="2097" spans="3:3" x14ac:dyDescent="0.25">
      <c r="C2097"/>
    </row>
    <row r="2098" spans="3:3" x14ac:dyDescent="0.25">
      <c r="C2098"/>
    </row>
    <row r="2099" spans="3:3" x14ac:dyDescent="0.25">
      <c r="C2099"/>
    </row>
    <row r="2100" spans="3:3" x14ac:dyDescent="0.25">
      <c r="C2100"/>
    </row>
    <row r="2101" spans="3:3" x14ac:dyDescent="0.25">
      <c r="C2101"/>
    </row>
    <row r="2102" spans="3:3" x14ac:dyDescent="0.25">
      <c r="C2102"/>
    </row>
    <row r="2103" spans="3:3" x14ac:dyDescent="0.25">
      <c r="C2103"/>
    </row>
    <row r="2104" spans="3:3" x14ac:dyDescent="0.25">
      <c r="C2104"/>
    </row>
    <row r="2105" spans="3:3" x14ac:dyDescent="0.25">
      <c r="C2105"/>
    </row>
    <row r="2106" spans="3:3" x14ac:dyDescent="0.25">
      <c r="C2106"/>
    </row>
    <row r="2107" spans="3:3" x14ac:dyDescent="0.25">
      <c r="C2107"/>
    </row>
    <row r="2108" spans="3:3" x14ac:dyDescent="0.25">
      <c r="C2108"/>
    </row>
    <row r="2109" spans="3:3" x14ac:dyDescent="0.25">
      <c r="C2109"/>
    </row>
    <row r="2110" spans="3:3" x14ac:dyDescent="0.25">
      <c r="C2110"/>
    </row>
    <row r="2111" spans="3:3" x14ac:dyDescent="0.25">
      <c r="C2111"/>
    </row>
    <row r="2112" spans="3:3" x14ac:dyDescent="0.25">
      <c r="C2112"/>
    </row>
    <row r="2113" spans="3:3" x14ac:dyDescent="0.25">
      <c r="C2113"/>
    </row>
    <row r="2114" spans="3:3" x14ac:dyDescent="0.25">
      <c r="C2114"/>
    </row>
    <row r="2115" spans="3:3" x14ac:dyDescent="0.25">
      <c r="C2115"/>
    </row>
    <row r="2116" spans="3:3" x14ac:dyDescent="0.25">
      <c r="C2116"/>
    </row>
    <row r="2117" spans="3:3" x14ac:dyDescent="0.25">
      <c r="C2117"/>
    </row>
    <row r="2118" spans="3:3" x14ac:dyDescent="0.25">
      <c r="C2118"/>
    </row>
    <row r="2119" spans="3:3" x14ac:dyDescent="0.25">
      <c r="C2119"/>
    </row>
    <row r="2120" spans="3:3" x14ac:dyDescent="0.25">
      <c r="C2120"/>
    </row>
    <row r="2121" spans="3:3" x14ac:dyDescent="0.25">
      <c r="C2121"/>
    </row>
    <row r="2122" spans="3:3" x14ac:dyDescent="0.25">
      <c r="C2122"/>
    </row>
    <row r="2123" spans="3:3" x14ac:dyDescent="0.25">
      <c r="C2123"/>
    </row>
    <row r="2124" spans="3:3" x14ac:dyDescent="0.25">
      <c r="C2124"/>
    </row>
    <row r="2125" spans="3:3" x14ac:dyDescent="0.25">
      <c r="C2125"/>
    </row>
    <row r="2126" spans="3:3" x14ac:dyDescent="0.25">
      <c r="C2126"/>
    </row>
    <row r="2127" spans="3:3" x14ac:dyDescent="0.25">
      <c r="C2127"/>
    </row>
    <row r="2128" spans="3:3" x14ac:dyDescent="0.25">
      <c r="C2128"/>
    </row>
    <row r="2129" spans="3:3" x14ac:dyDescent="0.25">
      <c r="C2129"/>
    </row>
    <row r="2130" spans="3:3" x14ac:dyDescent="0.25">
      <c r="C2130"/>
    </row>
    <row r="2131" spans="3:3" x14ac:dyDescent="0.25">
      <c r="C2131"/>
    </row>
    <row r="2132" spans="3:3" x14ac:dyDescent="0.25">
      <c r="C2132"/>
    </row>
    <row r="2133" spans="3:3" x14ac:dyDescent="0.25">
      <c r="C2133"/>
    </row>
    <row r="2134" spans="3:3" x14ac:dyDescent="0.25">
      <c r="C2134"/>
    </row>
    <row r="2135" spans="3:3" x14ac:dyDescent="0.25">
      <c r="C2135"/>
    </row>
    <row r="2136" spans="3:3" x14ac:dyDescent="0.25">
      <c r="C2136"/>
    </row>
    <row r="2137" spans="3:3" x14ac:dyDescent="0.25">
      <c r="C2137"/>
    </row>
    <row r="2138" spans="3:3" x14ac:dyDescent="0.25">
      <c r="C2138"/>
    </row>
    <row r="2139" spans="3:3" x14ac:dyDescent="0.25">
      <c r="C2139"/>
    </row>
    <row r="2140" spans="3:3" x14ac:dyDescent="0.25">
      <c r="C2140"/>
    </row>
    <row r="2141" spans="3:3" x14ac:dyDescent="0.25">
      <c r="C2141"/>
    </row>
    <row r="2142" spans="3:3" x14ac:dyDescent="0.25">
      <c r="C2142"/>
    </row>
    <row r="2143" spans="3:3" x14ac:dyDescent="0.25">
      <c r="C2143"/>
    </row>
    <row r="2144" spans="3:3" x14ac:dyDescent="0.25">
      <c r="C2144"/>
    </row>
    <row r="2145" spans="3:3" x14ac:dyDescent="0.25">
      <c r="C2145"/>
    </row>
    <row r="2146" spans="3:3" x14ac:dyDescent="0.25">
      <c r="C2146"/>
    </row>
    <row r="2147" spans="3:3" x14ac:dyDescent="0.25">
      <c r="C2147"/>
    </row>
    <row r="2148" spans="3:3" x14ac:dyDescent="0.25">
      <c r="C2148"/>
    </row>
    <row r="2149" spans="3:3" x14ac:dyDescent="0.25">
      <c r="C2149"/>
    </row>
    <row r="2150" spans="3:3" x14ac:dyDescent="0.25">
      <c r="C2150"/>
    </row>
    <row r="2151" spans="3:3" x14ac:dyDescent="0.25">
      <c r="C2151"/>
    </row>
    <row r="2152" spans="3:3" x14ac:dyDescent="0.25">
      <c r="C2152"/>
    </row>
    <row r="2153" spans="3:3" x14ac:dyDescent="0.25">
      <c r="C2153"/>
    </row>
    <row r="2154" spans="3:3" x14ac:dyDescent="0.25">
      <c r="C2154"/>
    </row>
    <row r="2155" spans="3:3" x14ac:dyDescent="0.25">
      <c r="C2155"/>
    </row>
    <row r="2156" spans="3:3" x14ac:dyDescent="0.25">
      <c r="C2156"/>
    </row>
    <row r="2157" spans="3:3" x14ac:dyDescent="0.25">
      <c r="C2157"/>
    </row>
    <row r="2158" spans="3:3" x14ac:dyDescent="0.25">
      <c r="C2158"/>
    </row>
    <row r="2159" spans="3:3" x14ac:dyDescent="0.25">
      <c r="C2159"/>
    </row>
    <row r="2160" spans="3:3" x14ac:dyDescent="0.25">
      <c r="C2160"/>
    </row>
    <row r="2161" spans="3:3" x14ac:dyDescent="0.25">
      <c r="C2161"/>
    </row>
    <row r="2162" spans="3:3" x14ac:dyDescent="0.25">
      <c r="C2162"/>
    </row>
    <row r="2163" spans="3:3" x14ac:dyDescent="0.25">
      <c r="C2163"/>
    </row>
    <row r="2164" spans="3:3" x14ac:dyDescent="0.25">
      <c r="C2164"/>
    </row>
    <row r="2165" spans="3:3" x14ac:dyDescent="0.25">
      <c r="C2165"/>
    </row>
    <row r="2166" spans="3:3" x14ac:dyDescent="0.25">
      <c r="C2166"/>
    </row>
    <row r="2167" spans="3:3" x14ac:dyDescent="0.25">
      <c r="C2167"/>
    </row>
    <row r="2168" spans="3:3" x14ac:dyDescent="0.25">
      <c r="C2168"/>
    </row>
    <row r="2169" spans="3:3" x14ac:dyDescent="0.25">
      <c r="C2169"/>
    </row>
    <row r="2170" spans="3:3" x14ac:dyDescent="0.25">
      <c r="C2170"/>
    </row>
    <row r="2171" spans="3:3" x14ac:dyDescent="0.25">
      <c r="C2171"/>
    </row>
    <row r="2172" spans="3:3" x14ac:dyDescent="0.25">
      <c r="C2172"/>
    </row>
    <row r="2173" spans="3:3" x14ac:dyDescent="0.25">
      <c r="C2173"/>
    </row>
    <row r="2174" spans="3:3" x14ac:dyDescent="0.25">
      <c r="C2174"/>
    </row>
    <row r="2175" spans="3:3" x14ac:dyDescent="0.25">
      <c r="C2175"/>
    </row>
    <row r="2176" spans="3:3" x14ac:dyDescent="0.25">
      <c r="C2176"/>
    </row>
    <row r="2177" spans="3:3" x14ac:dyDescent="0.25">
      <c r="C2177"/>
    </row>
    <row r="2178" spans="3:3" x14ac:dyDescent="0.25">
      <c r="C2178"/>
    </row>
    <row r="2179" spans="3:3" x14ac:dyDescent="0.25">
      <c r="C2179"/>
    </row>
    <row r="2180" spans="3:3" x14ac:dyDescent="0.25">
      <c r="C2180"/>
    </row>
    <row r="2181" spans="3:3" x14ac:dyDescent="0.25">
      <c r="C2181"/>
    </row>
    <row r="2182" spans="3:3" x14ac:dyDescent="0.25">
      <c r="C2182"/>
    </row>
    <row r="2183" spans="3:3" x14ac:dyDescent="0.25">
      <c r="C2183"/>
    </row>
    <row r="2184" spans="3:3" x14ac:dyDescent="0.25">
      <c r="C2184"/>
    </row>
    <row r="2185" spans="3:3" x14ac:dyDescent="0.25">
      <c r="C2185"/>
    </row>
    <row r="2186" spans="3:3" x14ac:dyDescent="0.25">
      <c r="C2186"/>
    </row>
    <row r="2187" spans="3:3" x14ac:dyDescent="0.25">
      <c r="C2187"/>
    </row>
    <row r="2188" spans="3:3" x14ac:dyDescent="0.25">
      <c r="C2188"/>
    </row>
    <row r="2189" spans="3:3" x14ac:dyDescent="0.25">
      <c r="C2189"/>
    </row>
    <row r="2190" spans="3:3" x14ac:dyDescent="0.25">
      <c r="C2190"/>
    </row>
    <row r="2191" spans="3:3" x14ac:dyDescent="0.25">
      <c r="C2191"/>
    </row>
    <row r="2192" spans="3:3" x14ac:dyDescent="0.25">
      <c r="C2192"/>
    </row>
    <row r="2193" spans="3:3" x14ac:dyDescent="0.25">
      <c r="C2193"/>
    </row>
    <row r="2194" spans="3:3" x14ac:dyDescent="0.25">
      <c r="C2194"/>
    </row>
    <row r="2195" spans="3:3" x14ac:dyDescent="0.25">
      <c r="C2195"/>
    </row>
    <row r="2196" spans="3:3" x14ac:dyDescent="0.25">
      <c r="C2196"/>
    </row>
    <row r="2197" spans="3:3" x14ac:dyDescent="0.25">
      <c r="C2197"/>
    </row>
    <row r="2198" spans="3:3" x14ac:dyDescent="0.25">
      <c r="C2198"/>
    </row>
    <row r="2199" spans="3:3" x14ac:dyDescent="0.25">
      <c r="C2199"/>
    </row>
    <row r="2200" spans="3:3" x14ac:dyDescent="0.25">
      <c r="C2200"/>
    </row>
    <row r="2201" spans="3:3" x14ac:dyDescent="0.25">
      <c r="C2201"/>
    </row>
    <row r="2202" spans="3:3" x14ac:dyDescent="0.25">
      <c r="C2202"/>
    </row>
    <row r="2203" spans="3:3" x14ac:dyDescent="0.25">
      <c r="C2203"/>
    </row>
    <row r="2204" spans="3:3" x14ac:dyDescent="0.25">
      <c r="C2204"/>
    </row>
    <row r="2205" spans="3:3" x14ac:dyDescent="0.25">
      <c r="C2205"/>
    </row>
    <row r="2206" spans="3:3" x14ac:dyDescent="0.25">
      <c r="C2206"/>
    </row>
    <row r="2207" spans="3:3" x14ac:dyDescent="0.25">
      <c r="C2207"/>
    </row>
    <row r="2208" spans="3:3" x14ac:dyDescent="0.25">
      <c r="C2208"/>
    </row>
    <row r="2209" spans="3:3" x14ac:dyDescent="0.25">
      <c r="C2209"/>
    </row>
    <row r="2210" spans="3:3" x14ac:dyDescent="0.25">
      <c r="C2210"/>
    </row>
    <row r="2211" spans="3:3" x14ac:dyDescent="0.25">
      <c r="C2211"/>
    </row>
    <row r="2212" spans="3:3" x14ac:dyDescent="0.25">
      <c r="C2212"/>
    </row>
    <row r="2213" spans="3:3" x14ac:dyDescent="0.25">
      <c r="C2213"/>
    </row>
    <row r="2214" spans="3:3" x14ac:dyDescent="0.25">
      <c r="C2214"/>
    </row>
    <row r="2215" spans="3:3" x14ac:dyDescent="0.25">
      <c r="C2215"/>
    </row>
    <row r="2216" spans="3:3" x14ac:dyDescent="0.25">
      <c r="C2216"/>
    </row>
    <row r="2217" spans="3:3" x14ac:dyDescent="0.25">
      <c r="C2217"/>
    </row>
    <row r="2218" spans="3:3" x14ac:dyDescent="0.25">
      <c r="C2218"/>
    </row>
    <row r="2219" spans="3:3" x14ac:dyDescent="0.25">
      <c r="C2219"/>
    </row>
    <row r="2220" spans="3:3" x14ac:dyDescent="0.25">
      <c r="C2220"/>
    </row>
    <row r="2221" spans="3:3" x14ac:dyDescent="0.25">
      <c r="C2221"/>
    </row>
    <row r="2222" spans="3:3" x14ac:dyDescent="0.25">
      <c r="C2222"/>
    </row>
    <row r="2223" spans="3:3" x14ac:dyDescent="0.25">
      <c r="C2223"/>
    </row>
    <row r="2224" spans="3:3" x14ac:dyDescent="0.25">
      <c r="C2224"/>
    </row>
    <row r="2225" spans="3:3" x14ac:dyDescent="0.25">
      <c r="C2225"/>
    </row>
    <row r="2226" spans="3:3" x14ac:dyDescent="0.25">
      <c r="C2226"/>
    </row>
    <row r="2227" spans="3:3" x14ac:dyDescent="0.25">
      <c r="C2227"/>
    </row>
    <row r="2228" spans="3:3" x14ac:dyDescent="0.25">
      <c r="C2228"/>
    </row>
    <row r="2229" spans="3:3" x14ac:dyDescent="0.25">
      <c r="C2229"/>
    </row>
    <row r="2230" spans="3:3" x14ac:dyDescent="0.25">
      <c r="C2230"/>
    </row>
    <row r="2231" spans="3:3" x14ac:dyDescent="0.25">
      <c r="C2231"/>
    </row>
    <row r="2232" spans="3:3" x14ac:dyDescent="0.25">
      <c r="C2232"/>
    </row>
    <row r="2233" spans="3:3" x14ac:dyDescent="0.25">
      <c r="C2233"/>
    </row>
    <row r="2234" spans="3:3" x14ac:dyDescent="0.25">
      <c r="C2234"/>
    </row>
    <row r="2235" spans="3:3" x14ac:dyDescent="0.25">
      <c r="C2235"/>
    </row>
    <row r="2236" spans="3:3" x14ac:dyDescent="0.25">
      <c r="C2236"/>
    </row>
    <row r="2237" spans="3:3" x14ac:dyDescent="0.25">
      <c r="C2237"/>
    </row>
    <row r="2238" spans="3:3" x14ac:dyDescent="0.25">
      <c r="C2238"/>
    </row>
    <row r="2239" spans="3:3" x14ac:dyDescent="0.25">
      <c r="C2239"/>
    </row>
    <row r="2240" spans="3:3" x14ac:dyDescent="0.25">
      <c r="C2240"/>
    </row>
    <row r="2241" spans="3:3" x14ac:dyDescent="0.25">
      <c r="C2241"/>
    </row>
    <row r="2242" spans="3:3" x14ac:dyDescent="0.25">
      <c r="C2242"/>
    </row>
    <row r="2243" spans="3:3" x14ac:dyDescent="0.25">
      <c r="C2243"/>
    </row>
    <row r="2244" spans="3:3" x14ac:dyDescent="0.25">
      <c r="C2244"/>
    </row>
    <row r="2245" spans="3:3" x14ac:dyDescent="0.25">
      <c r="C2245"/>
    </row>
    <row r="2246" spans="3:3" x14ac:dyDescent="0.25">
      <c r="C2246"/>
    </row>
    <row r="2247" spans="3:3" x14ac:dyDescent="0.25">
      <c r="C2247"/>
    </row>
    <row r="2248" spans="3:3" x14ac:dyDescent="0.25">
      <c r="C2248"/>
    </row>
    <row r="2249" spans="3:3" x14ac:dyDescent="0.25">
      <c r="C2249"/>
    </row>
    <row r="2250" spans="3:3" x14ac:dyDescent="0.25">
      <c r="C2250"/>
    </row>
    <row r="2251" spans="3:3" x14ac:dyDescent="0.25">
      <c r="C2251"/>
    </row>
    <row r="2252" spans="3:3" x14ac:dyDescent="0.25">
      <c r="C2252"/>
    </row>
    <row r="2253" spans="3:3" x14ac:dyDescent="0.25">
      <c r="C2253"/>
    </row>
    <row r="2254" spans="3:3" x14ac:dyDescent="0.25">
      <c r="C2254"/>
    </row>
    <row r="2255" spans="3:3" x14ac:dyDescent="0.25">
      <c r="C2255"/>
    </row>
    <row r="2256" spans="3:3" x14ac:dyDescent="0.25">
      <c r="C2256"/>
    </row>
    <row r="2257" spans="3:3" x14ac:dyDescent="0.25">
      <c r="C2257"/>
    </row>
    <row r="2258" spans="3:3" x14ac:dyDescent="0.25">
      <c r="C2258"/>
    </row>
    <row r="2259" spans="3:3" x14ac:dyDescent="0.25">
      <c r="C2259"/>
    </row>
    <row r="2260" spans="3:3" x14ac:dyDescent="0.25">
      <c r="C2260"/>
    </row>
    <row r="2261" spans="3:3" x14ac:dyDescent="0.25">
      <c r="C2261"/>
    </row>
    <row r="2262" spans="3:3" x14ac:dyDescent="0.25">
      <c r="C2262"/>
    </row>
    <row r="2263" spans="3:3" x14ac:dyDescent="0.25">
      <c r="C2263"/>
    </row>
    <row r="2264" spans="3:3" x14ac:dyDescent="0.25">
      <c r="C2264"/>
    </row>
    <row r="2265" spans="3:3" x14ac:dyDescent="0.25">
      <c r="C2265"/>
    </row>
    <row r="2266" spans="3:3" x14ac:dyDescent="0.25">
      <c r="C2266"/>
    </row>
    <row r="2267" spans="3:3" x14ac:dyDescent="0.25">
      <c r="C2267"/>
    </row>
    <row r="2268" spans="3:3" x14ac:dyDescent="0.25">
      <c r="C2268"/>
    </row>
    <row r="2269" spans="3:3" x14ac:dyDescent="0.25">
      <c r="C2269"/>
    </row>
    <row r="2270" spans="3:3" x14ac:dyDescent="0.25">
      <c r="C2270"/>
    </row>
    <row r="2271" spans="3:3" x14ac:dyDescent="0.25">
      <c r="C2271"/>
    </row>
    <row r="2272" spans="3:3" x14ac:dyDescent="0.25">
      <c r="C2272"/>
    </row>
    <row r="2273" spans="3:3" x14ac:dyDescent="0.25">
      <c r="C2273"/>
    </row>
    <row r="2274" spans="3:3" x14ac:dyDescent="0.25">
      <c r="C2274"/>
    </row>
    <row r="2275" spans="3:3" x14ac:dyDescent="0.25">
      <c r="C2275"/>
    </row>
    <row r="2276" spans="3:3" x14ac:dyDescent="0.25">
      <c r="C2276"/>
    </row>
    <row r="2277" spans="3:3" x14ac:dyDescent="0.25">
      <c r="C2277"/>
    </row>
    <row r="2278" spans="3:3" x14ac:dyDescent="0.25">
      <c r="C2278"/>
    </row>
    <row r="2279" spans="3:3" x14ac:dyDescent="0.25">
      <c r="C2279"/>
    </row>
    <row r="2280" spans="3:3" x14ac:dyDescent="0.25">
      <c r="C2280"/>
    </row>
    <row r="2281" spans="3:3" x14ac:dyDescent="0.25">
      <c r="C2281"/>
    </row>
    <row r="2282" spans="3:3" x14ac:dyDescent="0.25">
      <c r="C2282"/>
    </row>
    <row r="2283" spans="3:3" x14ac:dyDescent="0.25">
      <c r="C2283"/>
    </row>
    <row r="2284" spans="3:3" x14ac:dyDescent="0.25">
      <c r="C2284"/>
    </row>
    <row r="2285" spans="3:3" x14ac:dyDescent="0.25">
      <c r="C2285"/>
    </row>
    <row r="2286" spans="3:3" x14ac:dyDescent="0.25">
      <c r="C2286"/>
    </row>
    <row r="2287" spans="3:3" x14ac:dyDescent="0.25">
      <c r="C2287"/>
    </row>
    <row r="2288" spans="3:3" x14ac:dyDescent="0.25">
      <c r="C2288"/>
    </row>
    <row r="2289" spans="3:3" x14ac:dyDescent="0.25">
      <c r="C2289"/>
    </row>
  </sheetData>
  <mergeCells count="2">
    <mergeCell ref="J35:L36"/>
    <mergeCell ref="E35:H36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283"/>
  <sheetViews>
    <sheetView showGridLines="0" topLeftCell="R1" workbookViewId="0">
      <selection activeCell="W21" sqref="W21"/>
    </sheetView>
  </sheetViews>
  <sheetFormatPr baseColWidth="10" defaultRowHeight="15" x14ac:dyDescent="0.25"/>
  <cols>
    <col min="1" max="1" width="18" hidden="1" customWidth="1"/>
    <col min="2" max="2" width="14.28515625" hidden="1" customWidth="1"/>
    <col min="3" max="3" width="10.7109375" style="2" hidden="1" customWidth="1"/>
    <col min="4" max="5" width="5" hidden="1" customWidth="1"/>
    <col min="6" max="6" width="4" hidden="1" customWidth="1"/>
    <col min="7" max="7" width="5" hidden="1" customWidth="1"/>
    <col min="8" max="11" width="4" hidden="1" customWidth="1"/>
    <col min="12" max="12" width="5" hidden="1" customWidth="1"/>
    <col min="13" max="17" width="4" hidden="1" customWidth="1"/>
    <col min="18" max="18" width="3" customWidth="1"/>
    <col min="19" max="19" width="8.42578125" bestFit="1" customWidth="1"/>
    <col min="20" max="20" width="18.28515625" customWidth="1"/>
    <col min="21" max="31" width="22.28515625" customWidth="1"/>
  </cols>
  <sheetData>
    <row r="1" spans="1:85" x14ac:dyDescent="0.25">
      <c r="A1" s="5" t="s">
        <v>23</v>
      </c>
      <c r="B1" s="6">
        <v>1996</v>
      </c>
      <c r="T1" s="51" t="s">
        <v>214</v>
      </c>
    </row>
    <row r="2" spans="1:85" ht="14.25" customHeight="1" x14ac:dyDescent="0.25">
      <c r="T2" s="73" t="s">
        <v>209</v>
      </c>
    </row>
    <row r="3" spans="1:85" s="21" customFormat="1" ht="23.25" customHeight="1" x14ac:dyDescent="0.25">
      <c r="A3" s="22" t="s">
        <v>46</v>
      </c>
      <c r="C3" s="5" t="s">
        <v>35</v>
      </c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85" s="37" customFormat="1" ht="33" customHeight="1" x14ac:dyDescent="0.25">
      <c r="A4" s="33" t="s">
        <v>22</v>
      </c>
      <c r="B4" s="34" t="s">
        <v>24</v>
      </c>
      <c r="C4" s="35">
        <v>1</v>
      </c>
      <c r="D4" s="35" t="s">
        <v>36</v>
      </c>
      <c r="E4" s="35" t="s">
        <v>37</v>
      </c>
      <c r="F4" s="35" t="s">
        <v>38</v>
      </c>
      <c r="G4" s="35" t="s">
        <v>39</v>
      </c>
      <c r="H4" s="35" t="s">
        <v>40</v>
      </c>
      <c r="I4" s="35" t="s">
        <v>41</v>
      </c>
      <c r="J4" s="35" t="s">
        <v>42</v>
      </c>
      <c r="K4" s="35" t="s">
        <v>43</v>
      </c>
      <c r="L4" s="35">
        <v>10</v>
      </c>
      <c r="M4" s="35">
        <v>11</v>
      </c>
      <c r="N4" s="35">
        <v>12</v>
      </c>
      <c r="O4" s="35">
        <v>13</v>
      </c>
      <c r="P4" s="35" t="s">
        <v>44</v>
      </c>
      <c r="Q4" s="35" t="s">
        <v>45</v>
      </c>
      <c r="R4" s="35"/>
      <c r="S4" s="38" t="s">
        <v>23</v>
      </c>
      <c r="T4" s="38" t="s">
        <v>22</v>
      </c>
      <c r="U4" s="38" t="s">
        <v>181</v>
      </c>
      <c r="V4" s="39" t="str">
        <f>+CONCATENATE("dx","(",C4,")")</f>
        <v>dx(1)</v>
      </c>
      <c r="W4" s="39" t="str">
        <f t="shared" ref="W4:AA4" si="0">+CONCATENATE("dx","(",D4,")")</f>
        <v>dx(2)</v>
      </c>
      <c r="X4" s="39" t="str">
        <f t="shared" si="0"/>
        <v>dx(3)</v>
      </c>
      <c r="Y4" s="39" t="str">
        <f t="shared" si="0"/>
        <v>dx(4)</v>
      </c>
      <c r="Z4" s="39" t="str">
        <f t="shared" si="0"/>
        <v>dx(5)</v>
      </c>
      <c r="AA4" s="39" t="str">
        <f t="shared" si="0"/>
        <v>dx(6)</v>
      </c>
      <c r="AB4" s="39" t="str">
        <f t="shared" ref="AB4" si="1">+CONCATENATE("dx","(",I4,")")</f>
        <v>dx(7)</v>
      </c>
      <c r="AC4" s="39" t="str">
        <f t="shared" ref="AC4" si="2">+CONCATENATE("dx","(",J4,")")</f>
        <v>dx(8)</v>
      </c>
      <c r="AD4" s="39" t="str">
        <f t="shared" ref="AD4" si="3">+CONCATENATE("dx","(",K4,")")</f>
        <v>dx(9)</v>
      </c>
      <c r="AE4" s="39" t="str">
        <f t="shared" ref="AE4" si="4">+CONCATENATE("dx","(",L4,")")</f>
        <v>dx(10)</v>
      </c>
      <c r="AF4" s="39" t="str">
        <f t="shared" ref="AF4" si="5">+CONCATENATE("dx","(",M4,")")</f>
        <v>dx(11)</v>
      </c>
      <c r="AG4" s="39" t="str">
        <f t="shared" ref="AG4:AH4" si="6">+CONCATENATE("dx","(",N4,")")</f>
        <v>dx(12)</v>
      </c>
      <c r="AH4" s="39" t="str">
        <f t="shared" si="6"/>
        <v>dx(13)</v>
      </c>
      <c r="AI4" s="39" t="str">
        <f t="shared" ref="AI4" si="7">+CONCATENATE("dx","(",P4,")")</f>
        <v>dx(14)</v>
      </c>
      <c r="AJ4" s="39" t="str">
        <f t="shared" ref="AJ4" si="8">+CONCATENATE("dx","(",Q4,")")</f>
        <v>dx(15)</v>
      </c>
      <c r="AK4" s="39" t="s">
        <v>182</v>
      </c>
      <c r="AL4" s="40" t="str">
        <f t="shared" ref="AL4:AZ4" si="9">+CONCATENATE("qx","(",C4,")")</f>
        <v>qx(1)</v>
      </c>
      <c r="AM4" s="40" t="str">
        <f t="shared" si="9"/>
        <v>qx(2)</v>
      </c>
      <c r="AN4" s="40" t="str">
        <f t="shared" si="9"/>
        <v>qx(3)</v>
      </c>
      <c r="AO4" s="40" t="str">
        <f t="shared" si="9"/>
        <v>qx(4)</v>
      </c>
      <c r="AP4" s="40" t="str">
        <f t="shared" si="9"/>
        <v>qx(5)</v>
      </c>
      <c r="AQ4" s="40" t="str">
        <f t="shared" si="9"/>
        <v>qx(6)</v>
      </c>
      <c r="AR4" s="40" t="str">
        <f t="shared" si="9"/>
        <v>qx(7)</v>
      </c>
      <c r="AS4" s="40" t="str">
        <f t="shared" si="9"/>
        <v>qx(8)</v>
      </c>
      <c r="AT4" s="40" t="str">
        <f t="shared" si="9"/>
        <v>qx(9)</v>
      </c>
      <c r="AU4" s="40" t="str">
        <f t="shared" si="9"/>
        <v>qx(10)</v>
      </c>
      <c r="AV4" s="40" t="str">
        <f t="shared" si="9"/>
        <v>qx(11)</v>
      </c>
      <c r="AW4" s="40" t="str">
        <f t="shared" si="9"/>
        <v>qx(12)</v>
      </c>
      <c r="AX4" s="40" t="str">
        <f t="shared" si="9"/>
        <v>qx(13)</v>
      </c>
      <c r="AY4" s="40" t="str">
        <f t="shared" si="9"/>
        <v>qx(14)</v>
      </c>
      <c r="AZ4" s="40" t="str">
        <f t="shared" si="9"/>
        <v>qx(15)</v>
      </c>
      <c r="BA4" s="40" t="str">
        <f>+CONCATENATE("qx","(T)")</f>
        <v>qx(T)</v>
      </c>
      <c r="BB4" s="41" t="s">
        <v>184</v>
      </c>
      <c r="BC4" s="43" t="str">
        <f t="shared" ref="BC4:BQ4" si="10">+CONCATENATE("mx","(",C4,")")</f>
        <v>mx(1)</v>
      </c>
      <c r="BD4" s="43" t="str">
        <f t="shared" si="10"/>
        <v>mx(2)</v>
      </c>
      <c r="BE4" s="43" t="str">
        <f t="shared" si="10"/>
        <v>mx(3)</v>
      </c>
      <c r="BF4" s="43" t="str">
        <f t="shared" si="10"/>
        <v>mx(4)</v>
      </c>
      <c r="BG4" s="43" t="str">
        <f t="shared" si="10"/>
        <v>mx(5)</v>
      </c>
      <c r="BH4" s="43" t="str">
        <f t="shared" si="10"/>
        <v>mx(6)</v>
      </c>
      <c r="BI4" s="43" t="str">
        <f t="shared" si="10"/>
        <v>mx(7)</v>
      </c>
      <c r="BJ4" s="43" t="str">
        <f t="shared" si="10"/>
        <v>mx(8)</v>
      </c>
      <c r="BK4" s="43" t="str">
        <f t="shared" si="10"/>
        <v>mx(9)</v>
      </c>
      <c r="BL4" s="43" t="str">
        <f t="shared" si="10"/>
        <v>mx(10)</v>
      </c>
      <c r="BM4" s="43" t="str">
        <f t="shared" si="10"/>
        <v>mx(11)</v>
      </c>
      <c r="BN4" s="43" t="str">
        <f t="shared" si="10"/>
        <v>mx(12)</v>
      </c>
      <c r="BO4" s="43" t="str">
        <f t="shared" si="10"/>
        <v>mx(13)</v>
      </c>
      <c r="BP4" s="43" t="str">
        <f t="shared" si="10"/>
        <v>mx(14)</v>
      </c>
      <c r="BQ4" s="43" t="str">
        <f t="shared" si="10"/>
        <v>mx(15)</v>
      </c>
      <c r="BR4" s="42" t="str">
        <f>+CONCATENATE("µ(X)",C4)</f>
        <v>µ(X)1</v>
      </c>
      <c r="BS4" s="42" t="str">
        <f t="shared" ref="BS4:CF4" si="11">+CONCATENATE("µ(X)",D4)</f>
        <v>µ(X)2</v>
      </c>
      <c r="BT4" s="42" t="str">
        <f t="shared" si="11"/>
        <v>µ(X)3</v>
      </c>
      <c r="BU4" s="42" t="str">
        <f t="shared" si="11"/>
        <v>µ(X)4</v>
      </c>
      <c r="BV4" s="42" t="str">
        <f t="shared" si="11"/>
        <v>µ(X)5</v>
      </c>
      <c r="BW4" s="42" t="str">
        <f t="shared" si="11"/>
        <v>µ(X)6</v>
      </c>
      <c r="BX4" s="42" t="str">
        <f t="shared" si="11"/>
        <v>µ(X)7</v>
      </c>
      <c r="BY4" s="42" t="str">
        <f t="shared" si="11"/>
        <v>µ(X)8</v>
      </c>
      <c r="BZ4" s="42" t="str">
        <f t="shared" si="11"/>
        <v>µ(X)9</v>
      </c>
      <c r="CA4" s="42" t="str">
        <f t="shared" si="11"/>
        <v>µ(X)10</v>
      </c>
      <c r="CB4" s="42" t="str">
        <f t="shared" si="11"/>
        <v>µ(X)11</v>
      </c>
      <c r="CC4" s="42" t="str">
        <f t="shared" si="11"/>
        <v>µ(X)12</v>
      </c>
      <c r="CD4" s="42" t="str">
        <f t="shared" si="11"/>
        <v>µ(X)13</v>
      </c>
      <c r="CE4" s="42" t="str">
        <f t="shared" si="11"/>
        <v>µ(X)14</v>
      </c>
      <c r="CF4" s="42" t="str">
        <f t="shared" si="11"/>
        <v>µ(X)15</v>
      </c>
      <c r="CG4" s="36"/>
    </row>
    <row r="5" spans="1:85" x14ac:dyDescent="0.25">
      <c r="A5" t="s">
        <v>6</v>
      </c>
      <c r="B5" s="1">
        <v>1308550.7828250399</v>
      </c>
      <c r="C5" s="7">
        <v>38</v>
      </c>
      <c r="D5" s="7">
        <v>62</v>
      </c>
      <c r="E5" s="7">
        <v>6</v>
      </c>
      <c r="F5" s="7">
        <v>6</v>
      </c>
      <c r="G5" s="7">
        <v>2365</v>
      </c>
      <c r="H5" s="7">
        <v>285</v>
      </c>
      <c r="I5" s="7">
        <v>63</v>
      </c>
      <c r="J5" s="7">
        <v>367</v>
      </c>
      <c r="K5" s="7">
        <v>761</v>
      </c>
      <c r="L5" s="7">
        <v>1081</v>
      </c>
      <c r="M5" s="7">
        <v>12</v>
      </c>
      <c r="N5" s="7">
        <v>12</v>
      </c>
      <c r="O5" s="7">
        <v>0</v>
      </c>
      <c r="P5" s="7">
        <v>11</v>
      </c>
      <c r="Q5" s="7">
        <v>23</v>
      </c>
      <c r="S5">
        <f>+$B$1</f>
        <v>1996</v>
      </c>
      <c r="T5" t="str">
        <f>+A5</f>
        <v>0-4</v>
      </c>
      <c r="U5" s="1">
        <f>+B5</f>
        <v>1308550.7828250399</v>
      </c>
      <c r="V5">
        <f>+C5</f>
        <v>38</v>
      </c>
      <c r="W5">
        <f t="shared" ref="W5:W11" si="12">+D5</f>
        <v>62</v>
      </c>
      <c r="X5">
        <f t="shared" ref="X5:X11" si="13">+E5</f>
        <v>6</v>
      </c>
      <c r="Y5">
        <f t="shared" ref="Y5:Y11" si="14">+F5</f>
        <v>6</v>
      </c>
      <c r="Z5">
        <f t="shared" ref="Z5:Z11" si="15">+G5</f>
        <v>2365</v>
      </c>
      <c r="AA5">
        <f t="shared" ref="AA5:AA11" si="16">+H5</f>
        <v>285</v>
      </c>
      <c r="AB5">
        <f t="shared" ref="AB5:AB11" si="17">+I5</f>
        <v>63</v>
      </c>
      <c r="AC5">
        <f t="shared" ref="AC5:AC11" si="18">+J5</f>
        <v>367</v>
      </c>
      <c r="AD5">
        <f t="shared" ref="AD5:AD11" si="19">+K5</f>
        <v>761</v>
      </c>
      <c r="AE5">
        <f t="shared" ref="AE5:AE11" si="20">+L5</f>
        <v>1081</v>
      </c>
      <c r="AF5">
        <f t="shared" ref="AF5:AF11" si="21">+M5</f>
        <v>12</v>
      </c>
      <c r="AG5">
        <f t="shared" ref="AG5:AG11" si="22">+N5</f>
        <v>12</v>
      </c>
      <c r="AH5">
        <f t="shared" ref="AH5:AH11" si="23">+O5</f>
        <v>0</v>
      </c>
      <c r="AI5">
        <f t="shared" ref="AI5:AI11" si="24">+P5</f>
        <v>11</v>
      </c>
      <c r="AJ5">
        <f t="shared" ref="AJ5:AJ11" si="25">+Q5</f>
        <v>23</v>
      </c>
      <c r="AK5" s="31">
        <f>+SUM(V5:AJ5)</f>
        <v>5092</v>
      </c>
      <c r="AL5" s="12">
        <f>+V5/$U5</f>
        <v>2.9039759479537753E-5</v>
      </c>
      <c r="AM5" s="12">
        <f t="shared" ref="AM5:AZ5" si="26">+W5/$U5</f>
        <v>4.7380660203456334E-5</v>
      </c>
      <c r="AN5" s="12">
        <f t="shared" si="26"/>
        <v>4.5852251809796453E-6</v>
      </c>
      <c r="AO5" s="12">
        <f t="shared" si="26"/>
        <v>4.5852251809796453E-6</v>
      </c>
      <c r="AP5" s="12">
        <f t="shared" si="26"/>
        <v>1.8073429255028102E-3</v>
      </c>
      <c r="AQ5" s="12">
        <f t="shared" si="26"/>
        <v>2.1779819609653314E-4</v>
      </c>
      <c r="AR5" s="12">
        <f t="shared" si="26"/>
        <v>4.8144864400286272E-5</v>
      </c>
      <c r="AS5" s="12">
        <f t="shared" si="26"/>
        <v>2.8046294023658828E-4</v>
      </c>
      <c r="AT5" s="12">
        <f t="shared" si="26"/>
        <v>5.8155939378758494E-4</v>
      </c>
      <c r="AU5" s="12">
        <f t="shared" si="26"/>
        <v>8.2610473677316605E-4</v>
      </c>
      <c r="AV5" s="12">
        <f t="shared" si="26"/>
        <v>9.1704503619592906E-6</v>
      </c>
      <c r="AW5" s="12">
        <f t="shared" si="26"/>
        <v>9.1704503619592906E-6</v>
      </c>
      <c r="AX5" s="12">
        <f t="shared" si="26"/>
        <v>0</v>
      </c>
      <c r="AY5" s="12">
        <f t="shared" si="26"/>
        <v>8.4062461651293493E-6</v>
      </c>
      <c r="AZ5" s="12">
        <f t="shared" si="26"/>
        <v>1.757669652708864E-5</v>
      </c>
      <c r="BA5" s="32">
        <f>+AK5/U5</f>
        <v>3.8913277702580587E-3</v>
      </c>
      <c r="BB5" s="31">
        <f>+U5-(0.5*AK5)</f>
        <v>1306004.7828250399</v>
      </c>
      <c r="BC5" s="30">
        <f t="shared" ref="BC5:BC11" si="27">+AL5/(1-(0.5*$BA5))</f>
        <v>2.9096371238244312E-5</v>
      </c>
      <c r="BD5" s="30">
        <f>+AM5/(1-(0.5*$BA5))</f>
        <v>4.7473026757135459E-5</v>
      </c>
      <c r="BE5" s="30">
        <f t="shared" ref="BE5:BE11" si="28">+AN5/(1-(0.5*$BA5))</f>
        <v>4.5941638797227867E-6</v>
      </c>
      <c r="BF5" s="30">
        <f t="shared" ref="BF5:BF11" si="29">+AO5/(1-(0.5*$BA5))</f>
        <v>4.5941638797227867E-6</v>
      </c>
      <c r="BG5" s="30">
        <f t="shared" ref="BG5:BG11" si="30">+AP5/(1-(0.5*$BA5))</f>
        <v>1.8108662625907317E-3</v>
      </c>
      <c r="BH5" s="30">
        <f t="shared" ref="BH5:BH11" si="31">+AQ5/(1-(0.5*$BA5))</f>
        <v>2.1822278428683235E-4</v>
      </c>
      <c r="BI5" s="30">
        <f t="shared" ref="BI5:BI11" si="32">+AR5/(1-(0.5*$BA5))</f>
        <v>4.8238720737089254E-5</v>
      </c>
      <c r="BJ5" s="30">
        <f t="shared" ref="BJ5:BJ11" si="33">+AS5/(1-(0.5*$BA5))</f>
        <v>2.8100969064304376E-4</v>
      </c>
      <c r="BK5" s="30">
        <f t="shared" ref="BK5:BK11" si="34">+AT5/(1-(0.5*$BA5))</f>
        <v>5.8269311874484004E-4</v>
      </c>
      <c r="BL5" s="30">
        <f t="shared" ref="BL5:BL11" si="35">+AU5/(1-(0.5*$BA5))</f>
        <v>8.2771519233005534E-4</v>
      </c>
      <c r="BM5" s="30">
        <f t="shared" ref="BM5:BM11" si="36">+AV5/(1-(0.5*$BA5))</f>
        <v>9.1883277594455734E-6</v>
      </c>
      <c r="BN5" s="30">
        <f t="shared" ref="BN5:BN11" si="37">+AW5/(1-(0.5*$BA5))</f>
        <v>9.1883277594455734E-6</v>
      </c>
      <c r="BO5" s="30">
        <f t="shared" ref="BO5:BO11" si="38">+AX5/(1-(0.5*$BA5))</f>
        <v>0</v>
      </c>
      <c r="BP5" s="30">
        <f t="shared" ref="BP5:BP11" si="39">+AY5/(1-(0.5*$BA5))</f>
        <v>8.4226337794917749E-6</v>
      </c>
      <c r="BQ5" s="30">
        <f t="shared" ref="BQ5:BQ11" si="40">+AZ5/(1-(0.5*$BA5))</f>
        <v>1.7610961538937348E-5</v>
      </c>
      <c r="BR5" s="13">
        <f>+V5/(2*$U5)</f>
        <v>1.4519879739768876E-5</v>
      </c>
      <c r="BS5" s="13">
        <f t="shared" ref="BS5:CF5" si="41">+W5/(2*$U5)</f>
        <v>2.3690330101728167E-5</v>
      </c>
      <c r="BT5" s="13">
        <f t="shared" si="41"/>
        <v>2.2926125904898226E-6</v>
      </c>
      <c r="BU5" s="13">
        <f t="shared" si="41"/>
        <v>2.2926125904898226E-6</v>
      </c>
      <c r="BV5" s="13">
        <f t="shared" si="41"/>
        <v>9.0367146275140511E-4</v>
      </c>
      <c r="BW5" s="13">
        <f t="shared" si="41"/>
        <v>1.0889909804826657E-4</v>
      </c>
      <c r="BX5" s="13">
        <f t="shared" si="41"/>
        <v>2.4072432200143136E-5</v>
      </c>
      <c r="BY5" s="13">
        <f t="shared" si="41"/>
        <v>1.4023147011829414E-4</v>
      </c>
      <c r="BZ5" s="13">
        <f t="shared" si="41"/>
        <v>2.9077969689379247E-4</v>
      </c>
      <c r="CA5" s="13">
        <f t="shared" si="41"/>
        <v>4.1305236838658303E-4</v>
      </c>
      <c r="CB5" s="13">
        <f t="shared" si="41"/>
        <v>4.5852251809796453E-6</v>
      </c>
      <c r="CC5" s="13">
        <f t="shared" si="41"/>
        <v>4.5852251809796453E-6</v>
      </c>
      <c r="CD5" s="13">
        <f t="shared" si="41"/>
        <v>0</v>
      </c>
      <c r="CE5" s="13">
        <f t="shared" si="41"/>
        <v>4.2031230825646746E-6</v>
      </c>
      <c r="CF5" s="13">
        <f t="shared" si="41"/>
        <v>8.7883482635443199E-6</v>
      </c>
    </row>
    <row r="6" spans="1:85" x14ac:dyDescent="0.25">
      <c r="A6" t="s">
        <v>5</v>
      </c>
      <c r="B6" s="1">
        <v>2617766.7452121698</v>
      </c>
      <c r="C6" s="7">
        <v>24</v>
      </c>
      <c r="D6" s="7">
        <v>114</v>
      </c>
      <c r="E6" s="7">
        <v>9</v>
      </c>
      <c r="F6" s="7">
        <v>11</v>
      </c>
      <c r="G6" s="7">
        <v>1</v>
      </c>
      <c r="H6" s="7">
        <v>203</v>
      </c>
      <c r="I6" s="7">
        <v>8</v>
      </c>
      <c r="J6" s="7">
        <v>37</v>
      </c>
      <c r="K6" s="7">
        <v>60</v>
      </c>
      <c r="L6" s="7">
        <v>38</v>
      </c>
      <c r="M6" s="7">
        <v>10</v>
      </c>
      <c r="N6" s="7">
        <v>16</v>
      </c>
      <c r="O6" s="7">
        <v>0</v>
      </c>
      <c r="P6" s="7">
        <v>27</v>
      </c>
      <c r="Q6" s="7">
        <v>11</v>
      </c>
      <c r="S6">
        <f t="shared" ref="S6:S11" si="42">+$B$1</f>
        <v>1996</v>
      </c>
      <c r="T6" t="str">
        <f t="shared" ref="T6:T11" si="43">+A6</f>
        <v>5-14</v>
      </c>
      <c r="U6" s="1">
        <f t="shared" ref="U6:U11" si="44">+B6</f>
        <v>2617766.7452121698</v>
      </c>
      <c r="V6">
        <f t="shared" ref="V6:V11" si="45">+C6</f>
        <v>24</v>
      </c>
      <c r="W6">
        <f t="shared" si="12"/>
        <v>114</v>
      </c>
      <c r="X6">
        <f t="shared" si="13"/>
        <v>9</v>
      </c>
      <c r="Y6">
        <f t="shared" si="14"/>
        <v>11</v>
      </c>
      <c r="Z6">
        <f t="shared" si="15"/>
        <v>1</v>
      </c>
      <c r="AA6">
        <f t="shared" si="16"/>
        <v>203</v>
      </c>
      <c r="AB6">
        <f t="shared" si="17"/>
        <v>8</v>
      </c>
      <c r="AC6">
        <f t="shared" si="18"/>
        <v>37</v>
      </c>
      <c r="AD6">
        <f t="shared" si="19"/>
        <v>60</v>
      </c>
      <c r="AE6">
        <f t="shared" si="20"/>
        <v>38</v>
      </c>
      <c r="AF6">
        <f t="shared" si="21"/>
        <v>10</v>
      </c>
      <c r="AG6">
        <f t="shared" si="22"/>
        <v>16</v>
      </c>
      <c r="AH6">
        <f t="shared" si="23"/>
        <v>0</v>
      </c>
      <c r="AI6">
        <f t="shared" si="24"/>
        <v>27</v>
      </c>
      <c r="AJ6">
        <f t="shared" si="25"/>
        <v>11</v>
      </c>
      <c r="AK6" s="31">
        <f t="shared" ref="AK6:AK11" si="46">+SUM(V6:AJ6)</f>
        <v>569</v>
      </c>
      <c r="AL6" s="12">
        <f t="shared" ref="AL6:AL11" si="47">+V6/$U6</f>
        <v>9.1681201328939646E-6</v>
      </c>
      <c r="AM6" s="12">
        <f t="shared" ref="AM6:AM11" si="48">+W6/$U6</f>
        <v>4.3548570631246333E-5</v>
      </c>
      <c r="AN6" s="12">
        <f t="shared" ref="AN6:AN11" si="49">+X6/$U6</f>
        <v>3.4380450498352369E-6</v>
      </c>
      <c r="AO6" s="12">
        <f t="shared" ref="AO6:AO11" si="50">+Y6/$U6</f>
        <v>4.2020550609097337E-6</v>
      </c>
      <c r="AP6" s="12">
        <f t="shared" ref="AP6:AP11" si="51">+Z6/$U6</f>
        <v>3.8200500553724854E-7</v>
      </c>
      <c r="AQ6" s="12">
        <f t="shared" ref="AQ6:AQ11" si="52">+AA6/$U6</f>
        <v>7.7547016124061458E-5</v>
      </c>
      <c r="AR6" s="12">
        <f t="shared" ref="AR6:AR11" si="53">+AB6/$U6</f>
        <v>3.0560400442979883E-6</v>
      </c>
      <c r="AS6" s="12">
        <f t="shared" ref="AS6:AS11" si="54">+AC6/$U6</f>
        <v>1.4134185204878196E-5</v>
      </c>
      <c r="AT6" s="12">
        <f t="shared" ref="AT6:AT11" si="55">+AD6/$U6</f>
        <v>2.2920300332234912E-5</v>
      </c>
      <c r="AU6" s="12">
        <f t="shared" ref="AU6:AU11" si="56">+AE6/$U6</f>
        <v>1.4516190210415445E-5</v>
      </c>
      <c r="AV6" s="12">
        <f t="shared" ref="AV6:AV11" si="57">+AF6/$U6</f>
        <v>3.8200500553724851E-6</v>
      </c>
      <c r="AW6" s="12">
        <f t="shared" ref="AW6:AW11" si="58">+AG6/$U6</f>
        <v>6.1120800885959767E-6</v>
      </c>
      <c r="AX6" s="12">
        <f t="shared" ref="AX6:AX11" si="59">+AH6/$U6</f>
        <v>0</v>
      </c>
      <c r="AY6" s="12">
        <f t="shared" ref="AY6:AY11" si="60">+AI6/$U6</f>
        <v>1.031413514950571E-5</v>
      </c>
      <c r="AZ6" s="12">
        <f t="shared" ref="AZ6:AZ11" si="61">+AJ6/$U6</f>
        <v>4.2020550609097337E-6</v>
      </c>
      <c r="BA6" s="32">
        <f t="shared" ref="BA6:BA11" si="62">+AK6/U6</f>
        <v>2.1736084815069442E-4</v>
      </c>
      <c r="BB6" s="31">
        <f t="shared" ref="BB6:BB11" si="63">+U6-(0.5*AK6)</f>
        <v>2617482.2452121698</v>
      </c>
      <c r="BC6" s="30">
        <f t="shared" si="27"/>
        <v>9.1691166363784016E-6</v>
      </c>
      <c r="BD6" s="30">
        <f t="shared" ref="BD6:BD11" si="64">+AM6/(1-(0.5*$BA6))</f>
        <v>4.355330402279741E-5</v>
      </c>
      <c r="BE6" s="30">
        <f t="shared" si="28"/>
        <v>3.438418738641901E-6</v>
      </c>
      <c r="BF6" s="30">
        <f t="shared" si="29"/>
        <v>4.2025117916734345E-6</v>
      </c>
      <c r="BG6" s="30">
        <f t="shared" si="30"/>
        <v>3.8204652651576679E-7</v>
      </c>
      <c r="BH6" s="30">
        <f t="shared" si="31"/>
        <v>7.7555444882700664E-5</v>
      </c>
      <c r="BI6" s="30">
        <f t="shared" si="32"/>
        <v>3.0563722121261343E-6</v>
      </c>
      <c r="BJ6" s="30">
        <f t="shared" si="33"/>
        <v>1.413572148108337E-5</v>
      </c>
      <c r="BK6" s="30">
        <f t="shared" si="34"/>
        <v>2.2922791590946006E-5</v>
      </c>
      <c r="BL6" s="30">
        <f t="shared" si="35"/>
        <v>1.4517768007599138E-5</v>
      </c>
      <c r="BM6" s="30">
        <f t="shared" si="36"/>
        <v>3.8204652651576673E-6</v>
      </c>
      <c r="BN6" s="30">
        <f t="shared" si="37"/>
        <v>6.1127444242522686E-6</v>
      </c>
      <c r="BO6" s="30">
        <f>+AX6/(1-(0.5*$BA6))</f>
        <v>0</v>
      </c>
      <c r="BP6" s="30">
        <f t="shared" si="39"/>
        <v>1.0315256215925702E-5</v>
      </c>
      <c r="BQ6" s="30">
        <f t="shared" si="40"/>
        <v>4.2025117916734345E-6</v>
      </c>
      <c r="BR6" s="13">
        <f>+(V5+V6)/(2*$U6)</f>
        <v>1.1842155171654705E-5</v>
      </c>
      <c r="BS6" s="13">
        <f t="shared" ref="BS6:CF11" si="65">+(W5+W6)/(2*$U6)</f>
        <v>3.361644048727787E-5</v>
      </c>
      <c r="BT6" s="13">
        <f t="shared" si="65"/>
        <v>2.8650375415293641E-6</v>
      </c>
      <c r="BU6" s="13">
        <f t="shared" si="65"/>
        <v>3.2470425470666126E-6</v>
      </c>
      <c r="BV6" s="13">
        <f t="shared" si="65"/>
        <v>4.5191192155056502E-4</v>
      </c>
      <c r="BW6" s="13">
        <f t="shared" si="65"/>
        <v>9.3209221351088644E-5</v>
      </c>
      <c r="BX6" s="13">
        <f t="shared" si="65"/>
        <v>1.3561177696572323E-5</v>
      </c>
      <c r="BY6" s="13">
        <f t="shared" si="65"/>
        <v>7.7165011118524203E-5</v>
      </c>
      <c r="BZ6" s="13">
        <f t="shared" si="65"/>
        <v>1.5681305477304052E-4</v>
      </c>
      <c r="CA6" s="13">
        <f t="shared" si="65"/>
        <v>2.1373180059809055E-4</v>
      </c>
      <c r="CB6" s="13">
        <f t="shared" si="65"/>
        <v>4.2020550609097337E-6</v>
      </c>
      <c r="CC6" s="13">
        <f t="shared" si="65"/>
        <v>5.3480700775214795E-6</v>
      </c>
      <c r="CD6" s="13">
        <f t="shared" si="65"/>
        <v>0</v>
      </c>
      <c r="CE6" s="13">
        <f t="shared" si="65"/>
        <v>7.2580951052077225E-6</v>
      </c>
      <c r="CF6" s="13">
        <f t="shared" si="65"/>
        <v>6.4940850941332253E-6</v>
      </c>
    </row>
    <row r="7" spans="1:85" x14ac:dyDescent="0.25">
      <c r="A7" t="s">
        <v>4</v>
      </c>
      <c r="B7" s="1">
        <v>2136825.68729656</v>
      </c>
      <c r="C7" s="7">
        <v>40</v>
      </c>
      <c r="D7" s="7">
        <v>130</v>
      </c>
      <c r="E7" s="7">
        <v>28</v>
      </c>
      <c r="F7" s="7">
        <v>34</v>
      </c>
      <c r="G7" s="7">
        <v>0</v>
      </c>
      <c r="H7" s="7">
        <v>267</v>
      </c>
      <c r="I7" s="7">
        <v>17</v>
      </c>
      <c r="J7" s="7">
        <v>34</v>
      </c>
      <c r="K7" s="7">
        <v>28</v>
      </c>
      <c r="L7" s="7">
        <v>13</v>
      </c>
      <c r="M7" s="7">
        <v>33</v>
      </c>
      <c r="N7" s="7">
        <v>11</v>
      </c>
      <c r="O7" s="7">
        <v>2</v>
      </c>
      <c r="P7" s="7">
        <v>137</v>
      </c>
      <c r="Q7" s="7">
        <v>16</v>
      </c>
      <c r="S7">
        <f t="shared" si="42"/>
        <v>1996</v>
      </c>
      <c r="T7" t="str">
        <f t="shared" si="43"/>
        <v>15-24</v>
      </c>
      <c r="U7" s="1">
        <f t="shared" si="44"/>
        <v>2136825.68729656</v>
      </c>
      <c r="V7">
        <f t="shared" si="45"/>
        <v>40</v>
      </c>
      <c r="W7">
        <f t="shared" si="12"/>
        <v>130</v>
      </c>
      <c r="X7">
        <f t="shared" si="13"/>
        <v>28</v>
      </c>
      <c r="Y7">
        <f t="shared" si="14"/>
        <v>34</v>
      </c>
      <c r="Z7">
        <f t="shared" si="15"/>
        <v>0</v>
      </c>
      <c r="AA7">
        <f t="shared" si="16"/>
        <v>267</v>
      </c>
      <c r="AB7">
        <f t="shared" si="17"/>
        <v>17</v>
      </c>
      <c r="AC7">
        <f t="shared" si="18"/>
        <v>34</v>
      </c>
      <c r="AD7">
        <f t="shared" si="19"/>
        <v>28</v>
      </c>
      <c r="AE7">
        <f t="shared" si="20"/>
        <v>13</v>
      </c>
      <c r="AF7">
        <f t="shared" si="21"/>
        <v>33</v>
      </c>
      <c r="AG7">
        <f t="shared" si="22"/>
        <v>11</v>
      </c>
      <c r="AH7">
        <f t="shared" si="23"/>
        <v>2</v>
      </c>
      <c r="AI7">
        <f t="shared" si="24"/>
        <v>137</v>
      </c>
      <c r="AJ7">
        <f t="shared" si="25"/>
        <v>16</v>
      </c>
      <c r="AK7" s="31">
        <f t="shared" si="46"/>
        <v>790</v>
      </c>
      <c r="AL7" s="12">
        <f t="shared" si="47"/>
        <v>1.8719355648801965E-5</v>
      </c>
      <c r="AM7" s="12">
        <f t="shared" si="48"/>
        <v>6.0837905858606381E-5</v>
      </c>
      <c r="AN7" s="12">
        <f t="shared" si="49"/>
        <v>1.3103548954161375E-5</v>
      </c>
      <c r="AO7" s="12">
        <f t="shared" si="50"/>
        <v>1.5911452301481669E-5</v>
      </c>
      <c r="AP7" s="12">
        <f t="shared" si="51"/>
        <v>0</v>
      </c>
      <c r="AQ7" s="12">
        <f t="shared" si="52"/>
        <v>1.249516989557531E-4</v>
      </c>
      <c r="AR7" s="12">
        <f t="shared" si="53"/>
        <v>7.9557261507408346E-6</v>
      </c>
      <c r="AS7" s="12">
        <f t="shared" si="54"/>
        <v>1.5911452301481669E-5</v>
      </c>
      <c r="AT7" s="12">
        <f t="shared" si="55"/>
        <v>1.3103548954161375E-5</v>
      </c>
      <c r="AU7" s="12">
        <f t="shared" si="56"/>
        <v>6.0837905858606381E-6</v>
      </c>
      <c r="AV7" s="12">
        <f t="shared" si="57"/>
        <v>1.5443468410261619E-5</v>
      </c>
      <c r="AW7" s="12">
        <f t="shared" si="58"/>
        <v>5.1478228034205399E-6</v>
      </c>
      <c r="AX7" s="12">
        <f t="shared" si="59"/>
        <v>9.3596778244009824E-7</v>
      </c>
      <c r="AY7" s="12">
        <f t="shared" si="60"/>
        <v>6.4113793097146727E-5</v>
      </c>
      <c r="AZ7" s="12">
        <f t="shared" si="61"/>
        <v>7.4877422595207859E-6</v>
      </c>
      <c r="BA7" s="32">
        <f t="shared" si="62"/>
        <v>3.6970727406383878E-4</v>
      </c>
      <c r="BB7" s="31">
        <f t="shared" si="63"/>
        <v>2136430.68729656</v>
      </c>
      <c r="BC7" s="30">
        <f t="shared" si="27"/>
        <v>1.8722816629551417E-5</v>
      </c>
      <c r="BD7" s="30">
        <f t="shared" si="64"/>
        <v>6.084915404604211E-5</v>
      </c>
      <c r="BE7" s="30">
        <f t="shared" si="28"/>
        <v>1.3105971640685993E-5</v>
      </c>
      <c r="BF7" s="30">
        <f t="shared" si="29"/>
        <v>1.5914394135118704E-5</v>
      </c>
      <c r="BG7" s="30">
        <f t="shared" si="30"/>
        <v>0</v>
      </c>
      <c r="BH7" s="30">
        <f t="shared" si="31"/>
        <v>1.2497480100225571E-4</v>
      </c>
      <c r="BI7" s="30">
        <f t="shared" si="32"/>
        <v>7.957197067559352E-6</v>
      </c>
      <c r="BJ7" s="30">
        <f t="shared" si="33"/>
        <v>1.5914394135118704E-5</v>
      </c>
      <c r="BK7" s="30">
        <f t="shared" si="34"/>
        <v>1.3105971640685993E-5</v>
      </c>
      <c r="BL7" s="30">
        <f t="shared" si="35"/>
        <v>6.084915404604211E-6</v>
      </c>
      <c r="BM7" s="30">
        <f t="shared" si="36"/>
        <v>1.544632371937992E-5</v>
      </c>
      <c r="BN7" s="30">
        <f t="shared" si="37"/>
        <v>5.1487745731266396E-6</v>
      </c>
      <c r="BO7" s="30">
        <f t="shared" si="38"/>
        <v>9.3614083147757095E-7</v>
      </c>
      <c r="BP7" s="30">
        <f t="shared" si="39"/>
        <v>6.4125646956213604E-5</v>
      </c>
      <c r="BQ7" s="30">
        <f t="shared" si="40"/>
        <v>7.4891266518205676E-6</v>
      </c>
      <c r="BR7" s="13">
        <f t="shared" ref="BR7:BR11" si="66">+(V6+V7)/(2*$U7)</f>
        <v>1.4975484519041572E-5</v>
      </c>
      <c r="BS7" s="13">
        <f t="shared" si="65"/>
        <v>5.7094034728845992E-5</v>
      </c>
      <c r="BT7" s="13">
        <f t="shared" si="65"/>
        <v>8.6577019875709085E-6</v>
      </c>
      <c r="BU7" s="13">
        <f t="shared" si="65"/>
        <v>1.0529637552451105E-5</v>
      </c>
      <c r="BV7" s="13">
        <f t="shared" si="65"/>
        <v>2.3399194561002456E-7</v>
      </c>
      <c r="BW7" s="13">
        <f t="shared" si="65"/>
        <v>1.0997621443671154E-4</v>
      </c>
      <c r="BX7" s="13">
        <f t="shared" si="65"/>
        <v>5.8497986402506138E-6</v>
      </c>
      <c r="BY7" s="13">
        <f t="shared" si="65"/>
        <v>1.6613428138311741E-5</v>
      </c>
      <c r="BZ7" s="13">
        <f t="shared" si="65"/>
        <v>2.059129121368216E-5</v>
      </c>
      <c r="CA7" s="13">
        <f t="shared" si="65"/>
        <v>1.1933589226111253E-5</v>
      </c>
      <c r="CB7" s="13">
        <f t="shared" si="65"/>
        <v>1.0061653661231056E-5</v>
      </c>
      <c r="CC7" s="13">
        <f t="shared" si="65"/>
        <v>6.3177825314706625E-6</v>
      </c>
      <c r="CD7" s="13">
        <f t="shared" si="65"/>
        <v>4.6798389122004912E-7</v>
      </c>
      <c r="CE7" s="13">
        <f t="shared" si="65"/>
        <v>3.8374679080044024E-5</v>
      </c>
      <c r="CF7" s="13">
        <f t="shared" si="65"/>
        <v>6.3177825314706625E-6</v>
      </c>
    </row>
    <row r="8" spans="1:85" x14ac:dyDescent="0.25">
      <c r="A8" t="s">
        <v>3</v>
      </c>
      <c r="B8" s="1">
        <v>3245545.2890741802</v>
      </c>
      <c r="C8" s="7">
        <v>467</v>
      </c>
      <c r="D8" s="7">
        <v>1119</v>
      </c>
      <c r="E8" s="7">
        <v>261</v>
      </c>
      <c r="F8" s="7">
        <v>113</v>
      </c>
      <c r="G8" s="7">
        <v>1</v>
      </c>
      <c r="H8" s="7">
        <v>352</v>
      </c>
      <c r="I8" s="7">
        <v>50</v>
      </c>
      <c r="J8" s="7">
        <v>67</v>
      </c>
      <c r="K8" s="7">
        <v>46</v>
      </c>
      <c r="L8" s="7">
        <v>29</v>
      </c>
      <c r="M8" s="7">
        <v>106</v>
      </c>
      <c r="N8" s="7">
        <v>42</v>
      </c>
      <c r="O8" s="7">
        <v>24</v>
      </c>
      <c r="P8" s="7">
        <v>151</v>
      </c>
      <c r="Q8" s="7">
        <v>54</v>
      </c>
      <c r="S8">
        <f t="shared" si="42"/>
        <v>1996</v>
      </c>
      <c r="T8" t="str">
        <f t="shared" si="43"/>
        <v>25-44</v>
      </c>
      <c r="U8" s="1">
        <f t="shared" si="44"/>
        <v>3245545.2890741802</v>
      </c>
      <c r="V8">
        <f t="shared" si="45"/>
        <v>467</v>
      </c>
      <c r="W8">
        <f t="shared" si="12"/>
        <v>1119</v>
      </c>
      <c r="X8">
        <f t="shared" si="13"/>
        <v>261</v>
      </c>
      <c r="Y8">
        <f t="shared" si="14"/>
        <v>113</v>
      </c>
      <c r="Z8">
        <f t="shared" si="15"/>
        <v>1</v>
      </c>
      <c r="AA8">
        <f t="shared" si="16"/>
        <v>352</v>
      </c>
      <c r="AB8">
        <f t="shared" si="17"/>
        <v>50</v>
      </c>
      <c r="AC8">
        <f t="shared" si="18"/>
        <v>67</v>
      </c>
      <c r="AD8">
        <f t="shared" si="19"/>
        <v>46</v>
      </c>
      <c r="AE8">
        <f t="shared" si="20"/>
        <v>29</v>
      </c>
      <c r="AF8">
        <f t="shared" si="21"/>
        <v>106</v>
      </c>
      <c r="AG8">
        <f t="shared" si="22"/>
        <v>42</v>
      </c>
      <c r="AH8">
        <f t="shared" si="23"/>
        <v>24</v>
      </c>
      <c r="AI8">
        <f t="shared" si="24"/>
        <v>151</v>
      </c>
      <c r="AJ8">
        <f t="shared" si="25"/>
        <v>54</v>
      </c>
      <c r="AK8" s="31">
        <f t="shared" si="46"/>
        <v>2882</v>
      </c>
      <c r="AL8" s="12">
        <f t="shared" si="47"/>
        <v>1.4388953424008936E-4</v>
      </c>
      <c r="AM8" s="12">
        <f t="shared" si="48"/>
        <v>3.4478027583438971E-4</v>
      </c>
      <c r="AN8" s="12">
        <f t="shared" si="49"/>
        <v>8.0417919564589567E-5</v>
      </c>
      <c r="AO8" s="12">
        <f t="shared" si="50"/>
        <v>3.4816953681220766E-5</v>
      </c>
      <c r="AP8" s="12">
        <f t="shared" si="51"/>
        <v>3.0811463434708647E-7</v>
      </c>
      <c r="AQ8" s="12">
        <f t="shared" si="52"/>
        <v>1.0845635129017443E-4</v>
      </c>
      <c r="AR8" s="12">
        <f t="shared" si="53"/>
        <v>1.5405731717354323E-5</v>
      </c>
      <c r="AS8" s="12">
        <f t="shared" si="54"/>
        <v>2.0643680501254791E-5</v>
      </c>
      <c r="AT8" s="12">
        <f t="shared" si="55"/>
        <v>1.4173273179965976E-5</v>
      </c>
      <c r="AU8" s="12">
        <f t="shared" si="56"/>
        <v>8.9353243960655076E-6</v>
      </c>
      <c r="AV8" s="12">
        <f t="shared" si="57"/>
        <v>3.2660151240791161E-5</v>
      </c>
      <c r="AW8" s="12">
        <f t="shared" si="58"/>
        <v>1.294081464257763E-5</v>
      </c>
      <c r="AX8" s="12">
        <f t="shared" si="59"/>
        <v>7.3947512243300743E-6</v>
      </c>
      <c r="AY8" s="12">
        <f t="shared" si="60"/>
        <v>4.6525309786410052E-5</v>
      </c>
      <c r="AZ8" s="12">
        <f t="shared" si="61"/>
        <v>1.6638190254742667E-5</v>
      </c>
      <c r="BA8" s="32">
        <f t="shared" si="62"/>
        <v>8.8798637618830317E-4</v>
      </c>
      <c r="BB8" s="31">
        <f t="shared" si="63"/>
        <v>3244104.2890741802</v>
      </c>
      <c r="BC8" s="30">
        <f t="shared" si="27"/>
        <v>1.4395344859066629E-4</v>
      </c>
      <c r="BD8" s="30">
        <f t="shared" si="64"/>
        <v>3.4493342392495841E-4</v>
      </c>
      <c r="BE8" s="30">
        <f t="shared" si="28"/>
        <v>8.0453640432899147E-5</v>
      </c>
      <c r="BF8" s="30">
        <f t="shared" si="29"/>
        <v>3.4832419037998482E-5</v>
      </c>
      <c r="BG8" s="30">
        <f t="shared" si="30"/>
        <v>3.0825149591149098E-7</v>
      </c>
      <c r="BH8" s="30">
        <f t="shared" si="31"/>
        <v>1.0850452656084483E-4</v>
      </c>
      <c r="BI8" s="30">
        <f t="shared" si="32"/>
        <v>1.5412574795574552E-5</v>
      </c>
      <c r="BJ8" s="30">
        <f t="shared" si="33"/>
        <v>2.0652850226069895E-5</v>
      </c>
      <c r="BK8" s="30">
        <f t="shared" si="34"/>
        <v>1.4179568811928585E-5</v>
      </c>
      <c r="BL8" s="30">
        <f t="shared" si="35"/>
        <v>8.9392933814332393E-6</v>
      </c>
      <c r="BM8" s="30">
        <f t="shared" si="36"/>
        <v>3.2674658566618041E-5</v>
      </c>
      <c r="BN8" s="30">
        <f t="shared" si="37"/>
        <v>1.2946562828282621E-5</v>
      </c>
      <c r="BO8" s="30">
        <f t="shared" si="38"/>
        <v>7.3980359018757836E-6</v>
      </c>
      <c r="BP8" s="30">
        <f t="shared" si="39"/>
        <v>4.6545975882635141E-5</v>
      </c>
      <c r="BQ8" s="30">
        <f t="shared" si="40"/>
        <v>1.6645580779220513E-5</v>
      </c>
      <c r="BR8" s="13">
        <f t="shared" si="66"/>
        <v>7.810705980698642E-5</v>
      </c>
      <c r="BS8" s="13">
        <f t="shared" si="65"/>
        <v>1.924175891497555E-4</v>
      </c>
      <c r="BT8" s="13">
        <f t="shared" si="65"/>
        <v>4.4522564663153988E-5</v>
      </c>
      <c r="BU8" s="13">
        <f t="shared" si="65"/>
        <v>2.2646425624510855E-5</v>
      </c>
      <c r="BV8" s="13">
        <f t="shared" si="65"/>
        <v>1.5405731717354323E-7</v>
      </c>
      <c r="BW8" s="13">
        <f t="shared" si="65"/>
        <v>9.5361479330423251E-5</v>
      </c>
      <c r="BX8" s="13">
        <f t="shared" si="65"/>
        <v>1.0321840250627396E-5</v>
      </c>
      <c r="BY8" s="13">
        <f t="shared" si="65"/>
        <v>1.5559789034527864E-5</v>
      </c>
      <c r="BZ8" s="13">
        <f t="shared" si="65"/>
        <v>1.1400241470842199E-5</v>
      </c>
      <c r="CA8" s="13">
        <f t="shared" si="65"/>
        <v>6.4704073212888151E-6</v>
      </c>
      <c r="CB8" s="13">
        <f t="shared" si="65"/>
        <v>2.1413967087122507E-5</v>
      </c>
      <c r="CC8" s="13">
        <f t="shared" si="65"/>
        <v>8.1650378101977901E-6</v>
      </c>
      <c r="CD8" s="13">
        <f t="shared" si="65"/>
        <v>4.0054902465121242E-6</v>
      </c>
      <c r="CE8" s="13">
        <f t="shared" si="65"/>
        <v>4.4368507345980446E-5</v>
      </c>
      <c r="CF8" s="13">
        <f t="shared" si="65"/>
        <v>1.0784012202148026E-5</v>
      </c>
    </row>
    <row r="9" spans="1:85" x14ac:dyDescent="0.25">
      <c r="A9" t="s">
        <v>2</v>
      </c>
      <c r="B9" s="1">
        <v>1448877.9572723201</v>
      </c>
      <c r="C9" s="7">
        <v>1724</v>
      </c>
      <c r="D9" s="7">
        <v>2420</v>
      </c>
      <c r="E9" s="7">
        <v>792</v>
      </c>
      <c r="F9" s="7">
        <v>689</v>
      </c>
      <c r="G9" s="7">
        <v>0</v>
      </c>
      <c r="H9" s="7">
        <v>165</v>
      </c>
      <c r="I9" s="7">
        <v>194</v>
      </c>
      <c r="J9" s="7">
        <v>78</v>
      </c>
      <c r="K9" s="7">
        <v>18</v>
      </c>
      <c r="L9" s="7">
        <v>75</v>
      </c>
      <c r="M9" s="7">
        <v>145</v>
      </c>
      <c r="N9" s="7">
        <v>103</v>
      </c>
      <c r="O9" s="7">
        <v>81</v>
      </c>
      <c r="P9" s="7">
        <v>45</v>
      </c>
      <c r="Q9" s="7">
        <v>142</v>
      </c>
      <c r="S9">
        <f t="shared" si="42"/>
        <v>1996</v>
      </c>
      <c r="T9" t="str">
        <f t="shared" si="43"/>
        <v>45-64</v>
      </c>
      <c r="U9" s="1">
        <f t="shared" si="44"/>
        <v>1448877.9572723201</v>
      </c>
      <c r="V9">
        <f t="shared" si="45"/>
        <v>1724</v>
      </c>
      <c r="W9">
        <f t="shared" si="12"/>
        <v>2420</v>
      </c>
      <c r="X9">
        <f t="shared" si="13"/>
        <v>792</v>
      </c>
      <c r="Y9">
        <f t="shared" si="14"/>
        <v>689</v>
      </c>
      <c r="Z9">
        <f t="shared" si="15"/>
        <v>0</v>
      </c>
      <c r="AA9">
        <f t="shared" si="16"/>
        <v>165</v>
      </c>
      <c r="AB9">
        <f t="shared" si="17"/>
        <v>194</v>
      </c>
      <c r="AC9">
        <f t="shared" si="18"/>
        <v>78</v>
      </c>
      <c r="AD9">
        <f t="shared" si="19"/>
        <v>18</v>
      </c>
      <c r="AE9">
        <f t="shared" si="20"/>
        <v>75</v>
      </c>
      <c r="AF9">
        <f t="shared" si="21"/>
        <v>145</v>
      </c>
      <c r="AG9">
        <f t="shared" si="22"/>
        <v>103</v>
      </c>
      <c r="AH9">
        <f t="shared" si="23"/>
        <v>81</v>
      </c>
      <c r="AI9">
        <f t="shared" si="24"/>
        <v>45</v>
      </c>
      <c r="AJ9">
        <f t="shared" si="25"/>
        <v>142</v>
      </c>
      <c r="AK9" s="31">
        <f t="shared" si="46"/>
        <v>6671</v>
      </c>
      <c r="AL9" s="12">
        <f t="shared" si="47"/>
        <v>1.1898862781000747E-3</v>
      </c>
      <c r="AM9" s="12">
        <f t="shared" si="48"/>
        <v>1.6702580005813115E-3</v>
      </c>
      <c r="AN9" s="12">
        <f t="shared" si="49"/>
        <v>5.4662989109933828E-4</v>
      </c>
      <c r="AO9" s="12">
        <f t="shared" si="50"/>
        <v>4.7554039768616676E-4</v>
      </c>
      <c r="AP9" s="12">
        <f t="shared" si="51"/>
        <v>0</v>
      </c>
      <c r="AQ9" s="12">
        <f t="shared" si="52"/>
        <v>1.1388122731236215E-4</v>
      </c>
      <c r="AR9" s="12">
        <f t="shared" si="53"/>
        <v>1.3389671574908033E-4</v>
      </c>
      <c r="AS9" s="12">
        <f t="shared" si="54"/>
        <v>5.3834762002207555E-5</v>
      </c>
      <c r="AT9" s="12">
        <f t="shared" si="55"/>
        <v>1.2423406615894051E-5</v>
      </c>
      <c r="AU9" s="12">
        <f t="shared" si="56"/>
        <v>5.1764194232891883E-5</v>
      </c>
      <c r="AV9" s="12">
        <f t="shared" si="57"/>
        <v>1.0007744218359097E-4</v>
      </c>
      <c r="AW9" s="12">
        <f t="shared" si="58"/>
        <v>7.1089493413171523E-5</v>
      </c>
      <c r="AX9" s="12">
        <f t="shared" si="59"/>
        <v>5.5905329771523234E-5</v>
      </c>
      <c r="AY9" s="12">
        <f t="shared" si="60"/>
        <v>3.1058516539735131E-5</v>
      </c>
      <c r="AZ9" s="12">
        <f t="shared" si="61"/>
        <v>9.8006874414275291E-5</v>
      </c>
      <c r="BA9" s="32">
        <f t="shared" si="62"/>
        <v>4.6042525297016234E-3</v>
      </c>
      <c r="BB9" s="31">
        <f t="shared" si="63"/>
        <v>1445542.4572723201</v>
      </c>
      <c r="BC9" s="30">
        <f t="shared" si="27"/>
        <v>1.1926318672459597E-3</v>
      </c>
      <c r="BD9" s="30">
        <f t="shared" si="64"/>
        <v>1.6741120178278555E-3</v>
      </c>
      <c r="BE9" s="30">
        <f t="shared" si="28"/>
        <v>5.4789120583457085E-4</v>
      </c>
      <c r="BF9" s="30">
        <f t="shared" si="29"/>
        <v>4.7663767780305465E-4</v>
      </c>
      <c r="BG9" s="30">
        <f t="shared" si="30"/>
        <v>0</v>
      </c>
      <c r="BH9" s="30">
        <f t="shared" si="31"/>
        <v>1.1414400121553559E-4</v>
      </c>
      <c r="BI9" s="30">
        <f t="shared" si="32"/>
        <v>1.342056741564479E-4</v>
      </c>
      <c r="BJ9" s="30">
        <f t="shared" si="33"/>
        <v>5.3958982392798641E-5</v>
      </c>
      <c r="BK9" s="30">
        <f t="shared" si="34"/>
        <v>1.2452072859876608E-5</v>
      </c>
      <c r="BL9" s="30">
        <f t="shared" si="35"/>
        <v>5.1883636916152541E-5</v>
      </c>
      <c r="BM9" s="30">
        <f t="shared" si="36"/>
        <v>1.0030836470456157E-4</v>
      </c>
      <c r="BN9" s="30">
        <f t="shared" si="37"/>
        <v>7.1253528031516166E-5</v>
      </c>
      <c r="BO9" s="30">
        <f t="shared" si="38"/>
        <v>5.6034327869444748E-5</v>
      </c>
      <c r="BP9" s="30">
        <f t="shared" si="39"/>
        <v>3.1130182149691525E-5</v>
      </c>
      <c r="BQ9" s="30">
        <f t="shared" si="40"/>
        <v>9.8233019227915477E-5</v>
      </c>
      <c r="BR9" s="13">
        <f t="shared" si="66"/>
        <v>7.5610233042844072E-4</v>
      </c>
      <c r="BS9" s="13">
        <f t="shared" si="65"/>
        <v>1.2212898892680292E-3</v>
      </c>
      <c r="BT9" s="13">
        <f t="shared" si="65"/>
        <v>3.63384643514901E-4</v>
      </c>
      <c r="BU9" s="13">
        <f t="shared" si="65"/>
        <v>2.7676589183186194E-4</v>
      </c>
      <c r="BV9" s="13">
        <f t="shared" si="65"/>
        <v>3.4509462821927924E-7</v>
      </c>
      <c r="BW9" s="13">
        <f t="shared" si="65"/>
        <v>1.7841392278936734E-4</v>
      </c>
      <c r="BX9" s="13">
        <f t="shared" si="65"/>
        <v>8.4203089285504127E-5</v>
      </c>
      <c r="BY9" s="13">
        <f t="shared" si="65"/>
        <v>5.0038721091795485E-5</v>
      </c>
      <c r="BZ9" s="13">
        <f t="shared" si="65"/>
        <v>2.2086056206033871E-5</v>
      </c>
      <c r="CA9" s="13">
        <f t="shared" si="65"/>
        <v>3.5889841334805041E-5</v>
      </c>
      <c r="CB9" s="13">
        <f t="shared" si="65"/>
        <v>8.6618751683039085E-5</v>
      </c>
      <c r="CC9" s="13">
        <f t="shared" si="65"/>
        <v>5.0038721091795485E-5</v>
      </c>
      <c r="CD9" s="13">
        <f t="shared" si="65"/>
        <v>3.6234935963024314E-5</v>
      </c>
      <c r="CE9" s="13">
        <f t="shared" si="65"/>
        <v>6.7638547130978726E-5</v>
      </c>
      <c r="CF9" s="13">
        <f t="shared" si="65"/>
        <v>6.7638547130978726E-5</v>
      </c>
    </row>
    <row r="10" spans="1:85" x14ac:dyDescent="0.25">
      <c r="A10" t="s">
        <v>1</v>
      </c>
      <c r="B10" s="1">
        <v>373487.34083337098</v>
      </c>
      <c r="C10" s="7">
        <v>2053</v>
      </c>
      <c r="D10" s="7">
        <v>1478</v>
      </c>
      <c r="E10" s="7">
        <v>820</v>
      </c>
      <c r="F10" s="7">
        <v>707</v>
      </c>
      <c r="G10" s="7">
        <v>0</v>
      </c>
      <c r="H10" s="7">
        <v>94</v>
      </c>
      <c r="I10" s="7">
        <v>233</v>
      </c>
      <c r="J10" s="7">
        <v>106</v>
      </c>
      <c r="K10" s="7">
        <v>8</v>
      </c>
      <c r="L10" s="7">
        <v>63</v>
      </c>
      <c r="M10" s="7">
        <v>125</v>
      </c>
      <c r="N10" s="7">
        <v>78</v>
      </c>
      <c r="O10" s="7">
        <v>97</v>
      </c>
      <c r="P10" s="7">
        <v>16</v>
      </c>
      <c r="Q10" s="7">
        <v>124</v>
      </c>
      <c r="S10">
        <f t="shared" si="42"/>
        <v>1996</v>
      </c>
      <c r="T10" t="str">
        <f t="shared" si="43"/>
        <v>65-74</v>
      </c>
      <c r="U10" s="1">
        <f t="shared" si="44"/>
        <v>373487.34083337098</v>
      </c>
      <c r="V10">
        <f t="shared" si="45"/>
        <v>2053</v>
      </c>
      <c r="W10">
        <f t="shared" si="12"/>
        <v>1478</v>
      </c>
      <c r="X10">
        <f t="shared" si="13"/>
        <v>820</v>
      </c>
      <c r="Y10">
        <f t="shared" si="14"/>
        <v>707</v>
      </c>
      <c r="Z10">
        <f t="shared" si="15"/>
        <v>0</v>
      </c>
      <c r="AA10">
        <f t="shared" si="16"/>
        <v>94</v>
      </c>
      <c r="AB10">
        <f t="shared" si="17"/>
        <v>233</v>
      </c>
      <c r="AC10">
        <f t="shared" si="18"/>
        <v>106</v>
      </c>
      <c r="AD10">
        <f t="shared" si="19"/>
        <v>8</v>
      </c>
      <c r="AE10">
        <f t="shared" si="20"/>
        <v>63</v>
      </c>
      <c r="AF10">
        <f t="shared" si="21"/>
        <v>125</v>
      </c>
      <c r="AG10">
        <f t="shared" si="22"/>
        <v>78</v>
      </c>
      <c r="AH10">
        <f t="shared" si="23"/>
        <v>97</v>
      </c>
      <c r="AI10">
        <f t="shared" si="24"/>
        <v>16</v>
      </c>
      <c r="AJ10">
        <f t="shared" si="25"/>
        <v>124</v>
      </c>
      <c r="AK10" s="31">
        <f t="shared" si="46"/>
        <v>6002</v>
      </c>
      <c r="AL10" s="12">
        <f t="shared" si="47"/>
        <v>5.4968395860997415E-3</v>
      </c>
      <c r="AM10" s="12">
        <f t="shared" si="48"/>
        <v>3.9572961072846654E-3</v>
      </c>
      <c r="AN10" s="12">
        <f t="shared" si="49"/>
        <v>2.1955228741362826E-3</v>
      </c>
      <c r="AO10" s="12">
        <f t="shared" si="50"/>
        <v>1.8929691122126242E-3</v>
      </c>
      <c r="AP10" s="12">
        <f t="shared" si="51"/>
        <v>0</v>
      </c>
      <c r="AQ10" s="12">
        <f t="shared" si="52"/>
        <v>2.5168189044976895E-4</v>
      </c>
      <c r="AR10" s="12">
        <f t="shared" si="53"/>
        <v>6.2384979228506568E-4</v>
      </c>
      <c r="AS10" s="12">
        <f t="shared" si="54"/>
        <v>2.8381149348590971E-4</v>
      </c>
      <c r="AT10" s="12">
        <f t="shared" si="55"/>
        <v>2.1419735357427145E-5</v>
      </c>
      <c r="AU10" s="12">
        <f t="shared" si="56"/>
        <v>1.6868041593973878E-4</v>
      </c>
      <c r="AV10" s="12">
        <f t="shared" si="57"/>
        <v>3.3468336495979915E-4</v>
      </c>
      <c r="AW10" s="12">
        <f t="shared" si="58"/>
        <v>2.0884241973491468E-4</v>
      </c>
      <c r="AX10" s="12">
        <f t="shared" si="59"/>
        <v>2.5971429120880417E-4</v>
      </c>
      <c r="AY10" s="12">
        <f t="shared" si="60"/>
        <v>4.2839470714854289E-5</v>
      </c>
      <c r="AZ10" s="12">
        <f t="shared" si="61"/>
        <v>3.3200589804012075E-4</v>
      </c>
      <c r="BA10" s="32">
        <f t="shared" si="62"/>
        <v>1.6070156451909717E-2</v>
      </c>
      <c r="BB10" s="31">
        <f t="shared" si="63"/>
        <v>370486.34083337098</v>
      </c>
      <c r="BC10" s="30">
        <f t="shared" si="27"/>
        <v>5.541364886440853E-3</v>
      </c>
      <c r="BD10" s="30">
        <f t="shared" si="64"/>
        <v>3.9893508534630208E-3</v>
      </c>
      <c r="BE10" s="30">
        <f t="shared" si="28"/>
        <v>2.2133069687683875E-3</v>
      </c>
      <c r="BF10" s="30">
        <f t="shared" si="29"/>
        <v>1.9083024718527439E-3</v>
      </c>
      <c r="BG10" s="30">
        <f t="shared" si="30"/>
        <v>0</v>
      </c>
      <c r="BH10" s="30">
        <f t="shared" si="31"/>
        <v>2.5372055495637613E-4</v>
      </c>
      <c r="BI10" s="30">
        <f t="shared" si="32"/>
        <v>6.2890307771101741E-4</v>
      </c>
      <c r="BJ10" s="30">
        <f t="shared" si="33"/>
        <v>2.8611041303591353E-4</v>
      </c>
      <c r="BK10" s="30">
        <f t="shared" si="34"/>
        <v>2.1593238719691582E-5</v>
      </c>
      <c r="BL10" s="30">
        <f t="shared" si="35"/>
        <v>1.7004675491757122E-4</v>
      </c>
      <c r="BM10" s="30">
        <f t="shared" si="36"/>
        <v>3.3739435499518101E-4</v>
      </c>
      <c r="BN10" s="30">
        <f t="shared" si="37"/>
        <v>2.1053407751699295E-4</v>
      </c>
      <c r="BO10" s="30">
        <f t="shared" si="38"/>
        <v>2.6181801947626048E-4</v>
      </c>
      <c r="BP10" s="30">
        <f t="shared" si="39"/>
        <v>4.3186477439383164E-5</v>
      </c>
      <c r="BQ10" s="30">
        <f t="shared" si="40"/>
        <v>3.3469520015521953E-4</v>
      </c>
      <c r="BR10" s="13">
        <f t="shared" si="66"/>
        <v>5.0563962778126456E-3</v>
      </c>
      <c r="BS10" s="13">
        <f t="shared" si="65"/>
        <v>5.2183830264531886E-3</v>
      </c>
      <c r="BT10" s="13">
        <f t="shared" si="65"/>
        <v>2.158038337260785E-3</v>
      </c>
      <c r="BU10" s="13">
        <f t="shared" si="65"/>
        <v>1.8688719099355185E-3</v>
      </c>
      <c r="BV10" s="13">
        <f t="shared" si="65"/>
        <v>0</v>
      </c>
      <c r="BW10" s="13">
        <f t="shared" si="65"/>
        <v>3.4673196609835195E-4</v>
      </c>
      <c r="BX10" s="13">
        <f t="shared" si="65"/>
        <v>5.7163918735133701E-4</v>
      </c>
      <c r="BY10" s="13">
        <f t="shared" si="65"/>
        <v>2.4632695661041219E-4</v>
      </c>
      <c r="BZ10" s="13">
        <f t="shared" si="65"/>
        <v>3.4807069955819113E-5</v>
      </c>
      <c r="CA10" s="13">
        <f t="shared" si="65"/>
        <v>1.8474521745780913E-4</v>
      </c>
      <c r="CB10" s="13">
        <f t="shared" si="65"/>
        <v>3.614580341565831E-4</v>
      </c>
      <c r="CC10" s="13">
        <f t="shared" si="65"/>
        <v>2.4231075623089459E-4</v>
      </c>
      <c r="CD10" s="13">
        <f t="shared" si="65"/>
        <v>2.38294555851377E-4</v>
      </c>
      <c r="CE10" s="13">
        <f t="shared" si="65"/>
        <v>8.1662741050190997E-5</v>
      </c>
      <c r="CF10" s="13">
        <f t="shared" si="65"/>
        <v>3.5610310031722629E-4</v>
      </c>
    </row>
    <row r="11" spans="1:85" x14ac:dyDescent="0.25">
      <c r="A11" t="s">
        <v>0</v>
      </c>
      <c r="B11" s="1">
        <v>186458.585231801</v>
      </c>
      <c r="C11" s="7">
        <v>5003</v>
      </c>
      <c r="D11" s="7">
        <v>1582</v>
      </c>
      <c r="E11" s="7">
        <v>1961</v>
      </c>
      <c r="F11" s="7">
        <v>819</v>
      </c>
      <c r="G11" s="7">
        <v>6</v>
      </c>
      <c r="H11" s="7">
        <v>249</v>
      </c>
      <c r="I11" s="7">
        <v>555</v>
      </c>
      <c r="J11" s="7">
        <v>552</v>
      </c>
      <c r="K11" s="7">
        <v>12</v>
      </c>
      <c r="L11" s="7">
        <v>226</v>
      </c>
      <c r="M11" s="7">
        <v>182</v>
      </c>
      <c r="N11" s="7">
        <v>96</v>
      </c>
      <c r="O11" s="7">
        <v>188</v>
      </c>
      <c r="P11" s="7">
        <v>12</v>
      </c>
      <c r="Q11" s="7">
        <v>112</v>
      </c>
      <c r="S11">
        <f t="shared" si="42"/>
        <v>1996</v>
      </c>
      <c r="T11" t="str">
        <f t="shared" si="43"/>
        <v>75+</v>
      </c>
      <c r="U11" s="1">
        <f t="shared" si="44"/>
        <v>186458.585231801</v>
      </c>
      <c r="V11">
        <f t="shared" si="45"/>
        <v>5003</v>
      </c>
      <c r="W11">
        <f t="shared" si="12"/>
        <v>1582</v>
      </c>
      <c r="X11">
        <f t="shared" si="13"/>
        <v>1961</v>
      </c>
      <c r="Y11">
        <f t="shared" si="14"/>
        <v>819</v>
      </c>
      <c r="Z11">
        <f t="shared" si="15"/>
        <v>6</v>
      </c>
      <c r="AA11">
        <f t="shared" si="16"/>
        <v>249</v>
      </c>
      <c r="AB11">
        <f t="shared" si="17"/>
        <v>555</v>
      </c>
      <c r="AC11">
        <f t="shared" si="18"/>
        <v>552</v>
      </c>
      <c r="AD11">
        <f t="shared" si="19"/>
        <v>12</v>
      </c>
      <c r="AE11">
        <f t="shared" si="20"/>
        <v>226</v>
      </c>
      <c r="AF11">
        <f t="shared" si="21"/>
        <v>182</v>
      </c>
      <c r="AG11">
        <f t="shared" si="22"/>
        <v>96</v>
      </c>
      <c r="AH11">
        <f t="shared" si="23"/>
        <v>188</v>
      </c>
      <c r="AI11">
        <f t="shared" si="24"/>
        <v>12</v>
      </c>
      <c r="AJ11">
        <f t="shared" si="25"/>
        <v>112</v>
      </c>
      <c r="AK11" s="31">
        <f t="shared" si="46"/>
        <v>11555</v>
      </c>
      <c r="AL11" s="12">
        <f t="shared" si="47"/>
        <v>2.6831695594924664E-2</v>
      </c>
      <c r="AM11" s="12">
        <f t="shared" si="48"/>
        <v>8.4844578115472347E-3</v>
      </c>
      <c r="AN11" s="12">
        <f t="shared" si="49"/>
        <v>1.0517080763871131E-2</v>
      </c>
      <c r="AO11" s="12">
        <f t="shared" si="50"/>
        <v>4.3923963006682592E-3</v>
      </c>
      <c r="AP11" s="12">
        <f t="shared" si="51"/>
        <v>3.2178727477423146E-5</v>
      </c>
      <c r="AQ11" s="12">
        <f t="shared" si="52"/>
        <v>1.3354171903130604E-3</v>
      </c>
      <c r="AR11" s="12">
        <f t="shared" si="53"/>
        <v>2.9765322916616406E-3</v>
      </c>
      <c r="AS11" s="12">
        <f t="shared" si="54"/>
        <v>2.9604429279229292E-3</v>
      </c>
      <c r="AT11" s="12">
        <f t="shared" si="55"/>
        <v>6.4357454954846292E-5</v>
      </c>
      <c r="AU11" s="12">
        <f t="shared" si="56"/>
        <v>1.2120654016496051E-3</v>
      </c>
      <c r="AV11" s="12">
        <f t="shared" si="57"/>
        <v>9.760880668151687E-4</v>
      </c>
      <c r="AW11" s="12">
        <f t="shared" si="58"/>
        <v>5.1485963963877033E-4</v>
      </c>
      <c r="AX11" s="12">
        <f t="shared" si="59"/>
        <v>1.0082667942925918E-3</v>
      </c>
      <c r="AY11" s="12">
        <f t="shared" si="60"/>
        <v>6.4357454954846292E-5</v>
      </c>
      <c r="AZ11" s="12">
        <f t="shared" si="61"/>
        <v>6.0066957957856533E-4</v>
      </c>
      <c r="BA11" s="32">
        <f t="shared" si="62"/>
        <v>6.1970866000270734E-2</v>
      </c>
      <c r="BB11" s="31">
        <f t="shared" si="63"/>
        <v>180681.085231801</v>
      </c>
      <c r="BC11" s="30">
        <f t="shared" si="27"/>
        <v>2.7689672073761933E-2</v>
      </c>
      <c r="BD11" s="30">
        <f t="shared" si="64"/>
        <v>8.7557587888649566E-3</v>
      </c>
      <c r="BE11" s="30">
        <f t="shared" si="28"/>
        <v>1.0853377360912884E-2</v>
      </c>
      <c r="BF11" s="30">
        <f t="shared" si="29"/>
        <v>4.532848576536283E-3</v>
      </c>
      <c r="BG11" s="30">
        <f t="shared" si="30"/>
        <v>3.3207681879386691E-5</v>
      </c>
      <c r="BH11" s="30">
        <f t="shared" si="31"/>
        <v>1.3781187979945476E-3</v>
      </c>
      <c r="BI11" s="30">
        <f t="shared" si="32"/>
        <v>3.0717105738432685E-3</v>
      </c>
      <c r="BJ11" s="30">
        <f t="shared" si="33"/>
        <v>3.0551067329035752E-3</v>
      </c>
      <c r="BK11" s="30">
        <f t="shared" si="34"/>
        <v>6.6415363758773381E-5</v>
      </c>
      <c r="BL11" s="30">
        <f t="shared" si="35"/>
        <v>1.2508226841235653E-3</v>
      </c>
      <c r="BM11" s="30">
        <f t="shared" si="36"/>
        <v>1.0072996836747296E-3</v>
      </c>
      <c r="BN11" s="30">
        <f t="shared" si="37"/>
        <v>5.3132291007018705E-4</v>
      </c>
      <c r="BO11" s="30">
        <f t="shared" si="38"/>
        <v>1.0405073655541163E-3</v>
      </c>
      <c r="BP11" s="30">
        <f t="shared" si="39"/>
        <v>6.6415363758773381E-5</v>
      </c>
      <c r="BQ11" s="30">
        <f t="shared" si="40"/>
        <v>6.1987672841521812E-4</v>
      </c>
      <c r="BR11" s="13">
        <f t="shared" si="66"/>
        <v>1.8921091756724809E-2</v>
      </c>
      <c r="BS11" s="13">
        <f t="shared" si="65"/>
        <v>8.2055755067429008E-3</v>
      </c>
      <c r="BT11" s="13">
        <f t="shared" si="65"/>
        <v>7.4574200928928134E-3</v>
      </c>
      <c r="BU11" s="13">
        <f t="shared" si="65"/>
        <v>4.0920615108789764E-3</v>
      </c>
      <c r="BV11" s="13">
        <f t="shared" si="65"/>
        <v>1.6089363738711573E-5</v>
      </c>
      <c r="BW11" s="13">
        <f t="shared" si="65"/>
        <v>9.1977529372967823E-4</v>
      </c>
      <c r="BX11" s="13">
        <f t="shared" si="65"/>
        <v>2.113069771017453E-3</v>
      </c>
      <c r="BY11" s="13">
        <f t="shared" si="65"/>
        <v>1.7644668900120358E-3</v>
      </c>
      <c r="BZ11" s="13">
        <f t="shared" si="65"/>
        <v>5.3631212462371903E-5</v>
      </c>
      <c r="CA11" s="13">
        <f t="shared" si="65"/>
        <v>7.7497102008127405E-4</v>
      </c>
      <c r="CB11" s="13">
        <f t="shared" si="65"/>
        <v>8.232391112974087E-4</v>
      </c>
      <c r="CC11" s="13">
        <f t="shared" si="65"/>
        <v>4.6659154842263557E-4</v>
      </c>
      <c r="CD11" s="13">
        <f t="shared" si="65"/>
        <v>7.6424477758879963E-4</v>
      </c>
      <c r="CE11" s="13">
        <f t="shared" si="65"/>
        <v>7.5083697447320667E-5</v>
      </c>
      <c r="CF11" s="13">
        <f t="shared" si="65"/>
        <v>6.3284830705598847E-4</v>
      </c>
    </row>
    <row r="12" spans="1:85" x14ac:dyDescent="0.25">
      <c r="C12"/>
    </row>
    <row r="13" spans="1:85" x14ac:dyDescent="0.25">
      <c r="C13"/>
    </row>
    <row r="14" spans="1:85" x14ac:dyDescent="0.25">
      <c r="C14"/>
      <c r="S14" s="76" t="s">
        <v>210</v>
      </c>
      <c r="T14" s="76"/>
    </row>
    <row r="15" spans="1:85" x14ac:dyDescent="0.25">
      <c r="C15"/>
      <c r="S15" s="67" t="s">
        <v>35</v>
      </c>
      <c r="T15" s="67" t="s">
        <v>211</v>
      </c>
    </row>
    <row r="16" spans="1:85" x14ac:dyDescent="0.25">
      <c r="C16"/>
      <c r="S16" s="70">
        <v>1</v>
      </c>
      <c r="T16" s="70" t="s">
        <v>21</v>
      </c>
      <c r="U16" s="68"/>
    </row>
    <row r="17" spans="3:21" x14ac:dyDescent="0.25">
      <c r="C17"/>
      <c r="S17" s="70" t="s">
        <v>36</v>
      </c>
      <c r="T17" s="70" t="s">
        <v>20</v>
      </c>
      <c r="U17" s="68"/>
    </row>
    <row r="18" spans="3:21" x14ac:dyDescent="0.25">
      <c r="C18"/>
      <c r="S18" s="70" t="s">
        <v>37</v>
      </c>
      <c r="T18" s="70" t="s">
        <v>19</v>
      </c>
      <c r="U18" s="68"/>
    </row>
    <row r="19" spans="3:21" x14ac:dyDescent="0.25">
      <c r="C19"/>
      <c r="S19" s="70" t="s">
        <v>38</v>
      </c>
      <c r="T19" s="70" t="s">
        <v>18</v>
      </c>
      <c r="U19" s="68"/>
    </row>
    <row r="20" spans="3:21" x14ac:dyDescent="0.25">
      <c r="C20"/>
      <c r="S20" s="70" t="s">
        <v>39</v>
      </c>
      <c r="T20" s="70" t="s">
        <v>17</v>
      </c>
      <c r="U20" s="68"/>
    </row>
    <row r="21" spans="3:21" x14ac:dyDescent="0.25">
      <c r="C21"/>
      <c r="S21" s="70" t="s">
        <v>40</v>
      </c>
      <c r="T21" s="70" t="s">
        <v>16</v>
      </c>
      <c r="U21" s="68"/>
    </row>
    <row r="22" spans="3:21" x14ac:dyDescent="0.25">
      <c r="C22"/>
      <c r="S22" s="70" t="s">
        <v>41</v>
      </c>
      <c r="T22" s="70" t="s">
        <v>15</v>
      </c>
      <c r="U22" s="68"/>
    </row>
    <row r="23" spans="3:21" x14ac:dyDescent="0.25">
      <c r="C23"/>
      <c r="S23" s="70" t="s">
        <v>42</v>
      </c>
      <c r="T23" s="70" t="s">
        <v>14</v>
      </c>
      <c r="U23" s="68"/>
    </row>
    <row r="24" spans="3:21" x14ac:dyDescent="0.25">
      <c r="C24"/>
      <c r="S24" s="70" t="s">
        <v>43</v>
      </c>
      <c r="T24" s="70" t="s">
        <v>13</v>
      </c>
      <c r="U24" s="68"/>
    </row>
    <row r="25" spans="3:21" x14ac:dyDescent="0.25">
      <c r="C25"/>
      <c r="S25" s="70">
        <v>10</v>
      </c>
      <c r="T25" s="70" t="s">
        <v>12</v>
      </c>
      <c r="U25" s="68"/>
    </row>
    <row r="26" spans="3:21" x14ac:dyDescent="0.25">
      <c r="C26"/>
      <c r="S26" s="70">
        <v>11</v>
      </c>
      <c r="T26" s="70" t="s">
        <v>11</v>
      </c>
      <c r="U26" s="68"/>
    </row>
    <row r="27" spans="3:21" x14ac:dyDescent="0.25">
      <c r="C27"/>
      <c r="S27" s="70">
        <v>12</v>
      </c>
      <c r="T27" s="70" t="s">
        <v>10</v>
      </c>
      <c r="U27" s="68"/>
    </row>
    <row r="28" spans="3:21" x14ac:dyDescent="0.25">
      <c r="C28"/>
      <c r="S28" s="70">
        <v>13</v>
      </c>
      <c r="T28" s="70" t="s">
        <v>9</v>
      </c>
      <c r="U28" s="68"/>
    </row>
    <row r="29" spans="3:21" x14ac:dyDescent="0.25">
      <c r="C29"/>
      <c r="S29" s="70" t="s">
        <v>44</v>
      </c>
      <c r="T29" s="70" t="s">
        <v>8</v>
      </c>
      <c r="U29" s="68"/>
    </row>
    <row r="30" spans="3:21" x14ac:dyDescent="0.25">
      <c r="C30"/>
      <c r="S30" s="70" t="s">
        <v>45</v>
      </c>
      <c r="T30" s="70" t="s">
        <v>7</v>
      </c>
      <c r="U30" s="68"/>
    </row>
    <row r="31" spans="3:21" x14ac:dyDescent="0.25">
      <c r="C31"/>
    </row>
    <row r="32" spans="3:21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  <row r="617" spans="3:3" x14ac:dyDescent="0.25">
      <c r="C617"/>
    </row>
    <row r="618" spans="3:3" x14ac:dyDescent="0.25">
      <c r="C618"/>
    </row>
    <row r="619" spans="3:3" x14ac:dyDescent="0.25">
      <c r="C619"/>
    </row>
    <row r="620" spans="3:3" x14ac:dyDescent="0.25">
      <c r="C620"/>
    </row>
    <row r="621" spans="3:3" x14ac:dyDescent="0.25">
      <c r="C621"/>
    </row>
    <row r="622" spans="3:3" x14ac:dyDescent="0.25">
      <c r="C622"/>
    </row>
    <row r="623" spans="3:3" x14ac:dyDescent="0.25">
      <c r="C623"/>
    </row>
    <row r="624" spans="3:3" x14ac:dyDescent="0.25">
      <c r="C624"/>
    </row>
    <row r="625" spans="3:3" x14ac:dyDescent="0.25">
      <c r="C625"/>
    </row>
    <row r="626" spans="3:3" x14ac:dyDescent="0.25">
      <c r="C626"/>
    </row>
    <row r="627" spans="3:3" x14ac:dyDescent="0.25">
      <c r="C627"/>
    </row>
    <row r="628" spans="3:3" x14ac:dyDescent="0.25">
      <c r="C628"/>
    </row>
    <row r="629" spans="3:3" x14ac:dyDescent="0.25">
      <c r="C629"/>
    </row>
    <row r="630" spans="3:3" x14ac:dyDescent="0.25">
      <c r="C630"/>
    </row>
    <row r="631" spans="3:3" x14ac:dyDescent="0.25">
      <c r="C631"/>
    </row>
    <row r="632" spans="3:3" x14ac:dyDescent="0.25">
      <c r="C632"/>
    </row>
    <row r="633" spans="3:3" x14ac:dyDescent="0.25">
      <c r="C633"/>
    </row>
    <row r="634" spans="3:3" x14ac:dyDescent="0.25">
      <c r="C634"/>
    </row>
    <row r="635" spans="3:3" x14ac:dyDescent="0.25">
      <c r="C635"/>
    </row>
    <row r="636" spans="3:3" x14ac:dyDescent="0.25">
      <c r="C636"/>
    </row>
    <row r="637" spans="3:3" x14ac:dyDescent="0.25">
      <c r="C637"/>
    </row>
    <row r="638" spans="3:3" x14ac:dyDescent="0.25">
      <c r="C638"/>
    </row>
    <row r="639" spans="3:3" x14ac:dyDescent="0.25">
      <c r="C639"/>
    </row>
    <row r="640" spans="3:3" x14ac:dyDescent="0.25">
      <c r="C640"/>
    </row>
    <row r="641" spans="3:3" x14ac:dyDescent="0.25">
      <c r="C641"/>
    </row>
    <row r="642" spans="3:3" x14ac:dyDescent="0.25">
      <c r="C642"/>
    </row>
    <row r="643" spans="3:3" x14ac:dyDescent="0.25">
      <c r="C643"/>
    </row>
    <row r="644" spans="3:3" x14ac:dyDescent="0.25">
      <c r="C644"/>
    </row>
    <row r="645" spans="3:3" x14ac:dyDescent="0.25">
      <c r="C645"/>
    </row>
    <row r="646" spans="3:3" x14ac:dyDescent="0.25">
      <c r="C646"/>
    </row>
    <row r="647" spans="3:3" x14ac:dyDescent="0.25">
      <c r="C647"/>
    </row>
    <row r="648" spans="3:3" x14ac:dyDescent="0.25">
      <c r="C648"/>
    </row>
    <row r="649" spans="3:3" x14ac:dyDescent="0.25">
      <c r="C649"/>
    </row>
    <row r="650" spans="3:3" x14ac:dyDescent="0.25">
      <c r="C650"/>
    </row>
    <row r="651" spans="3:3" x14ac:dyDescent="0.25">
      <c r="C651"/>
    </row>
    <row r="652" spans="3:3" x14ac:dyDescent="0.25">
      <c r="C652"/>
    </row>
    <row r="653" spans="3:3" x14ac:dyDescent="0.25">
      <c r="C653"/>
    </row>
    <row r="654" spans="3:3" x14ac:dyDescent="0.25">
      <c r="C654"/>
    </row>
    <row r="655" spans="3:3" x14ac:dyDescent="0.25">
      <c r="C655"/>
    </row>
    <row r="656" spans="3:3" x14ac:dyDescent="0.25">
      <c r="C656"/>
    </row>
    <row r="657" spans="3:3" x14ac:dyDescent="0.25">
      <c r="C657"/>
    </row>
    <row r="658" spans="3:3" x14ac:dyDescent="0.25">
      <c r="C658"/>
    </row>
    <row r="659" spans="3:3" x14ac:dyDescent="0.25">
      <c r="C659"/>
    </row>
    <row r="660" spans="3:3" x14ac:dyDescent="0.25">
      <c r="C660"/>
    </row>
    <row r="661" spans="3:3" x14ac:dyDescent="0.25">
      <c r="C661"/>
    </row>
    <row r="662" spans="3:3" x14ac:dyDescent="0.25">
      <c r="C662"/>
    </row>
    <row r="663" spans="3:3" x14ac:dyDescent="0.25">
      <c r="C663"/>
    </row>
    <row r="664" spans="3:3" x14ac:dyDescent="0.25">
      <c r="C664"/>
    </row>
    <row r="665" spans="3:3" x14ac:dyDescent="0.25">
      <c r="C665"/>
    </row>
    <row r="666" spans="3:3" x14ac:dyDescent="0.25">
      <c r="C666"/>
    </row>
    <row r="667" spans="3:3" x14ac:dyDescent="0.25">
      <c r="C667"/>
    </row>
    <row r="668" spans="3:3" x14ac:dyDescent="0.25">
      <c r="C668"/>
    </row>
    <row r="669" spans="3:3" x14ac:dyDescent="0.25">
      <c r="C669"/>
    </row>
    <row r="670" spans="3:3" x14ac:dyDescent="0.25">
      <c r="C670"/>
    </row>
    <row r="671" spans="3:3" x14ac:dyDescent="0.25">
      <c r="C671"/>
    </row>
    <row r="672" spans="3:3" x14ac:dyDescent="0.25">
      <c r="C672"/>
    </row>
    <row r="673" spans="3:3" x14ac:dyDescent="0.25">
      <c r="C673"/>
    </row>
    <row r="674" spans="3:3" x14ac:dyDescent="0.25">
      <c r="C674"/>
    </row>
    <row r="675" spans="3:3" x14ac:dyDescent="0.25">
      <c r="C675"/>
    </row>
    <row r="676" spans="3:3" x14ac:dyDescent="0.25">
      <c r="C676"/>
    </row>
    <row r="677" spans="3:3" x14ac:dyDescent="0.25">
      <c r="C677"/>
    </row>
    <row r="678" spans="3:3" x14ac:dyDescent="0.25">
      <c r="C678"/>
    </row>
    <row r="679" spans="3:3" x14ac:dyDescent="0.25">
      <c r="C679"/>
    </row>
    <row r="680" spans="3:3" x14ac:dyDescent="0.25">
      <c r="C680"/>
    </row>
    <row r="681" spans="3:3" x14ac:dyDescent="0.25">
      <c r="C681"/>
    </row>
    <row r="682" spans="3:3" x14ac:dyDescent="0.25">
      <c r="C682"/>
    </row>
    <row r="683" spans="3:3" x14ac:dyDescent="0.25">
      <c r="C683"/>
    </row>
    <row r="684" spans="3:3" x14ac:dyDescent="0.25">
      <c r="C684"/>
    </row>
    <row r="685" spans="3:3" x14ac:dyDescent="0.25">
      <c r="C685"/>
    </row>
    <row r="686" spans="3:3" x14ac:dyDescent="0.25">
      <c r="C686"/>
    </row>
    <row r="687" spans="3:3" x14ac:dyDescent="0.25">
      <c r="C687"/>
    </row>
    <row r="688" spans="3:3" x14ac:dyDescent="0.25">
      <c r="C688"/>
    </row>
    <row r="689" spans="3:3" x14ac:dyDescent="0.25">
      <c r="C689"/>
    </row>
    <row r="690" spans="3:3" x14ac:dyDescent="0.25">
      <c r="C690"/>
    </row>
    <row r="691" spans="3:3" x14ac:dyDescent="0.25">
      <c r="C691"/>
    </row>
    <row r="692" spans="3:3" x14ac:dyDescent="0.25">
      <c r="C692"/>
    </row>
    <row r="693" spans="3:3" x14ac:dyDescent="0.25">
      <c r="C693"/>
    </row>
    <row r="694" spans="3:3" x14ac:dyDescent="0.25">
      <c r="C694"/>
    </row>
    <row r="695" spans="3:3" x14ac:dyDescent="0.25">
      <c r="C695"/>
    </row>
    <row r="696" spans="3:3" x14ac:dyDescent="0.25">
      <c r="C696"/>
    </row>
    <row r="697" spans="3:3" x14ac:dyDescent="0.25">
      <c r="C697"/>
    </row>
    <row r="698" spans="3:3" x14ac:dyDescent="0.25">
      <c r="C698"/>
    </row>
    <row r="699" spans="3:3" x14ac:dyDescent="0.25">
      <c r="C699"/>
    </row>
    <row r="700" spans="3:3" x14ac:dyDescent="0.25">
      <c r="C700"/>
    </row>
    <row r="701" spans="3:3" x14ac:dyDescent="0.25">
      <c r="C701"/>
    </row>
    <row r="702" spans="3:3" x14ac:dyDescent="0.25">
      <c r="C702"/>
    </row>
    <row r="703" spans="3:3" x14ac:dyDescent="0.25">
      <c r="C703"/>
    </row>
    <row r="704" spans="3:3" x14ac:dyDescent="0.25">
      <c r="C704"/>
    </row>
    <row r="705" spans="3:3" x14ac:dyDescent="0.25">
      <c r="C705"/>
    </row>
    <row r="706" spans="3:3" x14ac:dyDescent="0.25">
      <c r="C706"/>
    </row>
    <row r="707" spans="3:3" x14ac:dyDescent="0.25">
      <c r="C707"/>
    </row>
    <row r="708" spans="3:3" x14ac:dyDescent="0.25">
      <c r="C708"/>
    </row>
    <row r="709" spans="3:3" x14ac:dyDescent="0.25">
      <c r="C709"/>
    </row>
    <row r="710" spans="3:3" x14ac:dyDescent="0.25">
      <c r="C710"/>
    </row>
    <row r="711" spans="3:3" x14ac:dyDescent="0.25">
      <c r="C711"/>
    </row>
    <row r="712" spans="3:3" x14ac:dyDescent="0.25">
      <c r="C712"/>
    </row>
    <row r="713" spans="3:3" x14ac:dyDescent="0.25">
      <c r="C713"/>
    </row>
    <row r="714" spans="3:3" x14ac:dyDescent="0.25">
      <c r="C714"/>
    </row>
    <row r="715" spans="3:3" x14ac:dyDescent="0.25">
      <c r="C715"/>
    </row>
    <row r="716" spans="3:3" x14ac:dyDescent="0.25">
      <c r="C716"/>
    </row>
    <row r="717" spans="3:3" x14ac:dyDescent="0.25">
      <c r="C717"/>
    </row>
    <row r="718" spans="3:3" x14ac:dyDescent="0.25">
      <c r="C718"/>
    </row>
    <row r="719" spans="3:3" x14ac:dyDescent="0.25">
      <c r="C719"/>
    </row>
    <row r="720" spans="3:3" x14ac:dyDescent="0.25">
      <c r="C720"/>
    </row>
    <row r="721" spans="3:3" x14ac:dyDescent="0.25">
      <c r="C721"/>
    </row>
    <row r="722" spans="3:3" x14ac:dyDescent="0.25">
      <c r="C722"/>
    </row>
    <row r="723" spans="3:3" x14ac:dyDescent="0.25">
      <c r="C723"/>
    </row>
    <row r="724" spans="3:3" x14ac:dyDescent="0.25">
      <c r="C724"/>
    </row>
    <row r="725" spans="3:3" x14ac:dyDescent="0.25">
      <c r="C725"/>
    </row>
    <row r="726" spans="3:3" x14ac:dyDescent="0.25">
      <c r="C726"/>
    </row>
    <row r="727" spans="3:3" x14ac:dyDescent="0.25">
      <c r="C727"/>
    </row>
    <row r="728" spans="3:3" x14ac:dyDescent="0.25">
      <c r="C728"/>
    </row>
    <row r="729" spans="3:3" x14ac:dyDescent="0.25">
      <c r="C729"/>
    </row>
    <row r="730" spans="3:3" x14ac:dyDescent="0.25">
      <c r="C730"/>
    </row>
    <row r="731" spans="3:3" x14ac:dyDescent="0.25">
      <c r="C731"/>
    </row>
    <row r="732" spans="3:3" x14ac:dyDescent="0.25">
      <c r="C732"/>
    </row>
    <row r="733" spans="3:3" x14ac:dyDescent="0.25">
      <c r="C733"/>
    </row>
    <row r="734" spans="3:3" x14ac:dyDescent="0.25">
      <c r="C734"/>
    </row>
    <row r="735" spans="3:3" x14ac:dyDescent="0.25">
      <c r="C735"/>
    </row>
    <row r="736" spans="3:3" x14ac:dyDescent="0.25">
      <c r="C736"/>
    </row>
    <row r="737" spans="3:3" x14ac:dyDescent="0.25">
      <c r="C737"/>
    </row>
    <row r="738" spans="3:3" x14ac:dyDescent="0.25">
      <c r="C738"/>
    </row>
    <row r="739" spans="3:3" x14ac:dyDescent="0.25">
      <c r="C739"/>
    </row>
    <row r="740" spans="3:3" x14ac:dyDescent="0.25">
      <c r="C740"/>
    </row>
    <row r="741" spans="3:3" x14ac:dyDescent="0.25">
      <c r="C741"/>
    </row>
    <row r="742" spans="3:3" x14ac:dyDescent="0.25">
      <c r="C742"/>
    </row>
    <row r="743" spans="3:3" x14ac:dyDescent="0.25">
      <c r="C743"/>
    </row>
    <row r="744" spans="3:3" x14ac:dyDescent="0.25">
      <c r="C744"/>
    </row>
    <row r="745" spans="3:3" x14ac:dyDescent="0.25">
      <c r="C745"/>
    </row>
    <row r="746" spans="3:3" x14ac:dyDescent="0.25">
      <c r="C746"/>
    </row>
    <row r="747" spans="3:3" x14ac:dyDescent="0.25">
      <c r="C747"/>
    </row>
    <row r="748" spans="3:3" x14ac:dyDescent="0.25">
      <c r="C748"/>
    </row>
    <row r="749" spans="3:3" x14ac:dyDescent="0.25">
      <c r="C749"/>
    </row>
    <row r="750" spans="3:3" x14ac:dyDescent="0.25">
      <c r="C750"/>
    </row>
    <row r="751" spans="3:3" x14ac:dyDescent="0.25">
      <c r="C751"/>
    </row>
    <row r="752" spans="3:3" x14ac:dyDescent="0.25">
      <c r="C752"/>
    </row>
    <row r="753" spans="3:3" x14ac:dyDescent="0.25">
      <c r="C753"/>
    </row>
    <row r="754" spans="3:3" x14ac:dyDescent="0.25">
      <c r="C754"/>
    </row>
    <row r="755" spans="3:3" x14ac:dyDescent="0.25">
      <c r="C755"/>
    </row>
    <row r="756" spans="3:3" x14ac:dyDescent="0.25">
      <c r="C756"/>
    </row>
    <row r="757" spans="3:3" x14ac:dyDescent="0.25">
      <c r="C757"/>
    </row>
    <row r="758" spans="3:3" x14ac:dyDescent="0.25">
      <c r="C758"/>
    </row>
    <row r="759" spans="3:3" x14ac:dyDescent="0.25">
      <c r="C759"/>
    </row>
    <row r="760" spans="3:3" x14ac:dyDescent="0.25">
      <c r="C760"/>
    </row>
    <row r="761" spans="3:3" x14ac:dyDescent="0.25">
      <c r="C761"/>
    </row>
    <row r="762" spans="3:3" x14ac:dyDescent="0.25">
      <c r="C762"/>
    </row>
    <row r="763" spans="3:3" x14ac:dyDescent="0.25">
      <c r="C763"/>
    </row>
    <row r="764" spans="3:3" x14ac:dyDescent="0.25">
      <c r="C764"/>
    </row>
    <row r="765" spans="3:3" x14ac:dyDescent="0.25">
      <c r="C765"/>
    </row>
    <row r="766" spans="3:3" x14ac:dyDescent="0.25">
      <c r="C766"/>
    </row>
    <row r="767" spans="3:3" x14ac:dyDescent="0.25">
      <c r="C767"/>
    </row>
    <row r="768" spans="3:3" x14ac:dyDescent="0.25">
      <c r="C768"/>
    </row>
    <row r="769" spans="3:3" x14ac:dyDescent="0.25">
      <c r="C769"/>
    </row>
    <row r="770" spans="3:3" x14ac:dyDescent="0.25">
      <c r="C770"/>
    </row>
    <row r="771" spans="3:3" x14ac:dyDescent="0.25">
      <c r="C771"/>
    </row>
    <row r="772" spans="3:3" x14ac:dyDescent="0.25">
      <c r="C772"/>
    </row>
    <row r="773" spans="3:3" x14ac:dyDescent="0.25">
      <c r="C773"/>
    </row>
    <row r="774" spans="3:3" x14ac:dyDescent="0.25">
      <c r="C774"/>
    </row>
    <row r="775" spans="3:3" x14ac:dyDescent="0.25">
      <c r="C775"/>
    </row>
    <row r="776" spans="3:3" x14ac:dyDescent="0.25">
      <c r="C776"/>
    </row>
    <row r="777" spans="3:3" x14ac:dyDescent="0.25">
      <c r="C777"/>
    </row>
    <row r="778" spans="3:3" x14ac:dyDescent="0.25">
      <c r="C778"/>
    </row>
    <row r="779" spans="3:3" x14ac:dyDescent="0.25">
      <c r="C779"/>
    </row>
    <row r="780" spans="3:3" x14ac:dyDescent="0.25">
      <c r="C780"/>
    </row>
    <row r="781" spans="3:3" x14ac:dyDescent="0.25">
      <c r="C781"/>
    </row>
    <row r="782" spans="3:3" x14ac:dyDescent="0.25">
      <c r="C782"/>
    </row>
    <row r="783" spans="3:3" x14ac:dyDescent="0.25">
      <c r="C783"/>
    </row>
    <row r="784" spans="3:3" x14ac:dyDescent="0.25">
      <c r="C784"/>
    </row>
    <row r="785" spans="3:3" x14ac:dyDescent="0.25">
      <c r="C785"/>
    </row>
    <row r="786" spans="3:3" x14ac:dyDescent="0.25">
      <c r="C786"/>
    </row>
    <row r="787" spans="3:3" x14ac:dyDescent="0.25">
      <c r="C787"/>
    </row>
    <row r="788" spans="3:3" x14ac:dyDescent="0.25">
      <c r="C788"/>
    </row>
    <row r="789" spans="3:3" x14ac:dyDescent="0.25">
      <c r="C789"/>
    </row>
    <row r="790" spans="3:3" x14ac:dyDescent="0.25">
      <c r="C790"/>
    </row>
    <row r="791" spans="3:3" x14ac:dyDescent="0.25">
      <c r="C791"/>
    </row>
    <row r="792" spans="3:3" x14ac:dyDescent="0.25">
      <c r="C792"/>
    </row>
    <row r="793" spans="3:3" x14ac:dyDescent="0.25">
      <c r="C793"/>
    </row>
    <row r="794" spans="3:3" x14ac:dyDescent="0.25">
      <c r="C794"/>
    </row>
    <row r="795" spans="3:3" x14ac:dyDescent="0.25">
      <c r="C795"/>
    </row>
    <row r="796" spans="3:3" x14ac:dyDescent="0.25">
      <c r="C796"/>
    </row>
    <row r="797" spans="3:3" x14ac:dyDescent="0.25">
      <c r="C797"/>
    </row>
    <row r="798" spans="3:3" x14ac:dyDescent="0.25">
      <c r="C798"/>
    </row>
    <row r="799" spans="3:3" x14ac:dyDescent="0.25">
      <c r="C799"/>
    </row>
    <row r="800" spans="3:3" x14ac:dyDescent="0.25">
      <c r="C800"/>
    </row>
    <row r="801" spans="3:3" x14ac:dyDescent="0.25">
      <c r="C801"/>
    </row>
    <row r="802" spans="3:3" x14ac:dyDescent="0.25">
      <c r="C802"/>
    </row>
    <row r="803" spans="3:3" x14ac:dyDescent="0.25">
      <c r="C803"/>
    </row>
    <row r="804" spans="3:3" x14ac:dyDescent="0.25">
      <c r="C804"/>
    </row>
    <row r="805" spans="3:3" x14ac:dyDescent="0.25">
      <c r="C805"/>
    </row>
    <row r="806" spans="3:3" x14ac:dyDescent="0.25">
      <c r="C806"/>
    </row>
    <row r="807" spans="3:3" x14ac:dyDescent="0.25">
      <c r="C807"/>
    </row>
    <row r="808" spans="3:3" x14ac:dyDescent="0.25">
      <c r="C808"/>
    </row>
    <row r="809" spans="3:3" x14ac:dyDescent="0.25">
      <c r="C809"/>
    </row>
    <row r="810" spans="3:3" x14ac:dyDescent="0.25">
      <c r="C810"/>
    </row>
    <row r="811" spans="3:3" x14ac:dyDescent="0.25">
      <c r="C811"/>
    </row>
    <row r="812" spans="3:3" x14ac:dyDescent="0.25">
      <c r="C812"/>
    </row>
    <row r="813" spans="3:3" x14ac:dyDescent="0.25">
      <c r="C813"/>
    </row>
    <row r="814" spans="3:3" x14ac:dyDescent="0.25">
      <c r="C814"/>
    </row>
    <row r="815" spans="3:3" x14ac:dyDescent="0.25">
      <c r="C815"/>
    </row>
    <row r="816" spans="3:3" x14ac:dyDescent="0.25">
      <c r="C816"/>
    </row>
    <row r="817" spans="3:3" x14ac:dyDescent="0.25">
      <c r="C817"/>
    </row>
    <row r="818" spans="3:3" x14ac:dyDescent="0.25">
      <c r="C818"/>
    </row>
    <row r="819" spans="3:3" x14ac:dyDescent="0.25">
      <c r="C819"/>
    </row>
    <row r="820" spans="3:3" x14ac:dyDescent="0.25">
      <c r="C820"/>
    </row>
    <row r="821" spans="3:3" x14ac:dyDescent="0.25">
      <c r="C821"/>
    </row>
    <row r="822" spans="3:3" x14ac:dyDescent="0.25">
      <c r="C822"/>
    </row>
    <row r="823" spans="3:3" x14ac:dyDescent="0.25">
      <c r="C823"/>
    </row>
    <row r="824" spans="3:3" x14ac:dyDescent="0.25">
      <c r="C824"/>
    </row>
    <row r="825" spans="3:3" x14ac:dyDescent="0.25">
      <c r="C825"/>
    </row>
    <row r="826" spans="3:3" x14ac:dyDescent="0.25">
      <c r="C826"/>
    </row>
    <row r="827" spans="3:3" x14ac:dyDescent="0.25">
      <c r="C827"/>
    </row>
    <row r="828" spans="3:3" x14ac:dyDescent="0.25">
      <c r="C828"/>
    </row>
    <row r="829" spans="3:3" x14ac:dyDescent="0.25">
      <c r="C829"/>
    </row>
    <row r="830" spans="3:3" x14ac:dyDescent="0.25">
      <c r="C830"/>
    </row>
    <row r="831" spans="3:3" x14ac:dyDescent="0.25">
      <c r="C831"/>
    </row>
    <row r="832" spans="3:3" x14ac:dyDescent="0.25">
      <c r="C832"/>
    </row>
    <row r="833" spans="3:3" x14ac:dyDescent="0.25">
      <c r="C833"/>
    </row>
    <row r="834" spans="3:3" x14ac:dyDescent="0.25">
      <c r="C834"/>
    </row>
    <row r="835" spans="3:3" x14ac:dyDescent="0.25">
      <c r="C835"/>
    </row>
    <row r="836" spans="3:3" x14ac:dyDescent="0.25">
      <c r="C836"/>
    </row>
    <row r="837" spans="3:3" x14ac:dyDescent="0.25">
      <c r="C837"/>
    </row>
    <row r="838" spans="3:3" x14ac:dyDescent="0.25">
      <c r="C838"/>
    </row>
    <row r="839" spans="3:3" x14ac:dyDescent="0.25">
      <c r="C839"/>
    </row>
    <row r="840" spans="3:3" x14ac:dyDescent="0.25">
      <c r="C840"/>
    </row>
    <row r="841" spans="3:3" x14ac:dyDescent="0.25">
      <c r="C841"/>
    </row>
    <row r="842" spans="3:3" x14ac:dyDescent="0.25">
      <c r="C842"/>
    </row>
    <row r="843" spans="3:3" x14ac:dyDescent="0.25">
      <c r="C843"/>
    </row>
    <row r="844" spans="3:3" x14ac:dyDescent="0.25">
      <c r="C844"/>
    </row>
    <row r="845" spans="3:3" x14ac:dyDescent="0.25">
      <c r="C845"/>
    </row>
    <row r="846" spans="3:3" x14ac:dyDescent="0.25">
      <c r="C846"/>
    </row>
    <row r="847" spans="3:3" x14ac:dyDescent="0.25">
      <c r="C847"/>
    </row>
    <row r="848" spans="3:3" x14ac:dyDescent="0.25">
      <c r="C848"/>
    </row>
    <row r="849" spans="3:3" x14ac:dyDescent="0.25">
      <c r="C849"/>
    </row>
    <row r="850" spans="3:3" x14ac:dyDescent="0.25">
      <c r="C850"/>
    </row>
    <row r="851" spans="3:3" x14ac:dyDescent="0.25">
      <c r="C851"/>
    </row>
    <row r="852" spans="3:3" x14ac:dyDescent="0.25">
      <c r="C852"/>
    </row>
    <row r="853" spans="3:3" x14ac:dyDescent="0.25">
      <c r="C853"/>
    </row>
    <row r="854" spans="3:3" x14ac:dyDescent="0.25">
      <c r="C854"/>
    </row>
    <row r="855" spans="3:3" x14ac:dyDescent="0.25">
      <c r="C855"/>
    </row>
    <row r="856" spans="3:3" x14ac:dyDescent="0.25">
      <c r="C856"/>
    </row>
    <row r="857" spans="3:3" x14ac:dyDescent="0.25">
      <c r="C857"/>
    </row>
    <row r="858" spans="3:3" x14ac:dyDescent="0.25">
      <c r="C858"/>
    </row>
    <row r="859" spans="3:3" x14ac:dyDescent="0.25">
      <c r="C859"/>
    </row>
    <row r="860" spans="3:3" x14ac:dyDescent="0.25">
      <c r="C860"/>
    </row>
    <row r="861" spans="3:3" x14ac:dyDescent="0.25">
      <c r="C861"/>
    </row>
    <row r="862" spans="3:3" x14ac:dyDescent="0.25">
      <c r="C862"/>
    </row>
    <row r="863" spans="3:3" x14ac:dyDescent="0.25">
      <c r="C863"/>
    </row>
    <row r="864" spans="3:3" x14ac:dyDescent="0.25">
      <c r="C864"/>
    </row>
    <row r="865" spans="3:3" x14ac:dyDescent="0.25">
      <c r="C865"/>
    </row>
    <row r="866" spans="3:3" x14ac:dyDescent="0.25">
      <c r="C866"/>
    </row>
    <row r="867" spans="3:3" x14ac:dyDescent="0.25">
      <c r="C867"/>
    </row>
    <row r="868" spans="3:3" x14ac:dyDescent="0.25">
      <c r="C868"/>
    </row>
    <row r="869" spans="3:3" x14ac:dyDescent="0.25">
      <c r="C869"/>
    </row>
    <row r="870" spans="3:3" x14ac:dyDescent="0.25">
      <c r="C870"/>
    </row>
    <row r="871" spans="3:3" x14ac:dyDescent="0.25">
      <c r="C871"/>
    </row>
    <row r="872" spans="3:3" x14ac:dyDescent="0.25">
      <c r="C872"/>
    </row>
    <row r="873" spans="3:3" x14ac:dyDescent="0.25">
      <c r="C873"/>
    </row>
    <row r="874" spans="3:3" x14ac:dyDescent="0.25">
      <c r="C874"/>
    </row>
    <row r="875" spans="3:3" x14ac:dyDescent="0.25">
      <c r="C875"/>
    </row>
    <row r="876" spans="3:3" x14ac:dyDescent="0.25">
      <c r="C876"/>
    </row>
    <row r="877" spans="3:3" x14ac:dyDescent="0.25">
      <c r="C877"/>
    </row>
    <row r="878" spans="3:3" x14ac:dyDescent="0.25">
      <c r="C878"/>
    </row>
    <row r="879" spans="3:3" x14ac:dyDescent="0.25">
      <c r="C879"/>
    </row>
    <row r="880" spans="3:3" x14ac:dyDescent="0.25">
      <c r="C880"/>
    </row>
    <row r="881" spans="3:3" x14ac:dyDescent="0.25">
      <c r="C881"/>
    </row>
    <row r="882" spans="3:3" x14ac:dyDescent="0.25">
      <c r="C882"/>
    </row>
    <row r="883" spans="3:3" x14ac:dyDescent="0.25">
      <c r="C883"/>
    </row>
    <row r="884" spans="3:3" x14ac:dyDescent="0.25">
      <c r="C884"/>
    </row>
    <row r="885" spans="3:3" x14ac:dyDescent="0.25">
      <c r="C885"/>
    </row>
    <row r="886" spans="3:3" x14ac:dyDescent="0.25">
      <c r="C886"/>
    </row>
    <row r="887" spans="3:3" x14ac:dyDescent="0.25">
      <c r="C887"/>
    </row>
    <row r="888" spans="3:3" x14ac:dyDescent="0.25">
      <c r="C888"/>
    </row>
    <row r="889" spans="3:3" x14ac:dyDescent="0.25">
      <c r="C889"/>
    </row>
    <row r="890" spans="3:3" x14ac:dyDescent="0.25">
      <c r="C890"/>
    </row>
    <row r="891" spans="3:3" x14ac:dyDescent="0.25">
      <c r="C891"/>
    </row>
    <row r="892" spans="3:3" x14ac:dyDescent="0.25">
      <c r="C892"/>
    </row>
    <row r="893" spans="3:3" x14ac:dyDescent="0.25">
      <c r="C893"/>
    </row>
    <row r="894" spans="3:3" x14ac:dyDescent="0.25">
      <c r="C894"/>
    </row>
    <row r="895" spans="3:3" x14ac:dyDescent="0.25">
      <c r="C895"/>
    </row>
    <row r="896" spans="3:3" x14ac:dyDescent="0.25">
      <c r="C896"/>
    </row>
    <row r="897" spans="3:3" x14ac:dyDescent="0.25">
      <c r="C897"/>
    </row>
    <row r="898" spans="3:3" x14ac:dyDescent="0.25">
      <c r="C898"/>
    </row>
    <row r="899" spans="3:3" x14ac:dyDescent="0.25">
      <c r="C899"/>
    </row>
    <row r="900" spans="3:3" x14ac:dyDescent="0.25">
      <c r="C900"/>
    </row>
    <row r="901" spans="3:3" x14ac:dyDescent="0.25">
      <c r="C901"/>
    </row>
    <row r="902" spans="3:3" x14ac:dyDescent="0.25">
      <c r="C902"/>
    </row>
    <row r="903" spans="3:3" x14ac:dyDescent="0.25">
      <c r="C903"/>
    </row>
    <row r="904" spans="3:3" x14ac:dyDescent="0.25">
      <c r="C904"/>
    </row>
    <row r="905" spans="3:3" x14ac:dyDescent="0.25">
      <c r="C905"/>
    </row>
    <row r="906" spans="3:3" x14ac:dyDescent="0.25">
      <c r="C906"/>
    </row>
    <row r="907" spans="3:3" x14ac:dyDescent="0.25">
      <c r="C907"/>
    </row>
    <row r="908" spans="3:3" x14ac:dyDescent="0.25">
      <c r="C908"/>
    </row>
    <row r="909" spans="3:3" x14ac:dyDescent="0.25">
      <c r="C909"/>
    </row>
    <row r="910" spans="3:3" x14ac:dyDescent="0.25">
      <c r="C910"/>
    </row>
    <row r="911" spans="3:3" x14ac:dyDescent="0.25">
      <c r="C911"/>
    </row>
    <row r="912" spans="3:3" x14ac:dyDescent="0.25">
      <c r="C912"/>
    </row>
    <row r="913" spans="3:3" x14ac:dyDescent="0.25">
      <c r="C913"/>
    </row>
    <row r="914" spans="3:3" x14ac:dyDescent="0.25">
      <c r="C914"/>
    </row>
    <row r="915" spans="3:3" x14ac:dyDescent="0.25">
      <c r="C915"/>
    </row>
    <row r="916" spans="3:3" x14ac:dyDescent="0.25">
      <c r="C916"/>
    </row>
    <row r="917" spans="3:3" x14ac:dyDescent="0.25">
      <c r="C917"/>
    </row>
    <row r="918" spans="3:3" x14ac:dyDescent="0.25">
      <c r="C918"/>
    </row>
    <row r="919" spans="3:3" x14ac:dyDescent="0.25">
      <c r="C919"/>
    </row>
    <row r="920" spans="3:3" x14ac:dyDescent="0.25">
      <c r="C920"/>
    </row>
    <row r="921" spans="3:3" x14ac:dyDescent="0.25">
      <c r="C921"/>
    </row>
    <row r="922" spans="3:3" x14ac:dyDescent="0.25">
      <c r="C922"/>
    </row>
    <row r="923" spans="3:3" x14ac:dyDescent="0.25">
      <c r="C923"/>
    </row>
    <row r="924" spans="3:3" x14ac:dyDescent="0.25">
      <c r="C924"/>
    </row>
    <row r="925" spans="3:3" x14ac:dyDescent="0.25">
      <c r="C925"/>
    </row>
    <row r="926" spans="3:3" x14ac:dyDescent="0.25">
      <c r="C926"/>
    </row>
    <row r="927" spans="3:3" x14ac:dyDescent="0.25">
      <c r="C927"/>
    </row>
    <row r="928" spans="3:3" x14ac:dyDescent="0.25">
      <c r="C928"/>
    </row>
    <row r="929" spans="3:3" x14ac:dyDescent="0.25">
      <c r="C929"/>
    </row>
    <row r="930" spans="3:3" x14ac:dyDescent="0.25">
      <c r="C930"/>
    </row>
    <row r="931" spans="3:3" x14ac:dyDescent="0.25">
      <c r="C931"/>
    </row>
    <row r="932" spans="3:3" x14ac:dyDescent="0.25">
      <c r="C932"/>
    </row>
    <row r="933" spans="3:3" x14ac:dyDescent="0.25">
      <c r="C933"/>
    </row>
    <row r="934" spans="3:3" x14ac:dyDescent="0.25">
      <c r="C934"/>
    </row>
    <row r="935" spans="3:3" x14ac:dyDescent="0.25">
      <c r="C935"/>
    </row>
    <row r="936" spans="3:3" x14ac:dyDescent="0.25">
      <c r="C936"/>
    </row>
    <row r="937" spans="3:3" x14ac:dyDescent="0.25">
      <c r="C937"/>
    </row>
    <row r="938" spans="3:3" x14ac:dyDescent="0.25">
      <c r="C938"/>
    </row>
    <row r="939" spans="3:3" x14ac:dyDescent="0.25">
      <c r="C939"/>
    </row>
    <row r="940" spans="3:3" x14ac:dyDescent="0.25">
      <c r="C940"/>
    </row>
    <row r="941" spans="3:3" x14ac:dyDescent="0.25">
      <c r="C941"/>
    </row>
    <row r="942" spans="3:3" x14ac:dyDescent="0.25">
      <c r="C942"/>
    </row>
    <row r="943" spans="3:3" x14ac:dyDescent="0.25">
      <c r="C943"/>
    </row>
    <row r="944" spans="3:3" x14ac:dyDescent="0.25">
      <c r="C944"/>
    </row>
    <row r="945" spans="3:3" x14ac:dyDescent="0.25">
      <c r="C945"/>
    </row>
    <row r="946" spans="3:3" x14ac:dyDescent="0.25">
      <c r="C946"/>
    </row>
    <row r="947" spans="3:3" x14ac:dyDescent="0.25">
      <c r="C947"/>
    </row>
    <row r="948" spans="3:3" x14ac:dyDescent="0.25">
      <c r="C948"/>
    </row>
    <row r="949" spans="3:3" x14ac:dyDescent="0.25">
      <c r="C949"/>
    </row>
    <row r="950" spans="3:3" x14ac:dyDescent="0.25">
      <c r="C950"/>
    </row>
    <row r="951" spans="3:3" x14ac:dyDescent="0.25">
      <c r="C951"/>
    </row>
    <row r="952" spans="3:3" x14ac:dyDescent="0.25">
      <c r="C952"/>
    </row>
    <row r="953" spans="3:3" x14ac:dyDescent="0.25">
      <c r="C953"/>
    </row>
    <row r="954" spans="3:3" x14ac:dyDescent="0.25">
      <c r="C954"/>
    </row>
    <row r="955" spans="3:3" x14ac:dyDescent="0.25">
      <c r="C955"/>
    </row>
    <row r="956" spans="3:3" x14ac:dyDescent="0.25">
      <c r="C956"/>
    </row>
    <row r="957" spans="3:3" x14ac:dyDescent="0.25">
      <c r="C957"/>
    </row>
    <row r="958" spans="3:3" x14ac:dyDescent="0.25">
      <c r="C958"/>
    </row>
    <row r="959" spans="3:3" x14ac:dyDescent="0.25">
      <c r="C959"/>
    </row>
    <row r="960" spans="3:3" x14ac:dyDescent="0.25">
      <c r="C960"/>
    </row>
    <row r="961" spans="3:3" x14ac:dyDescent="0.25">
      <c r="C961"/>
    </row>
    <row r="962" spans="3:3" x14ac:dyDescent="0.25">
      <c r="C962"/>
    </row>
    <row r="963" spans="3:3" x14ac:dyDescent="0.25">
      <c r="C963"/>
    </row>
    <row r="964" spans="3:3" x14ac:dyDescent="0.25">
      <c r="C964"/>
    </row>
    <row r="965" spans="3:3" x14ac:dyDescent="0.25">
      <c r="C965"/>
    </row>
    <row r="966" spans="3:3" x14ac:dyDescent="0.25">
      <c r="C966"/>
    </row>
    <row r="967" spans="3:3" x14ac:dyDescent="0.25">
      <c r="C967"/>
    </row>
    <row r="968" spans="3:3" x14ac:dyDescent="0.25">
      <c r="C968"/>
    </row>
    <row r="969" spans="3:3" x14ac:dyDescent="0.25">
      <c r="C969"/>
    </row>
    <row r="970" spans="3:3" x14ac:dyDescent="0.25">
      <c r="C970"/>
    </row>
    <row r="971" spans="3:3" x14ac:dyDescent="0.25">
      <c r="C971"/>
    </row>
    <row r="972" spans="3:3" x14ac:dyDescent="0.25">
      <c r="C972"/>
    </row>
    <row r="973" spans="3:3" x14ac:dyDescent="0.25">
      <c r="C973"/>
    </row>
    <row r="974" spans="3:3" x14ac:dyDescent="0.25">
      <c r="C974"/>
    </row>
    <row r="975" spans="3:3" x14ac:dyDescent="0.25">
      <c r="C975"/>
    </row>
    <row r="976" spans="3:3" x14ac:dyDescent="0.25">
      <c r="C976"/>
    </row>
    <row r="977" spans="3:3" x14ac:dyDescent="0.25">
      <c r="C977"/>
    </row>
    <row r="978" spans="3:3" x14ac:dyDescent="0.25">
      <c r="C978"/>
    </row>
    <row r="979" spans="3:3" x14ac:dyDescent="0.25">
      <c r="C979"/>
    </row>
    <row r="980" spans="3:3" x14ac:dyDescent="0.25">
      <c r="C980"/>
    </row>
    <row r="981" spans="3:3" x14ac:dyDescent="0.25">
      <c r="C981"/>
    </row>
    <row r="982" spans="3:3" x14ac:dyDescent="0.25">
      <c r="C982"/>
    </row>
    <row r="983" spans="3:3" x14ac:dyDescent="0.25">
      <c r="C983"/>
    </row>
    <row r="984" spans="3:3" x14ac:dyDescent="0.25">
      <c r="C984"/>
    </row>
    <row r="985" spans="3:3" x14ac:dyDescent="0.25">
      <c r="C985"/>
    </row>
    <row r="986" spans="3:3" x14ac:dyDescent="0.25">
      <c r="C986"/>
    </row>
    <row r="987" spans="3:3" x14ac:dyDescent="0.25">
      <c r="C987"/>
    </row>
    <row r="988" spans="3:3" x14ac:dyDescent="0.25">
      <c r="C988"/>
    </row>
    <row r="989" spans="3:3" x14ac:dyDescent="0.25">
      <c r="C989"/>
    </row>
    <row r="990" spans="3:3" x14ac:dyDescent="0.25">
      <c r="C990"/>
    </row>
    <row r="991" spans="3:3" x14ac:dyDescent="0.25">
      <c r="C991"/>
    </row>
    <row r="992" spans="3:3" x14ac:dyDescent="0.25">
      <c r="C992"/>
    </row>
    <row r="993" spans="3:3" x14ac:dyDescent="0.25">
      <c r="C993"/>
    </row>
    <row r="994" spans="3:3" x14ac:dyDescent="0.25">
      <c r="C994"/>
    </row>
    <row r="995" spans="3:3" x14ac:dyDescent="0.25">
      <c r="C995"/>
    </row>
    <row r="996" spans="3:3" x14ac:dyDescent="0.25">
      <c r="C996"/>
    </row>
    <row r="997" spans="3:3" x14ac:dyDescent="0.25">
      <c r="C997"/>
    </row>
    <row r="998" spans="3:3" x14ac:dyDescent="0.25">
      <c r="C998"/>
    </row>
    <row r="999" spans="3:3" x14ac:dyDescent="0.25">
      <c r="C999"/>
    </row>
    <row r="1000" spans="3:3" x14ac:dyDescent="0.25">
      <c r="C1000"/>
    </row>
    <row r="1001" spans="3:3" x14ac:dyDescent="0.25">
      <c r="C1001"/>
    </row>
    <row r="1002" spans="3:3" x14ac:dyDescent="0.25">
      <c r="C1002"/>
    </row>
    <row r="1003" spans="3:3" x14ac:dyDescent="0.25">
      <c r="C1003"/>
    </row>
    <row r="1004" spans="3:3" x14ac:dyDescent="0.25">
      <c r="C1004"/>
    </row>
    <row r="1005" spans="3:3" x14ac:dyDescent="0.25">
      <c r="C1005"/>
    </row>
    <row r="1006" spans="3:3" x14ac:dyDescent="0.25">
      <c r="C1006"/>
    </row>
    <row r="1007" spans="3:3" x14ac:dyDescent="0.25">
      <c r="C1007"/>
    </row>
    <row r="1008" spans="3:3" x14ac:dyDescent="0.25">
      <c r="C1008"/>
    </row>
    <row r="1009" spans="3:3" x14ac:dyDescent="0.25">
      <c r="C1009"/>
    </row>
    <row r="1010" spans="3:3" x14ac:dyDescent="0.25">
      <c r="C1010"/>
    </row>
    <row r="1011" spans="3:3" x14ac:dyDescent="0.25">
      <c r="C1011"/>
    </row>
    <row r="1012" spans="3:3" x14ac:dyDescent="0.25">
      <c r="C1012"/>
    </row>
    <row r="1013" spans="3:3" x14ac:dyDescent="0.25">
      <c r="C1013"/>
    </row>
    <row r="1014" spans="3:3" x14ac:dyDescent="0.25">
      <c r="C1014"/>
    </row>
    <row r="1015" spans="3:3" x14ac:dyDescent="0.25">
      <c r="C1015"/>
    </row>
    <row r="1016" spans="3:3" x14ac:dyDescent="0.25">
      <c r="C1016"/>
    </row>
    <row r="1017" spans="3:3" x14ac:dyDescent="0.25">
      <c r="C1017"/>
    </row>
    <row r="1018" spans="3:3" x14ac:dyDescent="0.25">
      <c r="C1018"/>
    </row>
    <row r="1019" spans="3:3" x14ac:dyDescent="0.25">
      <c r="C1019"/>
    </row>
    <row r="1020" spans="3:3" x14ac:dyDescent="0.25">
      <c r="C1020"/>
    </row>
    <row r="1021" spans="3:3" x14ac:dyDescent="0.25">
      <c r="C1021"/>
    </row>
    <row r="1022" spans="3:3" x14ac:dyDescent="0.25">
      <c r="C1022"/>
    </row>
    <row r="1023" spans="3:3" x14ac:dyDescent="0.25">
      <c r="C1023"/>
    </row>
    <row r="1024" spans="3:3" x14ac:dyDescent="0.25">
      <c r="C1024"/>
    </row>
    <row r="1025" spans="3:3" x14ac:dyDescent="0.25">
      <c r="C1025"/>
    </row>
    <row r="1026" spans="3:3" x14ac:dyDescent="0.25">
      <c r="C1026"/>
    </row>
    <row r="1027" spans="3:3" x14ac:dyDescent="0.25">
      <c r="C1027"/>
    </row>
    <row r="1028" spans="3:3" x14ac:dyDescent="0.25">
      <c r="C1028"/>
    </row>
    <row r="1029" spans="3:3" x14ac:dyDescent="0.25">
      <c r="C1029"/>
    </row>
    <row r="1030" spans="3:3" x14ac:dyDescent="0.25">
      <c r="C1030"/>
    </row>
    <row r="1031" spans="3:3" x14ac:dyDescent="0.25">
      <c r="C1031"/>
    </row>
    <row r="1032" spans="3:3" x14ac:dyDescent="0.25">
      <c r="C1032"/>
    </row>
    <row r="1033" spans="3:3" x14ac:dyDescent="0.25">
      <c r="C1033"/>
    </row>
    <row r="1034" spans="3:3" x14ac:dyDescent="0.25">
      <c r="C1034"/>
    </row>
    <row r="1035" spans="3:3" x14ac:dyDescent="0.25">
      <c r="C1035"/>
    </row>
    <row r="1036" spans="3:3" x14ac:dyDescent="0.25">
      <c r="C1036"/>
    </row>
    <row r="1037" spans="3:3" x14ac:dyDescent="0.25">
      <c r="C1037"/>
    </row>
    <row r="1038" spans="3:3" x14ac:dyDescent="0.25">
      <c r="C1038"/>
    </row>
    <row r="1039" spans="3:3" x14ac:dyDescent="0.25">
      <c r="C1039"/>
    </row>
    <row r="1040" spans="3:3" x14ac:dyDescent="0.25">
      <c r="C1040"/>
    </row>
    <row r="1041" spans="3:3" x14ac:dyDescent="0.25">
      <c r="C1041"/>
    </row>
    <row r="1042" spans="3:3" x14ac:dyDescent="0.25">
      <c r="C1042"/>
    </row>
    <row r="1043" spans="3:3" x14ac:dyDescent="0.25">
      <c r="C1043"/>
    </row>
    <row r="1044" spans="3:3" x14ac:dyDescent="0.25">
      <c r="C1044"/>
    </row>
    <row r="1045" spans="3:3" x14ac:dyDescent="0.25">
      <c r="C1045"/>
    </row>
    <row r="1046" spans="3:3" x14ac:dyDescent="0.25">
      <c r="C1046"/>
    </row>
    <row r="1047" spans="3:3" x14ac:dyDescent="0.25">
      <c r="C1047"/>
    </row>
    <row r="1048" spans="3:3" x14ac:dyDescent="0.25">
      <c r="C1048"/>
    </row>
    <row r="1049" spans="3:3" x14ac:dyDescent="0.25">
      <c r="C1049"/>
    </row>
    <row r="1050" spans="3:3" x14ac:dyDescent="0.25">
      <c r="C1050"/>
    </row>
    <row r="1051" spans="3:3" x14ac:dyDescent="0.25">
      <c r="C1051"/>
    </row>
    <row r="1052" spans="3:3" x14ac:dyDescent="0.25">
      <c r="C1052"/>
    </row>
    <row r="1053" spans="3:3" x14ac:dyDescent="0.25">
      <c r="C1053"/>
    </row>
    <row r="1054" spans="3:3" x14ac:dyDescent="0.25">
      <c r="C1054"/>
    </row>
    <row r="1055" spans="3:3" x14ac:dyDescent="0.25">
      <c r="C1055"/>
    </row>
    <row r="1056" spans="3:3" x14ac:dyDescent="0.25">
      <c r="C1056"/>
    </row>
    <row r="1057" spans="3:3" x14ac:dyDescent="0.25">
      <c r="C1057"/>
    </row>
    <row r="1058" spans="3:3" x14ac:dyDescent="0.25">
      <c r="C1058"/>
    </row>
    <row r="1059" spans="3:3" x14ac:dyDescent="0.25">
      <c r="C1059"/>
    </row>
    <row r="1060" spans="3:3" x14ac:dyDescent="0.25">
      <c r="C1060"/>
    </row>
    <row r="1061" spans="3:3" x14ac:dyDescent="0.25">
      <c r="C1061"/>
    </row>
    <row r="1062" spans="3:3" x14ac:dyDescent="0.25">
      <c r="C1062"/>
    </row>
    <row r="1063" spans="3:3" x14ac:dyDescent="0.25">
      <c r="C1063"/>
    </row>
    <row r="1064" spans="3:3" x14ac:dyDescent="0.25">
      <c r="C1064"/>
    </row>
    <row r="1065" spans="3:3" x14ac:dyDescent="0.25">
      <c r="C1065"/>
    </row>
    <row r="1066" spans="3:3" x14ac:dyDescent="0.25">
      <c r="C1066"/>
    </row>
    <row r="1067" spans="3:3" x14ac:dyDescent="0.25">
      <c r="C1067"/>
    </row>
    <row r="1068" spans="3:3" x14ac:dyDescent="0.25">
      <c r="C1068"/>
    </row>
    <row r="1069" spans="3:3" x14ac:dyDescent="0.25">
      <c r="C1069"/>
    </row>
    <row r="1070" spans="3:3" x14ac:dyDescent="0.25">
      <c r="C1070"/>
    </row>
    <row r="1071" spans="3:3" x14ac:dyDescent="0.25">
      <c r="C1071"/>
    </row>
    <row r="1072" spans="3:3" x14ac:dyDescent="0.25">
      <c r="C1072"/>
    </row>
    <row r="1073" spans="3:3" x14ac:dyDescent="0.25">
      <c r="C1073"/>
    </row>
    <row r="1074" spans="3:3" x14ac:dyDescent="0.25">
      <c r="C1074"/>
    </row>
    <row r="1075" spans="3:3" x14ac:dyDescent="0.25">
      <c r="C1075"/>
    </row>
    <row r="1076" spans="3:3" x14ac:dyDescent="0.25">
      <c r="C1076"/>
    </row>
    <row r="1077" spans="3:3" x14ac:dyDescent="0.25">
      <c r="C1077"/>
    </row>
    <row r="1078" spans="3:3" x14ac:dyDescent="0.25">
      <c r="C1078"/>
    </row>
    <row r="1079" spans="3:3" x14ac:dyDescent="0.25">
      <c r="C1079"/>
    </row>
    <row r="1080" spans="3:3" x14ac:dyDescent="0.25">
      <c r="C1080"/>
    </row>
    <row r="1081" spans="3:3" x14ac:dyDescent="0.25">
      <c r="C1081"/>
    </row>
    <row r="1082" spans="3:3" x14ac:dyDescent="0.25">
      <c r="C1082"/>
    </row>
    <row r="1083" spans="3:3" x14ac:dyDescent="0.25">
      <c r="C1083"/>
    </row>
    <row r="1084" spans="3:3" x14ac:dyDescent="0.25">
      <c r="C1084"/>
    </row>
    <row r="1085" spans="3:3" x14ac:dyDescent="0.25">
      <c r="C1085"/>
    </row>
    <row r="1086" spans="3:3" x14ac:dyDescent="0.25">
      <c r="C1086"/>
    </row>
    <row r="1087" spans="3:3" x14ac:dyDescent="0.25">
      <c r="C1087"/>
    </row>
    <row r="1088" spans="3:3" x14ac:dyDescent="0.25">
      <c r="C1088"/>
    </row>
    <row r="1089" spans="3:3" x14ac:dyDescent="0.25">
      <c r="C1089"/>
    </row>
    <row r="1090" spans="3:3" x14ac:dyDescent="0.25">
      <c r="C1090"/>
    </row>
    <row r="1091" spans="3:3" x14ac:dyDescent="0.25">
      <c r="C1091"/>
    </row>
    <row r="1092" spans="3:3" x14ac:dyDescent="0.25">
      <c r="C1092"/>
    </row>
    <row r="1093" spans="3:3" x14ac:dyDescent="0.25">
      <c r="C1093"/>
    </row>
    <row r="1094" spans="3:3" x14ac:dyDescent="0.25">
      <c r="C1094"/>
    </row>
    <row r="1095" spans="3:3" x14ac:dyDescent="0.25">
      <c r="C1095"/>
    </row>
    <row r="1096" spans="3:3" x14ac:dyDescent="0.25">
      <c r="C1096"/>
    </row>
    <row r="1097" spans="3:3" x14ac:dyDescent="0.25">
      <c r="C1097"/>
    </row>
    <row r="1098" spans="3:3" x14ac:dyDescent="0.25">
      <c r="C1098"/>
    </row>
    <row r="1099" spans="3:3" x14ac:dyDescent="0.25">
      <c r="C1099"/>
    </row>
    <row r="1100" spans="3:3" x14ac:dyDescent="0.25">
      <c r="C1100"/>
    </row>
    <row r="1101" spans="3:3" x14ac:dyDescent="0.25">
      <c r="C1101"/>
    </row>
    <row r="1102" spans="3:3" x14ac:dyDescent="0.25">
      <c r="C1102"/>
    </row>
    <row r="1103" spans="3:3" x14ac:dyDescent="0.25">
      <c r="C1103"/>
    </row>
    <row r="1104" spans="3:3" x14ac:dyDescent="0.25">
      <c r="C1104"/>
    </row>
    <row r="1105" spans="3:3" x14ac:dyDescent="0.25">
      <c r="C1105"/>
    </row>
    <row r="1106" spans="3:3" x14ac:dyDescent="0.25">
      <c r="C1106"/>
    </row>
    <row r="1107" spans="3:3" x14ac:dyDescent="0.25">
      <c r="C1107"/>
    </row>
    <row r="1108" spans="3:3" x14ac:dyDescent="0.25">
      <c r="C1108"/>
    </row>
    <row r="1109" spans="3:3" x14ac:dyDescent="0.25">
      <c r="C1109"/>
    </row>
    <row r="1110" spans="3:3" x14ac:dyDescent="0.25">
      <c r="C1110"/>
    </row>
    <row r="1111" spans="3:3" x14ac:dyDescent="0.25">
      <c r="C1111"/>
    </row>
    <row r="1112" spans="3:3" x14ac:dyDescent="0.25">
      <c r="C1112"/>
    </row>
    <row r="1113" spans="3:3" x14ac:dyDescent="0.25">
      <c r="C1113"/>
    </row>
    <row r="1114" spans="3:3" x14ac:dyDescent="0.25">
      <c r="C1114"/>
    </row>
    <row r="1115" spans="3:3" x14ac:dyDescent="0.25">
      <c r="C1115"/>
    </row>
    <row r="1116" spans="3:3" x14ac:dyDescent="0.25">
      <c r="C1116"/>
    </row>
    <row r="1117" spans="3:3" x14ac:dyDescent="0.25">
      <c r="C1117"/>
    </row>
    <row r="1118" spans="3:3" x14ac:dyDescent="0.25">
      <c r="C1118"/>
    </row>
    <row r="1119" spans="3:3" x14ac:dyDescent="0.25">
      <c r="C1119"/>
    </row>
    <row r="1120" spans="3:3" x14ac:dyDescent="0.25">
      <c r="C1120"/>
    </row>
    <row r="1121" spans="3:3" x14ac:dyDescent="0.25">
      <c r="C1121"/>
    </row>
    <row r="1122" spans="3:3" x14ac:dyDescent="0.25">
      <c r="C1122"/>
    </row>
    <row r="1123" spans="3:3" x14ac:dyDescent="0.25">
      <c r="C1123"/>
    </row>
    <row r="1124" spans="3:3" x14ac:dyDescent="0.25">
      <c r="C1124"/>
    </row>
    <row r="1125" spans="3:3" x14ac:dyDescent="0.25">
      <c r="C1125"/>
    </row>
    <row r="1126" spans="3:3" x14ac:dyDescent="0.25">
      <c r="C1126"/>
    </row>
    <row r="1127" spans="3:3" x14ac:dyDescent="0.25">
      <c r="C1127"/>
    </row>
    <row r="1128" spans="3:3" x14ac:dyDescent="0.25">
      <c r="C1128"/>
    </row>
    <row r="1129" spans="3:3" x14ac:dyDescent="0.25">
      <c r="C1129"/>
    </row>
    <row r="1130" spans="3:3" x14ac:dyDescent="0.25">
      <c r="C1130"/>
    </row>
    <row r="1131" spans="3:3" x14ac:dyDescent="0.25">
      <c r="C1131"/>
    </row>
    <row r="1132" spans="3:3" x14ac:dyDescent="0.25">
      <c r="C1132"/>
    </row>
    <row r="1133" spans="3:3" x14ac:dyDescent="0.25">
      <c r="C1133"/>
    </row>
    <row r="1134" spans="3:3" x14ac:dyDescent="0.25">
      <c r="C1134"/>
    </row>
    <row r="1135" spans="3:3" x14ac:dyDescent="0.25">
      <c r="C1135"/>
    </row>
    <row r="1136" spans="3:3" x14ac:dyDescent="0.25">
      <c r="C1136"/>
    </row>
    <row r="1137" spans="3:3" x14ac:dyDescent="0.25">
      <c r="C1137"/>
    </row>
    <row r="1138" spans="3:3" x14ac:dyDescent="0.25">
      <c r="C1138"/>
    </row>
    <row r="1139" spans="3:3" x14ac:dyDescent="0.25">
      <c r="C1139"/>
    </row>
    <row r="1140" spans="3:3" x14ac:dyDescent="0.25">
      <c r="C1140"/>
    </row>
    <row r="1141" spans="3:3" x14ac:dyDescent="0.25">
      <c r="C1141"/>
    </row>
    <row r="1142" spans="3:3" x14ac:dyDescent="0.25">
      <c r="C1142"/>
    </row>
    <row r="1143" spans="3:3" x14ac:dyDescent="0.25">
      <c r="C1143"/>
    </row>
    <row r="1144" spans="3:3" x14ac:dyDescent="0.25">
      <c r="C1144"/>
    </row>
    <row r="1145" spans="3:3" x14ac:dyDescent="0.25">
      <c r="C1145"/>
    </row>
    <row r="1146" spans="3:3" x14ac:dyDescent="0.25">
      <c r="C1146"/>
    </row>
    <row r="1147" spans="3:3" x14ac:dyDescent="0.25">
      <c r="C1147"/>
    </row>
    <row r="1148" spans="3:3" x14ac:dyDescent="0.25">
      <c r="C1148"/>
    </row>
    <row r="1149" spans="3:3" x14ac:dyDescent="0.25">
      <c r="C1149"/>
    </row>
    <row r="1150" spans="3:3" x14ac:dyDescent="0.25">
      <c r="C1150"/>
    </row>
    <row r="1151" spans="3:3" x14ac:dyDescent="0.25">
      <c r="C1151"/>
    </row>
    <row r="1152" spans="3:3" x14ac:dyDescent="0.25">
      <c r="C1152"/>
    </row>
    <row r="1153" spans="3:3" x14ac:dyDescent="0.25">
      <c r="C1153"/>
    </row>
    <row r="1154" spans="3:3" x14ac:dyDescent="0.25">
      <c r="C1154"/>
    </row>
    <row r="1155" spans="3:3" x14ac:dyDescent="0.25">
      <c r="C1155"/>
    </row>
    <row r="1156" spans="3:3" x14ac:dyDescent="0.25">
      <c r="C1156"/>
    </row>
    <row r="1157" spans="3:3" x14ac:dyDescent="0.25">
      <c r="C1157"/>
    </row>
    <row r="1158" spans="3:3" x14ac:dyDescent="0.25">
      <c r="C1158"/>
    </row>
    <row r="1159" spans="3:3" x14ac:dyDescent="0.25">
      <c r="C1159"/>
    </row>
    <row r="1160" spans="3:3" x14ac:dyDescent="0.25">
      <c r="C1160"/>
    </row>
    <row r="1161" spans="3:3" x14ac:dyDescent="0.25">
      <c r="C1161"/>
    </row>
    <row r="1162" spans="3:3" x14ac:dyDescent="0.25">
      <c r="C1162"/>
    </row>
    <row r="1163" spans="3:3" x14ac:dyDescent="0.25">
      <c r="C1163"/>
    </row>
    <row r="1164" spans="3:3" x14ac:dyDescent="0.25">
      <c r="C1164"/>
    </row>
    <row r="1165" spans="3:3" x14ac:dyDescent="0.25">
      <c r="C1165"/>
    </row>
    <row r="1166" spans="3:3" x14ac:dyDescent="0.25">
      <c r="C1166"/>
    </row>
    <row r="1167" spans="3:3" x14ac:dyDescent="0.25">
      <c r="C1167"/>
    </row>
    <row r="1168" spans="3:3" x14ac:dyDescent="0.25">
      <c r="C1168"/>
    </row>
    <row r="1169" spans="3:3" x14ac:dyDescent="0.25">
      <c r="C1169"/>
    </row>
    <row r="1170" spans="3:3" x14ac:dyDescent="0.25">
      <c r="C1170"/>
    </row>
    <row r="1171" spans="3:3" x14ac:dyDescent="0.25">
      <c r="C1171"/>
    </row>
    <row r="1172" spans="3:3" x14ac:dyDescent="0.25">
      <c r="C1172"/>
    </row>
    <row r="1173" spans="3:3" x14ac:dyDescent="0.25">
      <c r="C1173"/>
    </row>
    <row r="1174" spans="3:3" x14ac:dyDescent="0.25">
      <c r="C1174"/>
    </row>
    <row r="1175" spans="3:3" x14ac:dyDescent="0.25">
      <c r="C1175"/>
    </row>
    <row r="1176" spans="3:3" x14ac:dyDescent="0.25">
      <c r="C1176"/>
    </row>
    <row r="1177" spans="3:3" x14ac:dyDescent="0.25">
      <c r="C1177"/>
    </row>
    <row r="1178" spans="3:3" x14ac:dyDescent="0.25">
      <c r="C1178"/>
    </row>
    <row r="1179" spans="3:3" x14ac:dyDescent="0.25">
      <c r="C1179"/>
    </row>
    <row r="1180" spans="3:3" x14ac:dyDescent="0.25">
      <c r="C1180"/>
    </row>
    <row r="1181" spans="3:3" x14ac:dyDescent="0.25">
      <c r="C1181"/>
    </row>
    <row r="1182" spans="3:3" x14ac:dyDescent="0.25">
      <c r="C1182"/>
    </row>
    <row r="1183" spans="3:3" x14ac:dyDescent="0.25">
      <c r="C1183"/>
    </row>
    <row r="1184" spans="3:3" x14ac:dyDescent="0.25">
      <c r="C1184"/>
    </row>
    <row r="1185" spans="3:3" x14ac:dyDescent="0.25">
      <c r="C1185"/>
    </row>
    <row r="1186" spans="3:3" x14ac:dyDescent="0.25">
      <c r="C1186"/>
    </row>
    <row r="1187" spans="3:3" x14ac:dyDescent="0.25">
      <c r="C1187"/>
    </row>
    <row r="1188" spans="3:3" x14ac:dyDescent="0.25">
      <c r="C1188"/>
    </row>
    <row r="1189" spans="3:3" x14ac:dyDescent="0.25">
      <c r="C1189"/>
    </row>
    <row r="1190" spans="3:3" x14ac:dyDescent="0.25">
      <c r="C1190"/>
    </row>
    <row r="1191" spans="3:3" x14ac:dyDescent="0.25">
      <c r="C1191"/>
    </row>
    <row r="1192" spans="3:3" x14ac:dyDescent="0.25">
      <c r="C1192"/>
    </row>
    <row r="1193" spans="3:3" x14ac:dyDescent="0.25">
      <c r="C1193"/>
    </row>
    <row r="1194" spans="3:3" x14ac:dyDescent="0.25">
      <c r="C1194"/>
    </row>
    <row r="1195" spans="3:3" x14ac:dyDescent="0.25">
      <c r="C1195"/>
    </row>
    <row r="1196" spans="3:3" x14ac:dyDescent="0.25">
      <c r="C1196"/>
    </row>
    <row r="1197" spans="3:3" x14ac:dyDescent="0.25">
      <c r="C1197"/>
    </row>
    <row r="1198" spans="3:3" x14ac:dyDescent="0.25">
      <c r="C1198"/>
    </row>
    <row r="1199" spans="3:3" x14ac:dyDescent="0.25">
      <c r="C1199"/>
    </row>
    <row r="1200" spans="3:3" x14ac:dyDescent="0.25">
      <c r="C1200"/>
    </row>
    <row r="1201" spans="3:3" x14ac:dyDescent="0.25">
      <c r="C1201"/>
    </row>
    <row r="1202" spans="3:3" x14ac:dyDescent="0.25">
      <c r="C1202"/>
    </row>
    <row r="1203" spans="3:3" x14ac:dyDescent="0.25">
      <c r="C1203"/>
    </row>
    <row r="1204" spans="3:3" x14ac:dyDescent="0.25">
      <c r="C1204"/>
    </row>
    <row r="1205" spans="3:3" x14ac:dyDescent="0.25">
      <c r="C1205"/>
    </row>
    <row r="1206" spans="3:3" x14ac:dyDescent="0.25">
      <c r="C1206"/>
    </row>
    <row r="1207" spans="3:3" x14ac:dyDescent="0.25">
      <c r="C1207"/>
    </row>
    <row r="1208" spans="3:3" x14ac:dyDescent="0.25">
      <c r="C1208"/>
    </row>
    <row r="1209" spans="3:3" x14ac:dyDescent="0.25">
      <c r="C1209"/>
    </row>
    <row r="1210" spans="3:3" x14ac:dyDescent="0.25">
      <c r="C1210"/>
    </row>
    <row r="1211" spans="3:3" x14ac:dyDescent="0.25">
      <c r="C1211"/>
    </row>
    <row r="1212" spans="3:3" x14ac:dyDescent="0.25">
      <c r="C1212"/>
    </row>
    <row r="1213" spans="3:3" x14ac:dyDescent="0.25">
      <c r="C1213"/>
    </row>
    <row r="1214" spans="3:3" x14ac:dyDescent="0.25">
      <c r="C1214"/>
    </row>
    <row r="1215" spans="3:3" x14ac:dyDescent="0.25">
      <c r="C1215"/>
    </row>
    <row r="1216" spans="3:3" x14ac:dyDescent="0.25">
      <c r="C1216"/>
    </row>
    <row r="1217" spans="3:3" x14ac:dyDescent="0.25">
      <c r="C1217"/>
    </row>
    <row r="1218" spans="3:3" x14ac:dyDescent="0.25">
      <c r="C1218"/>
    </row>
    <row r="1219" spans="3:3" x14ac:dyDescent="0.25">
      <c r="C1219"/>
    </row>
    <row r="1220" spans="3:3" x14ac:dyDescent="0.25">
      <c r="C1220"/>
    </row>
    <row r="1221" spans="3:3" x14ac:dyDescent="0.25">
      <c r="C1221"/>
    </row>
    <row r="1222" spans="3:3" x14ac:dyDescent="0.25">
      <c r="C1222"/>
    </row>
    <row r="1223" spans="3:3" x14ac:dyDescent="0.25">
      <c r="C1223"/>
    </row>
    <row r="1224" spans="3:3" x14ac:dyDescent="0.25">
      <c r="C1224"/>
    </row>
    <row r="1225" spans="3:3" x14ac:dyDescent="0.25">
      <c r="C1225"/>
    </row>
    <row r="1226" spans="3:3" x14ac:dyDescent="0.25">
      <c r="C1226"/>
    </row>
    <row r="1227" spans="3:3" x14ac:dyDescent="0.25">
      <c r="C1227"/>
    </row>
    <row r="1228" spans="3:3" x14ac:dyDescent="0.25">
      <c r="C1228"/>
    </row>
    <row r="1229" spans="3:3" x14ac:dyDescent="0.25">
      <c r="C1229"/>
    </row>
    <row r="1230" spans="3:3" x14ac:dyDescent="0.25">
      <c r="C1230"/>
    </row>
    <row r="1231" spans="3:3" x14ac:dyDescent="0.25">
      <c r="C1231"/>
    </row>
    <row r="1232" spans="3:3" x14ac:dyDescent="0.25">
      <c r="C1232"/>
    </row>
    <row r="1233" spans="3:3" x14ac:dyDescent="0.25">
      <c r="C1233"/>
    </row>
    <row r="1234" spans="3:3" x14ac:dyDescent="0.25">
      <c r="C1234"/>
    </row>
    <row r="1235" spans="3:3" x14ac:dyDescent="0.25">
      <c r="C1235"/>
    </row>
    <row r="1236" spans="3:3" x14ac:dyDescent="0.25">
      <c r="C1236"/>
    </row>
    <row r="1237" spans="3:3" x14ac:dyDescent="0.25">
      <c r="C1237"/>
    </row>
    <row r="1238" spans="3:3" x14ac:dyDescent="0.25">
      <c r="C1238"/>
    </row>
    <row r="1239" spans="3:3" x14ac:dyDescent="0.25">
      <c r="C1239"/>
    </row>
    <row r="1240" spans="3:3" x14ac:dyDescent="0.25">
      <c r="C1240"/>
    </row>
    <row r="1241" spans="3:3" x14ac:dyDescent="0.25">
      <c r="C1241"/>
    </row>
    <row r="1242" spans="3:3" x14ac:dyDescent="0.25">
      <c r="C1242"/>
    </row>
    <row r="1243" spans="3:3" x14ac:dyDescent="0.25">
      <c r="C1243"/>
    </row>
    <row r="1244" spans="3:3" x14ac:dyDescent="0.25">
      <c r="C1244"/>
    </row>
    <row r="1245" spans="3:3" x14ac:dyDescent="0.25">
      <c r="C1245"/>
    </row>
    <row r="1246" spans="3:3" x14ac:dyDescent="0.25">
      <c r="C1246"/>
    </row>
    <row r="1247" spans="3:3" x14ac:dyDescent="0.25">
      <c r="C1247"/>
    </row>
    <row r="1248" spans="3:3" x14ac:dyDescent="0.25">
      <c r="C1248"/>
    </row>
    <row r="1249" spans="3:3" x14ac:dyDescent="0.25">
      <c r="C1249"/>
    </row>
    <row r="1250" spans="3:3" x14ac:dyDescent="0.25">
      <c r="C1250"/>
    </row>
    <row r="1251" spans="3:3" x14ac:dyDescent="0.25">
      <c r="C1251"/>
    </row>
    <row r="1252" spans="3:3" x14ac:dyDescent="0.25">
      <c r="C1252"/>
    </row>
    <row r="1253" spans="3:3" x14ac:dyDescent="0.25">
      <c r="C1253"/>
    </row>
    <row r="1254" spans="3:3" x14ac:dyDescent="0.25">
      <c r="C1254"/>
    </row>
    <row r="1255" spans="3:3" x14ac:dyDescent="0.25">
      <c r="C1255"/>
    </row>
    <row r="1256" spans="3:3" x14ac:dyDescent="0.25">
      <c r="C1256"/>
    </row>
    <row r="1257" spans="3:3" x14ac:dyDescent="0.25">
      <c r="C1257"/>
    </row>
    <row r="1258" spans="3:3" x14ac:dyDescent="0.25">
      <c r="C1258"/>
    </row>
    <row r="1259" spans="3:3" x14ac:dyDescent="0.25">
      <c r="C1259"/>
    </row>
    <row r="1260" spans="3:3" x14ac:dyDescent="0.25">
      <c r="C1260"/>
    </row>
    <row r="1261" spans="3:3" x14ac:dyDescent="0.25">
      <c r="C1261"/>
    </row>
    <row r="1262" spans="3:3" x14ac:dyDescent="0.25">
      <c r="C1262"/>
    </row>
    <row r="1263" spans="3:3" x14ac:dyDescent="0.25">
      <c r="C1263"/>
    </row>
    <row r="1264" spans="3:3" x14ac:dyDescent="0.25">
      <c r="C1264"/>
    </row>
    <row r="1265" spans="3:3" x14ac:dyDescent="0.25">
      <c r="C1265"/>
    </row>
    <row r="1266" spans="3:3" x14ac:dyDescent="0.25">
      <c r="C1266"/>
    </row>
    <row r="1267" spans="3:3" x14ac:dyDescent="0.25">
      <c r="C1267"/>
    </row>
    <row r="1268" spans="3:3" x14ac:dyDescent="0.25">
      <c r="C1268"/>
    </row>
    <row r="1269" spans="3:3" x14ac:dyDescent="0.25">
      <c r="C1269"/>
    </row>
    <row r="1270" spans="3:3" x14ac:dyDescent="0.25">
      <c r="C1270"/>
    </row>
    <row r="1271" spans="3:3" x14ac:dyDescent="0.25">
      <c r="C1271"/>
    </row>
    <row r="1272" spans="3:3" x14ac:dyDescent="0.25">
      <c r="C1272"/>
    </row>
    <row r="1273" spans="3:3" x14ac:dyDescent="0.25">
      <c r="C1273"/>
    </row>
    <row r="1274" spans="3:3" x14ac:dyDescent="0.25">
      <c r="C1274"/>
    </row>
    <row r="1275" spans="3:3" x14ac:dyDescent="0.25">
      <c r="C1275"/>
    </row>
    <row r="1276" spans="3:3" x14ac:dyDescent="0.25">
      <c r="C1276"/>
    </row>
    <row r="1277" spans="3:3" x14ac:dyDescent="0.25">
      <c r="C1277"/>
    </row>
    <row r="1278" spans="3:3" x14ac:dyDescent="0.25">
      <c r="C1278"/>
    </row>
    <row r="1279" spans="3:3" x14ac:dyDescent="0.25">
      <c r="C1279"/>
    </row>
    <row r="1280" spans="3:3" x14ac:dyDescent="0.25">
      <c r="C1280"/>
    </row>
    <row r="1281" spans="3:3" x14ac:dyDescent="0.25">
      <c r="C1281"/>
    </row>
    <row r="1282" spans="3:3" x14ac:dyDescent="0.25">
      <c r="C1282"/>
    </row>
    <row r="1283" spans="3:3" x14ac:dyDescent="0.25">
      <c r="C1283"/>
    </row>
    <row r="1284" spans="3:3" x14ac:dyDescent="0.25">
      <c r="C1284"/>
    </row>
    <row r="1285" spans="3:3" x14ac:dyDescent="0.25">
      <c r="C1285"/>
    </row>
    <row r="1286" spans="3:3" x14ac:dyDescent="0.25">
      <c r="C1286"/>
    </row>
    <row r="1287" spans="3:3" x14ac:dyDescent="0.25">
      <c r="C1287"/>
    </row>
    <row r="1288" spans="3:3" x14ac:dyDescent="0.25">
      <c r="C1288"/>
    </row>
    <row r="1289" spans="3:3" x14ac:dyDescent="0.25">
      <c r="C1289"/>
    </row>
    <row r="1290" spans="3:3" x14ac:dyDescent="0.25">
      <c r="C1290"/>
    </row>
    <row r="1291" spans="3:3" x14ac:dyDescent="0.25">
      <c r="C1291"/>
    </row>
    <row r="1292" spans="3:3" x14ac:dyDescent="0.25">
      <c r="C1292"/>
    </row>
    <row r="1293" spans="3:3" x14ac:dyDescent="0.25">
      <c r="C1293"/>
    </row>
    <row r="1294" spans="3:3" x14ac:dyDescent="0.25">
      <c r="C1294"/>
    </row>
    <row r="1295" spans="3:3" x14ac:dyDescent="0.25">
      <c r="C1295"/>
    </row>
    <row r="1296" spans="3:3" x14ac:dyDescent="0.25">
      <c r="C1296"/>
    </row>
    <row r="1297" spans="3:3" x14ac:dyDescent="0.25">
      <c r="C1297"/>
    </row>
    <row r="1298" spans="3:3" x14ac:dyDescent="0.25">
      <c r="C1298"/>
    </row>
    <row r="1299" spans="3:3" x14ac:dyDescent="0.25">
      <c r="C1299"/>
    </row>
    <row r="1300" spans="3:3" x14ac:dyDescent="0.25">
      <c r="C1300"/>
    </row>
    <row r="1301" spans="3:3" x14ac:dyDescent="0.25">
      <c r="C1301"/>
    </row>
    <row r="1302" spans="3:3" x14ac:dyDescent="0.25">
      <c r="C1302"/>
    </row>
    <row r="1303" spans="3:3" x14ac:dyDescent="0.25">
      <c r="C1303"/>
    </row>
    <row r="1304" spans="3:3" x14ac:dyDescent="0.25">
      <c r="C1304"/>
    </row>
    <row r="1305" spans="3:3" x14ac:dyDescent="0.25">
      <c r="C1305"/>
    </row>
    <row r="1306" spans="3:3" x14ac:dyDescent="0.25">
      <c r="C1306"/>
    </row>
    <row r="1307" spans="3:3" x14ac:dyDescent="0.25">
      <c r="C1307"/>
    </row>
    <row r="1308" spans="3:3" x14ac:dyDescent="0.25">
      <c r="C1308"/>
    </row>
    <row r="1309" spans="3:3" x14ac:dyDescent="0.25">
      <c r="C1309"/>
    </row>
    <row r="1310" spans="3:3" x14ac:dyDescent="0.25">
      <c r="C1310"/>
    </row>
    <row r="1311" spans="3:3" x14ac:dyDescent="0.25">
      <c r="C1311"/>
    </row>
    <row r="1312" spans="3:3" x14ac:dyDescent="0.25">
      <c r="C1312"/>
    </row>
    <row r="1313" spans="3:3" x14ac:dyDescent="0.25">
      <c r="C1313"/>
    </row>
    <row r="1314" spans="3:3" x14ac:dyDescent="0.25">
      <c r="C1314"/>
    </row>
    <row r="1315" spans="3:3" x14ac:dyDescent="0.25">
      <c r="C1315"/>
    </row>
    <row r="1316" spans="3:3" x14ac:dyDescent="0.25">
      <c r="C1316"/>
    </row>
    <row r="1317" spans="3:3" x14ac:dyDescent="0.25">
      <c r="C1317"/>
    </row>
    <row r="1318" spans="3:3" x14ac:dyDescent="0.25">
      <c r="C1318"/>
    </row>
    <row r="1319" spans="3:3" x14ac:dyDescent="0.25">
      <c r="C1319"/>
    </row>
    <row r="1320" spans="3:3" x14ac:dyDescent="0.25">
      <c r="C1320"/>
    </row>
    <row r="1321" spans="3:3" x14ac:dyDescent="0.25">
      <c r="C1321"/>
    </row>
    <row r="1322" spans="3:3" x14ac:dyDescent="0.25">
      <c r="C1322"/>
    </row>
    <row r="1323" spans="3:3" x14ac:dyDescent="0.25">
      <c r="C1323"/>
    </row>
    <row r="1324" spans="3:3" x14ac:dyDescent="0.25">
      <c r="C1324"/>
    </row>
    <row r="1325" spans="3:3" x14ac:dyDescent="0.25">
      <c r="C1325"/>
    </row>
    <row r="1326" spans="3:3" x14ac:dyDescent="0.25">
      <c r="C1326"/>
    </row>
    <row r="1327" spans="3:3" x14ac:dyDescent="0.25">
      <c r="C1327"/>
    </row>
    <row r="1328" spans="3:3" x14ac:dyDescent="0.25">
      <c r="C1328"/>
    </row>
    <row r="1329" spans="3:3" x14ac:dyDescent="0.25">
      <c r="C1329"/>
    </row>
    <row r="1330" spans="3:3" x14ac:dyDescent="0.25">
      <c r="C1330"/>
    </row>
    <row r="1331" spans="3:3" x14ac:dyDescent="0.25">
      <c r="C1331"/>
    </row>
    <row r="1332" spans="3:3" x14ac:dyDescent="0.25">
      <c r="C1332"/>
    </row>
    <row r="1333" spans="3:3" x14ac:dyDescent="0.25">
      <c r="C1333"/>
    </row>
    <row r="1334" spans="3:3" x14ac:dyDescent="0.25">
      <c r="C1334"/>
    </row>
    <row r="1335" spans="3:3" x14ac:dyDescent="0.25">
      <c r="C1335"/>
    </row>
    <row r="1336" spans="3:3" x14ac:dyDescent="0.25">
      <c r="C1336"/>
    </row>
    <row r="1337" spans="3:3" x14ac:dyDescent="0.25">
      <c r="C1337"/>
    </row>
    <row r="1338" spans="3:3" x14ac:dyDescent="0.25">
      <c r="C1338"/>
    </row>
    <row r="1339" spans="3:3" x14ac:dyDescent="0.25">
      <c r="C1339"/>
    </row>
    <row r="1340" spans="3:3" x14ac:dyDescent="0.25">
      <c r="C1340"/>
    </row>
    <row r="1341" spans="3:3" x14ac:dyDescent="0.25">
      <c r="C1341"/>
    </row>
    <row r="1342" spans="3:3" x14ac:dyDescent="0.25">
      <c r="C1342"/>
    </row>
    <row r="1343" spans="3:3" x14ac:dyDescent="0.25">
      <c r="C1343"/>
    </row>
    <row r="1344" spans="3:3" x14ac:dyDescent="0.25">
      <c r="C1344"/>
    </row>
    <row r="1345" spans="3:3" x14ac:dyDescent="0.25">
      <c r="C1345"/>
    </row>
    <row r="1346" spans="3:3" x14ac:dyDescent="0.25">
      <c r="C1346"/>
    </row>
    <row r="1347" spans="3:3" x14ac:dyDescent="0.25">
      <c r="C1347"/>
    </row>
    <row r="1348" spans="3:3" x14ac:dyDescent="0.25">
      <c r="C1348"/>
    </row>
    <row r="1349" spans="3:3" x14ac:dyDescent="0.25">
      <c r="C1349"/>
    </row>
    <row r="1350" spans="3:3" x14ac:dyDescent="0.25">
      <c r="C1350"/>
    </row>
    <row r="1351" spans="3:3" x14ac:dyDescent="0.25">
      <c r="C1351"/>
    </row>
    <row r="1352" spans="3:3" x14ac:dyDescent="0.25">
      <c r="C1352"/>
    </row>
    <row r="1353" spans="3:3" x14ac:dyDescent="0.25">
      <c r="C1353"/>
    </row>
    <row r="1354" spans="3:3" x14ac:dyDescent="0.25">
      <c r="C1354"/>
    </row>
    <row r="1355" spans="3:3" x14ac:dyDescent="0.25">
      <c r="C1355"/>
    </row>
    <row r="1356" spans="3:3" x14ac:dyDescent="0.25">
      <c r="C1356"/>
    </row>
    <row r="1357" spans="3:3" x14ac:dyDescent="0.25">
      <c r="C1357"/>
    </row>
    <row r="1358" spans="3:3" x14ac:dyDescent="0.25">
      <c r="C1358"/>
    </row>
    <row r="1359" spans="3:3" x14ac:dyDescent="0.25">
      <c r="C1359"/>
    </row>
    <row r="1360" spans="3:3" x14ac:dyDescent="0.25">
      <c r="C1360"/>
    </row>
    <row r="1361" spans="3:3" x14ac:dyDescent="0.25">
      <c r="C1361"/>
    </row>
    <row r="1362" spans="3:3" x14ac:dyDescent="0.25">
      <c r="C1362"/>
    </row>
    <row r="1363" spans="3:3" x14ac:dyDescent="0.25">
      <c r="C1363"/>
    </row>
    <row r="1364" spans="3:3" x14ac:dyDescent="0.25">
      <c r="C1364"/>
    </row>
    <row r="1365" spans="3:3" x14ac:dyDescent="0.25">
      <c r="C1365"/>
    </row>
    <row r="1366" spans="3:3" x14ac:dyDescent="0.25">
      <c r="C1366"/>
    </row>
    <row r="1367" spans="3:3" x14ac:dyDescent="0.25">
      <c r="C1367"/>
    </row>
    <row r="1368" spans="3:3" x14ac:dyDescent="0.25">
      <c r="C1368"/>
    </row>
    <row r="1369" spans="3:3" x14ac:dyDescent="0.25">
      <c r="C1369"/>
    </row>
    <row r="1370" spans="3:3" x14ac:dyDescent="0.25">
      <c r="C1370"/>
    </row>
    <row r="1371" spans="3:3" x14ac:dyDescent="0.25">
      <c r="C1371"/>
    </row>
    <row r="1372" spans="3:3" x14ac:dyDescent="0.25">
      <c r="C1372"/>
    </row>
    <row r="1373" spans="3:3" x14ac:dyDescent="0.25">
      <c r="C1373"/>
    </row>
    <row r="1374" spans="3:3" x14ac:dyDescent="0.25">
      <c r="C1374"/>
    </row>
    <row r="1375" spans="3:3" x14ac:dyDescent="0.25">
      <c r="C1375"/>
    </row>
    <row r="1376" spans="3:3" x14ac:dyDescent="0.25">
      <c r="C1376"/>
    </row>
    <row r="1377" spans="3:3" x14ac:dyDescent="0.25">
      <c r="C1377"/>
    </row>
    <row r="1378" spans="3:3" x14ac:dyDescent="0.25">
      <c r="C1378"/>
    </row>
    <row r="1379" spans="3:3" x14ac:dyDescent="0.25">
      <c r="C1379"/>
    </row>
    <row r="1380" spans="3:3" x14ac:dyDescent="0.25">
      <c r="C1380"/>
    </row>
    <row r="1381" spans="3:3" x14ac:dyDescent="0.25">
      <c r="C1381"/>
    </row>
    <row r="1382" spans="3:3" x14ac:dyDescent="0.25">
      <c r="C1382"/>
    </row>
    <row r="1383" spans="3:3" x14ac:dyDescent="0.25">
      <c r="C1383"/>
    </row>
    <row r="1384" spans="3:3" x14ac:dyDescent="0.25">
      <c r="C1384"/>
    </row>
    <row r="1385" spans="3:3" x14ac:dyDescent="0.25">
      <c r="C1385"/>
    </row>
    <row r="1386" spans="3:3" x14ac:dyDescent="0.25">
      <c r="C1386"/>
    </row>
    <row r="1387" spans="3:3" x14ac:dyDescent="0.25">
      <c r="C1387"/>
    </row>
    <row r="1388" spans="3:3" x14ac:dyDescent="0.25">
      <c r="C1388"/>
    </row>
    <row r="1389" spans="3:3" x14ac:dyDescent="0.25">
      <c r="C1389"/>
    </row>
    <row r="1390" spans="3:3" x14ac:dyDescent="0.25">
      <c r="C1390"/>
    </row>
    <row r="1391" spans="3:3" x14ac:dyDescent="0.25">
      <c r="C1391"/>
    </row>
    <row r="1392" spans="3:3" x14ac:dyDescent="0.25">
      <c r="C1392"/>
    </row>
    <row r="1393" spans="3:3" x14ac:dyDescent="0.25">
      <c r="C1393"/>
    </row>
    <row r="1394" spans="3:3" x14ac:dyDescent="0.25">
      <c r="C1394"/>
    </row>
    <row r="1395" spans="3:3" x14ac:dyDescent="0.25">
      <c r="C1395"/>
    </row>
    <row r="1396" spans="3:3" x14ac:dyDescent="0.25">
      <c r="C1396"/>
    </row>
    <row r="1397" spans="3:3" x14ac:dyDescent="0.25">
      <c r="C1397"/>
    </row>
    <row r="1398" spans="3:3" x14ac:dyDescent="0.25">
      <c r="C1398"/>
    </row>
    <row r="1399" spans="3:3" x14ac:dyDescent="0.25">
      <c r="C1399"/>
    </row>
    <row r="1400" spans="3:3" x14ac:dyDescent="0.25">
      <c r="C1400"/>
    </row>
    <row r="1401" spans="3:3" x14ac:dyDescent="0.25">
      <c r="C1401"/>
    </row>
    <row r="1402" spans="3:3" x14ac:dyDescent="0.25">
      <c r="C1402"/>
    </row>
    <row r="1403" spans="3:3" x14ac:dyDescent="0.25">
      <c r="C1403"/>
    </row>
    <row r="1404" spans="3:3" x14ac:dyDescent="0.25">
      <c r="C1404"/>
    </row>
    <row r="1405" spans="3:3" x14ac:dyDescent="0.25">
      <c r="C1405"/>
    </row>
    <row r="1406" spans="3:3" x14ac:dyDescent="0.25">
      <c r="C1406"/>
    </row>
    <row r="1407" spans="3:3" x14ac:dyDescent="0.25">
      <c r="C1407"/>
    </row>
    <row r="1408" spans="3:3" x14ac:dyDescent="0.25">
      <c r="C1408"/>
    </row>
    <row r="1409" spans="3:3" x14ac:dyDescent="0.25">
      <c r="C1409"/>
    </row>
    <row r="1410" spans="3:3" x14ac:dyDescent="0.25">
      <c r="C1410"/>
    </row>
    <row r="1411" spans="3:3" x14ac:dyDescent="0.25">
      <c r="C1411"/>
    </row>
    <row r="1412" spans="3:3" x14ac:dyDescent="0.25">
      <c r="C1412"/>
    </row>
    <row r="1413" spans="3:3" x14ac:dyDescent="0.25">
      <c r="C1413"/>
    </row>
    <row r="1414" spans="3:3" x14ac:dyDescent="0.25">
      <c r="C1414"/>
    </row>
    <row r="1415" spans="3:3" x14ac:dyDescent="0.25">
      <c r="C1415"/>
    </row>
    <row r="1416" spans="3:3" x14ac:dyDescent="0.25">
      <c r="C1416"/>
    </row>
    <row r="1417" spans="3:3" x14ac:dyDescent="0.25">
      <c r="C1417"/>
    </row>
    <row r="1418" spans="3:3" x14ac:dyDescent="0.25">
      <c r="C1418"/>
    </row>
    <row r="1419" spans="3:3" x14ac:dyDescent="0.25">
      <c r="C1419"/>
    </row>
    <row r="1420" spans="3:3" x14ac:dyDescent="0.25">
      <c r="C1420"/>
    </row>
    <row r="1421" spans="3:3" x14ac:dyDescent="0.25">
      <c r="C1421"/>
    </row>
    <row r="1422" spans="3:3" x14ac:dyDescent="0.25">
      <c r="C1422"/>
    </row>
    <row r="1423" spans="3:3" x14ac:dyDescent="0.25">
      <c r="C1423"/>
    </row>
    <row r="1424" spans="3:3" x14ac:dyDescent="0.25">
      <c r="C1424"/>
    </row>
    <row r="1425" spans="3:3" x14ac:dyDescent="0.25">
      <c r="C1425"/>
    </row>
    <row r="1426" spans="3:3" x14ac:dyDescent="0.25">
      <c r="C1426"/>
    </row>
    <row r="1427" spans="3:3" x14ac:dyDescent="0.25">
      <c r="C1427"/>
    </row>
    <row r="1428" spans="3:3" x14ac:dyDescent="0.25">
      <c r="C1428"/>
    </row>
    <row r="1429" spans="3:3" x14ac:dyDescent="0.25">
      <c r="C1429"/>
    </row>
    <row r="1430" spans="3:3" x14ac:dyDescent="0.25">
      <c r="C1430"/>
    </row>
    <row r="1431" spans="3:3" x14ac:dyDescent="0.25">
      <c r="C1431"/>
    </row>
    <row r="1432" spans="3:3" x14ac:dyDescent="0.25">
      <c r="C1432"/>
    </row>
    <row r="1433" spans="3:3" x14ac:dyDescent="0.25">
      <c r="C1433"/>
    </row>
    <row r="1434" spans="3:3" x14ac:dyDescent="0.25">
      <c r="C1434"/>
    </row>
    <row r="1435" spans="3:3" x14ac:dyDescent="0.25">
      <c r="C1435"/>
    </row>
    <row r="1436" spans="3:3" x14ac:dyDescent="0.25">
      <c r="C1436"/>
    </row>
    <row r="1437" spans="3:3" x14ac:dyDescent="0.25">
      <c r="C1437"/>
    </row>
    <row r="1438" spans="3:3" x14ac:dyDescent="0.25">
      <c r="C1438"/>
    </row>
    <row r="1439" spans="3:3" x14ac:dyDescent="0.25">
      <c r="C1439"/>
    </row>
    <row r="1440" spans="3:3" x14ac:dyDescent="0.25">
      <c r="C1440"/>
    </row>
    <row r="1441" spans="3:3" x14ac:dyDescent="0.25">
      <c r="C1441"/>
    </row>
    <row r="1442" spans="3:3" x14ac:dyDescent="0.25">
      <c r="C1442"/>
    </row>
    <row r="1443" spans="3:3" x14ac:dyDescent="0.25">
      <c r="C1443"/>
    </row>
    <row r="1444" spans="3:3" x14ac:dyDescent="0.25">
      <c r="C1444"/>
    </row>
    <row r="1445" spans="3:3" x14ac:dyDescent="0.25">
      <c r="C1445"/>
    </row>
    <row r="1446" spans="3:3" x14ac:dyDescent="0.25">
      <c r="C1446"/>
    </row>
    <row r="1447" spans="3:3" x14ac:dyDescent="0.25">
      <c r="C1447"/>
    </row>
    <row r="1448" spans="3:3" x14ac:dyDescent="0.25">
      <c r="C1448"/>
    </row>
    <row r="1449" spans="3:3" x14ac:dyDescent="0.25">
      <c r="C1449"/>
    </row>
    <row r="1450" spans="3:3" x14ac:dyDescent="0.25">
      <c r="C1450"/>
    </row>
    <row r="1451" spans="3:3" x14ac:dyDescent="0.25">
      <c r="C1451"/>
    </row>
    <row r="1452" spans="3:3" x14ac:dyDescent="0.25">
      <c r="C1452"/>
    </row>
    <row r="1453" spans="3:3" x14ac:dyDescent="0.25">
      <c r="C1453"/>
    </row>
    <row r="1454" spans="3:3" x14ac:dyDescent="0.25">
      <c r="C1454"/>
    </row>
    <row r="1455" spans="3:3" x14ac:dyDescent="0.25">
      <c r="C1455"/>
    </row>
    <row r="1456" spans="3:3" x14ac:dyDescent="0.25">
      <c r="C1456"/>
    </row>
    <row r="1457" spans="3:3" x14ac:dyDescent="0.25">
      <c r="C1457"/>
    </row>
    <row r="1458" spans="3:3" x14ac:dyDescent="0.25">
      <c r="C1458"/>
    </row>
    <row r="1459" spans="3:3" x14ac:dyDescent="0.25">
      <c r="C1459"/>
    </row>
    <row r="1460" spans="3:3" x14ac:dyDescent="0.25">
      <c r="C1460"/>
    </row>
    <row r="1461" spans="3:3" x14ac:dyDescent="0.25">
      <c r="C1461"/>
    </row>
    <row r="1462" spans="3:3" x14ac:dyDescent="0.25">
      <c r="C1462"/>
    </row>
    <row r="1463" spans="3:3" x14ac:dyDescent="0.25">
      <c r="C1463"/>
    </row>
    <row r="1464" spans="3:3" x14ac:dyDescent="0.25">
      <c r="C1464"/>
    </row>
    <row r="1465" spans="3:3" x14ac:dyDescent="0.25">
      <c r="C1465"/>
    </row>
    <row r="1466" spans="3:3" x14ac:dyDescent="0.25">
      <c r="C1466"/>
    </row>
    <row r="1467" spans="3:3" x14ac:dyDescent="0.25">
      <c r="C1467"/>
    </row>
    <row r="1468" spans="3:3" x14ac:dyDescent="0.25">
      <c r="C1468"/>
    </row>
    <row r="1469" spans="3:3" x14ac:dyDescent="0.25">
      <c r="C1469"/>
    </row>
    <row r="1470" spans="3:3" x14ac:dyDescent="0.25">
      <c r="C1470"/>
    </row>
    <row r="1471" spans="3:3" x14ac:dyDescent="0.25">
      <c r="C1471"/>
    </row>
    <row r="1472" spans="3:3" x14ac:dyDescent="0.25">
      <c r="C1472"/>
    </row>
    <row r="1473" spans="3:3" x14ac:dyDescent="0.25">
      <c r="C1473"/>
    </row>
    <row r="1474" spans="3:3" x14ac:dyDescent="0.25">
      <c r="C1474"/>
    </row>
    <row r="1475" spans="3:3" x14ac:dyDescent="0.25">
      <c r="C1475"/>
    </row>
    <row r="1476" spans="3:3" x14ac:dyDescent="0.25">
      <c r="C1476"/>
    </row>
    <row r="1477" spans="3:3" x14ac:dyDescent="0.25">
      <c r="C1477"/>
    </row>
    <row r="1478" spans="3:3" x14ac:dyDescent="0.25">
      <c r="C1478"/>
    </row>
    <row r="1479" spans="3:3" x14ac:dyDescent="0.25">
      <c r="C1479"/>
    </row>
    <row r="1480" spans="3:3" x14ac:dyDescent="0.25">
      <c r="C1480"/>
    </row>
    <row r="1481" spans="3:3" x14ac:dyDescent="0.25">
      <c r="C1481"/>
    </row>
    <row r="1482" spans="3:3" x14ac:dyDescent="0.25">
      <c r="C1482"/>
    </row>
    <row r="1483" spans="3:3" x14ac:dyDescent="0.25">
      <c r="C1483"/>
    </row>
    <row r="1484" spans="3:3" x14ac:dyDescent="0.25">
      <c r="C1484"/>
    </row>
    <row r="1485" spans="3:3" x14ac:dyDescent="0.25">
      <c r="C1485"/>
    </row>
    <row r="1486" spans="3:3" x14ac:dyDescent="0.25">
      <c r="C1486"/>
    </row>
    <row r="1487" spans="3:3" x14ac:dyDescent="0.25">
      <c r="C1487"/>
    </row>
    <row r="1488" spans="3:3" x14ac:dyDescent="0.25">
      <c r="C1488"/>
    </row>
    <row r="1489" spans="3:3" x14ac:dyDescent="0.25">
      <c r="C1489"/>
    </row>
    <row r="1490" spans="3:3" x14ac:dyDescent="0.25">
      <c r="C1490"/>
    </row>
    <row r="1491" spans="3:3" x14ac:dyDescent="0.25">
      <c r="C1491"/>
    </row>
    <row r="1492" spans="3:3" x14ac:dyDescent="0.25">
      <c r="C1492"/>
    </row>
    <row r="1493" spans="3:3" x14ac:dyDescent="0.25">
      <c r="C1493"/>
    </row>
    <row r="1494" spans="3:3" x14ac:dyDescent="0.25">
      <c r="C1494"/>
    </row>
    <row r="1495" spans="3:3" x14ac:dyDescent="0.25">
      <c r="C1495"/>
    </row>
    <row r="1496" spans="3:3" x14ac:dyDescent="0.25">
      <c r="C1496"/>
    </row>
    <row r="1497" spans="3:3" x14ac:dyDescent="0.25">
      <c r="C1497"/>
    </row>
    <row r="1498" spans="3:3" x14ac:dyDescent="0.25">
      <c r="C1498"/>
    </row>
    <row r="1499" spans="3:3" x14ac:dyDescent="0.25">
      <c r="C1499"/>
    </row>
    <row r="1500" spans="3:3" x14ac:dyDescent="0.25">
      <c r="C1500"/>
    </row>
    <row r="1501" spans="3:3" x14ac:dyDescent="0.25">
      <c r="C1501"/>
    </row>
    <row r="1502" spans="3:3" x14ac:dyDescent="0.25">
      <c r="C1502"/>
    </row>
    <row r="1503" spans="3:3" x14ac:dyDescent="0.25">
      <c r="C1503"/>
    </row>
    <row r="1504" spans="3:3" x14ac:dyDescent="0.25">
      <c r="C1504"/>
    </row>
    <row r="1505" spans="3:3" x14ac:dyDescent="0.25">
      <c r="C1505"/>
    </row>
    <row r="1506" spans="3:3" x14ac:dyDescent="0.25">
      <c r="C1506"/>
    </row>
    <row r="1507" spans="3:3" x14ac:dyDescent="0.25">
      <c r="C1507"/>
    </row>
    <row r="1508" spans="3:3" x14ac:dyDescent="0.25">
      <c r="C1508"/>
    </row>
    <row r="1509" spans="3:3" x14ac:dyDescent="0.25">
      <c r="C1509"/>
    </row>
    <row r="1510" spans="3:3" x14ac:dyDescent="0.25">
      <c r="C1510"/>
    </row>
    <row r="1511" spans="3:3" x14ac:dyDescent="0.25">
      <c r="C1511"/>
    </row>
    <row r="1512" spans="3:3" x14ac:dyDescent="0.25">
      <c r="C1512"/>
    </row>
    <row r="1513" spans="3:3" x14ac:dyDescent="0.25">
      <c r="C1513"/>
    </row>
    <row r="1514" spans="3:3" x14ac:dyDescent="0.25">
      <c r="C1514"/>
    </row>
    <row r="1515" spans="3:3" x14ac:dyDescent="0.25">
      <c r="C1515"/>
    </row>
    <row r="1516" spans="3:3" x14ac:dyDescent="0.25">
      <c r="C1516"/>
    </row>
    <row r="1517" spans="3:3" x14ac:dyDescent="0.25">
      <c r="C1517"/>
    </row>
    <row r="1518" spans="3:3" x14ac:dyDescent="0.25">
      <c r="C1518"/>
    </row>
    <row r="1519" spans="3:3" x14ac:dyDescent="0.25">
      <c r="C1519"/>
    </row>
    <row r="1520" spans="3:3" x14ac:dyDescent="0.25">
      <c r="C1520"/>
    </row>
    <row r="1521" spans="3:3" x14ac:dyDescent="0.25">
      <c r="C1521"/>
    </row>
    <row r="1522" spans="3:3" x14ac:dyDescent="0.25">
      <c r="C1522"/>
    </row>
    <row r="1523" spans="3:3" x14ac:dyDescent="0.25">
      <c r="C1523"/>
    </row>
    <row r="1524" spans="3:3" x14ac:dyDescent="0.25">
      <c r="C1524"/>
    </row>
    <row r="1525" spans="3:3" x14ac:dyDescent="0.25">
      <c r="C1525"/>
    </row>
    <row r="1526" spans="3:3" x14ac:dyDescent="0.25">
      <c r="C1526"/>
    </row>
    <row r="1527" spans="3:3" x14ac:dyDescent="0.25">
      <c r="C1527"/>
    </row>
    <row r="1528" spans="3:3" x14ac:dyDescent="0.25">
      <c r="C1528"/>
    </row>
    <row r="1529" spans="3:3" x14ac:dyDescent="0.25">
      <c r="C1529"/>
    </row>
    <row r="1530" spans="3:3" x14ac:dyDescent="0.25">
      <c r="C1530"/>
    </row>
    <row r="1531" spans="3:3" x14ac:dyDescent="0.25">
      <c r="C1531"/>
    </row>
    <row r="1532" spans="3:3" x14ac:dyDescent="0.25">
      <c r="C1532"/>
    </row>
    <row r="1533" spans="3:3" x14ac:dyDescent="0.25">
      <c r="C1533"/>
    </row>
    <row r="1534" spans="3:3" x14ac:dyDescent="0.25">
      <c r="C1534"/>
    </row>
    <row r="1535" spans="3:3" x14ac:dyDescent="0.25">
      <c r="C1535"/>
    </row>
    <row r="1536" spans="3:3" x14ac:dyDescent="0.25">
      <c r="C1536"/>
    </row>
    <row r="1537" spans="3:3" x14ac:dyDescent="0.25">
      <c r="C1537"/>
    </row>
    <row r="1538" spans="3:3" x14ac:dyDescent="0.25">
      <c r="C1538"/>
    </row>
    <row r="1539" spans="3:3" x14ac:dyDescent="0.25">
      <c r="C1539"/>
    </row>
    <row r="1540" spans="3:3" x14ac:dyDescent="0.25">
      <c r="C1540"/>
    </row>
    <row r="1541" spans="3:3" x14ac:dyDescent="0.25">
      <c r="C1541"/>
    </row>
    <row r="1542" spans="3:3" x14ac:dyDescent="0.25">
      <c r="C1542"/>
    </row>
    <row r="1543" spans="3:3" x14ac:dyDescent="0.25">
      <c r="C1543"/>
    </row>
    <row r="1544" spans="3:3" x14ac:dyDescent="0.25">
      <c r="C1544"/>
    </row>
    <row r="1545" spans="3:3" x14ac:dyDescent="0.25">
      <c r="C1545"/>
    </row>
    <row r="1546" spans="3:3" x14ac:dyDescent="0.25">
      <c r="C1546"/>
    </row>
    <row r="1547" spans="3:3" x14ac:dyDescent="0.25">
      <c r="C1547"/>
    </row>
    <row r="1548" spans="3:3" x14ac:dyDescent="0.25">
      <c r="C1548"/>
    </row>
    <row r="1549" spans="3:3" x14ac:dyDescent="0.25">
      <c r="C1549"/>
    </row>
    <row r="1550" spans="3:3" x14ac:dyDescent="0.25">
      <c r="C1550"/>
    </row>
    <row r="1551" spans="3:3" x14ac:dyDescent="0.25">
      <c r="C1551"/>
    </row>
    <row r="1552" spans="3:3" x14ac:dyDescent="0.25">
      <c r="C1552"/>
    </row>
    <row r="1553" spans="3:3" x14ac:dyDescent="0.25">
      <c r="C1553"/>
    </row>
    <row r="1554" spans="3:3" x14ac:dyDescent="0.25">
      <c r="C1554"/>
    </row>
    <row r="1555" spans="3:3" x14ac:dyDescent="0.25">
      <c r="C1555"/>
    </row>
    <row r="1556" spans="3:3" x14ac:dyDescent="0.25">
      <c r="C1556"/>
    </row>
    <row r="1557" spans="3:3" x14ac:dyDescent="0.25">
      <c r="C1557"/>
    </row>
    <row r="1558" spans="3:3" x14ac:dyDescent="0.25">
      <c r="C1558"/>
    </row>
    <row r="1559" spans="3:3" x14ac:dyDescent="0.25">
      <c r="C1559"/>
    </row>
    <row r="1560" spans="3:3" x14ac:dyDescent="0.25">
      <c r="C1560"/>
    </row>
    <row r="1561" spans="3:3" x14ac:dyDescent="0.25">
      <c r="C1561"/>
    </row>
    <row r="1562" spans="3:3" x14ac:dyDescent="0.25">
      <c r="C1562"/>
    </row>
    <row r="1563" spans="3:3" x14ac:dyDescent="0.25">
      <c r="C1563"/>
    </row>
    <row r="1564" spans="3:3" x14ac:dyDescent="0.25">
      <c r="C1564"/>
    </row>
    <row r="1565" spans="3:3" x14ac:dyDescent="0.25">
      <c r="C1565"/>
    </row>
    <row r="1566" spans="3:3" x14ac:dyDescent="0.25">
      <c r="C1566"/>
    </row>
    <row r="1567" spans="3:3" x14ac:dyDescent="0.25">
      <c r="C1567"/>
    </row>
    <row r="1568" spans="3:3" x14ac:dyDescent="0.25">
      <c r="C1568"/>
    </row>
    <row r="1569" spans="3:3" x14ac:dyDescent="0.25">
      <c r="C1569"/>
    </row>
    <row r="1570" spans="3:3" x14ac:dyDescent="0.25">
      <c r="C1570"/>
    </row>
    <row r="1571" spans="3:3" x14ac:dyDescent="0.25">
      <c r="C1571"/>
    </row>
    <row r="1572" spans="3:3" x14ac:dyDescent="0.25">
      <c r="C1572"/>
    </row>
    <row r="1573" spans="3:3" x14ac:dyDescent="0.25">
      <c r="C1573"/>
    </row>
    <row r="1574" spans="3:3" x14ac:dyDescent="0.25">
      <c r="C1574"/>
    </row>
    <row r="1575" spans="3:3" x14ac:dyDescent="0.25">
      <c r="C1575"/>
    </row>
    <row r="1576" spans="3:3" x14ac:dyDescent="0.25">
      <c r="C1576"/>
    </row>
    <row r="1577" spans="3:3" x14ac:dyDescent="0.25">
      <c r="C1577"/>
    </row>
    <row r="1578" spans="3:3" x14ac:dyDescent="0.25">
      <c r="C1578"/>
    </row>
    <row r="1579" spans="3:3" x14ac:dyDescent="0.25">
      <c r="C1579"/>
    </row>
    <row r="1580" spans="3:3" x14ac:dyDescent="0.25">
      <c r="C1580"/>
    </row>
    <row r="1581" spans="3:3" x14ac:dyDescent="0.25">
      <c r="C1581"/>
    </row>
    <row r="1582" spans="3:3" x14ac:dyDescent="0.25">
      <c r="C1582"/>
    </row>
    <row r="1583" spans="3:3" x14ac:dyDescent="0.25">
      <c r="C1583"/>
    </row>
    <row r="1584" spans="3:3" x14ac:dyDescent="0.25">
      <c r="C1584"/>
    </row>
    <row r="1585" spans="3:3" x14ac:dyDescent="0.25">
      <c r="C1585"/>
    </row>
    <row r="1586" spans="3:3" x14ac:dyDescent="0.25">
      <c r="C1586"/>
    </row>
    <row r="1587" spans="3:3" x14ac:dyDescent="0.25">
      <c r="C1587"/>
    </row>
    <row r="1588" spans="3:3" x14ac:dyDescent="0.25">
      <c r="C1588"/>
    </row>
    <row r="1589" spans="3:3" x14ac:dyDescent="0.25">
      <c r="C1589"/>
    </row>
    <row r="1590" spans="3:3" x14ac:dyDescent="0.25">
      <c r="C1590"/>
    </row>
    <row r="1591" spans="3:3" x14ac:dyDescent="0.25">
      <c r="C1591"/>
    </row>
    <row r="1592" spans="3:3" x14ac:dyDescent="0.25">
      <c r="C1592"/>
    </row>
    <row r="1593" spans="3:3" x14ac:dyDescent="0.25">
      <c r="C1593"/>
    </row>
    <row r="1594" spans="3:3" x14ac:dyDescent="0.25">
      <c r="C1594"/>
    </row>
    <row r="1595" spans="3:3" x14ac:dyDescent="0.25">
      <c r="C1595"/>
    </row>
    <row r="1596" spans="3:3" x14ac:dyDescent="0.25">
      <c r="C1596"/>
    </row>
    <row r="1597" spans="3:3" x14ac:dyDescent="0.25">
      <c r="C1597"/>
    </row>
    <row r="1598" spans="3:3" x14ac:dyDescent="0.25">
      <c r="C1598"/>
    </row>
    <row r="1599" spans="3:3" x14ac:dyDescent="0.25">
      <c r="C1599"/>
    </row>
    <row r="1600" spans="3:3" x14ac:dyDescent="0.25">
      <c r="C1600"/>
    </row>
    <row r="1601" spans="3:3" x14ac:dyDescent="0.25">
      <c r="C1601"/>
    </row>
    <row r="1602" spans="3:3" x14ac:dyDescent="0.25">
      <c r="C1602"/>
    </row>
    <row r="1603" spans="3:3" x14ac:dyDescent="0.25">
      <c r="C1603"/>
    </row>
    <row r="1604" spans="3:3" x14ac:dyDescent="0.25">
      <c r="C1604"/>
    </row>
    <row r="1605" spans="3:3" x14ac:dyDescent="0.25">
      <c r="C1605"/>
    </row>
    <row r="1606" spans="3:3" x14ac:dyDescent="0.25">
      <c r="C1606"/>
    </row>
    <row r="1607" spans="3:3" x14ac:dyDescent="0.25">
      <c r="C1607"/>
    </row>
    <row r="1608" spans="3:3" x14ac:dyDescent="0.25">
      <c r="C1608"/>
    </row>
    <row r="1609" spans="3:3" x14ac:dyDescent="0.25">
      <c r="C1609"/>
    </row>
    <row r="1610" spans="3:3" x14ac:dyDescent="0.25">
      <c r="C1610"/>
    </row>
    <row r="1611" spans="3:3" x14ac:dyDescent="0.25">
      <c r="C1611"/>
    </row>
    <row r="1612" spans="3:3" x14ac:dyDescent="0.25">
      <c r="C1612"/>
    </row>
    <row r="1613" spans="3:3" x14ac:dyDescent="0.25">
      <c r="C1613"/>
    </row>
    <row r="1614" spans="3:3" x14ac:dyDescent="0.25">
      <c r="C1614"/>
    </row>
    <row r="1615" spans="3:3" x14ac:dyDescent="0.25">
      <c r="C1615"/>
    </row>
    <row r="1616" spans="3:3" x14ac:dyDescent="0.25">
      <c r="C1616"/>
    </row>
    <row r="1617" spans="3:3" x14ac:dyDescent="0.25">
      <c r="C1617"/>
    </row>
    <row r="1618" spans="3:3" x14ac:dyDescent="0.25">
      <c r="C1618"/>
    </row>
    <row r="1619" spans="3:3" x14ac:dyDescent="0.25">
      <c r="C1619"/>
    </row>
    <row r="1620" spans="3:3" x14ac:dyDescent="0.25">
      <c r="C1620"/>
    </row>
    <row r="1621" spans="3:3" x14ac:dyDescent="0.25">
      <c r="C1621"/>
    </row>
    <row r="1622" spans="3:3" x14ac:dyDescent="0.25">
      <c r="C1622"/>
    </row>
    <row r="1623" spans="3:3" x14ac:dyDescent="0.25">
      <c r="C1623"/>
    </row>
    <row r="1624" spans="3:3" x14ac:dyDescent="0.25">
      <c r="C1624"/>
    </row>
    <row r="1625" spans="3:3" x14ac:dyDescent="0.25">
      <c r="C1625"/>
    </row>
    <row r="1626" spans="3:3" x14ac:dyDescent="0.25">
      <c r="C1626"/>
    </row>
    <row r="1627" spans="3:3" x14ac:dyDescent="0.25">
      <c r="C1627"/>
    </row>
    <row r="1628" spans="3:3" x14ac:dyDescent="0.25">
      <c r="C1628"/>
    </row>
    <row r="1629" spans="3:3" x14ac:dyDescent="0.25">
      <c r="C1629"/>
    </row>
    <row r="1630" spans="3:3" x14ac:dyDescent="0.25">
      <c r="C1630"/>
    </row>
    <row r="1631" spans="3:3" x14ac:dyDescent="0.25">
      <c r="C1631"/>
    </row>
    <row r="1632" spans="3:3" x14ac:dyDescent="0.25">
      <c r="C1632"/>
    </row>
    <row r="1633" spans="3:3" x14ac:dyDescent="0.25">
      <c r="C1633"/>
    </row>
    <row r="1634" spans="3:3" x14ac:dyDescent="0.25">
      <c r="C1634"/>
    </row>
    <row r="1635" spans="3:3" x14ac:dyDescent="0.25">
      <c r="C1635"/>
    </row>
    <row r="1636" spans="3:3" x14ac:dyDescent="0.25">
      <c r="C1636"/>
    </row>
    <row r="1637" spans="3:3" x14ac:dyDescent="0.25">
      <c r="C1637"/>
    </row>
    <row r="1638" spans="3:3" x14ac:dyDescent="0.25">
      <c r="C1638"/>
    </row>
    <row r="1639" spans="3:3" x14ac:dyDescent="0.25">
      <c r="C1639"/>
    </row>
    <row r="1640" spans="3:3" x14ac:dyDescent="0.25">
      <c r="C1640"/>
    </row>
    <row r="1641" spans="3:3" x14ac:dyDescent="0.25">
      <c r="C1641"/>
    </row>
    <row r="1642" spans="3:3" x14ac:dyDescent="0.25">
      <c r="C1642"/>
    </row>
    <row r="1643" spans="3:3" x14ac:dyDescent="0.25">
      <c r="C1643"/>
    </row>
    <row r="1644" spans="3:3" x14ac:dyDescent="0.25">
      <c r="C1644"/>
    </row>
    <row r="1645" spans="3:3" x14ac:dyDescent="0.25">
      <c r="C1645"/>
    </row>
    <row r="1646" spans="3:3" x14ac:dyDescent="0.25">
      <c r="C1646"/>
    </row>
    <row r="1647" spans="3:3" x14ac:dyDescent="0.25">
      <c r="C1647"/>
    </row>
    <row r="1648" spans="3:3" x14ac:dyDescent="0.25">
      <c r="C1648"/>
    </row>
    <row r="1649" spans="3:3" x14ac:dyDescent="0.25">
      <c r="C1649"/>
    </row>
    <row r="1650" spans="3:3" x14ac:dyDescent="0.25">
      <c r="C1650"/>
    </row>
    <row r="1651" spans="3:3" x14ac:dyDescent="0.25">
      <c r="C1651"/>
    </row>
    <row r="1652" spans="3:3" x14ac:dyDescent="0.25">
      <c r="C1652"/>
    </row>
    <row r="1653" spans="3:3" x14ac:dyDescent="0.25">
      <c r="C1653"/>
    </row>
    <row r="1654" spans="3:3" x14ac:dyDescent="0.25">
      <c r="C1654"/>
    </row>
    <row r="1655" spans="3:3" x14ac:dyDescent="0.25">
      <c r="C1655"/>
    </row>
    <row r="1656" spans="3:3" x14ac:dyDescent="0.25">
      <c r="C1656"/>
    </row>
    <row r="1657" spans="3:3" x14ac:dyDescent="0.25">
      <c r="C1657"/>
    </row>
    <row r="1658" spans="3:3" x14ac:dyDescent="0.25">
      <c r="C1658"/>
    </row>
    <row r="1659" spans="3:3" x14ac:dyDescent="0.25">
      <c r="C1659"/>
    </row>
    <row r="1660" spans="3:3" x14ac:dyDescent="0.25">
      <c r="C1660"/>
    </row>
    <row r="1661" spans="3:3" x14ac:dyDescent="0.25">
      <c r="C1661"/>
    </row>
    <row r="1662" spans="3:3" x14ac:dyDescent="0.25">
      <c r="C1662"/>
    </row>
    <row r="1663" spans="3:3" x14ac:dyDescent="0.25">
      <c r="C1663"/>
    </row>
    <row r="1664" spans="3:3" x14ac:dyDescent="0.25">
      <c r="C1664"/>
    </row>
    <row r="1665" spans="3:3" x14ac:dyDescent="0.25">
      <c r="C1665"/>
    </row>
    <row r="1666" spans="3:3" x14ac:dyDescent="0.25">
      <c r="C1666"/>
    </row>
    <row r="1667" spans="3:3" x14ac:dyDescent="0.25">
      <c r="C1667"/>
    </row>
    <row r="1668" spans="3:3" x14ac:dyDescent="0.25">
      <c r="C1668"/>
    </row>
    <row r="1669" spans="3:3" x14ac:dyDescent="0.25">
      <c r="C1669"/>
    </row>
    <row r="1670" spans="3:3" x14ac:dyDescent="0.25">
      <c r="C1670"/>
    </row>
    <row r="1671" spans="3:3" x14ac:dyDescent="0.25">
      <c r="C1671"/>
    </row>
    <row r="1672" spans="3:3" x14ac:dyDescent="0.25">
      <c r="C1672"/>
    </row>
    <row r="1673" spans="3:3" x14ac:dyDescent="0.25">
      <c r="C1673"/>
    </row>
    <row r="1674" spans="3:3" x14ac:dyDescent="0.25">
      <c r="C1674"/>
    </row>
    <row r="1675" spans="3:3" x14ac:dyDescent="0.25">
      <c r="C1675"/>
    </row>
    <row r="1676" spans="3:3" x14ac:dyDescent="0.25">
      <c r="C1676"/>
    </row>
    <row r="1677" spans="3:3" x14ac:dyDescent="0.25">
      <c r="C1677"/>
    </row>
    <row r="1678" spans="3:3" x14ac:dyDescent="0.25">
      <c r="C1678"/>
    </row>
    <row r="1679" spans="3:3" x14ac:dyDescent="0.25">
      <c r="C1679"/>
    </row>
    <row r="1680" spans="3:3" x14ac:dyDescent="0.25">
      <c r="C1680"/>
    </row>
    <row r="1681" spans="3:3" x14ac:dyDescent="0.25">
      <c r="C1681"/>
    </row>
    <row r="1682" spans="3:3" x14ac:dyDescent="0.25">
      <c r="C1682"/>
    </row>
    <row r="1683" spans="3:3" x14ac:dyDescent="0.25">
      <c r="C1683"/>
    </row>
    <row r="1684" spans="3:3" x14ac:dyDescent="0.25">
      <c r="C1684"/>
    </row>
    <row r="1685" spans="3:3" x14ac:dyDescent="0.25">
      <c r="C1685"/>
    </row>
    <row r="1686" spans="3:3" x14ac:dyDescent="0.25">
      <c r="C1686"/>
    </row>
    <row r="1687" spans="3:3" x14ac:dyDescent="0.25">
      <c r="C1687"/>
    </row>
    <row r="1688" spans="3:3" x14ac:dyDescent="0.25">
      <c r="C1688"/>
    </row>
    <row r="1689" spans="3:3" x14ac:dyDescent="0.25">
      <c r="C1689"/>
    </row>
    <row r="1690" spans="3:3" x14ac:dyDescent="0.25">
      <c r="C1690"/>
    </row>
    <row r="1691" spans="3:3" x14ac:dyDescent="0.25">
      <c r="C1691"/>
    </row>
    <row r="1692" spans="3:3" x14ac:dyDescent="0.25">
      <c r="C1692"/>
    </row>
    <row r="1693" spans="3:3" x14ac:dyDescent="0.25">
      <c r="C1693"/>
    </row>
    <row r="1694" spans="3:3" x14ac:dyDescent="0.25">
      <c r="C1694"/>
    </row>
    <row r="1695" spans="3:3" x14ac:dyDescent="0.25">
      <c r="C1695"/>
    </row>
    <row r="1696" spans="3:3" x14ac:dyDescent="0.25">
      <c r="C1696"/>
    </row>
    <row r="1697" spans="3:3" x14ac:dyDescent="0.25">
      <c r="C1697"/>
    </row>
    <row r="1698" spans="3:3" x14ac:dyDescent="0.25">
      <c r="C1698"/>
    </row>
    <row r="1699" spans="3:3" x14ac:dyDescent="0.25">
      <c r="C1699"/>
    </row>
    <row r="1700" spans="3:3" x14ac:dyDescent="0.25">
      <c r="C1700"/>
    </row>
    <row r="1701" spans="3:3" x14ac:dyDescent="0.25">
      <c r="C1701"/>
    </row>
    <row r="1702" spans="3:3" x14ac:dyDescent="0.25">
      <c r="C1702"/>
    </row>
    <row r="1703" spans="3:3" x14ac:dyDescent="0.25">
      <c r="C1703"/>
    </row>
    <row r="1704" spans="3:3" x14ac:dyDescent="0.25">
      <c r="C1704"/>
    </row>
    <row r="1705" spans="3:3" x14ac:dyDescent="0.25">
      <c r="C1705"/>
    </row>
    <row r="1706" spans="3:3" x14ac:dyDescent="0.25">
      <c r="C1706"/>
    </row>
    <row r="1707" spans="3:3" x14ac:dyDescent="0.25">
      <c r="C1707"/>
    </row>
    <row r="1708" spans="3:3" x14ac:dyDescent="0.25">
      <c r="C1708"/>
    </row>
    <row r="1709" spans="3:3" x14ac:dyDescent="0.25">
      <c r="C1709"/>
    </row>
    <row r="1710" spans="3:3" x14ac:dyDescent="0.25">
      <c r="C1710"/>
    </row>
    <row r="1711" spans="3:3" x14ac:dyDescent="0.25">
      <c r="C1711"/>
    </row>
    <row r="1712" spans="3:3" x14ac:dyDescent="0.25">
      <c r="C1712"/>
    </row>
    <row r="1713" spans="3:3" x14ac:dyDescent="0.25">
      <c r="C1713"/>
    </row>
    <row r="1714" spans="3:3" x14ac:dyDescent="0.25">
      <c r="C1714"/>
    </row>
    <row r="1715" spans="3:3" x14ac:dyDescent="0.25">
      <c r="C1715"/>
    </row>
    <row r="1716" spans="3:3" x14ac:dyDescent="0.25">
      <c r="C1716"/>
    </row>
    <row r="1717" spans="3:3" x14ac:dyDescent="0.25">
      <c r="C1717"/>
    </row>
    <row r="1718" spans="3:3" x14ac:dyDescent="0.25">
      <c r="C1718"/>
    </row>
    <row r="1719" spans="3:3" x14ac:dyDescent="0.25">
      <c r="C1719"/>
    </row>
    <row r="1720" spans="3:3" x14ac:dyDescent="0.25">
      <c r="C1720"/>
    </row>
    <row r="1721" spans="3:3" x14ac:dyDescent="0.25">
      <c r="C1721"/>
    </row>
    <row r="1722" spans="3:3" x14ac:dyDescent="0.25">
      <c r="C1722"/>
    </row>
    <row r="1723" spans="3:3" x14ac:dyDescent="0.25">
      <c r="C1723"/>
    </row>
    <row r="1724" spans="3:3" x14ac:dyDescent="0.25">
      <c r="C1724"/>
    </row>
    <row r="1725" spans="3:3" x14ac:dyDescent="0.25">
      <c r="C1725"/>
    </row>
    <row r="1726" spans="3:3" x14ac:dyDescent="0.25">
      <c r="C1726"/>
    </row>
    <row r="1727" spans="3:3" x14ac:dyDescent="0.25">
      <c r="C1727"/>
    </row>
    <row r="1728" spans="3:3" x14ac:dyDescent="0.25">
      <c r="C1728"/>
    </row>
    <row r="1729" spans="3:3" x14ac:dyDescent="0.25">
      <c r="C1729"/>
    </row>
    <row r="1730" spans="3:3" x14ac:dyDescent="0.25">
      <c r="C1730"/>
    </row>
    <row r="1731" spans="3:3" x14ac:dyDescent="0.25">
      <c r="C1731"/>
    </row>
    <row r="1732" spans="3:3" x14ac:dyDescent="0.25">
      <c r="C1732"/>
    </row>
    <row r="1733" spans="3:3" x14ac:dyDescent="0.25">
      <c r="C1733"/>
    </row>
    <row r="1734" spans="3:3" x14ac:dyDescent="0.25">
      <c r="C1734"/>
    </row>
    <row r="1735" spans="3:3" x14ac:dyDescent="0.25">
      <c r="C1735"/>
    </row>
    <row r="1736" spans="3:3" x14ac:dyDescent="0.25">
      <c r="C1736"/>
    </row>
    <row r="1737" spans="3:3" x14ac:dyDescent="0.25">
      <c r="C1737"/>
    </row>
    <row r="1738" spans="3:3" x14ac:dyDescent="0.25">
      <c r="C1738"/>
    </row>
    <row r="1739" spans="3:3" x14ac:dyDescent="0.25">
      <c r="C1739"/>
    </row>
    <row r="1740" spans="3:3" x14ac:dyDescent="0.25">
      <c r="C1740"/>
    </row>
    <row r="1741" spans="3:3" x14ac:dyDescent="0.25">
      <c r="C1741"/>
    </row>
    <row r="1742" spans="3:3" x14ac:dyDescent="0.25">
      <c r="C1742"/>
    </row>
    <row r="1743" spans="3:3" x14ac:dyDescent="0.25">
      <c r="C1743"/>
    </row>
    <row r="1744" spans="3:3" x14ac:dyDescent="0.25">
      <c r="C1744"/>
    </row>
    <row r="1745" spans="3:3" x14ac:dyDescent="0.25">
      <c r="C1745"/>
    </row>
    <row r="1746" spans="3:3" x14ac:dyDescent="0.25">
      <c r="C1746"/>
    </row>
    <row r="1747" spans="3:3" x14ac:dyDescent="0.25">
      <c r="C1747"/>
    </row>
    <row r="1748" spans="3:3" x14ac:dyDescent="0.25">
      <c r="C1748"/>
    </row>
    <row r="1749" spans="3:3" x14ac:dyDescent="0.25">
      <c r="C1749"/>
    </row>
    <row r="1750" spans="3:3" x14ac:dyDescent="0.25">
      <c r="C1750"/>
    </row>
    <row r="1751" spans="3:3" x14ac:dyDescent="0.25">
      <c r="C1751"/>
    </row>
    <row r="1752" spans="3:3" x14ac:dyDescent="0.25">
      <c r="C1752"/>
    </row>
    <row r="1753" spans="3:3" x14ac:dyDescent="0.25">
      <c r="C1753"/>
    </row>
    <row r="1754" spans="3:3" x14ac:dyDescent="0.25">
      <c r="C1754"/>
    </row>
    <row r="1755" spans="3:3" x14ac:dyDescent="0.25">
      <c r="C1755"/>
    </row>
    <row r="1756" spans="3:3" x14ac:dyDescent="0.25">
      <c r="C1756"/>
    </row>
    <row r="1757" spans="3:3" x14ac:dyDescent="0.25">
      <c r="C1757"/>
    </row>
    <row r="1758" spans="3:3" x14ac:dyDescent="0.25">
      <c r="C1758"/>
    </row>
    <row r="1759" spans="3:3" x14ac:dyDescent="0.25">
      <c r="C1759"/>
    </row>
    <row r="1760" spans="3:3" x14ac:dyDescent="0.25">
      <c r="C1760"/>
    </row>
    <row r="1761" spans="3:3" x14ac:dyDescent="0.25">
      <c r="C1761"/>
    </row>
    <row r="1762" spans="3:3" x14ac:dyDescent="0.25">
      <c r="C1762"/>
    </row>
    <row r="1763" spans="3:3" x14ac:dyDescent="0.25">
      <c r="C1763"/>
    </row>
    <row r="1764" spans="3:3" x14ac:dyDescent="0.25">
      <c r="C1764"/>
    </row>
    <row r="1765" spans="3:3" x14ac:dyDescent="0.25">
      <c r="C1765"/>
    </row>
    <row r="1766" spans="3:3" x14ac:dyDescent="0.25">
      <c r="C1766"/>
    </row>
    <row r="1767" spans="3:3" x14ac:dyDescent="0.25">
      <c r="C1767"/>
    </row>
    <row r="1768" spans="3:3" x14ac:dyDescent="0.25">
      <c r="C1768"/>
    </row>
    <row r="1769" spans="3:3" x14ac:dyDescent="0.25">
      <c r="C1769"/>
    </row>
    <row r="1770" spans="3:3" x14ac:dyDescent="0.25">
      <c r="C1770"/>
    </row>
    <row r="1771" spans="3:3" x14ac:dyDescent="0.25">
      <c r="C1771"/>
    </row>
    <row r="1772" spans="3:3" x14ac:dyDescent="0.25">
      <c r="C1772"/>
    </row>
    <row r="1773" spans="3:3" x14ac:dyDescent="0.25">
      <c r="C1773"/>
    </row>
    <row r="1774" spans="3:3" x14ac:dyDescent="0.25">
      <c r="C1774"/>
    </row>
    <row r="1775" spans="3:3" x14ac:dyDescent="0.25">
      <c r="C1775"/>
    </row>
    <row r="1776" spans="3:3" x14ac:dyDescent="0.25">
      <c r="C1776"/>
    </row>
    <row r="1777" spans="3:3" x14ac:dyDescent="0.25">
      <c r="C1777"/>
    </row>
    <row r="1778" spans="3:3" x14ac:dyDescent="0.25">
      <c r="C1778"/>
    </row>
    <row r="1779" spans="3:3" x14ac:dyDescent="0.25">
      <c r="C1779"/>
    </row>
    <row r="1780" spans="3:3" x14ac:dyDescent="0.25">
      <c r="C1780"/>
    </row>
    <row r="1781" spans="3:3" x14ac:dyDescent="0.25">
      <c r="C1781"/>
    </row>
    <row r="1782" spans="3:3" x14ac:dyDescent="0.25">
      <c r="C1782"/>
    </row>
    <row r="1783" spans="3:3" x14ac:dyDescent="0.25">
      <c r="C1783"/>
    </row>
    <row r="1784" spans="3:3" x14ac:dyDescent="0.25">
      <c r="C1784"/>
    </row>
    <row r="1785" spans="3:3" x14ac:dyDescent="0.25">
      <c r="C1785"/>
    </row>
    <row r="1786" spans="3:3" x14ac:dyDescent="0.25">
      <c r="C1786"/>
    </row>
    <row r="1787" spans="3:3" x14ac:dyDescent="0.25">
      <c r="C1787"/>
    </row>
    <row r="1788" spans="3:3" x14ac:dyDescent="0.25">
      <c r="C1788"/>
    </row>
    <row r="1789" spans="3:3" x14ac:dyDescent="0.25">
      <c r="C1789"/>
    </row>
    <row r="1790" spans="3:3" x14ac:dyDescent="0.25">
      <c r="C1790"/>
    </row>
    <row r="1791" spans="3:3" x14ac:dyDescent="0.25">
      <c r="C1791"/>
    </row>
    <row r="1792" spans="3:3" x14ac:dyDescent="0.25">
      <c r="C1792"/>
    </row>
    <row r="1793" spans="3:3" x14ac:dyDescent="0.25">
      <c r="C1793"/>
    </row>
    <row r="1794" spans="3:3" x14ac:dyDescent="0.25">
      <c r="C1794"/>
    </row>
    <row r="1795" spans="3:3" x14ac:dyDescent="0.25">
      <c r="C1795"/>
    </row>
    <row r="1796" spans="3:3" x14ac:dyDescent="0.25">
      <c r="C1796"/>
    </row>
    <row r="1797" spans="3:3" x14ac:dyDescent="0.25">
      <c r="C1797"/>
    </row>
    <row r="1798" spans="3:3" x14ac:dyDescent="0.25">
      <c r="C1798"/>
    </row>
    <row r="1799" spans="3:3" x14ac:dyDescent="0.25">
      <c r="C1799"/>
    </row>
    <row r="1800" spans="3:3" x14ac:dyDescent="0.25">
      <c r="C1800"/>
    </row>
    <row r="1801" spans="3:3" x14ac:dyDescent="0.25">
      <c r="C1801"/>
    </row>
    <row r="1802" spans="3:3" x14ac:dyDescent="0.25">
      <c r="C1802"/>
    </row>
    <row r="1803" spans="3:3" x14ac:dyDescent="0.25">
      <c r="C1803"/>
    </row>
    <row r="1804" spans="3:3" x14ac:dyDescent="0.25">
      <c r="C1804"/>
    </row>
    <row r="1805" spans="3:3" x14ac:dyDescent="0.25">
      <c r="C1805"/>
    </row>
    <row r="1806" spans="3:3" x14ac:dyDescent="0.25">
      <c r="C1806"/>
    </row>
    <row r="1807" spans="3:3" x14ac:dyDescent="0.25">
      <c r="C1807"/>
    </row>
    <row r="1808" spans="3:3" x14ac:dyDescent="0.25">
      <c r="C1808"/>
    </row>
    <row r="1809" spans="3:3" x14ac:dyDescent="0.25">
      <c r="C1809"/>
    </row>
    <row r="1810" spans="3:3" x14ac:dyDescent="0.25">
      <c r="C1810"/>
    </row>
    <row r="1811" spans="3:3" x14ac:dyDescent="0.25">
      <c r="C1811"/>
    </row>
    <row r="1812" spans="3:3" x14ac:dyDescent="0.25">
      <c r="C1812"/>
    </row>
    <row r="1813" spans="3:3" x14ac:dyDescent="0.25">
      <c r="C1813"/>
    </row>
    <row r="1814" spans="3:3" x14ac:dyDescent="0.25">
      <c r="C1814"/>
    </row>
    <row r="1815" spans="3:3" x14ac:dyDescent="0.25">
      <c r="C1815"/>
    </row>
    <row r="1816" spans="3:3" x14ac:dyDescent="0.25">
      <c r="C1816"/>
    </row>
    <row r="1817" spans="3:3" x14ac:dyDescent="0.25">
      <c r="C1817"/>
    </row>
    <row r="1818" spans="3:3" x14ac:dyDescent="0.25">
      <c r="C1818"/>
    </row>
    <row r="1819" spans="3:3" x14ac:dyDescent="0.25">
      <c r="C1819"/>
    </row>
    <row r="1820" spans="3:3" x14ac:dyDescent="0.25">
      <c r="C1820"/>
    </row>
    <row r="1821" spans="3:3" x14ac:dyDescent="0.25">
      <c r="C1821"/>
    </row>
    <row r="1822" spans="3:3" x14ac:dyDescent="0.25">
      <c r="C1822"/>
    </row>
    <row r="1823" spans="3:3" x14ac:dyDescent="0.25">
      <c r="C1823"/>
    </row>
    <row r="1824" spans="3:3" x14ac:dyDescent="0.25">
      <c r="C1824"/>
    </row>
    <row r="1825" spans="3:3" x14ac:dyDescent="0.25">
      <c r="C1825"/>
    </row>
    <row r="1826" spans="3:3" x14ac:dyDescent="0.25">
      <c r="C1826"/>
    </row>
    <row r="1827" spans="3:3" x14ac:dyDescent="0.25">
      <c r="C1827"/>
    </row>
    <row r="1828" spans="3:3" x14ac:dyDescent="0.25">
      <c r="C1828"/>
    </row>
    <row r="1829" spans="3:3" x14ac:dyDescent="0.25">
      <c r="C1829"/>
    </row>
    <row r="1830" spans="3:3" x14ac:dyDescent="0.25">
      <c r="C1830"/>
    </row>
    <row r="1831" spans="3:3" x14ac:dyDescent="0.25">
      <c r="C1831"/>
    </row>
    <row r="1832" spans="3:3" x14ac:dyDescent="0.25">
      <c r="C1832"/>
    </row>
    <row r="1833" spans="3:3" x14ac:dyDescent="0.25">
      <c r="C1833"/>
    </row>
    <row r="1834" spans="3:3" x14ac:dyDescent="0.25">
      <c r="C1834"/>
    </row>
    <row r="1835" spans="3:3" x14ac:dyDescent="0.25">
      <c r="C1835"/>
    </row>
    <row r="1836" spans="3:3" x14ac:dyDescent="0.25">
      <c r="C1836"/>
    </row>
    <row r="1837" spans="3:3" x14ac:dyDescent="0.25">
      <c r="C1837"/>
    </row>
    <row r="1838" spans="3:3" x14ac:dyDescent="0.25">
      <c r="C1838"/>
    </row>
    <row r="1839" spans="3:3" x14ac:dyDescent="0.25">
      <c r="C1839"/>
    </row>
    <row r="1840" spans="3:3" x14ac:dyDescent="0.25">
      <c r="C1840"/>
    </row>
    <row r="1841" spans="3:3" x14ac:dyDescent="0.25">
      <c r="C1841"/>
    </row>
    <row r="1842" spans="3:3" x14ac:dyDescent="0.25">
      <c r="C1842"/>
    </row>
    <row r="1843" spans="3:3" x14ac:dyDescent="0.25">
      <c r="C1843"/>
    </row>
    <row r="1844" spans="3:3" x14ac:dyDescent="0.25">
      <c r="C1844"/>
    </row>
    <row r="1845" spans="3:3" x14ac:dyDescent="0.25">
      <c r="C1845"/>
    </row>
    <row r="1846" spans="3:3" x14ac:dyDescent="0.25">
      <c r="C1846"/>
    </row>
    <row r="1847" spans="3:3" x14ac:dyDescent="0.25">
      <c r="C1847"/>
    </row>
    <row r="1848" spans="3:3" x14ac:dyDescent="0.25">
      <c r="C1848"/>
    </row>
    <row r="1849" spans="3:3" x14ac:dyDescent="0.25">
      <c r="C1849"/>
    </row>
    <row r="1850" spans="3:3" x14ac:dyDescent="0.25">
      <c r="C1850"/>
    </row>
    <row r="1851" spans="3:3" x14ac:dyDescent="0.25">
      <c r="C1851"/>
    </row>
    <row r="1852" spans="3:3" x14ac:dyDescent="0.25">
      <c r="C1852"/>
    </row>
    <row r="1853" spans="3:3" x14ac:dyDescent="0.25">
      <c r="C1853"/>
    </row>
    <row r="1854" spans="3:3" x14ac:dyDescent="0.25">
      <c r="C1854"/>
    </row>
    <row r="1855" spans="3:3" x14ac:dyDescent="0.25">
      <c r="C1855"/>
    </row>
    <row r="1856" spans="3:3" x14ac:dyDescent="0.25">
      <c r="C1856"/>
    </row>
    <row r="1857" spans="3:3" x14ac:dyDescent="0.25">
      <c r="C1857"/>
    </row>
    <row r="1858" spans="3:3" x14ac:dyDescent="0.25">
      <c r="C1858"/>
    </row>
    <row r="1859" spans="3:3" x14ac:dyDescent="0.25">
      <c r="C1859"/>
    </row>
    <row r="1860" spans="3:3" x14ac:dyDescent="0.25">
      <c r="C1860"/>
    </row>
    <row r="1861" spans="3:3" x14ac:dyDescent="0.25">
      <c r="C1861"/>
    </row>
    <row r="1862" spans="3:3" x14ac:dyDescent="0.25">
      <c r="C1862"/>
    </row>
    <row r="1863" spans="3:3" x14ac:dyDescent="0.25">
      <c r="C1863"/>
    </row>
    <row r="1864" spans="3:3" x14ac:dyDescent="0.25">
      <c r="C1864"/>
    </row>
    <row r="1865" spans="3:3" x14ac:dyDescent="0.25">
      <c r="C1865"/>
    </row>
    <row r="1866" spans="3:3" x14ac:dyDescent="0.25">
      <c r="C1866"/>
    </row>
    <row r="1867" spans="3:3" x14ac:dyDescent="0.25">
      <c r="C1867"/>
    </row>
    <row r="1868" spans="3:3" x14ac:dyDescent="0.25">
      <c r="C1868"/>
    </row>
    <row r="1869" spans="3:3" x14ac:dyDescent="0.25">
      <c r="C1869"/>
    </row>
    <row r="1870" spans="3:3" x14ac:dyDescent="0.25">
      <c r="C1870"/>
    </row>
    <row r="1871" spans="3:3" x14ac:dyDescent="0.25">
      <c r="C1871"/>
    </row>
    <row r="1872" spans="3:3" x14ac:dyDescent="0.25">
      <c r="C1872"/>
    </row>
    <row r="1873" spans="3:3" x14ac:dyDescent="0.25">
      <c r="C1873"/>
    </row>
    <row r="1874" spans="3:3" x14ac:dyDescent="0.25">
      <c r="C1874"/>
    </row>
    <row r="1875" spans="3:3" x14ac:dyDescent="0.25">
      <c r="C1875"/>
    </row>
    <row r="1876" spans="3:3" x14ac:dyDescent="0.25">
      <c r="C1876"/>
    </row>
    <row r="1877" spans="3:3" x14ac:dyDescent="0.25">
      <c r="C1877"/>
    </row>
    <row r="1878" spans="3:3" x14ac:dyDescent="0.25">
      <c r="C1878"/>
    </row>
    <row r="1879" spans="3:3" x14ac:dyDescent="0.25">
      <c r="C1879"/>
    </row>
    <row r="1880" spans="3:3" x14ac:dyDescent="0.25">
      <c r="C1880"/>
    </row>
    <row r="1881" spans="3:3" x14ac:dyDescent="0.25">
      <c r="C1881"/>
    </row>
    <row r="1882" spans="3:3" x14ac:dyDescent="0.25">
      <c r="C1882"/>
    </row>
    <row r="1883" spans="3:3" x14ac:dyDescent="0.25">
      <c r="C1883"/>
    </row>
    <row r="1884" spans="3:3" x14ac:dyDescent="0.25">
      <c r="C1884"/>
    </row>
    <row r="1885" spans="3:3" x14ac:dyDescent="0.25">
      <c r="C1885"/>
    </row>
    <row r="1886" spans="3:3" x14ac:dyDescent="0.25">
      <c r="C1886"/>
    </row>
    <row r="1887" spans="3:3" x14ac:dyDescent="0.25">
      <c r="C1887"/>
    </row>
    <row r="1888" spans="3:3" x14ac:dyDescent="0.25">
      <c r="C1888"/>
    </row>
    <row r="1889" spans="3:3" x14ac:dyDescent="0.25">
      <c r="C1889"/>
    </row>
    <row r="1890" spans="3:3" x14ac:dyDescent="0.25">
      <c r="C1890"/>
    </row>
    <row r="1891" spans="3:3" x14ac:dyDescent="0.25">
      <c r="C1891"/>
    </row>
    <row r="1892" spans="3:3" x14ac:dyDescent="0.25">
      <c r="C1892"/>
    </row>
    <row r="1893" spans="3:3" x14ac:dyDescent="0.25">
      <c r="C1893"/>
    </row>
    <row r="1894" spans="3:3" x14ac:dyDescent="0.25">
      <c r="C1894"/>
    </row>
    <row r="1895" spans="3:3" x14ac:dyDescent="0.25">
      <c r="C1895"/>
    </row>
    <row r="1896" spans="3:3" x14ac:dyDescent="0.25">
      <c r="C1896"/>
    </row>
    <row r="1897" spans="3:3" x14ac:dyDescent="0.25">
      <c r="C1897"/>
    </row>
    <row r="1898" spans="3:3" x14ac:dyDescent="0.25">
      <c r="C1898"/>
    </row>
    <row r="1899" spans="3:3" x14ac:dyDescent="0.25">
      <c r="C1899"/>
    </row>
    <row r="1900" spans="3:3" x14ac:dyDescent="0.25">
      <c r="C1900"/>
    </row>
    <row r="1901" spans="3:3" x14ac:dyDescent="0.25">
      <c r="C1901"/>
    </row>
    <row r="1902" spans="3:3" x14ac:dyDescent="0.25">
      <c r="C1902"/>
    </row>
    <row r="1903" spans="3:3" x14ac:dyDescent="0.25">
      <c r="C1903"/>
    </row>
    <row r="1904" spans="3:3" x14ac:dyDescent="0.25">
      <c r="C1904"/>
    </row>
    <row r="1905" spans="3:3" x14ac:dyDescent="0.25">
      <c r="C1905"/>
    </row>
    <row r="1906" spans="3:3" x14ac:dyDescent="0.25">
      <c r="C1906"/>
    </row>
    <row r="1907" spans="3:3" x14ac:dyDescent="0.25">
      <c r="C1907"/>
    </row>
    <row r="1908" spans="3:3" x14ac:dyDescent="0.25">
      <c r="C1908"/>
    </row>
    <row r="1909" spans="3:3" x14ac:dyDescent="0.25">
      <c r="C1909"/>
    </row>
    <row r="1910" spans="3:3" x14ac:dyDescent="0.25">
      <c r="C1910"/>
    </row>
    <row r="1911" spans="3:3" x14ac:dyDescent="0.25">
      <c r="C1911"/>
    </row>
    <row r="1912" spans="3:3" x14ac:dyDescent="0.25">
      <c r="C1912"/>
    </row>
    <row r="1913" spans="3:3" x14ac:dyDescent="0.25">
      <c r="C1913"/>
    </row>
    <row r="1914" spans="3:3" x14ac:dyDescent="0.25">
      <c r="C1914"/>
    </row>
    <row r="1915" spans="3:3" x14ac:dyDescent="0.25">
      <c r="C1915"/>
    </row>
    <row r="1916" spans="3:3" x14ac:dyDescent="0.25">
      <c r="C1916"/>
    </row>
    <row r="1917" spans="3:3" x14ac:dyDescent="0.25">
      <c r="C1917"/>
    </row>
    <row r="1918" spans="3:3" x14ac:dyDescent="0.25">
      <c r="C1918"/>
    </row>
    <row r="1919" spans="3:3" x14ac:dyDescent="0.25">
      <c r="C1919"/>
    </row>
    <row r="1920" spans="3:3" x14ac:dyDescent="0.25">
      <c r="C1920"/>
    </row>
    <row r="1921" spans="3:3" x14ac:dyDescent="0.25">
      <c r="C1921"/>
    </row>
    <row r="1922" spans="3:3" x14ac:dyDescent="0.25">
      <c r="C1922"/>
    </row>
    <row r="1923" spans="3:3" x14ac:dyDescent="0.25">
      <c r="C1923"/>
    </row>
    <row r="1924" spans="3:3" x14ac:dyDescent="0.25">
      <c r="C1924"/>
    </row>
    <row r="1925" spans="3:3" x14ac:dyDescent="0.25">
      <c r="C1925"/>
    </row>
    <row r="1926" spans="3:3" x14ac:dyDescent="0.25">
      <c r="C1926"/>
    </row>
    <row r="1927" spans="3:3" x14ac:dyDescent="0.25">
      <c r="C1927"/>
    </row>
    <row r="1928" spans="3:3" x14ac:dyDescent="0.25">
      <c r="C1928"/>
    </row>
    <row r="1929" spans="3:3" x14ac:dyDescent="0.25">
      <c r="C1929"/>
    </row>
    <row r="1930" spans="3:3" x14ac:dyDescent="0.25">
      <c r="C1930"/>
    </row>
    <row r="1931" spans="3:3" x14ac:dyDescent="0.25">
      <c r="C1931"/>
    </row>
    <row r="1932" spans="3:3" x14ac:dyDescent="0.25">
      <c r="C1932"/>
    </row>
    <row r="1933" spans="3:3" x14ac:dyDescent="0.25">
      <c r="C1933"/>
    </row>
    <row r="1934" spans="3:3" x14ac:dyDescent="0.25">
      <c r="C1934"/>
    </row>
    <row r="1935" spans="3:3" x14ac:dyDescent="0.25">
      <c r="C1935"/>
    </row>
    <row r="1936" spans="3:3" x14ac:dyDescent="0.25">
      <c r="C1936"/>
    </row>
    <row r="1937" spans="3:3" x14ac:dyDescent="0.25">
      <c r="C1937"/>
    </row>
    <row r="1938" spans="3:3" x14ac:dyDescent="0.25">
      <c r="C1938"/>
    </row>
    <row r="1939" spans="3:3" x14ac:dyDescent="0.25">
      <c r="C1939"/>
    </row>
    <row r="1940" spans="3:3" x14ac:dyDescent="0.25">
      <c r="C1940"/>
    </row>
    <row r="1941" spans="3:3" x14ac:dyDescent="0.25">
      <c r="C1941"/>
    </row>
    <row r="1942" spans="3:3" x14ac:dyDescent="0.25">
      <c r="C1942"/>
    </row>
    <row r="1943" spans="3:3" x14ac:dyDescent="0.25">
      <c r="C1943"/>
    </row>
    <row r="1944" spans="3:3" x14ac:dyDescent="0.25">
      <c r="C1944"/>
    </row>
    <row r="1945" spans="3:3" x14ac:dyDescent="0.25">
      <c r="C1945"/>
    </row>
    <row r="1946" spans="3:3" x14ac:dyDescent="0.25">
      <c r="C1946"/>
    </row>
    <row r="1947" spans="3:3" x14ac:dyDescent="0.25">
      <c r="C1947"/>
    </row>
    <row r="1948" spans="3:3" x14ac:dyDescent="0.25">
      <c r="C1948"/>
    </row>
    <row r="1949" spans="3:3" x14ac:dyDescent="0.25">
      <c r="C1949"/>
    </row>
    <row r="1950" spans="3:3" x14ac:dyDescent="0.25">
      <c r="C1950"/>
    </row>
    <row r="1951" spans="3:3" x14ac:dyDescent="0.25">
      <c r="C1951"/>
    </row>
    <row r="1952" spans="3:3" x14ac:dyDescent="0.25">
      <c r="C1952"/>
    </row>
    <row r="1953" spans="3:3" x14ac:dyDescent="0.25">
      <c r="C1953"/>
    </row>
    <row r="1954" spans="3:3" x14ac:dyDescent="0.25">
      <c r="C1954"/>
    </row>
    <row r="1955" spans="3:3" x14ac:dyDescent="0.25">
      <c r="C1955"/>
    </row>
    <row r="1956" spans="3:3" x14ac:dyDescent="0.25">
      <c r="C1956"/>
    </row>
    <row r="1957" spans="3:3" x14ac:dyDescent="0.25">
      <c r="C1957"/>
    </row>
    <row r="1958" spans="3:3" x14ac:dyDescent="0.25">
      <c r="C1958"/>
    </row>
    <row r="1959" spans="3:3" x14ac:dyDescent="0.25">
      <c r="C1959"/>
    </row>
    <row r="1960" spans="3:3" x14ac:dyDescent="0.25">
      <c r="C1960"/>
    </row>
    <row r="1961" spans="3:3" x14ac:dyDescent="0.25">
      <c r="C1961"/>
    </row>
    <row r="1962" spans="3:3" x14ac:dyDescent="0.25">
      <c r="C1962"/>
    </row>
    <row r="1963" spans="3:3" x14ac:dyDescent="0.25">
      <c r="C1963"/>
    </row>
    <row r="1964" spans="3:3" x14ac:dyDescent="0.25">
      <c r="C1964"/>
    </row>
    <row r="1965" spans="3:3" x14ac:dyDescent="0.25">
      <c r="C1965"/>
    </row>
    <row r="1966" spans="3:3" x14ac:dyDescent="0.25">
      <c r="C1966"/>
    </row>
    <row r="1967" spans="3:3" x14ac:dyDescent="0.25">
      <c r="C1967"/>
    </row>
    <row r="1968" spans="3:3" x14ac:dyDescent="0.25">
      <c r="C1968"/>
    </row>
    <row r="1969" spans="3:3" x14ac:dyDescent="0.25">
      <c r="C1969"/>
    </row>
    <row r="1970" spans="3:3" x14ac:dyDescent="0.25">
      <c r="C1970"/>
    </row>
    <row r="1971" spans="3:3" x14ac:dyDescent="0.25">
      <c r="C1971"/>
    </row>
    <row r="1972" spans="3:3" x14ac:dyDescent="0.25">
      <c r="C1972"/>
    </row>
    <row r="1973" spans="3:3" x14ac:dyDescent="0.25">
      <c r="C1973"/>
    </row>
    <row r="1974" spans="3:3" x14ac:dyDescent="0.25">
      <c r="C1974"/>
    </row>
    <row r="1975" spans="3:3" x14ac:dyDescent="0.25">
      <c r="C1975"/>
    </row>
    <row r="1976" spans="3:3" x14ac:dyDescent="0.25">
      <c r="C1976"/>
    </row>
    <row r="1977" spans="3:3" x14ac:dyDescent="0.25">
      <c r="C1977"/>
    </row>
    <row r="1978" spans="3:3" x14ac:dyDescent="0.25">
      <c r="C1978"/>
    </row>
    <row r="1979" spans="3:3" x14ac:dyDescent="0.25">
      <c r="C1979"/>
    </row>
    <row r="1980" spans="3:3" x14ac:dyDescent="0.25">
      <c r="C1980"/>
    </row>
    <row r="1981" spans="3:3" x14ac:dyDescent="0.25">
      <c r="C1981"/>
    </row>
    <row r="1982" spans="3:3" x14ac:dyDescent="0.25">
      <c r="C1982"/>
    </row>
    <row r="1983" spans="3:3" x14ac:dyDescent="0.25">
      <c r="C1983"/>
    </row>
    <row r="1984" spans="3:3" x14ac:dyDescent="0.25">
      <c r="C1984"/>
    </row>
    <row r="1985" spans="3:3" x14ac:dyDescent="0.25">
      <c r="C1985"/>
    </row>
    <row r="1986" spans="3:3" x14ac:dyDescent="0.25">
      <c r="C1986"/>
    </row>
    <row r="1987" spans="3:3" x14ac:dyDescent="0.25">
      <c r="C1987"/>
    </row>
    <row r="1988" spans="3:3" x14ac:dyDescent="0.25">
      <c r="C1988"/>
    </row>
    <row r="1989" spans="3:3" x14ac:dyDescent="0.25">
      <c r="C1989"/>
    </row>
    <row r="1990" spans="3:3" x14ac:dyDescent="0.25">
      <c r="C1990"/>
    </row>
    <row r="1991" spans="3:3" x14ac:dyDescent="0.25">
      <c r="C1991"/>
    </row>
    <row r="1992" spans="3:3" x14ac:dyDescent="0.25">
      <c r="C1992"/>
    </row>
    <row r="1993" spans="3:3" x14ac:dyDescent="0.25">
      <c r="C1993"/>
    </row>
    <row r="1994" spans="3:3" x14ac:dyDescent="0.25">
      <c r="C1994"/>
    </row>
    <row r="1995" spans="3:3" x14ac:dyDescent="0.25">
      <c r="C1995"/>
    </row>
    <row r="1996" spans="3:3" x14ac:dyDescent="0.25">
      <c r="C1996"/>
    </row>
    <row r="1997" spans="3:3" x14ac:dyDescent="0.25">
      <c r="C1997"/>
    </row>
    <row r="1998" spans="3:3" x14ac:dyDescent="0.25">
      <c r="C1998"/>
    </row>
    <row r="1999" spans="3:3" x14ac:dyDescent="0.25">
      <c r="C1999"/>
    </row>
    <row r="2000" spans="3:3" x14ac:dyDescent="0.25">
      <c r="C2000"/>
    </row>
    <row r="2001" spans="3:3" x14ac:dyDescent="0.25">
      <c r="C2001"/>
    </row>
    <row r="2002" spans="3:3" x14ac:dyDescent="0.25">
      <c r="C2002"/>
    </row>
    <row r="2003" spans="3:3" x14ac:dyDescent="0.25">
      <c r="C2003"/>
    </row>
    <row r="2004" spans="3:3" x14ac:dyDescent="0.25">
      <c r="C2004"/>
    </row>
    <row r="2005" spans="3:3" x14ac:dyDescent="0.25">
      <c r="C2005"/>
    </row>
    <row r="2006" spans="3:3" x14ac:dyDescent="0.25">
      <c r="C2006"/>
    </row>
    <row r="2007" spans="3:3" x14ac:dyDescent="0.25">
      <c r="C2007"/>
    </row>
    <row r="2008" spans="3:3" x14ac:dyDescent="0.25">
      <c r="C2008"/>
    </row>
    <row r="2009" spans="3:3" x14ac:dyDescent="0.25">
      <c r="C2009"/>
    </row>
    <row r="2010" spans="3:3" x14ac:dyDescent="0.25">
      <c r="C2010"/>
    </row>
    <row r="2011" spans="3:3" x14ac:dyDescent="0.25">
      <c r="C2011"/>
    </row>
    <row r="2012" spans="3:3" x14ac:dyDescent="0.25">
      <c r="C2012"/>
    </row>
    <row r="2013" spans="3:3" x14ac:dyDescent="0.25">
      <c r="C2013"/>
    </row>
    <row r="2014" spans="3:3" x14ac:dyDescent="0.25">
      <c r="C2014"/>
    </row>
    <row r="2015" spans="3:3" x14ac:dyDescent="0.25">
      <c r="C2015"/>
    </row>
    <row r="2016" spans="3:3" x14ac:dyDescent="0.25">
      <c r="C2016"/>
    </row>
    <row r="2017" spans="3:3" x14ac:dyDescent="0.25">
      <c r="C2017"/>
    </row>
    <row r="2018" spans="3:3" x14ac:dyDescent="0.25">
      <c r="C2018"/>
    </row>
    <row r="2019" spans="3:3" x14ac:dyDescent="0.25">
      <c r="C2019"/>
    </row>
    <row r="2020" spans="3:3" x14ac:dyDescent="0.25">
      <c r="C2020"/>
    </row>
    <row r="2021" spans="3:3" x14ac:dyDescent="0.25">
      <c r="C2021"/>
    </row>
    <row r="2022" spans="3:3" x14ac:dyDescent="0.25">
      <c r="C2022"/>
    </row>
    <row r="2023" spans="3:3" x14ac:dyDescent="0.25">
      <c r="C2023"/>
    </row>
    <row r="2024" spans="3:3" x14ac:dyDescent="0.25">
      <c r="C2024"/>
    </row>
    <row r="2025" spans="3:3" x14ac:dyDescent="0.25">
      <c r="C2025"/>
    </row>
    <row r="2026" spans="3:3" x14ac:dyDescent="0.25">
      <c r="C2026"/>
    </row>
    <row r="2027" spans="3:3" x14ac:dyDescent="0.25">
      <c r="C2027"/>
    </row>
    <row r="2028" spans="3:3" x14ac:dyDescent="0.25">
      <c r="C2028"/>
    </row>
    <row r="2029" spans="3:3" x14ac:dyDescent="0.25">
      <c r="C2029"/>
    </row>
    <row r="2030" spans="3:3" x14ac:dyDescent="0.25">
      <c r="C2030"/>
    </row>
    <row r="2031" spans="3:3" x14ac:dyDescent="0.25">
      <c r="C2031"/>
    </row>
    <row r="2032" spans="3:3" x14ac:dyDescent="0.25">
      <c r="C2032"/>
    </row>
    <row r="2033" spans="3:3" x14ac:dyDescent="0.25">
      <c r="C2033"/>
    </row>
    <row r="2034" spans="3:3" x14ac:dyDescent="0.25">
      <c r="C2034"/>
    </row>
    <row r="2035" spans="3:3" x14ac:dyDescent="0.25">
      <c r="C2035"/>
    </row>
    <row r="2036" spans="3:3" x14ac:dyDescent="0.25">
      <c r="C2036"/>
    </row>
    <row r="2037" spans="3:3" x14ac:dyDescent="0.25">
      <c r="C2037"/>
    </row>
    <row r="2038" spans="3:3" x14ac:dyDescent="0.25">
      <c r="C2038"/>
    </row>
    <row r="2039" spans="3:3" x14ac:dyDescent="0.25">
      <c r="C2039"/>
    </row>
    <row r="2040" spans="3:3" x14ac:dyDescent="0.25">
      <c r="C2040"/>
    </row>
    <row r="2041" spans="3:3" x14ac:dyDescent="0.25">
      <c r="C2041"/>
    </row>
    <row r="2042" spans="3:3" x14ac:dyDescent="0.25">
      <c r="C2042"/>
    </row>
    <row r="2043" spans="3:3" x14ac:dyDescent="0.25">
      <c r="C2043"/>
    </row>
    <row r="2044" spans="3:3" x14ac:dyDescent="0.25">
      <c r="C2044"/>
    </row>
    <row r="2045" spans="3:3" x14ac:dyDescent="0.25">
      <c r="C2045"/>
    </row>
    <row r="2046" spans="3:3" x14ac:dyDescent="0.25">
      <c r="C2046"/>
    </row>
    <row r="2047" spans="3:3" x14ac:dyDescent="0.25">
      <c r="C2047"/>
    </row>
    <row r="2048" spans="3:3" x14ac:dyDescent="0.25">
      <c r="C2048"/>
    </row>
    <row r="2049" spans="3:3" x14ac:dyDescent="0.25">
      <c r="C2049"/>
    </row>
    <row r="2050" spans="3:3" x14ac:dyDescent="0.25">
      <c r="C2050"/>
    </row>
    <row r="2051" spans="3:3" x14ac:dyDescent="0.25">
      <c r="C2051"/>
    </row>
    <row r="2052" spans="3:3" x14ac:dyDescent="0.25">
      <c r="C2052"/>
    </row>
    <row r="2053" spans="3:3" x14ac:dyDescent="0.25">
      <c r="C2053"/>
    </row>
    <row r="2054" spans="3:3" x14ac:dyDescent="0.25">
      <c r="C2054"/>
    </row>
    <row r="2055" spans="3:3" x14ac:dyDescent="0.25">
      <c r="C2055"/>
    </row>
    <row r="2056" spans="3:3" x14ac:dyDescent="0.25">
      <c r="C2056"/>
    </row>
    <row r="2057" spans="3:3" x14ac:dyDescent="0.25">
      <c r="C2057"/>
    </row>
    <row r="2058" spans="3:3" x14ac:dyDescent="0.25">
      <c r="C2058"/>
    </row>
    <row r="2059" spans="3:3" x14ac:dyDescent="0.25">
      <c r="C2059"/>
    </row>
    <row r="2060" spans="3:3" x14ac:dyDescent="0.25">
      <c r="C2060"/>
    </row>
    <row r="2061" spans="3:3" x14ac:dyDescent="0.25">
      <c r="C2061"/>
    </row>
    <row r="2062" spans="3:3" x14ac:dyDescent="0.25">
      <c r="C2062"/>
    </row>
    <row r="2063" spans="3:3" x14ac:dyDescent="0.25">
      <c r="C2063"/>
    </row>
    <row r="2064" spans="3:3" x14ac:dyDescent="0.25">
      <c r="C2064"/>
    </row>
    <row r="2065" spans="3:3" x14ac:dyDescent="0.25">
      <c r="C2065"/>
    </row>
    <row r="2066" spans="3:3" x14ac:dyDescent="0.25">
      <c r="C2066"/>
    </row>
    <row r="2067" spans="3:3" x14ac:dyDescent="0.25">
      <c r="C2067"/>
    </row>
    <row r="2068" spans="3:3" x14ac:dyDescent="0.25">
      <c r="C2068"/>
    </row>
    <row r="2069" spans="3:3" x14ac:dyDescent="0.25">
      <c r="C2069"/>
    </row>
    <row r="2070" spans="3:3" x14ac:dyDescent="0.25">
      <c r="C2070"/>
    </row>
    <row r="2071" spans="3:3" x14ac:dyDescent="0.25">
      <c r="C2071"/>
    </row>
    <row r="2072" spans="3:3" x14ac:dyDescent="0.25">
      <c r="C2072"/>
    </row>
    <row r="2073" spans="3:3" x14ac:dyDescent="0.25">
      <c r="C2073"/>
    </row>
    <row r="2074" spans="3:3" x14ac:dyDescent="0.25">
      <c r="C2074"/>
    </row>
    <row r="2075" spans="3:3" x14ac:dyDescent="0.25">
      <c r="C2075"/>
    </row>
    <row r="2076" spans="3:3" x14ac:dyDescent="0.25">
      <c r="C2076"/>
    </row>
    <row r="2077" spans="3:3" x14ac:dyDescent="0.25">
      <c r="C2077"/>
    </row>
    <row r="2078" spans="3:3" x14ac:dyDescent="0.25">
      <c r="C2078"/>
    </row>
    <row r="2079" spans="3:3" x14ac:dyDescent="0.25">
      <c r="C2079"/>
    </row>
    <row r="2080" spans="3:3" x14ac:dyDescent="0.25">
      <c r="C2080"/>
    </row>
    <row r="2081" spans="3:3" x14ac:dyDescent="0.25">
      <c r="C2081"/>
    </row>
    <row r="2082" spans="3:3" x14ac:dyDescent="0.25">
      <c r="C2082"/>
    </row>
    <row r="2083" spans="3:3" x14ac:dyDescent="0.25">
      <c r="C2083"/>
    </row>
    <row r="2084" spans="3:3" x14ac:dyDescent="0.25">
      <c r="C2084"/>
    </row>
    <row r="2085" spans="3:3" x14ac:dyDescent="0.25">
      <c r="C2085"/>
    </row>
    <row r="2086" spans="3:3" x14ac:dyDescent="0.25">
      <c r="C2086"/>
    </row>
    <row r="2087" spans="3:3" x14ac:dyDescent="0.25">
      <c r="C2087"/>
    </row>
    <row r="2088" spans="3:3" x14ac:dyDescent="0.25">
      <c r="C2088"/>
    </row>
    <row r="2089" spans="3:3" x14ac:dyDescent="0.25">
      <c r="C2089"/>
    </row>
    <row r="2090" spans="3:3" x14ac:dyDescent="0.25">
      <c r="C2090"/>
    </row>
    <row r="2091" spans="3:3" x14ac:dyDescent="0.25">
      <c r="C2091"/>
    </row>
    <row r="2092" spans="3:3" x14ac:dyDescent="0.25">
      <c r="C2092"/>
    </row>
    <row r="2093" spans="3:3" x14ac:dyDescent="0.25">
      <c r="C2093"/>
    </row>
    <row r="2094" spans="3:3" x14ac:dyDescent="0.25">
      <c r="C2094"/>
    </row>
    <row r="2095" spans="3:3" x14ac:dyDescent="0.25">
      <c r="C2095"/>
    </row>
    <row r="2096" spans="3:3" x14ac:dyDescent="0.25">
      <c r="C2096"/>
    </row>
    <row r="2097" spans="3:3" x14ac:dyDescent="0.25">
      <c r="C2097"/>
    </row>
    <row r="2098" spans="3:3" x14ac:dyDescent="0.25">
      <c r="C2098"/>
    </row>
    <row r="2099" spans="3:3" x14ac:dyDescent="0.25">
      <c r="C2099"/>
    </row>
    <row r="2100" spans="3:3" x14ac:dyDescent="0.25">
      <c r="C2100"/>
    </row>
    <row r="2101" spans="3:3" x14ac:dyDescent="0.25">
      <c r="C2101"/>
    </row>
    <row r="2102" spans="3:3" x14ac:dyDescent="0.25">
      <c r="C2102"/>
    </row>
    <row r="2103" spans="3:3" x14ac:dyDescent="0.25">
      <c r="C2103"/>
    </row>
    <row r="2104" spans="3:3" x14ac:dyDescent="0.25">
      <c r="C2104"/>
    </row>
    <row r="2105" spans="3:3" x14ac:dyDescent="0.25">
      <c r="C2105"/>
    </row>
    <row r="2106" spans="3:3" x14ac:dyDescent="0.25">
      <c r="C2106"/>
    </row>
    <row r="2107" spans="3:3" x14ac:dyDescent="0.25">
      <c r="C2107"/>
    </row>
    <row r="2108" spans="3:3" x14ac:dyDescent="0.25">
      <c r="C2108"/>
    </row>
    <row r="2109" spans="3:3" x14ac:dyDescent="0.25">
      <c r="C2109"/>
    </row>
    <row r="2110" spans="3:3" x14ac:dyDescent="0.25">
      <c r="C2110"/>
    </row>
    <row r="2111" spans="3:3" x14ac:dyDescent="0.25">
      <c r="C2111"/>
    </row>
    <row r="2112" spans="3:3" x14ac:dyDescent="0.25">
      <c r="C2112"/>
    </row>
    <row r="2113" spans="3:3" x14ac:dyDescent="0.25">
      <c r="C2113"/>
    </row>
    <row r="2114" spans="3:3" x14ac:dyDescent="0.25">
      <c r="C2114"/>
    </row>
    <row r="2115" spans="3:3" x14ac:dyDescent="0.25">
      <c r="C2115"/>
    </row>
    <row r="2116" spans="3:3" x14ac:dyDescent="0.25">
      <c r="C2116"/>
    </row>
    <row r="2117" spans="3:3" x14ac:dyDescent="0.25">
      <c r="C2117"/>
    </row>
    <row r="2118" spans="3:3" x14ac:dyDescent="0.25">
      <c r="C2118"/>
    </row>
    <row r="2119" spans="3:3" x14ac:dyDescent="0.25">
      <c r="C2119"/>
    </row>
    <row r="2120" spans="3:3" x14ac:dyDescent="0.25">
      <c r="C2120"/>
    </row>
    <row r="2121" spans="3:3" x14ac:dyDescent="0.25">
      <c r="C2121"/>
    </row>
    <row r="2122" spans="3:3" x14ac:dyDescent="0.25">
      <c r="C2122"/>
    </row>
    <row r="2123" spans="3:3" x14ac:dyDescent="0.25">
      <c r="C2123"/>
    </row>
    <row r="2124" spans="3:3" x14ac:dyDescent="0.25">
      <c r="C2124"/>
    </row>
    <row r="2125" spans="3:3" x14ac:dyDescent="0.25">
      <c r="C2125"/>
    </row>
    <row r="2126" spans="3:3" x14ac:dyDescent="0.25">
      <c r="C2126"/>
    </row>
    <row r="2127" spans="3:3" x14ac:dyDescent="0.25">
      <c r="C2127"/>
    </row>
    <row r="2128" spans="3:3" x14ac:dyDescent="0.25">
      <c r="C2128"/>
    </row>
    <row r="2129" spans="3:3" x14ac:dyDescent="0.25">
      <c r="C2129"/>
    </row>
    <row r="2130" spans="3:3" x14ac:dyDescent="0.25">
      <c r="C2130"/>
    </row>
    <row r="2131" spans="3:3" x14ac:dyDescent="0.25">
      <c r="C2131"/>
    </row>
    <row r="2132" spans="3:3" x14ac:dyDescent="0.25">
      <c r="C2132"/>
    </row>
    <row r="2133" spans="3:3" x14ac:dyDescent="0.25">
      <c r="C2133"/>
    </row>
    <row r="2134" spans="3:3" x14ac:dyDescent="0.25">
      <c r="C2134"/>
    </row>
    <row r="2135" spans="3:3" x14ac:dyDescent="0.25">
      <c r="C2135"/>
    </row>
    <row r="2136" spans="3:3" x14ac:dyDescent="0.25">
      <c r="C2136"/>
    </row>
    <row r="2137" spans="3:3" x14ac:dyDescent="0.25">
      <c r="C2137"/>
    </row>
    <row r="2138" spans="3:3" x14ac:dyDescent="0.25">
      <c r="C2138"/>
    </row>
    <row r="2139" spans="3:3" x14ac:dyDescent="0.25">
      <c r="C2139"/>
    </row>
    <row r="2140" spans="3:3" x14ac:dyDescent="0.25">
      <c r="C2140"/>
    </row>
    <row r="2141" spans="3:3" x14ac:dyDescent="0.25">
      <c r="C2141"/>
    </row>
    <row r="2142" spans="3:3" x14ac:dyDescent="0.25">
      <c r="C2142"/>
    </row>
    <row r="2143" spans="3:3" x14ac:dyDescent="0.25">
      <c r="C2143"/>
    </row>
    <row r="2144" spans="3:3" x14ac:dyDescent="0.25">
      <c r="C2144"/>
    </row>
    <row r="2145" spans="3:3" x14ac:dyDescent="0.25">
      <c r="C2145"/>
    </row>
    <row r="2146" spans="3:3" x14ac:dyDescent="0.25">
      <c r="C2146"/>
    </row>
    <row r="2147" spans="3:3" x14ac:dyDescent="0.25">
      <c r="C2147"/>
    </row>
    <row r="2148" spans="3:3" x14ac:dyDescent="0.25">
      <c r="C2148"/>
    </row>
    <row r="2149" spans="3:3" x14ac:dyDescent="0.25">
      <c r="C2149"/>
    </row>
    <row r="2150" spans="3:3" x14ac:dyDescent="0.25">
      <c r="C2150"/>
    </row>
    <row r="2151" spans="3:3" x14ac:dyDescent="0.25">
      <c r="C2151"/>
    </row>
    <row r="2152" spans="3:3" x14ac:dyDescent="0.25">
      <c r="C2152"/>
    </row>
    <row r="2153" spans="3:3" x14ac:dyDescent="0.25">
      <c r="C2153"/>
    </row>
    <row r="2154" spans="3:3" x14ac:dyDescent="0.25">
      <c r="C2154"/>
    </row>
    <row r="2155" spans="3:3" x14ac:dyDescent="0.25">
      <c r="C2155"/>
    </row>
    <row r="2156" spans="3:3" x14ac:dyDescent="0.25">
      <c r="C2156"/>
    </row>
    <row r="2157" spans="3:3" x14ac:dyDescent="0.25">
      <c r="C2157"/>
    </row>
    <row r="2158" spans="3:3" x14ac:dyDescent="0.25">
      <c r="C2158"/>
    </row>
    <row r="2159" spans="3:3" x14ac:dyDescent="0.25">
      <c r="C2159"/>
    </row>
    <row r="2160" spans="3:3" x14ac:dyDescent="0.25">
      <c r="C2160"/>
    </row>
    <row r="2161" spans="3:3" x14ac:dyDescent="0.25">
      <c r="C2161"/>
    </row>
    <row r="2162" spans="3:3" x14ac:dyDescent="0.25">
      <c r="C2162"/>
    </row>
    <row r="2163" spans="3:3" x14ac:dyDescent="0.25">
      <c r="C2163"/>
    </row>
    <row r="2164" spans="3:3" x14ac:dyDescent="0.25">
      <c r="C2164"/>
    </row>
    <row r="2165" spans="3:3" x14ac:dyDescent="0.25">
      <c r="C2165"/>
    </row>
    <row r="2166" spans="3:3" x14ac:dyDescent="0.25">
      <c r="C2166"/>
    </row>
    <row r="2167" spans="3:3" x14ac:dyDescent="0.25">
      <c r="C2167"/>
    </row>
    <row r="2168" spans="3:3" x14ac:dyDescent="0.25">
      <c r="C2168"/>
    </row>
    <row r="2169" spans="3:3" x14ac:dyDescent="0.25">
      <c r="C2169"/>
    </row>
    <row r="2170" spans="3:3" x14ac:dyDescent="0.25">
      <c r="C2170"/>
    </row>
    <row r="2171" spans="3:3" x14ac:dyDescent="0.25">
      <c r="C2171"/>
    </row>
    <row r="2172" spans="3:3" x14ac:dyDescent="0.25">
      <c r="C2172"/>
    </row>
    <row r="2173" spans="3:3" x14ac:dyDescent="0.25">
      <c r="C2173"/>
    </row>
    <row r="2174" spans="3:3" x14ac:dyDescent="0.25">
      <c r="C2174"/>
    </row>
    <row r="2175" spans="3:3" x14ac:dyDescent="0.25">
      <c r="C2175"/>
    </row>
    <row r="2176" spans="3:3" x14ac:dyDescent="0.25">
      <c r="C2176"/>
    </row>
    <row r="2177" spans="3:3" x14ac:dyDescent="0.25">
      <c r="C2177"/>
    </row>
    <row r="2178" spans="3:3" x14ac:dyDescent="0.25">
      <c r="C2178"/>
    </row>
    <row r="2179" spans="3:3" x14ac:dyDescent="0.25">
      <c r="C2179"/>
    </row>
    <row r="2180" spans="3:3" x14ac:dyDescent="0.25">
      <c r="C2180"/>
    </row>
    <row r="2181" spans="3:3" x14ac:dyDescent="0.25">
      <c r="C2181"/>
    </row>
    <row r="2182" spans="3:3" x14ac:dyDescent="0.25">
      <c r="C2182"/>
    </row>
    <row r="2183" spans="3:3" x14ac:dyDescent="0.25">
      <c r="C2183"/>
    </row>
    <row r="2184" spans="3:3" x14ac:dyDescent="0.25">
      <c r="C2184"/>
    </row>
    <row r="2185" spans="3:3" x14ac:dyDescent="0.25">
      <c r="C2185"/>
    </row>
    <row r="2186" spans="3:3" x14ac:dyDescent="0.25">
      <c r="C2186"/>
    </row>
    <row r="2187" spans="3:3" x14ac:dyDescent="0.25">
      <c r="C2187"/>
    </row>
    <row r="2188" spans="3:3" x14ac:dyDescent="0.25">
      <c r="C2188"/>
    </row>
    <row r="2189" spans="3:3" x14ac:dyDescent="0.25">
      <c r="C2189"/>
    </row>
    <row r="2190" spans="3:3" x14ac:dyDescent="0.25">
      <c r="C2190"/>
    </row>
    <row r="2191" spans="3:3" x14ac:dyDescent="0.25">
      <c r="C2191"/>
    </row>
    <row r="2192" spans="3:3" x14ac:dyDescent="0.25">
      <c r="C2192"/>
    </row>
    <row r="2193" spans="3:3" x14ac:dyDescent="0.25">
      <c r="C2193"/>
    </row>
    <row r="2194" spans="3:3" x14ac:dyDescent="0.25">
      <c r="C2194"/>
    </row>
    <row r="2195" spans="3:3" x14ac:dyDescent="0.25">
      <c r="C2195"/>
    </row>
    <row r="2196" spans="3:3" x14ac:dyDescent="0.25">
      <c r="C2196"/>
    </row>
    <row r="2197" spans="3:3" x14ac:dyDescent="0.25">
      <c r="C2197"/>
    </row>
    <row r="2198" spans="3:3" x14ac:dyDescent="0.25">
      <c r="C2198"/>
    </row>
    <row r="2199" spans="3:3" x14ac:dyDescent="0.25">
      <c r="C2199"/>
    </row>
    <row r="2200" spans="3:3" x14ac:dyDescent="0.25">
      <c r="C2200"/>
    </row>
    <row r="2201" spans="3:3" x14ac:dyDescent="0.25">
      <c r="C2201"/>
    </row>
    <row r="2202" spans="3:3" x14ac:dyDescent="0.25">
      <c r="C2202"/>
    </row>
    <row r="2203" spans="3:3" x14ac:dyDescent="0.25">
      <c r="C2203"/>
    </row>
    <row r="2204" spans="3:3" x14ac:dyDescent="0.25">
      <c r="C2204"/>
    </row>
    <row r="2205" spans="3:3" x14ac:dyDescent="0.25">
      <c r="C2205"/>
    </row>
    <row r="2206" spans="3:3" x14ac:dyDescent="0.25">
      <c r="C2206"/>
    </row>
    <row r="2207" spans="3:3" x14ac:dyDescent="0.25">
      <c r="C2207"/>
    </row>
    <row r="2208" spans="3:3" x14ac:dyDescent="0.25">
      <c r="C2208"/>
    </row>
    <row r="2209" spans="3:3" x14ac:dyDescent="0.25">
      <c r="C2209"/>
    </row>
    <row r="2210" spans="3:3" x14ac:dyDescent="0.25">
      <c r="C2210"/>
    </row>
    <row r="2211" spans="3:3" x14ac:dyDescent="0.25">
      <c r="C2211"/>
    </row>
    <row r="2212" spans="3:3" x14ac:dyDescent="0.25">
      <c r="C2212"/>
    </row>
    <row r="2213" spans="3:3" x14ac:dyDescent="0.25">
      <c r="C2213"/>
    </row>
    <row r="2214" spans="3:3" x14ac:dyDescent="0.25">
      <c r="C2214"/>
    </row>
    <row r="2215" spans="3:3" x14ac:dyDescent="0.25">
      <c r="C2215"/>
    </row>
    <row r="2216" spans="3:3" x14ac:dyDescent="0.25">
      <c r="C2216"/>
    </row>
    <row r="2217" spans="3:3" x14ac:dyDescent="0.25">
      <c r="C2217"/>
    </row>
    <row r="2218" spans="3:3" x14ac:dyDescent="0.25">
      <c r="C2218"/>
    </row>
    <row r="2219" spans="3:3" x14ac:dyDescent="0.25">
      <c r="C2219"/>
    </row>
    <row r="2220" spans="3:3" x14ac:dyDescent="0.25">
      <c r="C2220"/>
    </row>
    <row r="2221" spans="3:3" x14ac:dyDescent="0.25">
      <c r="C2221"/>
    </row>
    <row r="2222" spans="3:3" x14ac:dyDescent="0.25">
      <c r="C2222"/>
    </row>
    <row r="2223" spans="3:3" x14ac:dyDescent="0.25">
      <c r="C2223"/>
    </row>
    <row r="2224" spans="3:3" x14ac:dyDescent="0.25">
      <c r="C2224"/>
    </row>
    <row r="2225" spans="3:3" x14ac:dyDescent="0.25">
      <c r="C2225"/>
    </row>
    <row r="2226" spans="3:3" x14ac:dyDescent="0.25">
      <c r="C2226"/>
    </row>
    <row r="2227" spans="3:3" x14ac:dyDescent="0.25">
      <c r="C2227"/>
    </row>
    <row r="2228" spans="3:3" x14ac:dyDescent="0.25">
      <c r="C2228"/>
    </row>
    <row r="2229" spans="3:3" x14ac:dyDescent="0.25">
      <c r="C2229"/>
    </row>
    <row r="2230" spans="3:3" x14ac:dyDescent="0.25">
      <c r="C2230"/>
    </row>
    <row r="2231" spans="3:3" x14ac:dyDescent="0.25">
      <c r="C2231"/>
    </row>
    <row r="2232" spans="3:3" x14ac:dyDescent="0.25">
      <c r="C2232"/>
    </row>
    <row r="2233" spans="3:3" x14ac:dyDescent="0.25">
      <c r="C2233"/>
    </row>
    <row r="2234" spans="3:3" x14ac:dyDescent="0.25">
      <c r="C2234"/>
    </row>
    <row r="2235" spans="3:3" x14ac:dyDescent="0.25">
      <c r="C2235"/>
    </row>
    <row r="2236" spans="3:3" x14ac:dyDescent="0.25">
      <c r="C2236"/>
    </row>
    <row r="2237" spans="3:3" x14ac:dyDescent="0.25">
      <c r="C2237"/>
    </row>
    <row r="2238" spans="3:3" x14ac:dyDescent="0.25">
      <c r="C2238"/>
    </row>
    <row r="2239" spans="3:3" x14ac:dyDescent="0.25">
      <c r="C2239"/>
    </row>
    <row r="2240" spans="3:3" x14ac:dyDescent="0.25">
      <c r="C2240"/>
    </row>
    <row r="2241" spans="3:3" x14ac:dyDescent="0.25">
      <c r="C2241"/>
    </row>
    <row r="2242" spans="3:3" x14ac:dyDescent="0.25">
      <c r="C2242"/>
    </row>
    <row r="2243" spans="3:3" x14ac:dyDescent="0.25">
      <c r="C2243"/>
    </row>
    <row r="2244" spans="3:3" x14ac:dyDescent="0.25">
      <c r="C2244"/>
    </row>
    <row r="2245" spans="3:3" x14ac:dyDescent="0.25">
      <c r="C2245"/>
    </row>
    <row r="2246" spans="3:3" x14ac:dyDescent="0.25">
      <c r="C2246"/>
    </row>
    <row r="2247" spans="3:3" x14ac:dyDescent="0.25">
      <c r="C2247"/>
    </row>
    <row r="2248" spans="3:3" x14ac:dyDescent="0.25">
      <c r="C2248"/>
    </row>
    <row r="2249" spans="3:3" x14ac:dyDescent="0.25">
      <c r="C2249"/>
    </row>
    <row r="2250" spans="3:3" x14ac:dyDescent="0.25">
      <c r="C2250"/>
    </row>
    <row r="2251" spans="3:3" x14ac:dyDescent="0.25">
      <c r="C2251"/>
    </row>
    <row r="2252" spans="3:3" x14ac:dyDescent="0.25">
      <c r="C2252"/>
    </row>
    <row r="2253" spans="3:3" x14ac:dyDescent="0.25">
      <c r="C2253"/>
    </row>
    <row r="2254" spans="3:3" x14ac:dyDescent="0.25">
      <c r="C2254"/>
    </row>
    <row r="2255" spans="3:3" x14ac:dyDescent="0.25">
      <c r="C2255"/>
    </row>
    <row r="2256" spans="3:3" x14ac:dyDescent="0.25">
      <c r="C2256"/>
    </row>
    <row r="2257" spans="3:3" x14ac:dyDescent="0.25">
      <c r="C2257"/>
    </row>
    <row r="2258" spans="3:3" x14ac:dyDescent="0.25">
      <c r="C2258"/>
    </row>
    <row r="2259" spans="3:3" x14ac:dyDescent="0.25">
      <c r="C2259"/>
    </row>
    <row r="2260" spans="3:3" x14ac:dyDescent="0.25">
      <c r="C2260"/>
    </row>
    <row r="2261" spans="3:3" x14ac:dyDescent="0.25">
      <c r="C2261"/>
    </row>
    <row r="2262" spans="3:3" x14ac:dyDescent="0.25">
      <c r="C2262"/>
    </row>
    <row r="2263" spans="3:3" x14ac:dyDescent="0.25">
      <c r="C2263"/>
    </row>
    <row r="2264" spans="3:3" x14ac:dyDescent="0.25">
      <c r="C2264"/>
    </row>
    <row r="2265" spans="3:3" x14ac:dyDescent="0.25">
      <c r="C2265"/>
    </row>
    <row r="2266" spans="3:3" x14ac:dyDescent="0.25">
      <c r="C2266"/>
    </row>
    <row r="2267" spans="3:3" x14ac:dyDescent="0.25">
      <c r="C2267"/>
    </row>
    <row r="2268" spans="3:3" x14ac:dyDescent="0.25">
      <c r="C2268"/>
    </row>
    <row r="2269" spans="3:3" x14ac:dyDescent="0.25">
      <c r="C2269"/>
    </row>
    <row r="2270" spans="3:3" x14ac:dyDescent="0.25">
      <c r="C2270"/>
    </row>
    <row r="2271" spans="3:3" x14ac:dyDescent="0.25">
      <c r="C2271"/>
    </row>
    <row r="2272" spans="3:3" x14ac:dyDescent="0.25">
      <c r="C2272"/>
    </row>
    <row r="2273" spans="3:3" x14ac:dyDescent="0.25">
      <c r="C2273"/>
    </row>
    <row r="2274" spans="3:3" x14ac:dyDescent="0.25">
      <c r="C2274"/>
    </row>
    <row r="2275" spans="3:3" x14ac:dyDescent="0.25">
      <c r="C2275"/>
    </row>
    <row r="2276" spans="3:3" x14ac:dyDescent="0.25">
      <c r="C2276"/>
    </row>
    <row r="2277" spans="3:3" x14ac:dyDescent="0.25">
      <c r="C2277"/>
    </row>
    <row r="2278" spans="3:3" x14ac:dyDescent="0.25">
      <c r="C2278"/>
    </row>
    <row r="2279" spans="3:3" x14ac:dyDescent="0.25">
      <c r="C2279"/>
    </row>
    <row r="2280" spans="3:3" x14ac:dyDescent="0.25">
      <c r="C2280"/>
    </row>
    <row r="2281" spans="3:3" x14ac:dyDescent="0.25">
      <c r="C2281"/>
    </row>
    <row r="2282" spans="3:3" x14ac:dyDescent="0.25">
      <c r="C2282"/>
    </row>
    <row r="2283" spans="3:3" x14ac:dyDescent="0.25">
      <c r="C2283"/>
    </row>
  </sheetData>
  <mergeCells count="1">
    <mergeCell ref="S14:T14"/>
  </mergeCell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89"/>
  <sheetViews>
    <sheetView showGridLines="0" topLeftCell="E1" workbookViewId="0">
      <selection activeCell="E6" sqref="E6"/>
    </sheetView>
  </sheetViews>
  <sheetFormatPr baseColWidth="10" defaultRowHeight="15" x14ac:dyDescent="0.25"/>
  <cols>
    <col min="1" max="1" width="14.42578125" hidden="1" customWidth="1"/>
    <col min="2" max="2" width="18.28515625" hidden="1" customWidth="1"/>
    <col min="3" max="3" width="22.28515625" style="2" hidden="1" customWidth="1"/>
    <col min="4" max="4" width="9.140625" hidden="1" customWidth="1"/>
    <col min="5" max="7" width="14.140625" customWidth="1"/>
    <col min="8" max="8" width="21.140625" customWidth="1"/>
    <col min="9" max="10" width="20.140625" customWidth="1"/>
    <col min="11" max="11" width="26.85546875" customWidth="1"/>
    <col min="12" max="12" width="22.42578125" customWidth="1"/>
    <col min="13" max="13" width="20.140625" customWidth="1"/>
    <col min="14" max="14" width="23" bestFit="1" customWidth="1"/>
    <col min="15" max="15" width="20.140625" customWidth="1"/>
    <col min="16" max="16" width="32.140625" bestFit="1" customWidth="1"/>
    <col min="17" max="17" width="15.85546875" bestFit="1" customWidth="1"/>
    <col min="18" max="18" width="57.42578125" bestFit="1" customWidth="1"/>
    <col min="19" max="19" width="17.5703125" bestFit="1" customWidth="1"/>
    <col min="20" max="20" width="34.85546875" bestFit="1" customWidth="1"/>
    <col min="21" max="21" width="60.85546875" bestFit="1" customWidth="1"/>
    <col min="22" max="22" width="47.42578125" bestFit="1" customWidth="1"/>
    <col min="23" max="23" width="33.5703125" bestFit="1" customWidth="1"/>
    <col min="24" max="24" width="44.42578125" bestFit="1" customWidth="1"/>
    <col min="25" max="25" width="28.5703125" bestFit="1" customWidth="1"/>
    <col min="26" max="26" width="73.85546875" bestFit="1" customWidth="1"/>
    <col min="27" max="27" width="35.5703125" bestFit="1" customWidth="1"/>
    <col min="28" max="28" width="40.140625" bestFit="1" customWidth="1"/>
    <col min="29" max="29" width="30.42578125" bestFit="1" customWidth="1"/>
    <col min="30" max="30" width="67.85546875" bestFit="1" customWidth="1"/>
    <col min="31" max="31" width="27.28515625" bestFit="1" customWidth="1"/>
    <col min="32" max="32" width="22.42578125" bestFit="1" customWidth="1"/>
  </cols>
  <sheetData>
    <row r="1" spans="1:22" x14ac:dyDescent="0.25">
      <c r="A1" s="51"/>
    </row>
    <row r="3" spans="1:22" x14ac:dyDescent="0.25">
      <c r="A3" s="5" t="s">
        <v>23</v>
      </c>
      <c r="B3" s="6">
        <v>1996</v>
      </c>
      <c r="E3" s="51" t="s">
        <v>213</v>
      </c>
      <c r="O3">
        <v>100000</v>
      </c>
    </row>
    <row r="4" spans="1:22" x14ac:dyDescent="0.25">
      <c r="F4" s="73" t="s">
        <v>215</v>
      </c>
    </row>
    <row r="5" spans="1:22" s="21" customFormat="1" ht="24.75" x14ac:dyDescent="0.25">
      <c r="B5" s="22" t="s">
        <v>32</v>
      </c>
      <c r="L5" s="21" t="s">
        <v>186</v>
      </c>
      <c r="M5" s="21" t="s">
        <v>188</v>
      </c>
      <c r="R5"/>
      <c r="S5"/>
      <c r="T5"/>
      <c r="U5"/>
      <c r="V5"/>
    </row>
    <row r="6" spans="1:22" s="26" customFormat="1" ht="30" x14ac:dyDescent="0.25">
      <c r="A6" s="27" t="s">
        <v>22</v>
      </c>
      <c r="B6" s="28" t="s">
        <v>47</v>
      </c>
      <c r="C6" s="11" t="s">
        <v>46</v>
      </c>
      <c r="E6" s="44" t="s">
        <v>23</v>
      </c>
      <c r="F6" s="44" t="s">
        <v>22</v>
      </c>
      <c r="G6" s="44" t="s">
        <v>181</v>
      </c>
      <c r="H6" s="44" t="s">
        <v>182</v>
      </c>
      <c r="I6" s="45" t="s">
        <v>183</v>
      </c>
      <c r="J6" s="45" t="s">
        <v>189</v>
      </c>
      <c r="K6" s="45" t="s">
        <v>184</v>
      </c>
      <c r="L6" s="46" t="s">
        <v>185</v>
      </c>
      <c r="M6" s="47" t="s">
        <v>187</v>
      </c>
      <c r="N6" s="48" t="s">
        <v>192</v>
      </c>
      <c r="O6" s="48" t="s">
        <v>191</v>
      </c>
      <c r="P6" s="48" t="s">
        <v>31</v>
      </c>
      <c r="Q6" s="48" t="s">
        <v>30</v>
      </c>
    </row>
    <row r="7" spans="1:22" x14ac:dyDescent="0.25">
      <c r="A7" t="s">
        <v>6</v>
      </c>
      <c r="B7" s="1">
        <v>2669011.0638103201</v>
      </c>
      <c r="C7" s="7">
        <v>11844</v>
      </c>
      <c r="E7">
        <f>+$B$3</f>
        <v>1996</v>
      </c>
      <c r="F7" t="str">
        <f>+A7</f>
        <v>0-4</v>
      </c>
      <c r="G7" s="1">
        <f>+B7</f>
        <v>2669011.0638103201</v>
      </c>
      <c r="H7">
        <f>+C7</f>
        <v>11844</v>
      </c>
      <c r="I7" s="13">
        <f>+H7/G7</f>
        <v>4.4375986898650497E-3</v>
      </c>
      <c r="J7" s="20">
        <f>1-I7</f>
        <v>0.99556240131013496</v>
      </c>
      <c r="K7">
        <f>+G7-(0.5*H7)</f>
        <v>2663089.0638103201</v>
      </c>
      <c r="L7">
        <f>+H7/K7</f>
        <v>4.447466726123582E-3</v>
      </c>
      <c r="M7" s="12">
        <f>+H7/(2*G7)</f>
        <v>2.2187993449325248E-3</v>
      </c>
      <c r="N7" s="12">
        <f>+G7/$G$14</f>
        <v>0.11545451350741587</v>
      </c>
      <c r="O7" s="3">
        <f>+N7*$O$3</f>
        <v>11545.451350741587</v>
      </c>
      <c r="P7" s="24">
        <v>100000</v>
      </c>
      <c r="Q7" s="24">
        <f>+P7*I7</f>
        <v>443.75986898650496</v>
      </c>
    </row>
    <row r="8" spans="1:22" x14ac:dyDescent="0.25">
      <c r="A8" t="s">
        <v>5</v>
      </c>
      <c r="B8" s="1">
        <v>5336689.2615659405</v>
      </c>
      <c r="C8" s="7">
        <v>1485</v>
      </c>
      <c r="E8">
        <f t="shared" ref="E8:E13" si="0">+$B$3</f>
        <v>1996</v>
      </c>
      <c r="F8" t="str">
        <f t="shared" ref="F8:H13" si="1">+A8</f>
        <v>5-14</v>
      </c>
      <c r="G8" s="1">
        <f t="shared" si="1"/>
        <v>5336689.2615659405</v>
      </c>
      <c r="H8">
        <f t="shared" si="1"/>
        <v>1485</v>
      </c>
      <c r="I8" s="13">
        <f t="shared" ref="I8:I14" si="2">+H8/G8</f>
        <v>2.7826240712472319E-4</v>
      </c>
      <c r="J8" s="20">
        <f t="shared" ref="J8:J13" si="3">1-I8</f>
        <v>0.9997217375928753</v>
      </c>
      <c r="K8">
        <f t="shared" ref="K8:K13" si="4">+G8-(0.5*H8)</f>
        <v>5335946.7615659405</v>
      </c>
      <c r="L8">
        <f t="shared" ref="L8:L13" si="5">+H8/K8</f>
        <v>2.783011274955444E-4</v>
      </c>
      <c r="M8" s="12">
        <f>+(H7+H8)/(2*G8)</f>
        <v>1.2488079543991363E-3</v>
      </c>
      <c r="N8" s="12">
        <f t="shared" ref="N8:N13" si="6">+G8/$G$14</f>
        <v>0.23085137067762038</v>
      </c>
      <c r="O8" s="3">
        <f t="shared" ref="O8:O13" si="7">+N8*$O$3</f>
        <v>23085.137067762036</v>
      </c>
      <c r="P8" s="24">
        <f>+P7-Q7</f>
        <v>99556.240131013488</v>
      </c>
      <c r="Q8" s="25">
        <f>+P8*I8</f>
        <v>27.702759023142779</v>
      </c>
    </row>
    <row r="9" spans="1:22" x14ac:dyDescent="0.25">
      <c r="A9" t="s">
        <v>4</v>
      </c>
      <c r="B9" s="1">
        <v>4328734.7335640304</v>
      </c>
      <c r="C9" s="7">
        <v>3967</v>
      </c>
      <c r="E9">
        <f t="shared" si="0"/>
        <v>1996</v>
      </c>
      <c r="F9" t="str">
        <f t="shared" si="1"/>
        <v>15-24</v>
      </c>
      <c r="G9" s="1">
        <f t="shared" si="1"/>
        <v>4328734.7335640304</v>
      </c>
      <c r="H9">
        <f t="shared" si="1"/>
        <v>3967</v>
      </c>
      <c r="I9" s="13">
        <f t="shared" si="2"/>
        <v>9.1643407234931235E-4</v>
      </c>
      <c r="J9" s="20">
        <f t="shared" si="3"/>
        <v>0.99908356592765069</v>
      </c>
      <c r="K9">
        <f t="shared" si="4"/>
        <v>4326751.2335640304</v>
      </c>
      <c r="L9">
        <f t="shared" si="5"/>
        <v>9.1685419055911464E-4</v>
      </c>
      <c r="M9" s="12">
        <f t="shared" ref="M9:M13" si="8">+(H8+H9)/(2*G9)</f>
        <v>6.2974521835750582E-4</v>
      </c>
      <c r="N9" s="12">
        <f t="shared" si="6"/>
        <v>0.18724986551865644</v>
      </c>
      <c r="O9" s="3">
        <f t="shared" si="7"/>
        <v>18724.986551865644</v>
      </c>
      <c r="P9" s="24">
        <f t="shared" ref="P9:P13" si="9">+P8-Q8</f>
        <v>99528.537371990344</v>
      </c>
      <c r="Q9" s="25">
        <f t="shared" ref="Q9:Q13" si="10">+P9*I9</f>
        <v>91.211342818783834</v>
      </c>
    </row>
    <row r="10" spans="1:22" x14ac:dyDescent="0.25">
      <c r="A10" t="s">
        <v>3</v>
      </c>
      <c r="B10" s="1">
        <v>6500086.9398599695</v>
      </c>
      <c r="C10" s="7">
        <v>9771</v>
      </c>
      <c r="E10">
        <f t="shared" si="0"/>
        <v>1996</v>
      </c>
      <c r="F10" t="str">
        <f t="shared" si="1"/>
        <v>25-44</v>
      </c>
      <c r="G10" s="1">
        <f t="shared" si="1"/>
        <v>6500086.9398599695</v>
      </c>
      <c r="H10">
        <f t="shared" si="1"/>
        <v>9771</v>
      </c>
      <c r="I10" s="13">
        <f t="shared" si="2"/>
        <v>1.5032106632423743E-3</v>
      </c>
      <c r="J10" s="20">
        <f t="shared" si="3"/>
        <v>0.99849678933675767</v>
      </c>
      <c r="K10">
        <f t="shared" si="4"/>
        <v>6495201.4398599695</v>
      </c>
      <c r="L10">
        <f t="shared" si="5"/>
        <v>1.5043413342097445E-3</v>
      </c>
      <c r="M10" s="12">
        <f t="shared" si="8"/>
        <v>1.0567550962861396E-3</v>
      </c>
      <c r="N10" s="12">
        <f t="shared" si="6"/>
        <v>0.28117694436457907</v>
      </c>
      <c r="O10" s="3">
        <f t="shared" si="7"/>
        <v>28117.694436457907</v>
      </c>
      <c r="P10" s="24">
        <f t="shared" si="9"/>
        <v>99437.326029171556</v>
      </c>
      <c r="Q10" s="25">
        <f t="shared" si="10"/>
        <v>149.47524881135919</v>
      </c>
    </row>
    <row r="11" spans="1:22" x14ac:dyDescent="0.25">
      <c r="A11" t="s">
        <v>2</v>
      </c>
      <c r="B11" s="1">
        <v>2862216.4853526298</v>
      </c>
      <c r="C11" s="7">
        <v>16784</v>
      </c>
      <c r="E11">
        <f t="shared" si="0"/>
        <v>1996</v>
      </c>
      <c r="F11" t="str">
        <f t="shared" si="1"/>
        <v>45-64</v>
      </c>
      <c r="G11" s="1">
        <f t="shared" si="1"/>
        <v>2862216.4853526298</v>
      </c>
      <c r="H11">
        <f t="shared" si="1"/>
        <v>16784</v>
      </c>
      <c r="I11" s="13">
        <f t="shared" si="2"/>
        <v>5.8639869087093819E-3</v>
      </c>
      <c r="J11" s="20">
        <f t="shared" si="3"/>
        <v>0.99413601309129063</v>
      </c>
      <c r="K11">
        <f t="shared" si="4"/>
        <v>2853824.4853526298</v>
      </c>
      <c r="L11">
        <f t="shared" si="5"/>
        <v>5.8812306384448529E-3</v>
      </c>
      <c r="M11" s="12">
        <f t="shared" si="8"/>
        <v>4.63888740350267E-3</v>
      </c>
      <c r="N11" s="12">
        <f t="shared" si="6"/>
        <v>0.12381208019330198</v>
      </c>
      <c r="O11" s="3">
        <f t="shared" si="7"/>
        <v>12381.208019330197</v>
      </c>
      <c r="P11" s="24">
        <f t="shared" si="9"/>
        <v>99287.850780360197</v>
      </c>
      <c r="Q11" s="25">
        <f t="shared" si="10"/>
        <v>582.22265716992274</v>
      </c>
    </row>
    <row r="12" spans="1:22" x14ac:dyDescent="0.25">
      <c r="A12" t="s">
        <v>1</v>
      </c>
      <c r="B12" s="1">
        <v>710343.28776711202</v>
      </c>
      <c r="C12" s="7">
        <v>14038</v>
      </c>
      <c r="E12">
        <f t="shared" si="0"/>
        <v>1996</v>
      </c>
      <c r="F12" t="str">
        <f t="shared" si="1"/>
        <v>65-74</v>
      </c>
      <c r="G12" s="1">
        <f t="shared" si="1"/>
        <v>710343.28776711202</v>
      </c>
      <c r="H12">
        <f t="shared" si="1"/>
        <v>14038</v>
      </c>
      <c r="I12" s="13">
        <f t="shared" si="2"/>
        <v>1.9762275848522408E-2</v>
      </c>
      <c r="J12" s="20">
        <f t="shared" si="3"/>
        <v>0.98023772415147759</v>
      </c>
      <c r="K12">
        <f t="shared" si="4"/>
        <v>703324.28776711202</v>
      </c>
      <c r="L12">
        <f t="shared" si="5"/>
        <v>1.9959498405162892E-2</v>
      </c>
      <c r="M12" s="12">
        <f t="shared" si="8"/>
        <v>2.1695144116083403E-2</v>
      </c>
      <c r="N12" s="12">
        <f t="shared" si="6"/>
        <v>3.0727612869213133E-2</v>
      </c>
      <c r="O12" s="3">
        <f t="shared" si="7"/>
        <v>3072.7612869213135</v>
      </c>
      <c r="P12" s="24">
        <f t="shared" si="9"/>
        <v>98705.628123190269</v>
      </c>
      <c r="Q12" s="25">
        <f t="shared" si="10"/>
        <v>1950.6478507721572</v>
      </c>
    </row>
    <row r="13" spans="1:22" x14ac:dyDescent="0.25">
      <c r="A13" t="s">
        <v>0</v>
      </c>
      <c r="B13" s="1">
        <v>710343.28776711202</v>
      </c>
      <c r="C13" s="7">
        <v>21624</v>
      </c>
      <c r="E13">
        <f t="shared" si="0"/>
        <v>1996</v>
      </c>
      <c r="F13" t="str">
        <f t="shared" si="1"/>
        <v>75+</v>
      </c>
      <c r="G13" s="1">
        <f t="shared" si="1"/>
        <v>710343.28776711202</v>
      </c>
      <c r="H13">
        <f t="shared" si="1"/>
        <v>21624</v>
      </c>
      <c r="I13" s="13">
        <f t="shared" si="2"/>
        <v>3.0441619386554247E-2</v>
      </c>
      <c r="J13" s="20">
        <f t="shared" si="3"/>
        <v>0.96955838061344579</v>
      </c>
      <c r="K13">
        <f t="shared" si="4"/>
        <v>699531.28776711202</v>
      </c>
      <c r="L13">
        <f t="shared" si="5"/>
        <v>3.0912126988663104E-2</v>
      </c>
      <c r="M13" s="12">
        <f t="shared" si="8"/>
        <v>2.5101947617538325E-2</v>
      </c>
      <c r="N13" s="12">
        <f t="shared" si="6"/>
        <v>3.0727612869213133E-2</v>
      </c>
      <c r="O13" s="3">
        <f t="shared" si="7"/>
        <v>3072.7612869213135</v>
      </c>
      <c r="P13" s="24">
        <f t="shared" si="9"/>
        <v>96754.980272418106</v>
      </c>
      <c r="Q13" s="25">
        <f t="shared" si="10"/>
        <v>2945.3782832065167</v>
      </c>
    </row>
    <row r="14" spans="1:22" x14ac:dyDescent="0.25">
      <c r="B14" s="18">
        <f>+SUM(B7:B13)</f>
        <v>23117425.059687115</v>
      </c>
      <c r="C14" s="18">
        <f>+SUM(C7:C13)</f>
        <v>79513</v>
      </c>
      <c r="E14" s="14" t="s">
        <v>190</v>
      </c>
      <c r="F14" s="19"/>
      <c r="G14" s="1">
        <f>+SUM(G7:G13)</f>
        <v>23117425.059687115</v>
      </c>
      <c r="H14" s="1">
        <f>+SUM(H7:H13)</f>
        <v>79513</v>
      </c>
      <c r="I14" s="13">
        <f t="shared" si="2"/>
        <v>3.4395266685067465E-3</v>
      </c>
      <c r="J14" s="20"/>
      <c r="M14" s="12"/>
      <c r="N14" s="12"/>
      <c r="O14" s="12"/>
      <c r="P14" s="1"/>
      <c r="Q14" s="23"/>
    </row>
    <row r="15" spans="1:22" x14ac:dyDescent="0.25">
      <c r="C15"/>
      <c r="E15" s="14"/>
      <c r="F15" s="19"/>
      <c r="Q15" s="23"/>
    </row>
    <row r="16" spans="1:22" x14ac:dyDescent="0.25">
      <c r="C16"/>
      <c r="E16" s="14"/>
      <c r="F16" s="19"/>
    </row>
    <row r="17" spans="3:10" ht="18.75" x14ac:dyDescent="0.3">
      <c r="C17"/>
      <c r="E17" s="49" t="s">
        <v>193</v>
      </c>
      <c r="F17" s="19"/>
    </row>
    <row r="18" spans="3:10" x14ac:dyDescent="0.25">
      <c r="C18"/>
      <c r="E18" s="52" t="s">
        <v>201</v>
      </c>
      <c r="F18" s="19"/>
      <c r="J18" s="52" t="s">
        <v>200</v>
      </c>
    </row>
    <row r="19" spans="3:10" s="50" customFormat="1" x14ac:dyDescent="0.25">
      <c r="F19" s="53"/>
    </row>
    <row r="20" spans="3:10" x14ac:dyDescent="0.25">
      <c r="C20"/>
      <c r="E20" s="14"/>
      <c r="F20" s="19"/>
    </row>
    <row r="21" spans="3:10" x14ac:dyDescent="0.25">
      <c r="C21"/>
      <c r="E21" s="14"/>
      <c r="F21" s="19"/>
    </row>
    <row r="22" spans="3:10" x14ac:dyDescent="0.25">
      <c r="C22"/>
      <c r="E22" s="14"/>
      <c r="F22" s="19"/>
    </row>
    <row r="23" spans="3:10" x14ac:dyDescent="0.25">
      <c r="C23"/>
      <c r="E23" s="14"/>
      <c r="F23" s="19"/>
    </row>
    <row r="24" spans="3:10" x14ac:dyDescent="0.25">
      <c r="C24"/>
      <c r="E24" s="14"/>
      <c r="F24" s="19"/>
    </row>
    <row r="25" spans="3:10" x14ac:dyDescent="0.25">
      <c r="C25"/>
      <c r="E25" s="14"/>
      <c r="F25" s="19"/>
    </row>
    <row r="26" spans="3:10" x14ac:dyDescent="0.25">
      <c r="C26"/>
      <c r="E26" s="14"/>
      <c r="F26" s="19"/>
    </row>
    <row r="27" spans="3:10" x14ac:dyDescent="0.25">
      <c r="C27"/>
      <c r="E27" s="14"/>
      <c r="F27" s="19"/>
    </row>
    <row r="28" spans="3:10" x14ac:dyDescent="0.25">
      <c r="C28"/>
      <c r="E28" s="14"/>
      <c r="F28" s="19"/>
    </row>
    <row r="29" spans="3:10" x14ac:dyDescent="0.25">
      <c r="C29"/>
      <c r="E29" s="14"/>
      <c r="F29" s="19"/>
    </row>
    <row r="30" spans="3:10" x14ac:dyDescent="0.25">
      <c r="C30"/>
      <c r="E30" s="14"/>
      <c r="F30" s="19"/>
    </row>
    <row r="31" spans="3:10" x14ac:dyDescent="0.25">
      <c r="C31"/>
      <c r="E31" s="14"/>
      <c r="F31" s="19"/>
    </row>
    <row r="32" spans="3:10" x14ac:dyDescent="0.25">
      <c r="C32"/>
      <c r="E32" s="14"/>
      <c r="F32" s="19"/>
    </row>
    <row r="33" spans="3:13" x14ac:dyDescent="0.25">
      <c r="C33"/>
      <c r="E33" s="14"/>
      <c r="F33" s="19"/>
    </row>
    <row r="34" spans="3:13" x14ac:dyDescent="0.25">
      <c r="C34"/>
      <c r="E34" s="14"/>
      <c r="F34" s="19"/>
    </row>
    <row r="35" spans="3:13" x14ac:dyDescent="0.25">
      <c r="C35"/>
      <c r="E35" s="75" t="s">
        <v>198</v>
      </c>
      <c r="F35" s="75"/>
      <c r="G35" s="75"/>
      <c r="H35" s="75"/>
      <c r="J35" s="74" t="s">
        <v>197</v>
      </c>
      <c r="K35" s="74"/>
      <c r="L35" s="74"/>
    </row>
    <row r="36" spans="3:13" ht="15" customHeight="1" x14ac:dyDescent="0.25">
      <c r="C36"/>
      <c r="E36" s="75"/>
      <c r="F36" s="75"/>
      <c r="G36" s="75"/>
      <c r="H36" s="75"/>
      <c r="J36" s="74"/>
      <c r="K36" s="74"/>
      <c r="L36" s="74"/>
      <c r="M36" s="54" t="s">
        <v>202</v>
      </c>
    </row>
    <row r="37" spans="3:13" x14ac:dyDescent="0.25">
      <c r="C37"/>
      <c r="E37" s="55"/>
      <c r="F37" s="19"/>
      <c r="J37" s="54"/>
    </row>
    <row r="38" spans="3:13" x14ac:dyDescent="0.25">
      <c r="C38"/>
      <c r="E38" s="14"/>
      <c r="F38" s="19"/>
    </row>
    <row r="39" spans="3:13" x14ac:dyDescent="0.25">
      <c r="C39"/>
      <c r="E39" s="14"/>
      <c r="F39" s="19"/>
    </row>
    <row r="40" spans="3:13" x14ac:dyDescent="0.25">
      <c r="C40"/>
      <c r="E40" s="14"/>
      <c r="F40" s="19"/>
    </row>
    <row r="41" spans="3:13" x14ac:dyDescent="0.25">
      <c r="C41"/>
      <c r="E41" s="14"/>
      <c r="F41" s="19"/>
    </row>
    <row r="42" spans="3:13" x14ac:dyDescent="0.25">
      <c r="C42"/>
      <c r="E42" s="14"/>
      <c r="F42" s="19"/>
    </row>
    <row r="43" spans="3:13" x14ac:dyDescent="0.25">
      <c r="C43"/>
      <c r="E43" s="14"/>
      <c r="F43" s="19"/>
    </row>
    <row r="44" spans="3:13" x14ac:dyDescent="0.25">
      <c r="C44"/>
      <c r="E44" s="14"/>
      <c r="F44" s="19"/>
    </row>
    <row r="45" spans="3:13" x14ac:dyDescent="0.25">
      <c r="C45"/>
      <c r="E45" s="14"/>
      <c r="F45" s="19"/>
    </row>
    <row r="46" spans="3:13" x14ac:dyDescent="0.25">
      <c r="C46"/>
      <c r="E46" s="14"/>
      <c r="F46" s="19"/>
    </row>
    <row r="47" spans="3:13" x14ac:dyDescent="0.25">
      <c r="C47"/>
      <c r="E47" s="14"/>
      <c r="F47" s="19"/>
    </row>
    <row r="48" spans="3:13" x14ac:dyDescent="0.25">
      <c r="C48"/>
      <c r="E48" s="14"/>
      <c r="F48" s="19"/>
    </row>
    <row r="49" spans="3:6" x14ac:dyDescent="0.25">
      <c r="C49"/>
      <c r="E49" s="14"/>
      <c r="F49" s="19"/>
    </row>
    <row r="50" spans="3:6" x14ac:dyDescent="0.25">
      <c r="C50"/>
      <c r="E50" s="14"/>
      <c r="F50" s="19"/>
    </row>
    <row r="51" spans="3:6" x14ac:dyDescent="0.25">
      <c r="C51"/>
      <c r="E51" s="14"/>
      <c r="F51" s="19"/>
    </row>
    <row r="52" spans="3:6" x14ac:dyDescent="0.25">
      <c r="C52"/>
      <c r="E52" s="14"/>
      <c r="F52" s="19"/>
    </row>
    <row r="53" spans="3:6" x14ac:dyDescent="0.25">
      <c r="C53"/>
      <c r="E53" s="14"/>
      <c r="F53" s="19"/>
    </row>
    <row r="54" spans="3:6" x14ac:dyDescent="0.25">
      <c r="C54"/>
      <c r="E54" s="14"/>
      <c r="F54" s="19"/>
    </row>
    <row r="55" spans="3:6" x14ac:dyDescent="0.25">
      <c r="C55"/>
      <c r="E55" s="14"/>
      <c r="F55" s="19"/>
    </row>
    <row r="56" spans="3:6" x14ac:dyDescent="0.25">
      <c r="C56"/>
      <c r="E56" s="14"/>
      <c r="F56" s="19"/>
    </row>
    <row r="57" spans="3:6" x14ac:dyDescent="0.25">
      <c r="C57"/>
      <c r="E57" s="14"/>
      <c r="F57" s="19"/>
    </row>
    <row r="58" spans="3:6" x14ac:dyDescent="0.25">
      <c r="C58"/>
      <c r="E58" s="14"/>
      <c r="F58" s="19"/>
    </row>
    <row r="59" spans="3:6" x14ac:dyDescent="0.25">
      <c r="C59"/>
      <c r="E59" s="14"/>
      <c r="F59" s="19"/>
    </row>
    <row r="60" spans="3:6" x14ac:dyDescent="0.25">
      <c r="C60"/>
      <c r="E60" s="14"/>
      <c r="F60" s="19"/>
    </row>
    <row r="61" spans="3:6" x14ac:dyDescent="0.25">
      <c r="C61"/>
      <c r="E61" s="14"/>
      <c r="F61" s="19"/>
    </row>
    <row r="62" spans="3:6" x14ac:dyDescent="0.25">
      <c r="C62"/>
      <c r="E62" s="14"/>
      <c r="F62" s="19"/>
    </row>
    <row r="63" spans="3:6" x14ac:dyDescent="0.25">
      <c r="C63"/>
      <c r="E63" s="14"/>
      <c r="F63" s="19"/>
    </row>
    <row r="64" spans="3:6" x14ac:dyDescent="0.25">
      <c r="C64"/>
      <c r="E64" s="14"/>
      <c r="F64" s="19"/>
    </row>
    <row r="65" spans="3:6" x14ac:dyDescent="0.25">
      <c r="C65"/>
      <c r="E65" s="14"/>
      <c r="F65" s="19"/>
    </row>
    <row r="66" spans="3:6" x14ac:dyDescent="0.25">
      <c r="C66"/>
      <c r="E66" s="14"/>
      <c r="F66" s="19"/>
    </row>
    <row r="67" spans="3:6" x14ac:dyDescent="0.25">
      <c r="C67"/>
      <c r="E67" s="14"/>
      <c r="F67" s="19"/>
    </row>
    <row r="68" spans="3:6" x14ac:dyDescent="0.25">
      <c r="C68"/>
      <c r="E68" s="14"/>
      <c r="F68" s="19"/>
    </row>
    <row r="69" spans="3:6" x14ac:dyDescent="0.25">
      <c r="C69"/>
      <c r="E69" s="14"/>
      <c r="F69" s="19"/>
    </row>
    <row r="70" spans="3:6" x14ac:dyDescent="0.25">
      <c r="C70"/>
      <c r="E70" s="14"/>
      <c r="F70" s="19"/>
    </row>
    <row r="71" spans="3:6" x14ac:dyDescent="0.25">
      <c r="C71"/>
      <c r="E71" s="14"/>
      <c r="F71" s="19"/>
    </row>
    <row r="72" spans="3:6" x14ac:dyDescent="0.25">
      <c r="C72"/>
      <c r="E72" s="14"/>
      <c r="F72" s="19"/>
    </row>
    <row r="73" spans="3:6" x14ac:dyDescent="0.25">
      <c r="C73"/>
      <c r="E73" s="14"/>
      <c r="F73" s="19"/>
    </row>
    <row r="74" spans="3:6" x14ac:dyDescent="0.25">
      <c r="C74"/>
      <c r="E74" s="14"/>
      <c r="F74" s="19"/>
    </row>
    <row r="75" spans="3:6" x14ac:dyDescent="0.25">
      <c r="C75"/>
      <c r="E75" s="14"/>
      <c r="F75" s="19"/>
    </row>
    <row r="76" spans="3:6" x14ac:dyDescent="0.25">
      <c r="C76"/>
      <c r="E76" s="14"/>
      <c r="F76" s="19"/>
    </row>
    <row r="77" spans="3:6" x14ac:dyDescent="0.25">
      <c r="C77"/>
      <c r="E77" s="14"/>
      <c r="F77" s="19"/>
    </row>
    <row r="78" spans="3:6" x14ac:dyDescent="0.25">
      <c r="C78"/>
      <c r="E78" s="14"/>
      <c r="F78" s="19"/>
    </row>
    <row r="79" spans="3:6" x14ac:dyDescent="0.25">
      <c r="C79"/>
      <c r="E79" s="14"/>
      <c r="F79" s="19"/>
    </row>
    <row r="80" spans="3:6" x14ac:dyDescent="0.25">
      <c r="C80"/>
      <c r="E80" s="14"/>
      <c r="F80" s="19"/>
    </row>
    <row r="81" spans="3:6" x14ac:dyDescent="0.25">
      <c r="C81"/>
      <c r="E81" s="14"/>
      <c r="F81" s="19"/>
    </row>
    <row r="82" spans="3:6" x14ac:dyDescent="0.25">
      <c r="C82"/>
      <c r="E82" s="14"/>
      <c r="F82" s="19"/>
    </row>
    <row r="83" spans="3:6" x14ac:dyDescent="0.25">
      <c r="C83"/>
      <c r="E83" s="14"/>
      <c r="F83" s="19"/>
    </row>
    <row r="84" spans="3:6" x14ac:dyDescent="0.25">
      <c r="C84"/>
      <c r="E84" s="14"/>
      <c r="F84" s="19"/>
    </row>
    <row r="85" spans="3:6" x14ac:dyDescent="0.25">
      <c r="C85"/>
      <c r="E85" s="14"/>
      <c r="F85" s="19"/>
    </row>
    <row r="86" spans="3:6" x14ac:dyDescent="0.25">
      <c r="C86"/>
      <c r="E86" s="14"/>
      <c r="F86" s="19"/>
    </row>
    <row r="87" spans="3:6" x14ac:dyDescent="0.25">
      <c r="C87"/>
      <c r="E87" s="14"/>
      <c r="F87" s="19"/>
    </row>
    <row r="88" spans="3:6" x14ac:dyDescent="0.25">
      <c r="C88"/>
      <c r="E88" s="14"/>
      <c r="F88" s="19"/>
    </row>
    <row r="89" spans="3:6" x14ac:dyDescent="0.25">
      <c r="C89"/>
      <c r="E89" s="14"/>
      <c r="F89" s="19"/>
    </row>
    <row r="90" spans="3:6" x14ac:dyDescent="0.25">
      <c r="C90"/>
      <c r="E90" s="14"/>
      <c r="F90" s="19"/>
    </row>
    <row r="91" spans="3:6" x14ac:dyDescent="0.25">
      <c r="C91"/>
      <c r="E91" s="14"/>
      <c r="F91" s="19"/>
    </row>
    <row r="92" spans="3:6" x14ac:dyDescent="0.25">
      <c r="C92"/>
      <c r="E92" s="14"/>
      <c r="F92" s="19"/>
    </row>
    <row r="93" spans="3:6" x14ac:dyDescent="0.25">
      <c r="C93"/>
      <c r="E93" s="14"/>
      <c r="F93" s="19"/>
    </row>
    <row r="94" spans="3:6" x14ac:dyDescent="0.25">
      <c r="C94"/>
      <c r="E94" s="14"/>
      <c r="F94" s="19"/>
    </row>
    <row r="95" spans="3:6" x14ac:dyDescent="0.25">
      <c r="C95"/>
      <c r="E95" s="14"/>
      <c r="F95" s="19"/>
    </row>
    <row r="96" spans="3:6" x14ac:dyDescent="0.25">
      <c r="C96"/>
      <c r="E96" s="14"/>
      <c r="F96" s="19"/>
    </row>
    <row r="97" spans="3:6" x14ac:dyDescent="0.25">
      <c r="C97"/>
      <c r="E97" s="14"/>
      <c r="F97" s="19"/>
    </row>
    <row r="98" spans="3:6" x14ac:dyDescent="0.25">
      <c r="C98"/>
      <c r="E98" s="14"/>
      <c r="F98" s="19"/>
    </row>
    <row r="99" spans="3:6" x14ac:dyDescent="0.25">
      <c r="C99"/>
      <c r="E99" s="14"/>
      <c r="F99" s="19"/>
    </row>
    <row r="100" spans="3:6" x14ac:dyDescent="0.25">
      <c r="C100"/>
      <c r="E100" s="14"/>
      <c r="F100" s="19"/>
    </row>
    <row r="101" spans="3:6" x14ac:dyDescent="0.25">
      <c r="C101"/>
      <c r="E101" s="14"/>
      <c r="F101" s="19"/>
    </row>
    <row r="102" spans="3:6" x14ac:dyDescent="0.25">
      <c r="C102"/>
      <c r="E102" s="14"/>
      <c r="F102" s="19"/>
    </row>
    <row r="103" spans="3:6" x14ac:dyDescent="0.25">
      <c r="C103"/>
      <c r="E103" s="14"/>
      <c r="F103" s="19"/>
    </row>
    <row r="104" spans="3:6" x14ac:dyDescent="0.25">
      <c r="C104"/>
      <c r="E104" s="14"/>
      <c r="F104" s="19"/>
    </row>
    <row r="105" spans="3:6" x14ac:dyDescent="0.25">
      <c r="C105"/>
      <c r="E105" s="14"/>
      <c r="F105" s="19"/>
    </row>
    <row r="106" spans="3:6" x14ac:dyDescent="0.25">
      <c r="C106"/>
      <c r="E106" s="14"/>
      <c r="F106" s="19"/>
    </row>
    <row r="107" spans="3:6" x14ac:dyDescent="0.25">
      <c r="C107"/>
      <c r="E107" s="14"/>
      <c r="F107" s="19"/>
    </row>
    <row r="108" spans="3:6" x14ac:dyDescent="0.25">
      <c r="C108"/>
      <c r="E108" s="14"/>
      <c r="F108" s="19"/>
    </row>
    <row r="109" spans="3:6" x14ac:dyDescent="0.25">
      <c r="C109"/>
      <c r="E109" s="14"/>
      <c r="F109" s="19"/>
    </row>
    <row r="110" spans="3:6" x14ac:dyDescent="0.25">
      <c r="C110"/>
      <c r="E110" s="14"/>
      <c r="F110" s="19"/>
    </row>
    <row r="111" spans="3:6" x14ac:dyDescent="0.25">
      <c r="C111"/>
      <c r="E111" s="14"/>
      <c r="F111" s="19"/>
    </row>
    <row r="112" spans="3:6" x14ac:dyDescent="0.25">
      <c r="C112"/>
      <c r="E112" s="14"/>
      <c r="F112" s="19"/>
    </row>
    <row r="113" spans="3:6" x14ac:dyDescent="0.25">
      <c r="C113"/>
      <c r="E113" s="14"/>
      <c r="F113" s="19"/>
    </row>
    <row r="114" spans="3:6" x14ac:dyDescent="0.25">
      <c r="C114"/>
      <c r="E114" s="14"/>
      <c r="F114" s="19"/>
    </row>
    <row r="115" spans="3:6" x14ac:dyDescent="0.25">
      <c r="C115"/>
      <c r="E115" s="14"/>
      <c r="F115" s="19"/>
    </row>
    <row r="116" spans="3:6" x14ac:dyDescent="0.25">
      <c r="C116"/>
      <c r="E116" s="14"/>
      <c r="F116" s="19"/>
    </row>
    <row r="117" spans="3:6" x14ac:dyDescent="0.25">
      <c r="C117"/>
      <c r="E117" s="14"/>
      <c r="F117" s="19"/>
    </row>
    <row r="118" spans="3:6" x14ac:dyDescent="0.25">
      <c r="C118"/>
      <c r="E118" s="14"/>
      <c r="F118" s="19"/>
    </row>
    <row r="119" spans="3:6" x14ac:dyDescent="0.25">
      <c r="C119"/>
      <c r="E119" s="14"/>
      <c r="F119" s="19"/>
    </row>
    <row r="120" spans="3:6" x14ac:dyDescent="0.25">
      <c r="C120"/>
      <c r="E120" s="14"/>
      <c r="F120" s="19"/>
    </row>
    <row r="121" spans="3:6" x14ac:dyDescent="0.25">
      <c r="C121"/>
      <c r="E121" s="14"/>
      <c r="F121" s="19"/>
    </row>
    <row r="122" spans="3:6" x14ac:dyDescent="0.25">
      <c r="C122"/>
      <c r="E122" s="14"/>
      <c r="F122" s="19"/>
    </row>
    <row r="123" spans="3:6" x14ac:dyDescent="0.25">
      <c r="C123"/>
      <c r="E123" s="14"/>
      <c r="F123" s="19"/>
    </row>
    <row r="124" spans="3:6" x14ac:dyDescent="0.25">
      <c r="C124"/>
      <c r="E124" s="14"/>
      <c r="F124" s="19"/>
    </row>
    <row r="125" spans="3:6" x14ac:dyDescent="0.25">
      <c r="C125"/>
      <c r="E125" s="14"/>
      <c r="F125" s="19"/>
    </row>
    <row r="126" spans="3:6" x14ac:dyDescent="0.25">
      <c r="C126"/>
      <c r="E126" s="14"/>
      <c r="F126" s="19"/>
    </row>
    <row r="127" spans="3:6" x14ac:dyDescent="0.25">
      <c r="C127"/>
      <c r="E127" s="14"/>
      <c r="F127" s="19"/>
    </row>
    <row r="128" spans="3:6" x14ac:dyDescent="0.25">
      <c r="C128"/>
      <c r="E128" s="14"/>
      <c r="F128" s="19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  <row r="617" spans="3:3" x14ac:dyDescent="0.25">
      <c r="C617"/>
    </row>
    <row r="618" spans="3:3" x14ac:dyDescent="0.25">
      <c r="C618"/>
    </row>
    <row r="619" spans="3:3" x14ac:dyDescent="0.25">
      <c r="C619"/>
    </row>
    <row r="620" spans="3:3" x14ac:dyDescent="0.25">
      <c r="C620"/>
    </row>
    <row r="621" spans="3:3" x14ac:dyDescent="0.25">
      <c r="C621"/>
    </row>
    <row r="622" spans="3:3" x14ac:dyDescent="0.25">
      <c r="C622"/>
    </row>
    <row r="623" spans="3:3" x14ac:dyDescent="0.25">
      <c r="C623"/>
    </row>
    <row r="624" spans="3:3" x14ac:dyDescent="0.25">
      <c r="C624"/>
    </row>
    <row r="625" spans="3:3" x14ac:dyDescent="0.25">
      <c r="C625"/>
    </row>
    <row r="626" spans="3:3" x14ac:dyDescent="0.25">
      <c r="C626"/>
    </row>
    <row r="627" spans="3:3" x14ac:dyDescent="0.25">
      <c r="C627"/>
    </row>
    <row r="628" spans="3:3" x14ac:dyDescent="0.25">
      <c r="C628"/>
    </row>
    <row r="629" spans="3:3" x14ac:dyDescent="0.25">
      <c r="C629"/>
    </row>
    <row r="630" spans="3:3" x14ac:dyDescent="0.25">
      <c r="C630"/>
    </row>
    <row r="631" spans="3:3" x14ac:dyDescent="0.25">
      <c r="C631"/>
    </row>
    <row r="632" spans="3:3" x14ac:dyDescent="0.25">
      <c r="C632"/>
    </row>
    <row r="633" spans="3:3" x14ac:dyDescent="0.25">
      <c r="C633"/>
    </row>
    <row r="634" spans="3:3" x14ac:dyDescent="0.25">
      <c r="C634"/>
    </row>
    <row r="635" spans="3:3" x14ac:dyDescent="0.25">
      <c r="C635"/>
    </row>
    <row r="636" spans="3:3" x14ac:dyDescent="0.25">
      <c r="C636"/>
    </row>
    <row r="637" spans="3:3" x14ac:dyDescent="0.25">
      <c r="C637"/>
    </row>
    <row r="638" spans="3:3" x14ac:dyDescent="0.25">
      <c r="C638"/>
    </row>
    <row r="639" spans="3:3" x14ac:dyDescent="0.25">
      <c r="C639"/>
    </row>
    <row r="640" spans="3:3" x14ac:dyDescent="0.25">
      <c r="C640"/>
    </row>
    <row r="641" spans="3:3" x14ac:dyDescent="0.25">
      <c r="C641"/>
    </row>
    <row r="642" spans="3:3" x14ac:dyDescent="0.25">
      <c r="C642"/>
    </row>
    <row r="643" spans="3:3" x14ac:dyDescent="0.25">
      <c r="C643"/>
    </row>
    <row r="644" spans="3:3" x14ac:dyDescent="0.25">
      <c r="C644"/>
    </row>
    <row r="645" spans="3:3" x14ac:dyDescent="0.25">
      <c r="C645"/>
    </row>
    <row r="646" spans="3:3" x14ac:dyDescent="0.25">
      <c r="C646"/>
    </row>
    <row r="647" spans="3:3" x14ac:dyDescent="0.25">
      <c r="C647"/>
    </row>
    <row r="648" spans="3:3" x14ac:dyDescent="0.25">
      <c r="C648"/>
    </row>
    <row r="649" spans="3:3" x14ac:dyDescent="0.25">
      <c r="C649"/>
    </row>
    <row r="650" spans="3:3" x14ac:dyDescent="0.25">
      <c r="C650"/>
    </row>
    <row r="651" spans="3:3" x14ac:dyDescent="0.25">
      <c r="C651"/>
    </row>
    <row r="652" spans="3:3" x14ac:dyDescent="0.25">
      <c r="C652"/>
    </row>
    <row r="653" spans="3:3" x14ac:dyDescent="0.25">
      <c r="C653"/>
    </row>
    <row r="654" spans="3:3" x14ac:dyDescent="0.25">
      <c r="C654"/>
    </row>
    <row r="655" spans="3:3" x14ac:dyDescent="0.25">
      <c r="C655"/>
    </row>
    <row r="656" spans="3:3" x14ac:dyDescent="0.25">
      <c r="C656"/>
    </row>
    <row r="657" spans="3:3" x14ac:dyDescent="0.25">
      <c r="C657"/>
    </row>
    <row r="658" spans="3:3" x14ac:dyDescent="0.25">
      <c r="C658"/>
    </row>
    <row r="659" spans="3:3" x14ac:dyDescent="0.25">
      <c r="C659"/>
    </row>
    <row r="660" spans="3:3" x14ac:dyDescent="0.25">
      <c r="C660"/>
    </row>
    <row r="661" spans="3:3" x14ac:dyDescent="0.25">
      <c r="C661"/>
    </row>
    <row r="662" spans="3:3" x14ac:dyDescent="0.25">
      <c r="C662"/>
    </row>
    <row r="663" spans="3:3" x14ac:dyDescent="0.25">
      <c r="C663"/>
    </row>
    <row r="664" spans="3:3" x14ac:dyDescent="0.25">
      <c r="C664"/>
    </row>
    <row r="665" spans="3:3" x14ac:dyDescent="0.25">
      <c r="C665"/>
    </row>
    <row r="666" spans="3:3" x14ac:dyDescent="0.25">
      <c r="C666"/>
    </row>
    <row r="667" spans="3:3" x14ac:dyDescent="0.25">
      <c r="C667"/>
    </row>
    <row r="668" spans="3:3" x14ac:dyDescent="0.25">
      <c r="C668"/>
    </row>
    <row r="669" spans="3:3" x14ac:dyDescent="0.25">
      <c r="C669"/>
    </row>
    <row r="670" spans="3:3" x14ac:dyDescent="0.25">
      <c r="C670"/>
    </row>
    <row r="671" spans="3:3" x14ac:dyDescent="0.25">
      <c r="C671"/>
    </row>
    <row r="672" spans="3:3" x14ac:dyDescent="0.25">
      <c r="C672"/>
    </row>
    <row r="673" spans="3:3" x14ac:dyDescent="0.25">
      <c r="C673"/>
    </row>
    <row r="674" spans="3:3" x14ac:dyDescent="0.25">
      <c r="C674"/>
    </row>
    <row r="675" spans="3:3" x14ac:dyDescent="0.25">
      <c r="C675"/>
    </row>
    <row r="676" spans="3:3" x14ac:dyDescent="0.25">
      <c r="C676"/>
    </row>
    <row r="677" spans="3:3" x14ac:dyDescent="0.25">
      <c r="C677"/>
    </row>
    <row r="678" spans="3:3" x14ac:dyDescent="0.25">
      <c r="C678"/>
    </row>
    <row r="679" spans="3:3" x14ac:dyDescent="0.25">
      <c r="C679"/>
    </row>
    <row r="680" spans="3:3" x14ac:dyDescent="0.25">
      <c r="C680"/>
    </row>
    <row r="681" spans="3:3" x14ac:dyDescent="0.25">
      <c r="C681"/>
    </row>
    <row r="682" spans="3:3" x14ac:dyDescent="0.25">
      <c r="C682"/>
    </row>
    <row r="683" spans="3:3" x14ac:dyDescent="0.25">
      <c r="C683"/>
    </row>
    <row r="684" spans="3:3" x14ac:dyDescent="0.25">
      <c r="C684"/>
    </row>
    <row r="685" spans="3:3" x14ac:dyDescent="0.25">
      <c r="C685"/>
    </row>
    <row r="686" spans="3:3" x14ac:dyDescent="0.25">
      <c r="C686"/>
    </row>
    <row r="687" spans="3:3" x14ac:dyDescent="0.25">
      <c r="C687"/>
    </row>
    <row r="688" spans="3:3" x14ac:dyDescent="0.25">
      <c r="C688"/>
    </row>
    <row r="689" spans="3:3" x14ac:dyDescent="0.25">
      <c r="C689"/>
    </row>
    <row r="690" spans="3:3" x14ac:dyDescent="0.25">
      <c r="C690"/>
    </row>
    <row r="691" spans="3:3" x14ac:dyDescent="0.25">
      <c r="C691"/>
    </row>
    <row r="692" spans="3:3" x14ac:dyDescent="0.25">
      <c r="C692"/>
    </row>
    <row r="693" spans="3:3" x14ac:dyDescent="0.25">
      <c r="C693"/>
    </row>
    <row r="694" spans="3:3" x14ac:dyDescent="0.25">
      <c r="C694"/>
    </row>
    <row r="695" spans="3:3" x14ac:dyDescent="0.25">
      <c r="C695"/>
    </row>
    <row r="696" spans="3:3" x14ac:dyDescent="0.25">
      <c r="C696"/>
    </row>
    <row r="697" spans="3:3" x14ac:dyDescent="0.25">
      <c r="C697"/>
    </row>
    <row r="698" spans="3:3" x14ac:dyDescent="0.25">
      <c r="C698"/>
    </row>
    <row r="699" spans="3:3" x14ac:dyDescent="0.25">
      <c r="C699"/>
    </row>
    <row r="700" spans="3:3" x14ac:dyDescent="0.25">
      <c r="C700"/>
    </row>
    <row r="701" spans="3:3" x14ac:dyDescent="0.25">
      <c r="C701"/>
    </row>
    <row r="702" spans="3:3" x14ac:dyDescent="0.25">
      <c r="C702"/>
    </row>
    <row r="703" spans="3:3" x14ac:dyDescent="0.25">
      <c r="C703"/>
    </row>
    <row r="704" spans="3:3" x14ac:dyDescent="0.25">
      <c r="C704"/>
    </row>
    <row r="705" spans="3:3" x14ac:dyDescent="0.25">
      <c r="C705"/>
    </row>
    <row r="706" spans="3:3" x14ac:dyDescent="0.25">
      <c r="C706"/>
    </row>
    <row r="707" spans="3:3" x14ac:dyDescent="0.25">
      <c r="C707"/>
    </row>
    <row r="708" spans="3:3" x14ac:dyDescent="0.25">
      <c r="C708"/>
    </row>
    <row r="709" spans="3:3" x14ac:dyDescent="0.25">
      <c r="C709"/>
    </row>
    <row r="710" spans="3:3" x14ac:dyDescent="0.25">
      <c r="C710"/>
    </row>
    <row r="711" spans="3:3" x14ac:dyDescent="0.25">
      <c r="C711"/>
    </row>
    <row r="712" spans="3:3" x14ac:dyDescent="0.25">
      <c r="C712"/>
    </row>
    <row r="713" spans="3:3" x14ac:dyDescent="0.25">
      <c r="C713"/>
    </row>
    <row r="714" spans="3:3" x14ac:dyDescent="0.25">
      <c r="C714"/>
    </row>
    <row r="715" spans="3:3" x14ac:dyDescent="0.25">
      <c r="C715"/>
    </row>
    <row r="716" spans="3:3" x14ac:dyDescent="0.25">
      <c r="C716"/>
    </row>
    <row r="717" spans="3:3" x14ac:dyDescent="0.25">
      <c r="C717"/>
    </row>
    <row r="718" spans="3:3" x14ac:dyDescent="0.25">
      <c r="C718"/>
    </row>
    <row r="719" spans="3:3" x14ac:dyDescent="0.25">
      <c r="C719"/>
    </row>
    <row r="720" spans="3:3" x14ac:dyDescent="0.25">
      <c r="C720"/>
    </row>
    <row r="721" spans="3:3" x14ac:dyDescent="0.25">
      <c r="C721"/>
    </row>
    <row r="722" spans="3:3" x14ac:dyDescent="0.25">
      <c r="C722"/>
    </row>
    <row r="723" spans="3:3" x14ac:dyDescent="0.25">
      <c r="C723"/>
    </row>
    <row r="724" spans="3:3" x14ac:dyDescent="0.25">
      <c r="C724"/>
    </row>
    <row r="725" spans="3:3" x14ac:dyDescent="0.25">
      <c r="C725"/>
    </row>
    <row r="726" spans="3:3" x14ac:dyDescent="0.25">
      <c r="C726"/>
    </row>
    <row r="727" spans="3:3" x14ac:dyDescent="0.25">
      <c r="C727"/>
    </row>
    <row r="728" spans="3:3" x14ac:dyDescent="0.25">
      <c r="C728"/>
    </row>
    <row r="729" spans="3:3" x14ac:dyDescent="0.25">
      <c r="C729"/>
    </row>
    <row r="730" spans="3:3" x14ac:dyDescent="0.25">
      <c r="C730"/>
    </row>
    <row r="731" spans="3:3" x14ac:dyDescent="0.25">
      <c r="C731"/>
    </row>
    <row r="732" spans="3:3" x14ac:dyDescent="0.25">
      <c r="C732"/>
    </row>
    <row r="733" spans="3:3" x14ac:dyDescent="0.25">
      <c r="C733"/>
    </row>
    <row r="734" spans="3:3" x14ac:dyDescent="0.25">
      <c r="C734"/>
    </row>
    <row r="735" spans="3:3" x14ac:dyDescent="0.25">
      <c r="C735"/>
    </row>
    <row r="736" spans="3:3" x14ac:dyDescent="0.25">
      <c r="C736"/>
    </row>
    <row r="737" spans="3:3" x14ac:dyDescent="0.25">
      <c r="C737"/>
    </row>
    <row r="738" spans="3:3" x14ac:dyDescent="0.25">
      <c r="C738"/>
    </row>
    <row r="739" spans="3:3" x14ac:dyDescent="0.25">
      <c r="C739"/>
    </row>
    <row r="740" spans="3:3" x14ac:dyDescent="0.25">
      <c r="C740"/>
    </row>
    <row r="741" spans="3:3" x14ac:dyDescent="0.25">
      <c r="C741"/>
    </row>
    <row r="742" spans="3:3" x14ac:dyDescent="0.25">
      <c r="C742"/>
    </row>
    <row r="743" spans="3:3" x14ac:dyDescent="0.25">
      <c r="C743"/>
    </row>
    <row r="744" spans="3:3" x14ac:dyDescent="0.25">
      <c r="C744"/>
    </row>
    <row r="745" spans="3:3" x14ac:dyDescent="0.25">
      <c r="C745"/>
    </row>
    <row r="746" spans="3:3" x14ac:dyDescent="0.25">
      <c r="C746"/>
    </row>
    <row r="747" spans="3:3" x14ac:dyDescent="0.25">
      <c r="C747"/>
    </row>
    <row r="748" spans="3:3" x14ac:dyDescent="0.25">
      <c r="C748"/>
    </row>
    <row r="749" spans="3:3" x14ac:dyDescent="0.25">
      <c r="C749"/>
    </row>
    <row r="750" spans="3:3" x14ac:dyDescent="0.25">
      <c r="C750"/>
    </row>
    <row r="751" spans="3:3" x14ac:dyDescent="0.25">
      <c r="C751"/>
    </row>
    <row r="752" spans="3:3" x14ac:dyDescent="0.25">
      <c r="C752"/>
    </row>
    <row r="753" spans="3:3" x14ac:dyDescent="0.25">
      <c r="C753"/>
    </row>
    <row r="754" spans="3:3" x14ac:dyDescent="0.25">
      <c r="C754"/>
    </row>
    <row r="755" spans="3:3" x14ac:dyDescent="0.25">
      <c r="C755"/>
    </row>
    <row r="756" spans="3:3" x14ac:dyDescent="0.25">
      <c r="C756"/>
    </row>
    <row r="757" spans="3:3" x14ac:dyDescent="0.25">
      <c r="C757"/>
    </row>
    <row r="758" spans="3:3" x14ac:dyDescent="0.25">
      <c r="C758"/>
    </row>
    <row r="759" spans="3:3" x14ac:dyDescent="0.25">
      <c r="C759"/>
    </row>
    <row r="760" spans="3:3" x14ac:dyDescent="0.25">
      <c r="C760"/>
    </row>
    <row r="761" spans="3:3" x14ac:dyDescent="0.25">
      <c r="C761"/>
    </row>
    <row r="762" spans="3:3" x14ac:dyDescent="0.25">
      <c r="C762"/>
    </row>
    <row r="763" spans="3:3" x14ac:dyDescent="0.25">
      <c r="C763"/>
    </row>
    <row r="764" spans="3:3" x14ac:dyDescent="0.25">
      <c r="C764"/>
    </row>
    <row r="765" spans="3:3" x14ac:dyDescent="0.25">
      <c r="C765"/>
    </row>
    <row r="766" spans="3:3" x14ac:dyDescent="0.25">
      <c r="C766"/>
    </row>
    <row r="767" spans="3:3" x14ac:dyDescent="0.25">
      <c r="C767"/>
    </row>
    <row r="768" spans="3:3" x14ac:dyDescent="0.25">
      <c r="C768"/>
    </row>
    <row r="769" spans="3:3" x14ac:dyDescent="0.25">
      <c r="C769"/>
    </row>
    <row r="770" spans="3:3" x14ac:dyDescent="0.25">
      <c r="C770"/>
    </row>
    <row r="771" spans="3:3" x14ac:dyDescent="0.25">
      <c r="C771"/>
    </row>
    <row r="772" spans="3:3" x14ac:dyDescent="0.25">
      <c r="C772"/>
    </row>
    <row r="773" spans="3:3" x14ac:dyDescent="0.25">
      <c r="C773"/>
    </row>
    <row r="774" spans="3:3" x14ac:dyDescent="0.25">
      <c r="C774"/>
    </row>
    <row r="775" spans="3:3" x14ac:dyDescent="0.25">
      <c r="C775"/>
    </row>
    <row r="776" spans="3:3" x14ac:dyDescent="0.25">
      <c r="C776"/>
    </row>
    <row r="777" spans="3:3" x14ac:dyDescent="0.25">
      <c r="C777"/>
    </row>
    <row r="778" spans="3:3" x14ac:dyDescent="0.25">
      <c r="C778"/>
    </row>
    <row r="779" spans="3:3" x14ac:dyDescent="0.25">
      <c r="C779"/>
    </row>
    <row r="780" spans="3:3" x14ac:dyDescent="0.25">
      <c r="C780"/>
    </row>
    <row r="781" spans="3:3" x14ac:dyDescent="0.25">
      <c r="C781"/>
    </row>
    <row r="782" spans="3:3" x14ac:dyDescent="0.25">
      <c r="C782"/>
    </row>
    <row r="783" spans="3:3" x14ac:dyDescent="0.25">
      <c r="C783"/>
    </row>
    <row r="784" spans="3:3" x14ac:dyDescent="0.25">
      <c r="C784"/>
    </row>
    <row r="785" spans="3:3" x14ac:dyDescent="0.25">
      <c r="C785"/>
    </row>
    <row r="786" spans="3:3" x14ac:dyDescent="0.25">
      <c r="C786"/>
    </row>
    <row r="787" spans="3:3" x14ac:dyDescent="0.25">
      <c r="C787"/>
    </row>
    <row r="788" spans="3:3" x14ac:dyDescent="0.25">
      <c r="C788"/>
    </row>
    <row r="789" spans="3:3" x14ac:dyDescent="0.25">
      <c r="C789"/>
    </row>
    <row r="790" spans="3:3" x14ac:dyDescent="0.25">
      <c r="C790"/>
    </row>
    <row r="791" spans="3:3" x14ac:dyDescent="0.25">
      <c r="C791"/>
    </row>
    <row r="792" spans="3:3" x14ac:dyDescent="0.25">
      <c r="C792"/>
    </row>
    <row r="793" spans="3:3" x14ac:dyDescent="0.25">
      <c r="C793"/>
    </row>
    <row r="794" spans="3:3" x14ac:dyDescent="0.25">
      <c r="C794"/>
    </row>
    <row r="795" spans="3:3" x14ac:dyDescent="0.25">
      <c r="C795"/>
    </row>
    <row r="796" spans="3:3" x14ac:dyDescent="0.25">
      <c r="C796"/>
    </row>
    <row r="797" spans="3:3" x14ac:dyDescent="0.25">
      <c r="C797"/>
    </row>
    <row r="798" spans="3:3" x14ac:dyDescent="0.25">
      <c r="C798"/>
    </row>
    <row r="799" spans="3:3" x14ac:dyDescent="0.25">
      <c r="C799"/>
    </row>
    <row r="800" spans="3:3" x14ac:dyDescent="0.25">
      <c r="C800"/>
    </row>
    <row r="801" spans="3:3" x14ac:dyDescent="0.25">
      <c r="C801"/>
    </row>
    <row r="802" spans="3:3" x14ac:dyDescent="0.25">
      <c r="C802"/>
    </row>
    <row r="803" spans="3:3" x14ac:dyDescent="0.25">
      <c r="C803"/>
    </row>
    <row r="804" spans="3:3" x14ac:dyDescent="0.25">
      <c r="C804"/>
    </row>
    <row r="805" spans="3:3" x14ac:dyDescent="0.25">
      <c r="C805"/>
    </row>
    <row r="806" spans="3:3" x14ac:dyDescent="0.25">
      <c r="C806"/>
    </row>
    <row r="807" spans="3:3" x14ac:dyDescent="0.25">
      <c r="C807"/>
    </row>
    <row r="808" spans="3:3" x14ac:dyDescent="0.25">
      <c r="C808"/>
    </row>
    <row r="809" spans="3:3" x14ac:dyDescent="0.25">
      <c r="C809"/>
    </row>
    <row r="810" spans="3:3" x14ac:dyDescent="0.25">
      <c r="C810"/>
    </row>
    <row r="811" spans="3:3" x14ac:dyDescent="0.25">
      <c r="C811"/>
    </row>
    <row r="812" spans="3:3" x14ac:dyDescent="0.25">
      <c r="C812"/>
    </row>
    <row r="813" spans="3:3" x14ac:dyDescent="0.25">
      <c r="C813"/>
    </row>
    <row r="814" spans="3:3" x14ac:dyDescent="0.25">
      <c r="C814"/>
    </row>
    <row r="815" spans="3:3" x14ac:dyDescent="0.25">
      <c r="C815"/>
    </row>
    <row r="816" spans="3:3" x14ac:dyDescent="0.25">
      <c r="C816"/>
    </row>
    <row r="817" spans="3:3" x14ac:dyDescent="0.25">
      <c r="C817"/>
    </row>
    <row r="818" spans="3:3" x14ac:dyDescent="0.25">
      <c r="C818"/>
    </row>
    <row r="819" spans="3:3" x14ac:dyDescent="0.25">
      <c r="C819"/>
    </row>
    <row r="820" spans="3:3" x14ac:dyDescent="0.25">
      <c r="C820"/>
    </row>
    <row r="821" spans="3:3" x14ac:dyDescent="0.25">
      <c r="C821"/>
    </row>
    <row r="822" spans="3:3" x14ac:dyDescent="0.25">
      <c r="C822"/>
    </row>
    <row r="823" spans="3:3" x14ac:dyDescent="0.25">
      <c r="C823"/>
    </row>
    <row r="824" spans="3:3" x14ac:dyDescent="0.25">
      <c r="C824"/>
    </row>
    <row r="825" spans="3:3" x14ac:dyDescent="0.25">
      <c r="C825"/>
    </row>
    <row r="826" spans="3:3" x14ac:dyDescent="0.25">
      <c r="C826"/>
    </row>
    <row r="827" spans="3:3" x14ac:dyDescent="0.25">
      <c r="C827"/>
    </row>
    <row r="828" spans="3:3" x14ac:dyDescent="0.25">
      <c r="C828"/>
    </row>
    <row r="829" spans="3:3" x14ac:dyDescent="0.25">
      <c r="C829"/>
    </row>
    <row r="830" spans="3:3" x14ac:dyDescent="0.25">
      <c r="C830"/>
    </row>
    <row r="831" spans="3:3" x14ac:dyDescent="0.25">
      <c r="C831"/>
    </row>
    <row r="832" spans="3:3" x14ac:dyDescent="0.25">
      <c r="C832"/>
    </row>
    <row r="833" spans="3:3" x14ac:dyDescent="0.25">
      <c r="C833"/>
    </row>
    <row r="834" spans="3:3" x14ac:dyDescent="0.25">
      <c r="C834"/>
    </row>
    <row r="835" spans="3:3" x14ac:dyDescent="0.25">
      <c r="C835"/>
    </row>
    <row r="836" spans="3:3" x14ac:dyDescent="0.25">
      <c r="C836"/>
    </row>
    <row r="837" spans="3:3" x14ac:dyDescent="0.25">
      <c r="C837"/>
    </row>
    <row r="838" spans="3:3" x14ac:dyDescent="0.25">
      <c r="C838"/>
    </row>
    <row r="839" spans="3:3" x14ac:dyDescent="0.25">
      <c r="C839"/>
    </row>
    <row r="840" spans="3:3" x14ac:dyDescent="0.25">
      <c r="C840"/>
    </row>
    <row r="841" spans="3:3" x14ac:dyDescent="0.25">
      <c r="C841"/>
    </row>
    <row r="842" spans="3:3" x14ac:dyDescent="0.25">
      <c r="C842"/>
    </row>
    <row r="843" spans="3:3" x14ac:dyDescent="0.25">
      <c r="C843"/>
    </row>
    <row r="844" spans="3:3" x14ac:dyDescent="0.25">
      <c r="C844"/>
    </row>
    <row r="845" spans="3:3" x14ac:dyDescent="0.25">
      <c r="C845"/>
    </row>
    <row r="846" spans="3:3" x14ac:dyDescent="0.25">
      <c r="C846"/>
    </row>
    <row r="847" spans="3:3" x14ac:dyDescent="0.25">
      <c r="C847"/>
    </row>
    <row r="848" spans="3:3" x14ac:dyDescent="0.25">
      <c r="C848"/>
    </row>
    <row r="849" spans="3:3" x14ac:dyDescent="0.25">
      <c r="C849"/>
    </row>
    <row r="850" spans="3:3" x14ac:dyDescent="0.25">
      <c r="C850"/>
    </row>
    <row r="851" spans="3:3" x14ac:dyDescent="0.25">
      <c r="C851"/>
    </row>
    <row r="852" spans="3:3" x14ac:dyDescent="0.25">
      <c r="C852"/>
    </row>
    <row r="853" spans="3:3" x14ac:dyDescent="0.25">
      <c r="C853"/>
    </row>
    <row r="854" spans="3:3" x14ac:dyDescent="0.25">
      <c r="C854"/>
    </row>
    <row r="855" spans="3:3" x14ac:dyDescent="0.25">
      <c r="C855"/>
    </row>
    <row r="856" spans="3:3" x14ac:dyDescent="0.25">
      <c r="C856"/>
    </row>
    <row r="857" spans="3:3" x14ac:dyDescent="0.25">
      <c r="C857"/>
    </row>
    <row r="858" spans="3:3" x14ac:dyDescent="0.25">
      <c r="C858"/>
    </row>
    <row r="859" spans="3:3" x14ac:dyDescent="0.25">
      <c r="C859"/>
    </row>
    <row r="860" spans="3:3" x14ac:dyDescent="0.25">
      <c r="C860"/>
    </row>
    <row r="861" spans="3:3" x14ac:dyDescent="0.25">
      <c r="C861"/>
    </row>
    <row r="862" spans="3:3" x14ac:dyDescent="0.25">
      <c r="C862"/>
    </row>
    <row r="863" spans="3:3" x14ac:dyDescent="0.25">
      <c r="C863"/>
    </row>
    <row r="864" spans="3:3" x14ac:dyDescent="0.25">
      <c r="C864"/>
    </row>
    <row r="865" spans="3:3" x14ac:dyDescent="0.25">
      <c r="C865"/>
    </row>
    <row r="866" spans="3:3" x14ac:dyDescent="0.25">
      <c r="C866"/>
    </row>
    <row r="867" spans="3:3" x14ac:dyDescent="0.25">
      <c r="C867"/>
    </row>
    <row r="868" spans="3:3" x14ac:dyDescent="0.25">
      <c r="C868"/>
    </row>
    <row r="869" spans="3:3" x14ac:dyDescent="0.25">
      <c r="C869"/>
    </row>
    <row r="870" spans="3:3" x14ac:dyDescent="0.25">
      <c r="C870"/>
    </row>
    <row r="871" spans="3:3" x14ac:dyDescent="0.25">
      <c r="C871"/>
    </row>
    <row r="872" spans="3:3" x14ac:dyDescent="0.25">
      <c r="C872"/>
    </row>
    <row r="873" spans="3:3" x14ac:dyDescent="0.25">
      <c r="C873"/>
    </row>
    <row r="874" spans="3:3" x14ac:dyDescent="0.25">
      <c r="C874"/>
    </row>
    <row r="875" spans="3:3" x14ac:dyDescent="0.25">
      <c r="C875"/>
    </row>
    <row r="876" spans="3:3" x14ac:dyDescent="0.25">
      <c r="C876"/>
    </row>
    <row r="877" spans="3:3" x14ac:dyDescent="0.25">
      <c r="C877"/>
    </row>
    <row r="878" spans="3:3" x14ac:dyDescent="0.25">
      <c r="C878"/>
    </row>
    <row r="879" spans="3:3" x14ac:dyDescent="0.25">
      <c r="C879"/>
    </row>
    <row r="880" spans="3:3" x14ac:dyDescent="0.25">
      <c r="C880"/>
    </row>
    <row r="881" spans="3:3" x14ac:dyDescent="0.25">
      <c r="C881"/>
    </row>
    <row r="882" spans="3:3" x14ac:dyDescent="0.25">
      <c r="C882"/>
    </row>
    <row r="883" spans="3:3" x14ac:dyDescent="0.25">
      <c r="C883"/>
    </row>
    <row r="884" spans="3:3" x14ac:dyDescent="0.25">
      <c r="C884"/>
    </row>
    <row r="885" spans="3:3" x14ac:dyDescent="0.25">
      <c r="C885"/>
    </row>
    <row r="886" spans="3:3" x14ac:dyDescent="0.25">
      <c r="C886"/>
    </row>
    <row r="887" spans="3:3" x14ac:dyDescent="0.25">
      <c r="C887"/>
    </row>
    <row r="888" spans="3:3" x14ac:dyDescent="0.25">
      <c r="C888"/>
    </row>
    <row r="889" spans="3:3" x14ac:dyDescent="0.25">
      <c r="C889"/>
    </row>
    <row r="890" spans="3:3" x14ac:dyDescent="0.25">
      <c r="C890"/>
    </row>
    <row r="891" spans="3:3" x14ac:dyDescent="0.25">
      <c r="C891"/>
    </row>
    <row r="892" spans="3:3" x14ac:dyDescent="0.25">
      <c r="C892"/>
    </row>
    <row r="893" spans="3:3" x14ac:dyDescent="0.25">
      <c r="C893"/>
    </row>
    <row r="894" spans="3:3" x14ac:dyDescent="0.25">
      <c r="C894"/>
    </row>
    <row r="895" spans="3:3" x14ac:dyDescent="0.25">
      <c r="C895"/>
    </row>
    <row r="896" spans="3:3" x14ac:dyDescent="0.25">
      <c r="C896"/>
    </row>
    <row r="897" spans="3:3" x14ac:dyDescent="0.25">
      <c r="C897"/>
    </row>
    <row r="898" spans="3:3" x14ac:dyDescent="0.25">
      <c r="C898"/>
    </row>
    <row r="899" spans="3:3" x14ac:dyDescent="0.25">
      <c r="C899"/>
    </row>
    <row r="900" spans="3:3" x14ac:dyDescent="0.25">
      <c r="C900"/>
    </row>
    <row r="901" spans="3:3" x14ac:dyDescent="0.25">
      <c r="C901"/>
    </row>
    <row r="902" spans="3:3" x14ac:dyDescent="0.25">
      <c r="C902"/>
    </row>
    <row r="903" spans="3:3" x14ac:dyDescent="0.25">
      <c r="C903"/>
    </row>
    <row r="904" spans="3:3" x14ac:dyDescent="0.25">
      <c r="C904"/>
    </row>
    <row r="905" spans="3:3" x14ac:dyDescent="0.25">
      <c r="C905"/>
    </row>
    <row r="906" spans="3:3" x14ac:dyDescent="0.25">
      <c r="C906"/>
    </row>
    <row r="907" spans="3:3" x14ac:dyDescent="0.25">
      <c r="C907"/>
    </row>
    <row r="908" spans="3:3" x14ac:dyDescent="0.25">
      <c r="C908"/>
    </row>
    <row r="909" spans="3:3" x14ac:dyDescent="0.25">
      <c r="C909"/>
    </row>
    <row r="910" spans="3:3" x14ac:dyDescent="0.25">
      <c r="C910"/>
    </row>
    <row r="911" spans="3:3" x14ac:dyDescent="0.25">
      <c r="C911"/>
    </row>
    <row r="912" spans="3:3" x14ac:dyDescent="0.25">
      <c r="C912"/>
    </row>
    <row r="913" spans="3:3" x14ac:dyDescent="0.25">
      <c r="C913"/>
    </row>
    <row r="914" spans="3:3" x14ac:dyDescent="0.25">
      <c r="C914"/>
    </row>
    <row r="915" spans="3:3" x14ac:dyDescent="0.25">
      <c r="C915"/>
    </row>
    <row r="916" spans="3:3" x14ac:dyDescent="0.25">
      <c r="C916"/>
    </row>
    <row r="917" spans="3:3" x14ac:dyDescent="0.25">
      <c r="C917"/>
    </row>
    <row r="918" spans="3:3" x14ac:dyDescent="0.25">
      <c r="C918"/>
    </row>
    <row r="919" spans="3:3" x14ac:dyDescent="0.25">
      <c r="C919"/>
    </row>
    <row r="920" spans="3:3" x14ac:dyDescent="0.25">
      <c r="C920"/>
    </row>
    <row r="921" spans="3:3" x14ac:dyDescent="0.25">
      <c r="C921"/>
    </row>
    <row r="922" spans="3:3" x14ac:dyDescent="0.25">
      <c r="C922"/>
    </row>
    <row r="923" spans="3:3" x14ac:dyDescent="0.25">
      <c r="C923"/>
    </row>
    <row r="924" spans="3:3" x14ac:dyDescent="0.25">
      <c r="C924"/>
    </row>
    <row r="925" spans="3:3" x14ac:dyDescent="0.25">
      <c r="C925"/>
    </row>
    <row r="926" spans="3:3" x14ac:dyDescent="0.25">
      <c r="C926"/>
    </row>
    <row r="927" spans="3:3" x14ac:dyDescent="0.25">
      <c r="C927"/>
    </row>
    <row r="928" spans="3:3" x14ac:dyDescent="0.25">
      <c r="C928"/>
    </row>
    <row r="929" spans="3:3" x14ac:dyDescent="0.25">
      <c r="C929"/>
    </row>
    <row r="930" spans="3:3" x14ac:dyDescent="0.25">
      <c r="C930"/>
    </row>
    <row r="931" spans="3:3" x14ac:dyDescent="0.25">
      <c r="C931"/>
    </row>
    <row r="932" spans="3:3" x14ac:dyDescent="0.25">
      <c r="C932"/>
    </row>
    <row r="933" spans="3:3" x14ac:dyDescent="0.25">
      <c r="C933"/>
    </row>
    <row r="934" spans="3:3" x14ac:dyDescent="0.25">
      <c r="C934"/>
    </row>
    <row r="935" spans="3:3" x14ac:dyDescent="0.25">
      <c r="C935"/>
    </row>
    <row r="936" spans="3:3" x14ac:dyDescent="0.25">
      <c r="C936"/>
    </row>
    <row r="937" spans="3:3" x14ac:dyDescent="0.25">
      <c r="C937"/>
    </row>
    <row r="938" spans="3:3" x14ac:dyDescent="0.25">
      <c r="C938"/>
    </row>
    <row r="939" spans="3:3" x14ac:dyDescent="0.25">
      <c r="C939"/>
    </row>
    <row r="940" spans="3:3" x14ac:dyDescent="0.25">
      <c r="C940"/>
    </row>
    <row r="941" spans="3:3" x14ac:dyDescent="0.25">
      <c r="C941"/>
    </row>
    <row r="942" spans="3:3" x14ac:dyDescent="0.25">
      <c r="C942"/>
    </row>
    <row r="943" spans="3:3" x14ac:dyDescent="0.25">
      <c r="C943"/>
    </row>
    <row r="944" spans="3:3" x14ac:dyDescent="0.25">
      <c r="C944"/>
    </row>
    <row r="945" spans="3:3" x14ac:dyDescent="0.25">
      <c r="C945"/>
    </row>
    <row r="946" spans="3:3" x14ac:dyDescent="0.25">
      <c r="C946"/>
    </row>
    <row r="947" spans="3:3" x14ac:dyDescent="0.25">
      <c r="C947"/>
    </row>
    <row r="948" spans="3:3" x14ac:dyDescent="0.25">
      <c r="C948"/>
    </row>
    <row r="949" spans="3:3" x14ac:dyDescent="0.25">
      <c r="C949"/>
    </row>
    <row r="950" spans="3:3" x14ac:dyDescent="0.25">
      <c r="C950"/>
    </row>
    <row r="951" spans="3:3" x14ac:dyDescent="0.25">
      <c r="C951"/>
    </row>
    <row r="952" spans="3:3" x14ac:dyDescent="0.25">
      <c r="C952"/>
    </row>
    <row r="953" spans="3:3" x14ac:dyDescent="0.25">
      <c r="C953"/>
    </row>
    <row r="954" spans="3:3" x14ac:dyDescent="0.25">
      <c r="C954"/>
    </row>
    <row r="955" spans="3:3" x14ac:dyDescent="0.25">
      <c r="C955"/>
    </row>
    <row r="956" spans="3:3" x14ac:dyDescent="0.25">
      <c r="C956"/>
    </row>
    <row r="957" spans="3:3" x14ac:dyDescent="0.25">
      <c r="C957"/>
    </row>
    <row r="958" spans="3:3" x14ac:dyDescent="0.25">
      <c r="C958"/>
    </row>
    <row r="959" spans="3:3" x14ac:dyDescent="0.25">
      <c r="C959"/>
    </row>
    <row r="960" spans="3:3" x14ac:dyDescent="0.25">
      <c r="C960"/>
    </row>
    <row r="961" spans="3:3" x14ac:dyDescent="0.25">
      <c r="C961"/>
    </row>
    <row r="962" spans="3:3" x14ac:dyDescent="0.25">
      <c r="C962"/>
    </row>
    <row r="963" spans="3:3" x14ac:dyDescent="0.25">
      <c r="C963"/>
    </row>
    <row r="964" spans="3:3" x14ac:dyDescent="0.25">
      <c r="C964"/>
    </row>
    <row r="965" spans="3:3" x14ac:dyDescent="0.25">
      <c r="C965"/>
    </row>
    <row r="966" spans="3:3" x14ac:dyDescent="0.25">
      <c r="C966"/>
    </row>
    <row r="967" spans="3:3" x14ac:dyDescent="0.25">
      <c r="C967"/>
    </row>
    <row r="968" spans="3:3" x14ac:dyDescent="0.25">
      <c r="C968"/>
    </row>
    <row r="969" spans="3:3" x14ac:dyDescent="0.25">
      <c r="C969"/>
    </row>
    <row r="970" spans="3:3" x14ac:dyDescent="0.25">
      <c r="C970"/>
    </row>
    <row r="971" spans="3:3" x14ac:dyDescent="0.25">
      <c r="C971"/>
    </row>
    <row r="972" spans="3:3" x14ac:dyDescent="0.25">
      <c r="C972"/>
    </row>
    <row r="973" spans="3:3" x14ac:dyDescent="0.25">
      <c r="C973"/>
    </row>
    <row r="974" spans="3:3" x14ac:dyDescent="0.25">
      <c r="C974"/>
    </row>
    <row r="975" spans="3:3" x14ac:dyDescent="0.25">
      <c r="C975"/>
    </row>
    <row r="976" spans="3:3" x14ac:dyDescent="0.25">
      <c r="C976"/>
    </row>
    <row r="977" spans="3:3" x14ac:dyDescent="0.25">
      <c r="C977"/>
    </row>
    <row r="978" spans="3:3" x14ac:dyDescent="0.25">
      <c r="C978"/>
    </row>
    <row r="979" spans="3:3" x14ac:dyDescent="0.25">
      <c r="C979"/>
    </row>
    <row r="980" spans="3:3" x14ac:dyDescent="0.25">
      <c r="C980"/>
    </row>
    <row r="981" spans="3:3" x14ac:dyDescent="0.25">
      <c r="C981"/>
    </row>
    <row r="982" spans="3:3" x14ac:dyDescent="0.25">
      <c r="C982"/>
    </row>
    <row r="983" spans="3:3" x14ac:dyDescent="0.25">
      <c r="C983"/>
    </row>
    <row r="984" spans="3:3" x14ac:dyDescent="0.25">
      <c r="C984"/>
    </row>
    <row r="985" spans="3:3" x14ac:dyDescent="0.25">
      <c r="C985"/>
    </row>
    <row r="986" spans="3:3" x14ac:dyDescent="0.25">
      <c r="C986"/>
    </row>
    <row r="987" spans="3:3" x14ac:dyDescent="0.25">
      <c r="C987"/>
    </row>
    <row r="988" spans="3:3" x14ac:dyDescent="0.25">
      <c r="C988"/>
    </row>
    <row r="989" spans="3:3" x14ac:dyDescent="0.25">
      <c r="C989"/>
    </row>
    <row r="990" spans="3:3" x14ac:dyDescent="0.25">
      <c r="C990"/>
    </row>
    <row r="991" spans="3:3" x14ac:dyDescent="0.25">
      <c r="C991"/>
    </row>
    <row r="992" spans="3:3" x14ac:dyDescent="0.25">
      <c r="C992"/>
    </row>
    <row r="993" spans="3:3" x14ac:dyDescent="0.25">
      <c r="C993"/>
    </row>
    <row r="994" spans="3:3" x14ac:dyDescent="0.25">
      <c r="C994"/>
    </row>
    <row r="995" spans="3:3" x14ac:dyDescent="0.25">
      <c r="C995"/>
    </row>
    <row r="996" spans="3:3" x14ac:dyDescent="0.25">
      <c r="C996"/>
    </row>
    <row r="997" spans="3:3" x14ac:dyDescent="0.25">
      <c r="C997"/>
    </row>
    <row r="998" spans="3:3" x14ac:dyDescent="0.25">
      <c r="C998"/>
    </row>
    <row r="999" spans="3:3" x14ac:dyDescent="0.25">
      <c r="C999"/>
    </row>
    <row r="1000" spans="3:3" x14ac:dyDescent="0.25">
      <c r="C1000"/>
    </row>
    <row r="1001" spans="3:3" x14ac:dyDescent="0.25">
      <c r="C1001"/>
    </row>
    <row r="1002" spans="3:3" x14ac:dyDescent="0.25">
      <c r="C1002"/>
    </row>
    <row r="1003" spans="3:3" x14ac:dyDescent="0.25">
      <c r="C1003"/>
    </row>
    <row r="1004" spans="3:3" x14ac:dyDescent="0.25">
      <c r="C1004"/>
    </row>
    <row r="1005" spans="3:3" x14ac:dyDescent="0.25">
      <c r="C1005"/>
    </row>
    <row r="1006" spans="3:3" x14ac:dyDescent="0.25">
      <c r="C1006"/>
    </row>
    <row r="1007" spans="3:3" x14ac:dyDescent="0.25">
      <c r="C1007"/>
    </row>
    <row r="1008" spans="3:3" x14ac:dyDescent="0.25">
      <c r="C1008"/>
    </row>
    <row r="1009" spans="3:3" x14ac:dyDescent="0.25">
      <c r="C1009"/>
    </row>
    <row r="1010" spans="3:3" x14ac:dyDescent="0.25">
      <c r="C1010"/>
    </row>
    <row r="1011" spans="3:3" x14ac:dyDescent="0.25">
      <c r="C1011"/>
    </row>
    <row r="1012" spans="3:3" x14ac:dyDescent="0.25">
      <c r="C1012"/>
    </row>
    <row r="1013" spans="3:3" x14ac:dyDescent="0.25">
      <c r="C1013"/>
    </row>
    <row r="1014" spans="3:3" x14ac:dyDescent="0.25">
      <c r="C1014"/>
    </row>
    <row r="1015" spans="3:3" x14ac:dyDescent="0.25">
      <c r="C1015"/>
    </row>
    <row r="1016" spans="3:3" x14ac:dyDescent="0.25">
      <c r="C1016"/>
    </row>
    <row r="1017" spans="3:3" x14ac:dyDescent="0.25">
      <c r="C1017"/>
    </row>
    <row r="1018" spans="3:3" x14ac:dyDescent="0.25">
      <c r="C1018"/>
    </row>
    <row r="1019" spans="3:3" x14ac:dyDescent="0.25">
      <c r="C1019"/>
    </row>
    <row r="1020" spans="3:3" x14ac:dyDescent="0.25">
      <c r="C1020"/>
    </row>
    <row r="1021" spans="3:3" x14ac:dyDescent="0.25">
      <c r="C1021"/>
    </row>
    <row r="1022" spans="3:3" x14ac:dyDescent="0.25">
      <c r="C1022"/>
    </row>
    <row r="1023" spans="3:3" x14ac:dyDescent="0.25">
      <c r="C1023"/>
    </row>
    <row r="1024" spans="3:3" x14ac:dyDescent="0.25">
      <c r="C1024"/>
    </row>
    <row r="1025" spans="3:3" x14ac:dyDescent="0.25">
      <c r="C1025"/>
    </row>
    <row r="1026" spans="3:3" x14ac:dyDescent="0.25">
      <c r="C1026"/>
    </row>
    <row r="1027" spans="3:3" x14ac:dyDescent="0.25">
      <c r="C1027"/>
    </row>
    <row r="1028" spans="3:3" x14ac:dyDescent="0.25">
      <c r="C1028"/>
    </row>
    <row r="1029" spans="3:3" x14ac:dyDescent="0.25">
      <c r="C1029"/>
    </row>
    <row r="1030" spans="3:3" x14ac:dyDescent="0.25">
      <c r="C1030"/>
    </row>
    <row r="1031" spans="3:3" x14ac:dyDescent="0.25">
      <c r="C1031"/>
    </row>
    <row r="1032" spans="3:3" x14ac:dyDescent="0.25">
      <c r="C1032"/>
    </row>
    <row r="1033" spans="3:3" x14ac:dyDescent="0.25">
      <c r="C1033"/>
    </row>
    <row r="1034" spans="3:3" x14ac:dyDescent="0.25">
      <c r="C1034"/>
    </row>
    <row r="1035" spans="3:3" x14ac:dyDescent="0.25">
      <c r="C1035"/>
    </row>
    <row r="1036" spans="3:3" x14ac:dyDescent="0.25">
      <c r="C1036"/>
    </row>
    <row r="1037" spans="3:3" x14ac:dyDescent="0.25">
      <c r="C1037"/>
    </row>
    <row r="1038" spans="3:3" x14ac:dyDescent="0.25">
      <c r="C1038"/>
    </row>
    <row r="1039" spans="3:3" x14ac:dyDescent="0.25">
      <c r="C1039"/>
    </row>
    <row r="1040" spans="3:3" x14ac:dyDescent="0.25">
      <c r="C1040"/>
    </row>
    <row r="1041" spans="3:3" x14ac:dyDescent="0.25">
      <c r="C1041"/>
    </row>
    <row r="1042" spans="3:3" x14ac:dyDescent="0.25">
      <c r="C1042"/>
    </row>
    <row r="1043" spans="3:3" x14ac:dyDescent="0.25">
      <c r="C1043"/>
    </row>
    <row r="1044" spans="3:3" x14ac:dyDescent="0.25">
      <c r="C1044"/>
    </row>
    <row r="1045" spans="3:3" x14ac:dyDescent="0.25">
      <c r="C1045"/>
    </row>
    <row r="1046" spans="3:3" x14ac:dyDescent="0.25">
      <c r="C1046"/>
    </row>
    <row r="1047" spans="3:3" x14ac:dyDescent="0.25">
      <c r="C1047"/>
    </row>
    <row r="1048" spans="3:3" x14ac:dyDescent="0.25">
      <c r="C1048"/>
    </row>
    <row r="1049" spans="3:3" x14ac:dyDescent="0.25">
      <c r="C1049"/>
    </row>
    <row r="1050" spans="3:3" x14ac:dyDescent="0.25">
      <c r="C1050"/>
    </row>
    <row r="1051" spans="3:3" x14ac:dyDescent="0.25">
      <c r="C1051"/>
    </row>
    <row r="1052" spans="3:3" x14ac:dyDescent="0.25">
      <c r="C1052"/>
    </row>
    <row r="1053" spans="3:3" x14ac:dyDescent="0.25">
      <c r="C1053"/>
    </row>
    <row r="1054" spans="3:3" x14ac:dyDescent="0.25">
      <c r="C1054"/>
    </row>
    <row r="1055" spans="3:3" x14ac:dyDescent="0.25">
      <c r="C1055"/>
    </row>
    <row r="1056" spans="3:3" x14ac:dyDescent="0.25">
      <c r="C1056"/>
    </row>
    <row r="1057" spans="3:3" x14ac:dyDescent="0.25">
      <c r="C1057"/>
    </row>
    <row r="1058" spans="3:3" x14ac:dyDescent="0.25">
      <c r="C1058"/>
    </row>
    <row r="1059" spans="3:3" x14ac:dyDescent="0.25">
      <c r="C1059"/>
    </row>
    <row r="1060" spans="3:3" x14ac:dyDescent="0.25">
      <c r="C1060"/>
    </row>
    <row r="1061" spans="3:3" x14ac:dyDescent="0.25">
      <c r="C1061"/>
    </row>
    <row r="1062" spans="3:3" x14ac:dyDescent="0.25">
      <c r="C1062"/>
    </row>
    <row r="1063" spans="3:3" x14ac:dyDescent="0.25">
      <c r="C1063"/>
    </row>
    <row r="1064" spans="3:3" x14ac:dyDescent="0.25">
      <c r="C1064"/>
    </row>
    <row r="1065" spans="3:3" x14ac:dyDescent="0.25">
      <c r="C1065"/>
    </row>
    <row r="1066" spans="3:3" x14ac:dyDescent="0.25">
      <c r="C1066"/>
    </row>
    <row r="1067" spans="3:3" x14ac:dyDescent="0.25">
      <c r="C1067"/>
    </row>
    <row r="1068" spans="3:3" x14ac:dyDescent="0.25">
      <c r="C1068"/>
    </row>
    <row r="1069" spans="3:3" x14ac:dyDescent="0.25">
      <c r="C1069"/>
    </row>
    <row r="1070" spans="3:3" x14ac:dyDescent="0.25">
      <c r="C1070"/>
    </row>
    <row r="1071" spans="3:3" x14ac:dyDescent="0.25">
      <c r="C1071"/>
    </row>
    <row r="1072" spans="3:3" x14ac:dyDescent="0.25">
      <c r="C1072"/>
    </row>
    <row r="1073" spans="3:3" x14ac:dyDescent="0.25">
      <c r="C1073"/>
    </row>
    <row r="1074" spans="3:3" x14ac:dyDescent="0.25">
      <c r="C1074"/>
    </row>
    <row r="1075" spans="3:3" x14ac:dyDescent="0.25">
      <c r="C1075"/>
    </row>
    <row r="1076" spans="3:3" x14ac:dyDescent="0.25">
      <c r="C1076"/>
    </row>
    <row r="1077" spans="3:3" x14ac:dyDescent="0.25">
      <c r="C1077"/>
    </row>
    <row r="1078" spans="3:3" x14ac:dyDescent="0.25">
      <c r="C1078"/>
    </row>
    <row r="1079" spans="3:3" x14ac:dyDescent="0.25">
      <c r="C1079"/>
    </row>
    <row r="1080" spans="3:3" x14ac:dyDescent="0.25">
      <c r="C1080"/>
    </row>
    <row r="1081" spans="3:3" x14ac:dyDescent="0.25">
      <c r="C1081"/>
    </row>
    <row r="1082" spans="3:3" x14ac:dyDescent="0.25">
      <c r="C1082"/>
    </row>
    <row r="1083" spans="3:3" x14ac:dyDescent="0.25">
      <c r="C1083"/>
    </row>
    <row r="1084" spans="3:3" x14ac:dyDescent="0.25">
      <c r="C1084"/>
    </row>
    <row r="1085" spans="3:3" x14ac:dyDescent="0.25">
      <c r="C1085"/>
    </row>
    <row r="1086" spans="3:3" x14ac:dyDescent="0.25">
      <c r="C1086"/>
    </row>
    <row r="1087" spans="3:3" x14ac:dyDescent="0.25">
      <c r="C1087"/>
    </row>
    <row r="1088" spans="3:3" x14ac:dyDescent="0.25">
      <c r="C1088"/>
    </row>
    <row r="1089" spans="3:3" x14ac:dyDescent="0.25">
      <c r="C1089"/>
    </row>
    <row r="1090" spans="3:3" x14ac:dyDescent="0.25">
      <c r="C1090"/>
    </row>
    <row r="1091" spans="3:3" x14ac:dyDescent="0.25">
      <c r="C1091"/>
    </row>
    <row r="1092" spans="3:3" x14ac:dyDescent="0.25">
      <c r="C1092"/>
    </row>
    <row r="1093" spans="3:3" x14ac:dyDescent="0.25">
      <c r="C1093"/>
    </row>
    <row r="1094" spans="3:3" x14ac:dyDescent="0.25">
      <c r="C1094"/>
    </row>
    <row r="1095" spans="3:3" x14ac:dyDescent="0.25">
      <c r="C1095"/>
    </row>
    <row r="1096" spans="3:3" x14ac:dyDescent="0.25">
      <c r="C1096"/>
    </row>
    <row r="1097" spans="3:3" x14ac:dyDescent="0.25">
      <c r="C1097"/>
    </row>
    <row r="1098" spans="3:3" x14ac:dyDescent="0.25">
      <c r="C1098"/>
    </row>
    <row r="1099" spans="3:3" x14ac:dyDescent="0.25">
      <c r="C1099"/>
    </row>
    <row r="1100" spans="3:3" x14ac:dyDescent="0.25">
      <c r="C1100"/>
    </row>
    <row r="1101" spans="3:3" x14ac:dyDescent="0.25">
      <c r="C1101"/>
    </row>
    <row r="1102" spans="3:3" x14ac:dyDescent="0.25">
      <c r="C1102"/>
    </row>
    <row r="1103" spans="3:3" x14ac:dyDescent="0.25">
      <c r="C1103"/>
    </row>
    <row r="1104" spans="3:3" x14ac:dyDescent="0.25">
      <c r="C1104"/>
    </row>
    <row r="1105" spans="3:3" x14ac:dyDescent="0.25">
      <c r="C1105"/>
    </row>
    <row r="1106" spans="3:3" x14ac:dyDescent="0.25">
      <c r="C1106"/>
    </row>
    <row r="1107" spans="3:3" x14ac:dyDescent="0.25">
      <c r="C1107"/>
    </row>
    <row r="1108" spans="3:3" x14ac:dyDescent="0.25">
      <c r="C1108"/>
    </row>
    <row r="1109" spans="3:3" x14ac:dyDescent="0.25">
      <c r="C1109"/>
    </row>
    <row r="1110" spans="3:3" x14ac:dyDescent="0.25">
      <c r="C1110"/>
    </row>
    <row r="1111" spans="3:3" x14ac:dyDescent="0.25">
      <c r="C1111"/>
    </row>
    <row r="1112" spans="3:3" x14ac:dyDescent="0.25">
      <c r="C1112"/>
    </row>
    <row r="1113" spans="3:3" x14ac:dyDescent="0.25">
      <c r="C1113"/>
    </row>
    <row r="1114" spans="3:3" x14ac:dyDescent="0.25">
      <c r="C1114"/>
    </row>
    <row r="1115" spans="3:3" x14ac:dyDescent="0.25">
      <c r="C1115"/>
    </row>
    <row r="1116" spans="3:3" x14ac:dyDescent="0.25">
      <c r="C1116"/>
    </row>
    <row r="1117" spans="3:3" x14ac:dyDescent="0.25">
      <c r="C1117"/>
    </row>
    <row r="1118" spans="3:3" x14ac:dyDescent="0.25">
      <c r="C1118"/>
    </row>
    <row r="1119" spans="3:3" x14ac:dyDescent="0.25">
      <c r="C1119"/>
    </row>
    <row r="1120" spans="3:3" x14ac:dyDescent="0.25">
      <c r="C1120"/>
    </row>
    <row r="1121" spans="3:3" x14ac:dyDescent="0.25">
      <c r="C1121"/>
    </row>
    <row r="1122" spans="3:3" x14ac:dyDescent="0.25">
      <c r="C1122"/>
    </row>
    <row r="1123" spans="3:3" x14ac:dyDescent="0.25">
      <c r="C1123"/>
    </row>
    <row r="1124" spans="3:3" x14ac:dyDescent="0.25">
      <c r="C1124"/>
    </row>
    <row r="1125" spans="3:3" x14ac:dyDescent="0.25">
      <c r="C1125"/>
    </row>
    <row r="1126" spans="3:3" x14ac:dyDescent="0.25">
      <c r="C1126"/>
    </row>
    <row r="1127" spans="3:3" x14ac:dyDescent="0.25">
      <c r="C1127"/>
    </row>
    <row r="1128" spans="3:3" x14ac:dyDescent="0.25">
      <c r="C1128"/>
    </row>
    <row r="1129" spans="3:3" x14ac:dyDescent="0.25">
      <c r="C1129"/>
    </row>
    <row r="1130" spans="3:3" x14ac:dyDescent="0.25">
      <c r="C1130"/>
    </row>
    <row r="1131" spans="3:3" x14ac:dyDescent="0.25">
      <c r="C1131"/>
    </row>
    <row r="1132" spans="3:3" x14ac:dyDescent="0.25">
      <c r="C1132"/>
    </row>
    <row r="1133" spans="3:3" x14ac:dyDescent="0.25">
      <c r="C1133"/>
    </row>
    <row r="1134" spans="3:3" x14ac:dyDescent="0.25">
      <c r="C1134"/>
    </row>
    <row r="1135" spans="3:3" x14ac:dyDescent="0.25">
      <c r="C1135"/>
    </row>
    <row r="1136" spans="3:3" x14ac:dyDescent="0.25">
      <c r="C1136"/>
    </row>
    <row r="1137" spans="3:3" x14ac:dyDescent="0.25">
      <c r="C1137"/>
    </row>
    <row r="1138" spans="3:3" x14ac:dyDescent="0.25">
      <c r="C1138"/>
    </row>
    <row r="1139" spans="3:3" x14ac:dyDescent="0.25">
      <c r="C1139"/>
    </row>
    <row r="1140" spans="3:3" x14ac:dyDescent="0.25">
      <c r="C1140"/>
    </row>
    <row r="1141" spans="3:3" x14ac:dyDescent="0.25">
      <c r="C1141"/>
    </row>
    <row r="1142" spans="3:3" x14ac:dyDescent="0.25">
      <c r="C1142"/>
    </row>
    <row r="1143" spans="3:3" x14ac:dyDescent="0.25">
      <c r="C1143"/>
    </row>
    <row r="1144" spans="3:3" x14ac:dyDescent="0.25">
      <c r="C1144"/>
    </row>
    <row r="1145" spans="3:3" x14ac:dyDescent="0.25">
      <c r="C1145"/>
    </row>
    <row r="1146" spans="3:3" x14ac:dyDescent="0.25">
      <c r="C1146"/>
    </row>
    <row r="1147" spans="3:3" x14ac:dyDescent="0.25">
      <c r="C1147"/>
    </row>
    <row r="1148" spans="3:3" x14ac:dyDescent="0.25">
      <c r="C1148"/>
    </row>
    <row r="1149" spans="3:3" x14ac:dyDescent="0.25">
      <c r="C1149"/>
    </row>
    <row r="1150" spans="3:3" x14ac:dyDescent="0.25">
      <c r="C1150"/>
    </row>
    <row r="1151" spans="3:3" x14ac:dyDescent="0.25">
      <c r="C1151"/>
    </row>
    <row r="1152" spans="3:3" x14ac:dyDescent="0.25">
      <c r="C1152"/>
    </row>
    <row r="1153" spans="3:3" x14ac:dyDescent="0.25">
      <c r="C1153"/>
    </row>
    <row r="1154" spans="3:3" x14ac:dyDescent="0.25">
      <c r="C1154"/>
    </row>
    <row r="1155" spans="3:3" x14ac:dyDescent="0.25">
      <c r="C1155"/>
    </row>
    <row r="1156" spans="3:3" x14ac:dyDescent="0.25">
      <c r="C1156"/>
    </row>
    <row r="1157" spans="3:3" x14ac:dyDescent="0.25">
      <c r="C1157"/>
    </row>
    <row r="1158" spans="3:3" x14ac:dyDescent="0.25">
      <c r="C1158"/>
    </row>
    <row r="1159" spans="3:3" x14ac:dyDescent="0.25">
      <c r="C1159"/>
    </row>
    <row r="1160" spans="3:3" x14ac:dyDescent="0.25">
      <c r="C1160"/>
    </row>
    <row r="1161" spans="3:3" x14ac:dyDescent="0.25">
      <c r="C1161"/>
    </row>
    <row r="1162" spans="3:3" x14ac:dyDescent="0.25">
      <c r="C1162"/>
    </row>
    <row r="1163" spans="3:3" x14ac:dyDescent="0.25">
      <c r="C1163"/>
    </row>
    <row r="1164" spans="3:3" x14ac:dyDescent="0.25">
      <c r="C1164"/>
    </row>
    <row r="1165" spans="3:3" x14ac:dyDescent="0.25">
      <c r="C1165"/>
    </row>
    <row r="1166" spans="3:3" x14ac:dyDescent="0.25">
      <c r="C1166"/>
    </row>
    <row r="1167" spans="3:3" x14ac:dyDescent="0.25">
      <c r="C1167"/>
    </row>
    <row r="1168" spans="3:3" x14ac:dyDescent="0.25">
      <c r="C1168"/>
    </row>
    <row r="1169" spans="3:3" x14ac:dyDescent="0.25">
      <c r="C1169"/>
    </row>
    <row r="1170" spans="3:3" x14ac:dyDescent="0.25">
      <c r="C1170"/>
    </row>
    <row r="1171" spans="3:3" x14ac:dyDescent="0.25">
      <c r="C1171"/>
    </row>
    <row r="1172" spans="3:3" x14ac:dyDescent="0.25">
      <c r="C1172"/>
    </row>
    <row r="1173" spans="3:3" x14ac:dyDescent="0.25">
      <c r="C1173"/>
    </row>
    <row r="1174" spans="3:3" x14ac:dyDescent="0.25">
      <c r="C1174"/>
    </row>
    <row r="1175" spans="3:3" x14ac:dyDescent="0.25">
      <c r="C1175"/>
    </row>
    <row r="1176" spans="3:3" x14ac:dyDescent="0.25">
      <c r="C1176"/>
    </row>
    <row r="1177" spans="3:3" x14ac:dyDescent="0.25">
      <c r="C1177"/>
    </row>
    <row r="1178" spans="3:3" x14ac:dyDescent="0.25">
      <c r="C1178"/>
    </row>
    <row r="1179" spans="3:3" x14ac:dyDescent="0.25">
      <c r="C1179"/>
    </row>
    <row r="1180" spans="3:3" x14ac:dyDescent="0.25">
      <c r="C1180"/>
    </row>
    <row r="1181" spans="3:3" x14ac:dyDescent="0.25">
      <c r="C1181"/>
    </row>
    <row r="1182" spans="3:3" x14ac:dyDescent="0.25">
      <c r="C1182"/>
    </row>
    <row r="1183" spans="3:3" x14ac:dyDescent="0.25">
      <c r="C1183"/>
    </row>
    <row r="1184" spans="3:3" x14ac:dyDescent="0.25">
      <c r="C1184"/>
    </row>
    <row r="1185" spans="3:3" x14ac:dyDescent="0.25">
      <c r="C1185"/>
    </row>
    <row r="1186" spans="3:3" x14ac:dyDescent="0.25">
      <c r="C1186"/>
    </row>
    <row r="1187" spans="3:3" x14ac:dyDescent="0.25">
      <c r="C1187"/>
    </row>
    <row r="1188" spans="3:3" x14ac:dyDescent="0.25">
      <c r="C1188"/>
    </row>
    <row r="1189" spans="3:3" x14ac:dyDescent="0.25">
      <c r="C1189"/>
    </row>
    <row r="1190" spans="3:3" x14ac:dyDescent="0.25">
      <c r="C1190"/>
    </row>
    <row r="1191" spans="3:3" x14ac:dyDescent="0.25">
      <c r="C1191"/>
    </row>
    <row r="1192" spans="3:3" x14ac:dyDescent="0.25">
      <c r="C1192"/>
    </row>
    <row r="1193" spans="3:3" x14ac:dyDescent="0.25">
      <c r="C1193"/>
    </row>
    <row r="1194" spans="3:3" x14ac:dyDescent="0.25">
      <c r="C1194"/>
    </row>
    <row r="1195" spans="3:3" x14ac:dyDescent="0.25">
      <c r="C1195"/>
    </row>
    <row r="1196" spans="3:3" x14ac:dyDescent="0.25">
      <c r="C1196"/>
    </row>
    <row r="1197" spans="3:3" x14ac:dyDescent="0.25">
      <c r="C1197"/>
    </row>
    <row r="1198" spans="3:3" x14ac:dyDescent="0.25">
      <c r="C1198"/>
    </row>
    <row r="1199" spans="3:3" x14ac:dyDescent="0.25">
      <c r="C1199"/>
    </row>
    <row r="1200" spans="3:3" x14ac:dyDescent="0.25">
      <c r="C1200"/>
    </row>
    <row r="1201" spans="3:3" x14ac:dyDescent="0.25">
      <c r="C1201"/>
    </row>
    <row r="1202" spans="3:3" x14ac:dyDescent="0.25">
      <c r="C1202"/>
    </row>
    <row r="1203" spans="3:3" x14ac:dyDescent="0.25">
      <c r="C1203"/>
    </row>
    <row r="1204" spans="3:3" x14ac:dyDescent="0.25">
      <c r="C1204"/>
    </row>
    <row r="1205" spans="3:3" x14ac:dyDescent="0.25">
      <c r="C1205"/>
    </row>
    <row r="1206" spans="3:3" x14ac:dyDescent="0.25">
      <c r="C1206"/>
    </row>
    <row r="1207" spans="3:3" x14ac:dyDescent="0.25">
      <c r="C1207"/>
    </row>
    <row r="1208" spans="3:3" x14ac:dyDescent="0.25">
      <c r="C1208"/>
    </row>
    <row r="1209" spans="3:3" x14ac:dyDescent="0.25">
      <c r="C1209"/>
    </row>
    <row r="1210" spans="3:3" x14ac:dyDescent="0.25">
      <c r="C1210"/>
    </row>
    <row r="1211" spans="3:3" x14ac:dyDescent="0.25">
      <c r="C1211"/>
    </row>
    <row r="1212" spans="3:3" x14ac:dyDescent="0.25">
      <c r="C1212"/>
    </row>
    <row r="1213" spans="3:3" x14ac:dyDescent="0.25">
      <c r="C1213"/>
    </row>
    <row r="1214" spans="3:3" x14ac:dyDescent="0.25">
      <c r="C1214"/>
    </row>
    <row r="1215" spans="3:3" x14ac:dyDescent="0.25">
      <c r="C1215"/>
    </row>
    <row r="1216" spans="3:3" x14ac:dyDescent="0.25">
      <c r="C1216"/>
    </row>
    <row r="1217" spans="3:3" x14ac:dyDescent="0.25">
      <c r="C1217"/>
    </row>
    <row r="1218" spans="3:3" x14ac:dyDescent="0.25">
      <c r="C1218"/>
    </row>
    <row r="1219" spans="3:3" x14ac:dyDescent="0.25">
      <c r="C1219"/>
    </row>
    <row r="1220" spans="3:3" x14ac:dyDescent="0.25">
      <c r="C1220"/>
    </row>
    <row r="1221" spans="3:3" x14ac:dyDescent="0.25">
      <c r="C1221"/>
    </row>
    <row r="1222" spans="3:3" x14ac:dyDescent="0.25">
      <c r="C1222"/>
    </row>
    <row r="1223" spans="3:3" x14ac:dyDescent="0.25">
      <c r="C1223"/>
    </row>
    <row r="1224" spans="3:3" x14ac:dyDescent="0.25">
      <c r="C1224"/>
    </row>
    <row r="1225" spans="3:3" x14ac:dyDescent="0.25">
      <c r="C1225"/>
    </row>
    <row r="1226" spans="3:3" x14ac:dyDescent="0.25">
      <c r="C1226"/>
    </row>
    <row r="1227" spans="3:3" x14ac:dyDescent="0.25">
      <c r="C1227"/>
    </row>
    <row r="1228" spans="3:3" x14ac:dyDescent="0.25">
      <c r="C1228"/>
    </row>
    <row r="1229" spans="3:3" x14ac:dyDescent="0.25">
      <c r="C1229"/>
    </row>
    <row r="1230" spans="3:3" x14ac:dyDescent="0.25">
      <c r="C1230"/>
    </row>
    <row r="1231" spans="3:3" x14ac:dyDescent="0.25">
      <c r="C1231"/>
    </row>
    <row r="1232" spans="3:3" x14ac:dyDescent="0.25">
      <c r="C1232"/>
    </row>
    <row r="1233" spans="3:3" x14ac:dyDescent="0.25">
      <c r="C1233"/>
    </row>
    <row r="1234" spans="3:3" x14ac:dyDescent="0.25">
      <c r="C1234"/>
    </row>
    <row r="1235" spans="3:3" x14ac:dyDescent="0.25">
      <c r="C1235"/>
    </row>
    <row r="1236" spans="3:3" x14ac:dyDescent="0.25">
      <c r="C1236"/>
    </row>
    <row r="1237" spans="3:3" x14ac:dyDescent="0.25">
      <c r="C1237"/>
    </row>
    <row r="1238" spans="3:3" x14ac:dyDescent="0.25">
      <c r="C1238"/>
    </row>
    <row r="1239" spans="3:3" x14ac:dyDescent="0.25">
      <c r="C1239"/>
    </row>
    <row r="1240" spans="3:3" x14ac:dyDescent="0.25">
      <c r="C1240"/>
    </row>
    <row r="1241" spans="3:3" x14ac:dyDescent="0.25">
      <c r="C1241"/>
    </row>
    <row r="1242" spans="3:3" x14ac:dyDescent="0.25">
      <c r="C1242"/>
    </row>
    <row r="1243" spans="3:3" x14ac:dyDescent="0.25">
      <c r="C1243"/>
    </row>
    <row r="1244" spans="3:3" x14ac:dyDescent="0.25">
      <c r="C1244"/>
    </row>
    <row r="1245" spans="3:3" x14ac:dyDescent="0.25">
      <c r="C1245"/>
    </row>
    <row r="1246" spans="3:3" x14ac:dyDescent="0.25">
      <c r="C1246"/>
    </row>
    <row r="1247" spans="3:3" x14ac:dyDescent="0.25">
      <c r="C1247"/>
    </row>
    <row r="1248" spans="3:3" x14ac:dyDescent="0.25">
      <c r="C1248"/>
    </row>
    <row r="1249" spans="3:3" x14ac:dyDescent="0.25">
      <c r="C1249"/>
    </row>
    <row r="1250" spans="3:3" x14ac:dyDescent="0.25">
      <c r="C1250"/>
    </row>
    <row r="1251" spans="3:3" x14ac:dyDescent="0.25">
      <c r="C1251"/>
    </row>
    <row r="1252" spans="3:3" x14ac:dyDescent="0.25">
      <c r="C1252"/>
    </row>
    <row r="1253" spans="3:3" x14ac:dyDescent="0.25">
      <c r="C1253"/>
    </row>
    <row r="1254" spans="3:3" x14ac:dyDescent="0.25">
      <c r="C1254"/>
    </row>
    <row r="1255" spans="3:3" x14ac:dyDescent="0.25">
      <c r="C1255"/>
    </row>
    <row r="1256" spans="3:3" x14ac:dyDescent="0.25">
      <c r="C1256"/>
    </row>
    <row r="1257" spans="3:3" x14ac:dyDescent="0.25">
      <c r="C1257"/>
    </row>
    <row r="1258" spans="3:3" x14ac:dyDescent="0.25">
      <c r="C1258"/>
    </row>
    <row r="1259" spans="3:3" x14ac:dyDescent="0.25">
      <c r="C1259"/>
    </row>
    <row r="1260" spans="3:3" x14ac:dyDescent="0.25">
      <c r="C1260"/>
    </row>
    <row r="1261" spans="3:3" x14ac:dyDescent="0.25">
      <c r="C1261"/>
    </row>
    <row r="1262" spans="3:3" x14ac:dyDescent="0.25">
      <c r="C1262"/>
    </row>
    <row r="1263" spans="3:3" x14ac:dyDescent="0.25">
      <c r="C1263"/>
    </row>
    <row r="1264" spans="3:3" x14ac:dyDescent="0.25">
      <c r="C1264"/>
    </row>
    <row r="1265" spans="3:3" x14ac:dyDescent="0.25">
      <c r="C1265"/>
    </row>
    <row r="1266" spans="3:3" x14ac:dyDescent="0.25">
      <c r="C1266"/>
    </row>
    <row r="1267" spans="3:3" x14ac:dyDescent="0.25">
      <c r="C1267"/>
    </row>
    <row r="1268" spans="3:3" x14ac:dyDescent="0.25">
      <c r="C1268"/>
    </row>
    <row r="1269" spans="3:3" x14ac:dyDescent="0.25">
      <c r="C1269"/>
    </row>
    <row r="1270" spans="3:3" x14ac:dyDescent="0.25">
      <c r="C1270"/>
    </row>
    <row r="1271" spans="3:3" x14ac:dyDescent="0.25">
      <c r="C1271"/>
    </row>
    <row r="1272" spans="3:3" x14ac:dyDescent="0.25">
      <c r="C1272"/>
    </row>
    <row r="1273" spans="3:3" x14ac:dyDescent="0.25">
      <c r="C1273"/>
    </row>
    <row r="1274" spans="3:3" x14ac:dyDescent="0.25">
      <c r="C1274"/>
    </row>
    <row r="1275" spans="3:3" x14ac:dyDescent="0.25">
      <c r="C1275"/>
    </row>
    <row r="1276" spans="3:3" x14ac:dyDescent="0.25">
      <c r="C1276"/>
    </row>
    <row r="1277" spans="3:3" x14ac:dyDescent="0.25">
      <c r="C1277"/>
    </row>
    <row r="1278" spans="3:3" x14ac:dyDescent="0.25">
      <c r="C1278"/>
    </row>
    <row r="1279" spans="3:3" x14ac:dyDescent="0.25">
      <c r="C1279"/>
    </row>
    <row r="1280" spans="3:3" x14ac:dyDescent="0.25">
      <c r="C1280"/>
    </row>
    <row r="1281" spans="3:3" x14ac:dyDescent="0.25">
      <c r="C1281"/>
    </row>
    <row r="1282" spans="3:3" x14ac:dyDescent="0.25">
      <c r="C1282"/>
    </row>
    <row r="1283" spans="3:3" x14ac:dyDescent="0.25">
      <c r="C1283"/>
    </row>
    <row r="1284" spans="3:3" x14ac:dyDescent="0.25">
      <c r="C1284"/>
    </row>
    <row r="1285" spans="3:3" x14ac:dyDescent="0.25">
      <c r="C1285"/>
    </row>
    <row r="1286" spans="3:3" x14ac:dyDescent="0.25">
      <c r="C1286"/>
    </row>
    <row r="1287" spans="3:3" x14ac:dyDescent="0.25">
      <c r="C1287"/>
    </row>
    <row r="1288" spans="3:3" x14ac:dyDescent="0.25">
      <c r="C1288"/>
    </row>
    <row r="1289" spans="3:3" x14ac:dyDescent="0.25">
      <c r="C1289"/>
    </row>
    <row r="1290" spans="3:3" x14ac:dyDescent="0.25">
      <c r="C1290"/>
    </row>
    <row r="1291" spans="3:3" x14ac:dyDescent="0.25">
      <c r="C1291"/>
    </row>
    <row r="1292" spans="3:3" x14ac:dyDescent="0.25">
      <c r="C1292"/>
    </row>
    <row r="1293" spans="3:3" x14ac:dyDescent="0.25">
      <c r="C1293"/>
    </row>
    <row r="1294" spans="3:3" x14ac:dyDescent="0.25">
      <c r="C1294"/>
    </row>
    <row r="1295" spans="3:3" x14ac:dyDescent="0.25">
      <c r="C1295"/>
    </row>
    <row r="1296" spans="3:3" x14ac:dyDescent="0.25">
      <c r="C1296"/>
    </row>
    <row r="1297" spans="3:3" x14ac:dyDescent="0.25">
      <c r="C1297"/>
    </row>
    <row r="1298" spans="3:3" x14ac:dyDescent="0.25">
      <c r="C1298"/>
    </row>
    <row r="1299" spans="3:3" x14ac:dyDescent="0.25">
      <c r="C1299"/>
    </row>
    <row r="1300" spans="3:3" x14ac:dyDescent="0.25">
      <c r="C1300"/>
    </row>
    <row r="1301" spans="3:3" x14ac:dyDescent="0.25">
      <c r="C1301"/>
    </row>
    <row r="1302" spans="3:3" x14ac:dyDescent="0.25">
      <c r="C1302"/>
    </row>
    <row r="1303" spans="3:3" x14ac:dyDescent="0.25">
      <c r="C1303"/>
    </row>
    <row r="1304" spans="3:3" x14ac:dyDescent="0.25">
      <c r="C1304"/>
    </row>
    <row r="1305" spans="3:3" x14ac:dyDescent="0.25">
      <c r="C1305"/>
    </row>
    <row r="1306" spans="3:3" x14ac:dyDescent="0.25">
      <c r="C1306"/>
    </row>
    <row r="1307" spans="3:3" x14ac:dyDescent="0.25">
      <c r="C1307"/>
    </row>
    <row r="1308" spans="3:3" x14ac:dyDescent="0.25">
      <c r="C1308"/>
    </row>
    <row r="1309" spans="3:3" x14ac:dyDescent="0.25">
      <c r="C1309"/>
    </row>
    <row r="1310" spans="3:3" x14ac:dyDescent="0.25">
      <c r="C1310"/>
    </row>
    <row r="1311" spans="3:3" x14ac:dyDescent="0.25">
      <c r="C1311"/>
    </row>
    <row r="1312" spans="3:3" x14ac:dyDescent="0.25">
      <c r="C1312"/>
    </row>
    <row r="1313" spans="3:3" x14ac:dyDescent="0.25">
      <c r="C1313"/>
    </row>
    <row r="1314" spans="3:3" x14ac:dyDescent="0.25">
      <c r="C1314"/>
    </row>
    <row r="1315" spans="3:3" x14ac:dyDescent="0.25">
      <c r="C1315"/>
    </row>
    <row r="1316" spans="3:3" x14ac:dyDescent="0.25">
      <c r="C1316"/>
    </row>
    <row r="1317" spans="3:3" x14ac:dyDescent="0.25">
      <c r="C1317"/>
    </row>
    <row r="1318" spans="3:3" x14ac:dyDescent="0.25">
      <c r="C1318"/>
    </row>
    <row r="1319" spans="3:3" x14ac:dyDescent="0.25">
      <c r="C1319"/>
    </row>
    <row r="1320" spans="3:3" x14ac:dyDescent="0.25">
      <c r="C1320"/>
    </row>
    <row r="1321" spans="3:3" x14ac:dyDescent="0.25">
      <c r="C1321"/>
    </row>
    <row r="1322" spans="3:3" x14ac:dyDescent="0.25">
      <c r="C1322"/>
    </row>
    <row r="1323" spans="3:3" x14ac:dyDescent="0.25">
      <c r="C1323"/>
    </row>
    <row r="1324" spans="3:3" x14ac:dyDescent="0.25">
      <c r="C1324"/>
    </row>
    <row r="1325" spans="3:3" x14ac:dyDescent="0.25">
      <c r="C1325"/>
    </row>
    <row r="1326" spans="3:3" x14ac:dyDescent="0.25">
      <c r="C1326"/>
    </row>
    <row r="1327" spans="3:3" x14ac:dyDescent="0.25">
      <c r="C1327"/>
    </row>
    <row r="1328" spans="3:3" x14ac:dyDescent="0.25">
      <c r="C1328"/>
    </row>
    <row r="1329" spans="3:3" x14ac:dyDescent="0.25">
      <c r="C1329"/>
    </row>
    <row r="1330" spans="3:3" x14ac:dyDescent="0.25">
      <c r="C1330"/>
    </row>
    <row r="1331" spans="3:3" x14ac:dyDescent="0.25">
      <c r="C1331"/>
    </row>
    <row r="1332" spans="3:3" x14ac:dyDescent="0.25">
      <c r="C1332"/>
    </row>
    <row r="1333" spans="3:3" x14ac:dyDescent="0.25">
      <c r="C1333"/>
    </row>
    <row r="1334" spans="3:3" x14ac:dyDescent="0.25">
      <c r="C1334"/>
    </row>
    <row r="1335" spans="3:3" x14ac:dyDescent="0.25">
      <c r="C1335"/>
    </row>
    <row r="1336" spans="3:3" x14ac:dyDescent="0.25">
      <c r="C1336"/>
    </row>
    <row r="1337" spans="3:3" x14ac:dyDescent="0.25">
      <c r="C1337"/>
    </row>
    <row r="1338" spans="3:3" x14ac:dyDescent="0.25">
      <c r="C1338"/>
    </row>
    <row r="1339" spans="3:3" x14ac:dyDescent="0.25">
      <c r="C1339"/>
    </row>
    <row r="1340" spans="3:3" x14ac:dyDescent="0.25">
      <c r="C1340"/>
    </row>
    <row r="1341" spans="3:3" x14ac:dyDescent="0.25">
      <c r="C1341"/>
    </row>
    <row r="1342" spans="3:3" x14ac:dyDescent="0.25">
      <c r="C1342"/>
    </row>
    <row r="1343" spans="3:3" x14ac:dyDescent="0.25">
      <c r="C1343"/>
    </row>
    <row r="1344" spans="3:3" x14ac:dyDescent="0.25">
      <c r="C1344"/>
    </row>
    <row r="1345" spans="3:3" x14ac:dyDescent="0.25">
      <c r="C1345"/>
    </row>
    <row r="1346" spans="3:3" x14ac:dyDescent="0.25">
      <c r="C1346"/>
    </row>
    <row r="1347" spans="3:3" x14ac:dyDescent="0.25">
      <c r="C1347"/>
    </row>
    <row r="1348" spans="3:3" x14ac:dyDescent="0.25">
      <c r="C1348"/>
    </row>
    <row r="1349" spans="3:3" x14ac:dyDescent="0.25">
      <c r="C1349"/>
    </row>
    <row r="1350" spans="3:3" x14ac:dyDescent="0.25">
      <c r="C1350"/>
    </row>
    <row r="1351" spans="3:3" x14ac:dyDescent="0.25">
      <c r="C1351"/>
    </row>
    <row r="1352" spans="3:3" x14ac:dyDescent="0.25">
      <c r="C1352"/>
    </row>
    <row r="1353" spans="3:3" x14ac:dyDescent="0.25">
      <c r="C1353"/>
    </row>
    <row r="1354" spans="3:3" x14ac:dyDescent="0.25">
      <c r="C1354"/>
    </row>
    <row r="1355" spans="3:3" x14ac:dyDescent="0.25">
      <c r="C1355"/>
    </row>
    <row r="1356" spans="3:3" x14ac:dyDescent="0.25">
      <c r="C1356"/>
    </row>
    <row r="1357" spans="3:3" x14ac:dyDescent="0.25">
      <c r="C1357"/>
    </row>
    <row r="1358" spans="3:3" x14ac:dyDescent="0.25">
      <c r="C1358"/>
    </row>
    <row r="1359" spans="3:3" x14ac:dyDescent="0.25">
      <c r="C1359"/>
    </row>
    <row r="1360" spans="3:3" x14ac:dyDescent="0.25">
      <c r="C1360"/>
    </row>
    <row r="1361" spans="3:3" x14ac:dyDescent="0.25">
      <c r="C1361"/>
    </row>
    <row r="1362" spans="3:3" x14ac:dyDescent="0.25">
      <c r="C1362"/>
    </row>
    <row r="1363" spans="3:3" x14ac:dyDescent="0.25">
      <c r="C1363"/>
    </row>
    <row r="1364" spans="3:3" x14ac:dyDescent="0.25">
      <c r="C1364"/>
    </row>
    <row r="1365" spans="3:3" x14ac:dyDescent="0.25">
      <c r="C1365"/>
    </row>
    <row r="1366" spans="3:3" x14ac:dyDescent="0.25">
      <c r="C1366"/>
    </row>
    <row r="1367" spans="3:3" x14ac:dyDescent="0.25">
      <c r="C1367"/>
    </row>
    <row r="1368" spans="3:3" x14ac:dyDescent="0.25">
      <c r="C1368"/>
    </row>
    <row r="1369" spans="3:3" x14ac:dyDescent="0.25">
      <c r="C1369"/>
    </row>
    <row r="1370" spans="3:3" x14ac:dyDescent="0.25">
      <c r="C1370"/>
    </row>
    <row r="1371" spans="3:3" x14ac:dyDescent="0.25">
      <c r="C1371"/>
    </row>
    <row r="1372" spans="3:3" x14ac:dyDescent="0.25">
      <c r="C1372"/>
    </row>
    <row r="1373" spans="3:3" x14ac:dyDescent="0.25">
      <c r="C1373"/>
    </row>
    <row r="1374" spans="3:3" x14ac:dyDescent="0.25">
      <c r="C1374"/>
    </row>
    <row r="1375" spans="3:3" x14ac:dyDescent="0.25">
      <c r="C1375"/>
    </row>
    <row r="1376" spans="3:3" x14ac:dyDescent="0.25">
      <c r="C1376"/>
    </row>
    <row r="1377" spans="3:3" x14ac:dyDescent="0.25">
      <c r="C1377"/>
    </row>
    <row r="1378" spans="3:3" x14ac:dyDescent="0.25">
      <c r="C1378"/>
    </row>
    <row r="1379" spans="3:3" x14ac:dyDescent="0.25">
      <c r="C1379"/>
    </row>
    <row r="1380" spans="3:3" x14ac:dyDescent="0.25">
      <c r="C1380"/>
    </row>
    <row r="1381" spans="3:3" x14ac:dyDescent="0.25">
      <c r="C1381"/>
    </row>
    <row r="1382" spans="3:3" x14ac:dyDescent="0.25">
      <c r="C1382"/>
    </row>
    <row r="1383" spans="3:3" x14ac:dyDescent="0.25">
      <c r="C1383"/>
    </row>
    <row r="1384" spans="3:3" x14ac:dyDescent="0.25">
      <c r="C1384"/>
    </row>
    <row r="1385" spans="3:3" x14ac:dyDescent="0.25">
      <c r="C1385"/>
    </row>
    <row r="1386" spans="3:3" x14ac:dyDescent="0.25">
      <c r="C1386"/>
    </row>
    <row r="1387" spans="3:3" x14ac:dyDescent="0.25">
      <c r="C1387"/>
    </row>
    <row r="1388" spans="3:3" x14ac:dyDescent="0.25">
      <c r="C1388"/>
    </row>
    <row r="1389" spans="3:3" x14ac:dyDescent="0.25">
      <c r="C1389"/>
    </row>
    <row r="1390" spans="3:3" x14ac:dyDescent="0.25">
      <c r="C1390"/>
    </row>
    <row r="1391" spans="3:3" x14ac:dyDescent="0.25">
      <c r="C1391"/>
    </row>
    <row r="1392" spans="3:3" x14ac:dyDescent="0.25">
      <c r="C1392"/>
    </row>
    <row r="1393" spans="3:3" x14ac:dyDescent="0.25">
      <c r="C1393"/>
    </row>
    <row r="1394" spans="3:3" x14ac:dyDescent="0.25">
      <c r="C1394"/>
    </row>
    <row r="1395" spans="3:3" x14ac:dyDescent="0.25">
      <c r="C1395"/>
    </row>
    <row r="1396" spans="3:3" x14ac:dyDescent="0.25">
      <c r="C1396"/>
    </row>
    <row r="1397" spans="3:3" x14ac:dyDescent="0.25">
      <c r="C1397"/>
    </row>
    <row r="1398" spans="3:3" x14ac:dyDescent="0.25">
      <c r="C1398"/>
    </row>
    <row r="1399" spans="3:3" x14ac:dyDescent="0.25">
      <c r="C1399"/>
    </row>
    <row r="1400" spans="3:3" x14ac:dyDescent="0.25">
      <c r="C1400"/>
    </row>
    <row r="1401" spans="3:3" x14ac:dyDescent="0.25">
      <c r="C1401"/>
    </row>
    <row r="1402" spans="3:3" x14ac:dyDescent="0.25">
      <c r="C1402"/>
    </row>
    <row r="1403" spans="3:3" x14ac:dyDescent="0.25">
      <c r="C1403"/>
    </row>
    <row r="1404" spans="3:3" x14ac:dyDescent="0.25">
      <c r="C1404"/>
    </row>
    <row r="1405" spans="3:3" x14ac:dyDescent="0.25">
      <c r="C1405"/>
    </row>
    <row r="1406" spans="3:3" x14ac:dyDescent="0.25">
      <c r="C1406"/>
    </row>
    <row r="1407" spans="3:3" x14ac:dyDescent="0.25">
      <c r="C1407"/>
    </row>
    <row r="1408" spans="3:3" x14ac:dyDescent="0.25">
      <c r="C1408"/>
    </row>
    <row r="1409" spans="3:3" x14ac:dyDescent="0.25">
      <c r="C1409"/>
    </row>
    <row r="1410" spans="3:3" x14ac:dyDescent="0.25">
      <c r="C1410"/>
    </row>
    <row r="1411" spans="3:3" x14ac:dyDescent="0.25">
      <c r="C1411"/>
    </row>
    <row r="1412" spans="3:3" x14ac:dyDescent="0.25">
      <c r="C1412"/>
    </row>
    <row r="1413" spans="3:3" x14ac:dyDescent="0.25">
      <c r="C1413"/>
    </row>
    <row r="1414" spans="3:3" x14ac:dyDescent="0.25">
      <c r="C1414"/>
    </row>
    <row r="1415" spans="3:3" x14ac:dyDescent="0.25">
      <c r="C1415"/>
    </row>
    <row r="1416" spans="3:3" x14ac:dyDescent="0.25">
      <c r="C1416"/>
    </row>
    <row r="1417" spans="3:3" x14ac:dyDescent="0.25">
      <c r="C1417"/>
    </row>
    <row r="1418" spans="3:3" x14ac:dyDescent="0.25">
      <c r="C1418"/>
    </row>
    <row r="1419" spans="3:3" x14ac:dyDescent="0.25">
      <c r="C1419"/>
    </row>
    <row r="1420" spans="3:3" x14ac:dyDescent="0.25">
      <c r="C1420"/>
    </row>
    <row r="1421" spans="3:3" x14ac:dyDescent="0.25">
      <c r="C1421"/>
    </row>
    <row r="1422" spans="3:3" x14ac:dyDescent="0.25">
      <c r="C1422"/>
    </row>
    <row r="1423" spans="3:3" x14ac:dyDescent="0.25">
      <c r="C1423"/>
    </row>
    <row r="1424" spans="3:3" x14ac:dyDescent="0.25">
      <c r="C1424"/>
    </row>
    <row r="1425" spans="3:3" x14ac:dyDescent="0.25">
      <c r="C1425"/>
    </row>
    <row r="1426" spans="3:3" x14ac:dyDescent="0.25">
      <c r="C1426"/>
    </row>
    <row r="1427" spans="3:3" x14ac:dyDescent="0.25">
      <c r="C1427"/>
    </row>
    <row r="1428" spans="3:3" x14ac:dyDescent="0.25">
      <c r="C1428"/>
    </row>
    <row r="1429" spans="3:3" x14ac:dyDescent="0.25">
      <c r="C1429"/>
    </row>
    <row r="1430" spans="3:3" x14ac:dyDescent="0.25">
      <c r="C1430"/>
    </row>
    <row r="1431" spans="3:3" x14ac:dyDescent="0.25">
      <c r="C1431"/>
    </row>
    <row r="1432" spans="3:3" x14ac:dyDescent="0.25">
      <c r="C1432"/>
    </row>
    <row r="1433" spans="3:3" x14ac:dyDescent="0.25">
      <c r="C1433"/>
    </row>
    <row r="1434" spans="3:3" x14ac:dyDescent="0.25">
      <c r="C1434"/>
    </row>
    <row r="1435" spans="3:3" x14ac:dyDescent="0.25">
      <c r="C1435"/>
    </row>
    <row r="1436" spans="3:3" x14ac:dyDescent="0.25">
      <c r="C1436"/>
    </row>
    <row r="1437" spans="3:3" x14ac:dyDescent="0.25">
      <c r="C1437"/>
    </row>
    <row r="1438" spans="3:3" x14ac:dyDescent="0.25">
      <c r="C1438"/>
    </row>
    <row r="1439" spans="3:3" x14ac:dyDescent="0.25">
      <c r="C1439"/>
    </row>
    <row r="1440" spans="3:3" x14ac:dyDescent="0.25">
      <c r="C1440"/>
    </row>
    <row r="1441" spans="3:3" x14ac:dyDescent="0.25">
      <c r="C1441"/>
    </row>
    <row r="1442" spans="3:3" x14ac:dyDescent="0.25">
      <c r="C1442"/>
    </row>
    <row r="1443" spans="3:3" x14ac:dyDescent="0.25">
      <c r="C1443"/>
    </row>
    <row r="1444" spans="3:3" x14ac:dyDescent="0.25">
      <c r="C1444"/>
    </row>
    <row r="1445" spans="3:3" x14ac:dyDescent="0.25">
      <c r="C1445"/>
    </row>
    <row r="1446" spans="3:3" x14ac:dyDescent="0.25">
      <c r="C1446"/>
    </row>
    <row r="1447" spans="3:3" x14ac:dyDescent="0.25">
      <c r="C1447"/>
    </row>
    <row r="1448" spans="3:3" x14ac:dyDescent="0.25">
      <c r="C1448"/>
    </row>
    <row r="1449" spans="3:3" x14ac:dyDescent="0.25">
      <c r="C1449"/>
    </row>
    <row r="1450" spans="3:3" x14ac:dyDescent="0.25">
      <c r="C1450"/>
    </row>
    <row r="1451" spans="3:3" x14ac:dyDescent="0.25">
      <c r="C1451"/>
    </row>
    <row r="1452" spans="3:3" x14ac:dyDescent="0.25">
      <c r="C1452"/>
    </row>
    <row r="1453" spans="3:3" x14ac:dyDescent="0.25">
      <c r="C1453"/>
    </row>
    <row r="1454" spans="3:3" x14ac:dyDescent="0.25">
      <c r="C1454"/>
    </row>
    <row r="1455" spans="3:3" x14ac:dyDescent="0.25">
      <c r="C1455"/>
    </row>
    <row r="1456" spans="3:3" x14ac:dyDescent="0.25">
      <c r="C1456"/>
    </row>
    <row r="1457" spans="3:3" x14ac:dyDescent="0.25">
      <c r="C1457"/>
    </row>
    <row r="1458" spans="3:3" x14ac:dyDescent="0.25">
      <c r="C1458"/>
    </row>
    <row r="1459" spans="3:3" x14ac:dyDescent="0.25">
      <c r="C1459"/>
    </row>
    <row r="1460" spans="3:3" x14ac:dyDescent="0.25">
      <c r="C1460"/>
    </row>
    <row r="1461" spans="3:3" x14ac:dyDescent="0.25">
      <c r="C1461"/>
    </row>
    <row r="1462" spans="3:3" x14ac:dyDescent="0.25">
      <c r="C1462"/>
    </row>
    <row r="1463" spans="3:3" x14ac:dyDescent="0.25">
      <c r="C1463"/>
    </row>
    <row r="1464" spans="3:3" x14ac:dyDescent="0.25">
      <c r="C1464"/>
    </row>
    <row r="1465" spans="3:3" x14ac:dyDescent="0.25">
      <c r="C1465"/>
    </row>
    <row r="1466" spans="3:3" x14ac:dyDescent="0.25">
      <c r="C1466"/>
    </row>
    <row r="1467" spans="3:3" x14ac:dyDescent="0.25">
      <c r="C1467"/>
    </row>
    <row r="1468" spans="3:3" x14ac:dyDescent="0.25">
      <c r="C1468"/>
    </row>
    <row r="1469" spans="3:3" x14ac:dyDescent="0.25">
      <c r="C1469"/>
    </row>
    <row r="1470" spans="3:3" x14ac:dyDescent="0.25">
      <c r="C1470"/>
    </row>
    <row r="1471" spans="3:3" x14ac:dyDescent="0.25">
      <c r="C1471"/>
    </row>
    <row r="1472" spans="3:3" x14ac:dyDescent="0.25">
      <c r="C1472"/>
    </row>
    <row r="1473" spans="3:3" x14ac:dyDescent="0.25">
      <c r="C1473"/>
    </row>
    <row r="1474" spans="3:3" x14ac:dyDescent="0.25">
      <c r="C1474"/>
    </row>
    <row r="1475" spans="3:3" x14ac:dyDescent="0.25">
      <c r="C1475"/>
    </row>
    <row r="1476" spans="3:3" x14ac:dyDescent="0.25">
      <c r="C1476"/>
    </row>
    <row r="1477" spans="3:3" x14ac:dyDescent="0.25">
      <c r="C1477"/>
    </row>
    <row r="1478" spans="3:3" x14ac:dyDescent="0.25">
      <c r="C1478"/>
    </row>
    <row r="1479" spans="3:3" x14ac:dyDescent="0.25">
      <c r="C1479"/>
    </row>
    <row r="1480" spans="3:3" x14ac:dyDescent="0.25">
      <c r="C1480"/>
    </row>
    <row r="1481" spans="3:3" x14ac:dyDescent="0.25">
      <c r="C1481"/>
    </row>
    <row r="1482" spans="3:3" x14ac:dyDescent="0.25">
      <c r="C1482"/>
    </row>
    <row r="1483" spans="3:3" x14ac:dyDescent="0.25">
      <c r="C1483"/>
    </row>
    <row r="1484" spans="3:3" x14ac:dyDescent="0.25">
      <c r="C1484"/>
    </row>
    <row r="1485" spans="3:3" x14ac:dyDescent="0.25">
      <c r="C1485"/>
    </row>
    <row r="1486" spans="3:3" x14ac:dyDescent="0.25">
      <c r="C1486"/>
    </row>
    <row r="1487" spans="3:3" x14ac:dyDescent="0.25">
      <c r="C1487"/>
    </row>
    <row r="1488" spans="3:3" x14ac:dyDescent="0.25">
      <c r="C1488"/>
    </row>
    <row r="1489" spans="3:3" x14ac:dyDescent="0.25">
      <c r="C1489"/>
    </row>
    <row r="1490" spans="3:3" x14ac:dyDescent="0.25">
      <c r="C1490"/>
    </row>
    <row r="1491" spans="3:3" x14ac:dyDescent="0.25">
      <c r="C1491"/>
    </row>
    <row r="1492" spans="3:3" x14ac:dyDescent="0.25">
      <c r="C1492"/>
    </row>
    <row r="1493" spans="3:3" x14ac:dyDescent="0.25">
      <c r="C1493"/>
    </row>
    <row r="1494" spans="3:3" x14ac:dyDescent="0.25">
      <c r="C1494"/>
    </row>
    <row r="1495" spans="3:3" x14ac:dyDescent="0.25">
      <c r="C1495"/>
    </row>
    <row r="1496" spans="3:3" x14ac:dyDescent="0.25">
      <c r="C1496"/>
    </row>
    <row r="1497" spans="3:3" x14ac:dyDescent="0.25">
      <c r="C1497"/>
    </row>
    <row r="1498" spans="3:3" x14ac:dyDescent="0.25">
      <c r="C1498"/>
    </row>
    <row r="1499" spans="3:3" x14ac:dyDescent="0.25">
      <c r="C1499"/>
    </row>
    <row r="1500" spans="3:3" x14ac:dyDescent="0.25">
      <c r="C1500"/>
    </row>
    <row r="1501" spans="3:3" x14ac:dyDescent="0.25">
      <c r="C1501"/>
    </row>
    <row r="1502" spans="3:3" x14ac:dyDescent="0.25">
      <c r="C1502"/>
    </row>
    <row r="1503" spans="3:3" x14ac:dyDescent="0.25">
      <c r="C1503"/>
    </row>
    <row r="1504" spans="3:3" x14ac:dyDescent="0.25">
      <c r="C1504"/>
    </row>
    <row r="1505" spans="3:3" x14ac:dyDescent="0.25">
      <c r="C1505"/>
    </row>
    <row r="1506" spans="3:3" x14ac:dyDescent="0.25">
      <c r="C1506"/>
    </row>
    <row r="1507" spans="3:3" x14ac:dyDescent="0.25">
      <c r="C1507"/>
    </row>
    <row r="1508" spans="3:3" x14ac:dyDescent="0.25">
      <c r="C1508"/>
    </row>
    <row r="1509" spans="3:3" x14ac:dyDescent="0.25">
      <c r="C1509"/>
    </row>
    <row r="1510" spans="3:3" x14ac:dyDescent="0.25">
      <c r="C1510"/>
    </row>
    <row r="1511" spans="3:3" x14ac:dyDescent="0.25">
      <c r="C1511"/>
    </row>
    <row r="1512" spans="3:3" x14ac:dyDescent="0.25">
      <c r="C1512"/>
    </row>
    <row r="1513" spans="3:3" x14ac:dyDescent="0.25">
      <c r="C1513"/>
    </row>
    <row r="1514" spans="3:3" x14ac:dyDescent="0.25">
      <c r="C1514"/>
    </row>
    <row r="1515" spans="3:3" x14ac:dyDescent="0.25">
      <c r="C1515"/>
    </row>
    <row r="1516" spans="3:3" x14ac:dyDescent="0.25">
      <c r="C1516"/>
    </row>
    <row r="1517" spans="3:3" x14ac:dyDescent="0.25">
      <c r="C1517"/>
    </row>
    <row r="1518" spans="3:3" x14ac:dyDescent="0.25">
      <c r="C1518"/>
    </row>
    <row r="1519" spans="3:3" x14ac:dyDescent="0.25">
      <c r="C1519"/>
    </row>
    <row r="1520" spans="3:3" x14ac:dyDescent="0.25">
      <c r="C1520"/>
    </row>
    <row r="1521" spans="3:3" x14ac:dyDescent="0.25">
      <c r="C1521"/>
    </row>
    <row r="1522" spans="3:3" x14ac:dyDescent="0.25">
      <c r="C1522"/>
    </row>
    <row r="1523" spans="3:3" x14ac:dyDescent="0.25">
      <c r="C1523"/>
    </row>
    <row r="1524" spans="3:3" x14ac:dyDescent="0.25">
      <c r="C1524"/>
    </row>
    <row r="1525" spans="3:3" x14ac:dyDescent="0.25">
      <c r="C1525"/>
    </row>
    <row r="1526" spans="3:3" x14ac:dyDescent="0.25">
      <c r="C1526"/>
    </row>
    <row r="1527" spans="3:3" x14ac:dyDescent="0.25">
      <c r="C1527"/>
    </row>
    <row r="1528" spans="3:3" x14ac:dyDescent="0.25">
      <c r="C1528"/>
    </row>
    <row r="1529" spans="3:3" x14ac:dyDescent="0.25">
      <c r="C1529"/>
    </row>
    <row r="1530" spans="3:3" x14ac:dyDescent="0.25">
      <c r="C1530"/>
    </row>
    <row r="1531" spans="3:3" x14ac:dyDescent="0.25">
      <c r="C1531"/>
    </row>
    <row r="1532" spans="3:3" x14ac:dyDescent="0.25">
      <c r="C1532"/>
    </row>
    <row r="1533" spans="3:3" x14ac:dyDescent="0.25">
      <c r="C1533"/>
    </row>
    <row r="1534" spans="3:3" x14ac:dyDescent="0.25">
      <c r="C1534"/>
    </row>
    <row r="1535" spans="3:3" x14ac:dyDescent="0.25">
      <c r="C1535"/>
    </row>
    <row r="1536" spans="3:3" x14ac:dyDescent="0.25">
      <c r="C1536"/>
    </row>
    <row r="1537" spans="3:3" x14ac:dyDescent="0.25">
      <c r="C1537"/>
    </row>
    <row r="1538" spans="3:3" x14ac:dyDescent="0.25">
      <c r="C1538"/>
    </row>
    <row r="1539" spans="3:3" x14ac:dyDescent="0.25">
      <c r="C1539"/>
    </row>
    <row r="1540" spans="3:3" x14ac:dyDescent="0.25">
      <c r="C1540"/>
    </row>
    <row r="1541" spans="3:3" x14ac:dyDescent="0.25">
      <c r="C1541"/>
    </row>
    <row r="1542" spans="3:3" x14ac:dyDescent="0.25">
      <c r="C1542"/>
    </row>
    <row r="1543" spans="3:3" x14ac:dyDescent="0.25">
      <c r="C1543"/>
    </row>
    <row r="1544" spans="3:3" x14ac:dyDescent="0.25">
      <c r="C1544"/>
    </row>
    <row r="1545" spans="3:3" x14ac:dyDescent="0.25">
      <c r="C1545"/>
    </row>
    <row r="1546" spans="3:3" x14ac:dyDescent="0.25">
      <c r="C1546"/>
    </row>
    <row r="1547" spans="3:3" x14ac:dyDescent="0.25">
      <c r="C1547"/>
    </row>
    <row r="1548" spans="3:3" x14ac:dyDescent="0.25">
      <c r="C1548"/>
    </row>
    <row r="1549" spans="3:3" x14ac:dyDescent="0.25">
      <c r="C1549"/>
    </row>
    <row r="1550" spans="3:3" x14ac:dyDescent="0.25">
      <c r="C1550"/>
    </row>
    <row r="1551" spans="3:3" x14ac:dyDescent="0.25">
      <c r="C1551"/>
    </row>
    <row r="1552" spans="3:3" x14ac:dyDescent="0.25">
      <c r="C1552"/>
    </row>
    <row r="1553" spans="3:3" x14ac:dyDescent="0.25">
      <c r="C1553"/>
    </row>
    <row r="1554" spans="3:3" x14ac:dyDescent="0.25">
      <c r="C1554"/>
    </row>
    <row r="1555" spans="3:3" x14ac:dyDescent="0.25">
      <c r="C1555"/>
    </row>
    <row r="1556" spans="3:3" x14ac:dyDescent="0.25">
      <c r="C1556"/>
    </row>
    <row r="1557" spans="3:3" x14ac:dyDescent="0.25">
      <c r="C1557"/>
    </row>
    <row r="1558" spans="3:3" x14ac:dyDescent="0.25">
      <c r="C1558"/>
    </row>
    <row r="1559" spans="3:3" x14ac:dyDescent="0.25">
      <c r="C1559"/>
    </row>
    <row r="1560" spans="3:3" x14ac:dyDescent="0.25">
      <c r="C1560"/>
    </row>
    <row r="1561" spans="3:3" x14ac:dyDescent="0.25">
      <c r="C1561"/>
    </row>
    <row r="1562" spans="3:3" x14ac:dyDescent="0.25">
      <c r="C1562"/>
    </row>
    <row r="1563" spans="3:3" x14ac:dyDescent="0.25">
      <c r="C1563"/>
    </row>
    <row r="1564" spans="3:3" x14ac:dyDescent="0.25">
      <c r="C1564"/>
    </row>
    <row r="1565" spans="3:3" x14ac:dyDescent="0.25">
      <c r="C1565"/>
    </row>
    <row r="1566" spans="3:3" x14ac:dyDescent="0.25">
      <c r="C1566"/>
    </row>
    <row r="1567" spans="3:3" x14ac:dyDescent="0.25">
      <c r="C1567"/>
    </row>
    <row r="1568" spans="3:3" x14ac:dyDescent="0.25">
      <c r="C1568"/>
    </row>
    <row r="1569" spans="3:3" x14ac:dyDescent="0.25">
      <c r="C1569"/>
    </row>
    <row r="1570" spans="3:3" x14ac:dyDescent="0.25">
      <c r="C1570"/>
    </row>
    <row r="1571" spans="3:3" x14ac:dyDescent="0.25">
      <c r="C1571"/>
    </row>
    <row r="1572" spans="3:3" x14ac:dyDescent="0.25">
      <c r="C1572"/>
    </row>
    <row r="1573" spans="3:3" x14ac:dyDescent="0.25">
      <c r="C1573"/>
    </row>
    <row r="1574" spans="3:3" x14ac:dyDescent="0.25">
      <c r="C1574"/>
    </row>
    <row r="1575" spans="3:3" x14ac:dyDescent="0.25">
      <c r="C1575"/>
    </row>
    <row r="1576" spans="3:3" x14ac:dyDescent="0.25">
      <c r="C1576"/>
    </row>
    <row r="1577" spans="3:3" x14ac:dyDescent="0.25">
      <c r="C1577"/>
    </row>
    <row r="1578" spans="3:3" x14ac:dyDescent="0.25">
      <c r="C1578"/>
    </row>
    <row r="1579" spans="3:3" x14ac:dyDescent="0.25">
      <c r="C1579"/>
    </row>
    <row r="1580" spans="3:3" x14ac:dyDescent="0.25">
      <c r="C1580"/>
    </row>
    <row r="1581" spans="3:3" x14ac:dyDescent="0.25">
      <c r="C1581"/>
    </row>
    <row r="1582" spans="3:3" x14ac:dyDescent="0.25">
      <c r="C1582"/>
    </row>
    <row r="1583" spans="3:3" x14ac:dyDescent="0.25">
      <c r="C1583"/>
    </row>
    <row r="1584" spans="3:3" x14ac:dyDescent="0.25">
      <c r="C1584"/>
    </row>
    <row r="1585" spans="3:3" x14ac:dyDescent="0.25">
      <c r="C1585"/>
    </row>
    <row r="1586" spans="3:3" x14ac:dyDescent="0.25">
      <c r="C1586"/>
    </row>
    <row r="1587" spans="3:3" x14ac:dyDescent="0.25">
      <c r="C1587"/>
    </row>
    <row r="1588" spans="3:3" x14ac:dyDescent="0.25">
      <c r="C1588"/>
    </row>
    <row r="1589" spans="3:3" x14ac:dyDescent="0.25">
      <c r="C1589"/>
    </row>
    <row r="1590" spans="3:3" x14ac:dyDescent="0.25">
      <c r="C1590"/>
    </row>
    <row r="1591" spans="3:3" x14ac:dyDescent="0.25">
      <c r="C1591"/>
    </row>
    <row r="1592" spans="3:3" x14ac:dyDescent="0.25">
      <c r="C1592"/>
    </row>
    <row r="1593" spans="3:3" x14ac:dyDescent="0.25">
      <c r="C1593"/>
    </row>
    <row r="1594" spans="3:3" x14ac:dyDescent="0.25">
      <c r="C1594"/>
    </row>
    <row r="1595" spans="3:3" x14ac:dyDescent="0.25">
      <c r="C1595"/>
    </row>
    <row r="1596" spans="3:3" x14ac:dyDescent="0.25">
      <c r="C1596"/>
    </row>
    <row r="1597" spans="3:3" x14ac:dyDescent="0.25">
      <c r="C1597"/>
    </row>
    <row r="1598" spans="3:3" x14ac:dyDescent="0.25">
      <c r="C1598"/>
    </row>
    <row r="1599" spans="3:3" x14ac:dyDescent="0.25">
      <c r="C1599"/>
    </row>
    <row r="1600" spans="3:3" x14ac:dyDescent="0.25">
      <c r="C1600"/>
    </row>
    <row r="1601" spans="3:3" x14ac:dyDescent="0.25">
      <c r="C1601"/>
    </row>
    <row r="1602" spans="3:3" x14ac:dyDescent="0.25">
      <c r="C1602"/>
    </row>
    <row r="1603" spans="3:3" x14ac:dyDescent="0.25">
      <c r="C1603"/>
    </row>
    <row r="1604" spans="3:3" x14ac:dyDescent="0.25">
      <c r="C1604"/>
    </row>
    <row r="1605" spans="3:3" x14ac:dyDescent="0.25">
      <c r="C1605"/>
    </row>
    <row r="1606" spans="3:3" x14ac:dyDescent="0.25">
      <c r="C1606"/>
    </row>
    <row r="1607" spans="3:3" x14ac:dyDescent="0.25">
      <c r="C1607"/>
    </row>
    <row r="1608" spans="3:3" x14ac:dyDescent="0.25">
      <c r="C1608"/>
    </row>
    <row r="1609" spans="3:3" x14ac:dyDescent="0.25">
      <c r="C1609"/>
    </row>
    <row r="1610" spans="3:3" x14ac:dyDescent="0.25">
      <c r="C1610"/>
    </row>
    <row r="1611" spans="3:3" x14ac:dyDescent="0.25">
      <c r="C1611"/>
    </row>
    <row r="1612" spans="3:3" x14ac:dyDescent="0.25">
      <c r="C1612"/>
    </row>
    <row r="1613" spans="3:3" x14ac:dyDescent="0.25">
      <c r="C1613"/>
    </row>
    <row r="1614" spans="3:3" x14ac:dyDescent="0.25">
      <c r="C1614"/>
    </row>
    <row r="1615" spans="3:3" x14ac:dyDescent="0.25">
      <c r="C1615"/>
    </row>
    <row r="1616" spans="3:3" x14ac:dyDescent="0.25">
      <c r="C1616"/>
    </row>
    <row r="1617" spans="3:3" x14ac:dyDescent="0.25">
      <c r="C1617"/>
    </row>
    <row r="1618" spans="3:3" x14ac:dyDescent="0.25">
      <c r="C1618"/>
    </row>
    <row r="1619" spans="3:3" x14ac:dyDescent="0.25">
      <c r="C1619"/>
    </row>
    <row r="1620" spans="3:3" x14ac:dyDescent="0.25">
      <c r="C1620"/>
    </row>
    <row r="1621" spans="3:3" x14ac:dyDescent="0.25">
      <c r="C1621"/>
    </row>
    <row r="1622" spans="3:3" x14ac:dyDescent="0.25">
      <c r="C1622"/>
    </row>
    <row r="1623" spans="3:3" x14ac:dyDescent="0.25">
      <c r="C1623"/>
    </row>
    <row r="1624" spans="3:3" x14ac:dyDescent="0.25">
      <c r="C1624"/>
    </row>
    <row r="1625" spans="3:3" x14ac:dyDescent="0.25">
      <c r="C1625"/>
    </row>
    <row r="1626" spans="3:3" x14ac:dyDescent="0.25">
      <c r="C1626"/>
    </row>
    <row r="1627" spans="3:3" x14ac:dyDescent="0.25">
      <c r="C1627"/>
    </row>
    <row r="1628" spans="3:3" x14ac:dyDescent="0.25">
      <c r="C1628"/>
    </row>
    <row r="1629" spans="3:3" x14ac:dyDescent="0.25">
      <c r="C1629"/>
    </row>
    <row r="1630" spans="3:3" x14ac:dyDescent="0.25">
      <c r="C1630"/>
    </row>
    <row r="1631" spans="3:3" x14ac:dyDescent="0.25">
      <c r="C1631"/>
    </row>
    <row r="1632" spans="3:3" x14ac:dyDescent="0.25">
      <c r="C1632"/>
    </row>
    <row r="1633" spans="3:3" x14ac:dyDescent="0.25">
      <c r="C1633"/>
    </row>
    <row r="1634" spans="3:3" x14ac:dyDescent="0.25">
      <c r="C1634"/>
    </row>
    <row r="1635" spans="3:3" x14ac:dyDescent="0.25">
      <c r="C1635"/>
    </row>
    <row r="1636" spans="3:3" x14ac:dyDescent="0.25">
      <c r="C1636"/>
    </row>
    <row r="1637" spans="3:3" x14ac:dyDescent="0.25">
      <c r="C1637"/>
    </row>
    <row r="1638" spans="3:3" x14ac:dyDescent="0.25">
      <c r="C1638"/>
    </row>
    <row r="1639" spans="3:3" x14ac:dyDescent="0.25">
      <c r="C1639"/>
    </row>
    <row r="1640" spans="3:3" x14ac:dyDescent="0.25">
      <c r="C1640"/>
    </row>
    <row r="1641" spans="3:3" x14ac:dyDescent="0.25">
      <c r="C1641"/>
    </row>
    <row r="1642" spans="3:3" x14ac:dyDescent="0.25">
      <c r="C1642"/>
    </row>
    <row r="1643" spans="3:3" x14ac:dyDescent="0.25">
      <c r="C1643"/>
    </row>
    <row r="1644" spans="3:3" x14ac:dyDescent="0.25">
      <c r="C1644"/>
    </row>
    <row r="1645" spans="3:3" x14ac:dyDescent="0.25">
      <c r="C1645"/>
    </row>
    <row r="1646" spans="3:3" x14ac:dyDescent="0.25">
      <c r="C1646"/>
    </row>
    <row r="1647" spans="3:3" x14ac:dyDescent="0.25">
      <c r="C1647"/>
    </row>
    <row r="1648" spans="3:3" x14ac:dyDescent="0.25">
      <c r="C1648"/>
    </row>
    <row r="1649" spans="3:3" x14ac:dyDescent="0.25">
      <c r="C1649"/>
    </row>
    <row r="1650" spans="3:3" x14ac:dyDescent="0.25">
      <c r="C1650"/>
    </row>
    <row r="1651" spans="3:3" x14ac:dyDescent="0.25">
      <c r="C1651"/>
    </row>
    <row r="1652" spans="3:3" x14ac:dyDescent="0.25">
      <c r="C1652"/>
    </row>
    <row r="1653" spans="3:3" x14ac:dyDescent="0.25">
      <c r="C1653"/>
    </row>
    <row r="1654" spans="3:3" x14ac:dyDescent="0.25">
      <c r="C1654"/>
    </row>
    <row r="1655" spans="3:3" x14ac:dyDescent="0.25">
      <c r="C1655"/>
    </row>
    <row r="1656" spans="3:3" x14ac:dyDescent="0.25">
      <c r="C1656"/>
    </row>
    <row r="1657" spans="3:3" x14ac:dyDescent="0.25">
      <c r="C1657"/>
    </row>
    <row r="1658" spans="3:3" x14ac:dyDescent="0.25">
      <c r="C1658"/>
    </row>
    <row r="1659" spans="3:3" x14ac:dyDescent="0.25">
      <c r="C1659"/>
    </row>
    <row r="1660" spans="3:3" x14ac:dyDescent="0.25">
      <c r="C1660"/>
    </row>
    <row r="1661" spans="3:3" x14ac:dyDescent="0.25">
      <c r="C1661"/>
    </row>
    <row r="1662" spans="3:3" x14ac:dyDescent="0.25">
      <c r="C1662"/>
    </row>
    <row r="1663" spans="3:3" x14ac:dyDescent="0.25">
      <c r="C1663"/>
    </row>
    <row r="1664" spans="3:3" x14ac:dyDescent="0.25">
      <c r="C1664"/>
    </row>
    <row r="1665" spans="3:3" x14ac:dyDescent="0.25">
      <c r="C1665"/>
    </row>
    <row r="1666" spans="3:3" x14ac:dyDescent="0.25">
      <c r="C1666"/>
    </row>
    <row r="1667" spans="3:3" x14ac:dyDescent="0.25">
      <c r="C1667"/>
    </row>
    <row r="1668" spans="3:3" x14ac:dyDescent="0.25">
      <c r="C1668"/>
    </row>
    <row r="1669" spans="3:3" x14ac:dyDescent="0.25">
      <c r="C1669"/>
    </row>
    <row r="1670" spans="3:3" x14ac:dyDescent="0.25">
      <c r="C1670"/>
    </row>
    <row r="1671" spans="3:3" x14ac:dyDescent="0.25">
      <c r="C1671"/>
    </row>
    <row r="1672" spans="3:3" x14ac:dyDescent="0.25">
      <c r="C1672"/>
    </row>
    <row r="1673" spans="3:3" x14ac:dyDescent="0.25">
      <c r="C1673"/>
    </row>
    <row r="1674" spans="3:3" x14ac:dyDescent="0.25">
      <c r="C1674"/>
    </row>
    <row r="1675" spans="3:3" x14ac:dyDescent="0.25">
      <c r="C1675"/>
    </row>
    <row r="1676" spans="3:3" x14ac:dyDescent="0.25">
      <c r="C1676"/>
    </row>
    <row r="1677" spans="3:3" x14ac:dyDescent="0.25">
      <c r="C1677"/>
    </row>
    <row r="1678" spans="3:3" x14ac:dyDescent="0.25">
      <c r="C1678"/>
    </row>
    <row r="1679" spans="3:3" x14ac:dyDescent="0.25">
      <c r="C1679"/>
    </row>
    <row r="1680" spans="3:3" x14ac:dyDescent="0.25">
      <c r="C1680"/>
    </row>
    <row r="1681" spans="3:3" x14ac:dyDescent="0.25">
      <c r="C1681"/>
    </row>
    <row r="1682" spans="3:3" x14ac:dyDescent="0.25">
      <c r="C1682"/>
    </row>
    <row r="1683" spans="3:3" x14ac:dyDescent="0.25">
      <c r="C1683"/>
    </row>
    <row r="1684" spans="3:3" x14ac:dyDescent="0.25">
      <c r="C1684"/>
    </row>
    <row r="1685" spans="3:3" x14ac:dyDescent="0.25">
      <c r="C1685"/>
    </row>
    <row r="1686" spans="3:3" x14ac:dyDescent="0.25">
      <c r="C1686"/>
    </row>
    <row r="1687" spans="3:3" x14ac:dyDescent="0.25">
      <c r="C1687"/>
    </row>
    <row r="1688" spans="3:3" x14ac:dyDescent="0.25">
      <c r="C1688"/>
    </row>
    <row r="1689" spans="3:3" x14ac:dyDescent="0.25">
      <c r="C1689"/>
    </row>
    <row r="1690" spans="3:3" x14ac:dyDescent="0.25">
      <c r="C1690"/>
    </row>
    <row r="1691" spans="3:3" x14ac:dyDescent="0.25">
      <c r="C1691"/>
    </row>
    <row r="1692" spans="3:3" x14ac:dyDescent="0.25">
      <c r="C1692"/>
    </row>
    <row r="1693" spans="3:3" x14ac:dyDescent="0.25">
      <c r="C1693"/>
    </row>
    <row r="1694" spans="3:3" x14ac:dyDescent="0.25">
      <c r="C1694"/>
    </row>
    <row r="1695" spans="3:3" x14ac:dyDescent="0.25">
      <c r="C1695"/>
    </row>
    <row r="1696" spans="3:3" x14ac:dyDescent="0.25">
      <c r="C1696"/>
    </row>
    <row r="1697" spans="3:3" x14ac:dyDescent="0.25">
      <c r="C1697"/>
    </row>
    <row r="1698" spans="3:3" x14ac:dyDescent="0.25">
      <c r="C1698"/>
    </row>
    <row r="1699" spans="3:3" x14ac:dyDescent="0.25">
      <c r="C1699"/>
    </row>
    <row r="1700" spans="3:3" x14ac:dyDescent="0.25">
      <c r="C1700"/>
    </row>
    <row r="1701" spans="3:3" x14ac:dyDescent="0.25">
      <c r="C1701"/>
    </row>
    <row r="1702" spans="3:3" x14ac:dyDescent="0.25">
      <c r="C1702"/>
    </row>
    <row r="1703" spans="3:3" x14ac:dyDescent="0.25">
      <c r="C1703"/>
    </row>
    <row r="1704" spans="3:3" x14ac:dyDescent="0.25">
      <c r="C1704"/>
    </row>
    <row r="1705" spans="3:3" x14ac:dyDescent="0.25">
      <c r="C1705"/>
    </row>
    <row r="1706" spans="3:3" x14ac:dyDescent="0.25">
      <c r="C1706"/>
    </row>
    <row r="1707" spans="3:3" x14ac:dyDescent="0.25">
      <c r="C1707"/>
    </row>
    <row r="1708" spans="3:3" x14ac:dyDescent="0.25">
      <c r="C1708"/>
    </row>
    <row r="1709" spans="3:3" x14ac:dyDescent="0.25">
      <c r="C1709"/>
    </row>
    <row r="1710" spans="3:3" x14ac:dyDescent="0.25">
      <c r="C1710"/>
    </row>
    <row r="1711" spans="3:3" x14ac:dyDescent="0.25">
      <c r="C1711"/>
    </row>
    <row r="1712" spans="3:3" x14ac:dyDescent="0.25">
      <c r="C1712"/>
    </row>
    <row r="1713" spans="3:3" x14ac:dyDescent="0.25">
      <c r="C1713"/>
    </row>
    <row r="1714" spans="3:3" x14ac:dyDescent="0.25">
      <c r="C1714"/>
    </row>
    <row r="1715" spans="3:3" x14ac:dyDescent="0.25">
      <c r="C1715"/>
    </row>
    <row r="1716" spans="3:3" x14ac:dyDescent="0.25">
      <c r="C1716"/>
    </row>
    <row r="1717" spans="3:3" x14ac:dyDescent="0.25">
      <c r="C1717"/>
    </row>
    <row r="1718" spans="3:3" x14ac:dyDescent="0.25">
      <c r="C1718"/>
    </row>
    <row r="1719" spans="3:3" x14ac:dyDescent="0.25">
      <c r="C1719"/>
    </row>
    <row r="1720" spans="3:3" x14ac:dyDescent="0.25">
      <c r="C1720"/>
    </row>
    <row r="1721" spans="3:3" x14ac:dyDescent="0.25">
      <c r="C1721"/>
    </row>
    <row r="1722" spans="3:3" x14ac:dyDescent="0.25">
      <c r="C1722"/>
    </row>
    <row r="1723" spans="3:3" x14ac:dyDescent="0.25">
      <c r="C1723"/>
    </row>
    <row r="1724" spans="3:3" x14ac:dyDescent="0.25">
      <c r="C1724"/>
    </row>
    <row r="1725" spans="3:3" x14ac:dyDescent="0.25">
      <c r="C1725"/>
    </row>
    <row r="1726" spans="3:3" x14ac:dyDescent="0.25">
      <c r="C1726"/>
    </row>
    <row r="1727" spans="3:3" x14ac:dyDescent="0.25">
      <c r="C1727"/>
    </row>
    <row r="1728" spans="3:3" x14ac:dyDescent="0.25">
      <c r="C1728"/>
    </row>
    <row r="1729" spans="3:3" x14ac:dyDescent="0.25">
      <c r="C1729"/>
    </row>
    <row r="1730" spans="3:3" x14ac:dyDescent="0.25">
      <c r="C1730"/>
    </row>
    <row r="1731" spans="3:3" x14ac:dyDescent="0.25">
      <c r="C1731"/>
    </row>
    <row r="1732" spans="3:3" x14ac:dyDescent="0.25">
      <c r="C1732"/>
    </row>
    <row r="1733" spans="3:3" x14ac:dyDescent="0.25">
      <c r="C1733"/>
    </row>
    <row r="1734" spans="3:3" x14ac:dyDescent="0.25">
      <c r="C1734"/>
    </row>
    <row r="1735" spans="3:3" x14ac:dyDescent="0.25">
      <c r="C1735"/>
    </row>
    <row r="1736" spans="3:3" x14ac:dyDescent="0.25">
      <c r="C1736"/>
    </row>
    <row r="1737" spans="3:3" x14ac:dyDescent="0.25">
      <c r="C1737"/>
    </row>
    <row r="1738" spans="3:3" x14ac:dyDescent="0.25">
      <c r="C1738"/>
    </row>
    <row r="1739" spans="3:3" x14ac:dyDescent="0.25">
      <c r="C1739"/>
    </row>
    <row r="1740" spans="3:3" x14ac:dyDescent="0.25">
      <c r="C1740"/>
    </row>
    <row r="1741" spans="3:3" x14ac:dyDescent="0.25">
      <c r="C1741"/>
    </row>
    <row r="1742" spans="3:3" x14ac:dyDescent="0.25">
      <c r="C1742"/>
    </row>
    <row r="1743" spans="3:3" x14ac:dyDescent="0.25">
      <c r="C1743"/>
    </row>
    <row r="1744" spans="3:3" x14ac:dyDescent="0.25">
      <c r="C1744"/>
    </row>
    <row r="1745" spans="3:3" x14ac:dyDescent="0.25">
      <c r="C1745"/>
    </row>
    <row r="1746" spans="3:3" x14ac:dyDescent="0.25">
      <c r="C1746"/>
    </row>
    <row r="1747" spans="3:3" x14ac:dyDescent="0.25">
      <c r="C1747"/>
    </row>
    <row r="1748" spans="3:3" x14ac:dyDescent="0.25">
      <c r="C1748"/>
    </row>
    <row r="1749" spans="3:3" x14ac:dyDescent="0.25">
      <c r="C1749"/>
    </row>
    <row r="1750" spans="3:3" x14ac:dyDescent="0.25">
      <c r="C1750"/>
    </row>
    <row r="1751" spans="3:3" x14ac:dyDescent="0.25">
      <c r="C1751"/>
    </row>
    <row r="1752" spans="3:3" x14ac:dyDescent="0.25">
      <c r="C1752"/>
    </row>
    <row r="1753" spans="3:3" x14ac:dyDescent="0.25">
      <c r="C1753"/>
    </row>
    <row r="1754" spans="3:3" x14ac:dyDescent="0.25">
      <c r="C1754"/>
    </row>
    <row r="1755" spans="3:3" x14ac:dyDescent="0.25">
      <c r="C1755"/>
    </row>
    <row r="1756" spans="3:3" x14ac:dyDescent="0.25">
      <c r="C1756"/>
    </row>
    <row r="1757" spans="3:3" x14ac:dyDescent="0.25">
      <c r="C1757"/>
    </row>
    <row r="1758" spans="3:3" x14ac:dyDescent="0.25">
      <c r="C1758"/>
    </row>
    <row r="1759" spans="3:3" x14ac:dyDescent="0.25">
      <c r="C1759"/>
    </row>
    <row r="1760" spans="3:3" x14ac:dyDescent="0.25">
      <c r="C1760"/>
    </row>
    <row r="1761" spans="3:3" x14ac:dyDescent="0.25">
      <c r="C1761"/>
    </row>
    <row r="1762" spans="3:3" x14ac:dyDescent="0.25">
      <c r="C1762"/>
    </row>
    <row r="1763" spans="3:3" x14ac:dyDescent="0.25">
      <c r="C1763"/>
    </row>
    <row r="1764" spans="3:3" x14ac:dyDescent="0.25">
      <c r="C1764"/>
    </row>
    <row r="1765" spans="3:3" x14ac:dyDescent="0.25">
      <c r="C1765"/>
    </row>
    <row r="1766" spans="3:3" x14ac:dyDescent="0.25">
      <c r="C1766"/>
    </row>
    <row r="1767" spans="3:3" x14ac:dyDescent="0.25">
      <c r="C1767"/>
    </row>
    <row r="1768" spans="3:3" x14ac:dyDescent="0.25">
      <c r="C1768"/>
    </row>
    <row r="1769" spans="3:3" x14ac:dyDescent="0.25">
      <c r="C1769"/>
    </row>
    <row r="1770" spans="3:3" x14ac:dyDescent="0.25">
      <c r="C1770"/>
    </row>
    <row r="1771" spans="3:3" x14ac:dyDescent="0.25">
      <c r="C1771"/>
    </row>
    <row r="1772" spans="3:3" x14ac:dyDescent="0.25">
      <c r="C1772"/>
    </row>
    <row r="1773" spans="3:3" x14ac:dyDescent="0.25">
      <c r="C1773"/>
    </row>
    <row r="1774" spans="3:3" x14ac:dyDescent="0.25">
      <c r="C1774"/>
    </row>
    <row r="1775" spans="3:3" x14ac:dyDescent="0.25">
      <c r="C1775"/>
    </row>
    <row r="1776" spans="3:3" x14ac:dyDescent="0.25">
      <c r="C1776"/>
    </row>
    <row r="1777" spans="3:3" x14ac:dyDescent="0.25">
      <c r="C1777"/>
    </row>
    <row r="1778" spans="3:3" x14ac:dyDescent="0.25">
      <c r="C1778"/>
    </row>
    <row r="1779" spans="3:3" x14ac:dyDescent="0.25">
      <c r="C1779"/>
    </row>
    <row r="1780" spans="3:3" x14ac:dyDescent="0.25">
      <c r="C1780"/>
    </row>
    <row r="1781" spans="3:3" x14ac:dyDescent="0.25">
      <c r="C1781"/>
    </row>
    <row r="1782" spans="3:3" x14ac:dyDescent="0.25">
      <c r="C1782"/>
    </row>
    <row r="1783" spans="3:3" x14ac:dyDescent="0.25">
      <c r="C1783"/>
    </row>
    <row r="1784" spans="3:3" x14ac:dyDescent="0.25">
      <c r="C1784"/>
    </row>
    <row r="1785" spans="3:3" x14ac:dyDescent="0.25">
      <c r="C1785"/>
    </row>
    <row r="1786" spans="3:3" x14ac:dyDescent="0.25">
      <c r="C1786"/>
    </row>
    <row r="1787" spans="3:3" x14ac:dyDescent="0.25">
      <c r="C1787"/>
    </row>
    <row r="1788" spans="3:3" x14ac:dyDescent="0.25">
      <c r="C1788"/>
    </row>
    <row r="1789" spans="3:3" x14ac:dyDescent="0.25">
      <c r="C1789"/>
    </row>
    <row r="1790" spans="3:3" x14ac:dyDescent="0.25">
      <c r="C1790"/>
    </row>
    <row r="1791" spans="3:3" x14ac:dyDescent="0.25">
      <c r="C1791"/>
    </row>
    <row r="1792" spans="3:3" x14ac:dyDescent="0.25">
      <c r="C1792"/>
    </row>
    <row r="1793" spans="3:3" x14ac:dyDescent="0.25">
      <c r="C1793"/>
    </row>
    <row r="1794" spans="3:3" x14ac:dyDescent="0.25">
      <c r="C1794"/>
    </row>
    <row r="1795" spans="3:3" x14ac:dyDescent="0.25">
      <c r="C1795"/>
    </row>
    <row r="1796" spans="3:3" x14ac:dyDescent="0.25">
      <c r="C1796"/>
    </row>
    <row r="1797" spans="3:3" x14ac:dyDescent="0.25">
      <c r="C1797"/>
    </row>
    <row r="1798" spans="3:3" x14ac:dyDescent="0.25">
      <c r="C1798"/>
    </row>
    <row r="1799" spans="3:3" x14ac:dyDescent="0.25">
      <c r="C1799"/>
    </row>
    <row r="1800" spans="3:3" x14ac:dyDescent="0.25">
      <c r="C1800"/>
    </row>
    <row r="1801" spans="3:3" x14ac:dyDescent="0.25">
      <c r="C1801"/>
    </row>
    <row r="1802" spans="3:3" x14ac:dyDescent="0.25">
      <c r="C1802"/>
    </row>
    <row r="1803" spans="3:3" x14ac:dyDescent="0.25">
      <c r="C1803"/>
    </row>
    <row r="1804" spans="3:3" x14ac:dyDescent="0.25">
      <c r="C1804"/>
    </row>
    <row r="1805" spans="3:3" x14ac:dyDescent="0.25">
      <c r="C1805"/>
    </row>
    <row r="1806" spans="3:3" x14ac:dyDescent="0.25">
      <c r="C1806"/>
    </row>
    <row r="1807" spans="3:3" x14ac:dyDescent="0.25">
      <c r="C1807"/>
    </row>
    <row r="1808" spans="3:3" x14ac:dyDescent="0.25">
      <c r="C1808"/>
    </row>
    <row r="1809" spans="3:3" x14ac:dyDescent="0.25">
      <c r="C1809"/>
    </row>
    <row r="1810" spans="3:3" x14ac:dyDescent="0.25">
      <c r="C1810"/>
    </row>
    <row r="1811" spans="3:3" x14ac:dyDescent="0.25">
      <c r="C1811"/>
    </row>
    <row r="1812" spans="3:3" x14ac:dyDescent="0.25">
      <c r="C1812"/>
    </row>
    <row r="1813" spans="3:3" x14ac:dyDescent="0.25">
      <c r="C1813"/>
    </row>
    <row r="1814" spans="3:3" x14ac:dyDescent="0.25">
      <c r="C1814"/>
    </row>
    <row r="1815" spans="3:3" x14ac:dyDescent="0.25">
      <c r="C1815"/>
    </row>
    <row r="1816" spans="3:3" x14ac:dyDescent="0.25">
      <c r="C1816"/>
    </row>
    <row r="1817" spans="3:3" x14ac:dyDescent="0.25">
      <c r="C1817"/>
    </row>
    <row r="1818" spans="3:3" x14ac:dyDescent="0.25">
      <c r="C1818"/>
    </row>
    <row r="1819" spans="3:3" x14ac:dyDescent="0.25">
      <c r="C1819"/>
    </row>
    <row r="1820" spans="3:3" x14ac:dyDescent="0.25">
      <c r="C1820"/>
    </row>
    <row r="1821" spans="3:3" x14ac:dyDescent="0.25">
      <c r="C1821"/>
    </row>
    <row r="1822" spans="3:3" x14ac:dyDescent="0.25">
      <c r="C1822"/>
    </row>
    <row r="1823" spans="3:3" x14ac:dyDescent="0.25">
      <c r="C1823"/>
    </row>
    <row r="1824" spans="3:3" x14ac:dyDescent="0.25">
      <c r="C1824"/>
    </row>
    <row r="1825" spans="3:3" x14ac:dyDescent="0.25">
      <c r="C1825"/>
    </row>
    <row r="1826" spans="3:3" x14ac:dyDescent="0.25">
      <c r="C1826"/>
    </row>
    <row r="1827" spans="3:3" x14ac:dyDescent="0.25">
      <c r="C1827"/>
    </row>
    <row r="1828" spans="3:3" x14ac:dyDescent="0.25">
      <c r="C1828"/>
    </row>
    <row r="1829" spans="3:3" x14ac:dyDescent="0.25">
      <c r="C1829"/>
    </row>
    <row r="1830" spans="3:3" x14ac:dyDescent="0.25">
      <c r="C1830"/>
    </row>
    <row r="1831" spans="3:3" x14ac:dyDescent="0.25">
      <c r="C1831"/>
    </row>
    <row r="1832" spans="3:3" x14ac:dyDescent="0.25">
      <c r="C1832"/>
    </row>
    <row r="1833" spans="3:3" x14ac:dyDescent="0.25">
      <c r="C1833"/>
    </row>
    <row r="1834" spans="3:3" x14ac:dyDescent="0.25">
      <c r="C1834"/>
    </row>
    <row r="1835" spans="3:3" x14ac:dyDescent="0.25">
      <c r="C1835"/>
    </row>
    <row r="1836" spans="3:3" x14ac:dyDescent="0.25">
      <c r="C1836"/>
    </row>
    <row r="1837" spans="3:3" x14ac:dyDescent="0.25">
      <c r="C1837"/>
    </row>
    <row r="1838" spans="3:3" x14ac:dyDescent="0.25">
      <c r="C1838"/>
    </row>
    <row r="1839" spans="3:3" x14ac:dyDescent="0.25">
      <c r="C1839"/>
    </row>
    <row r="1840" spans="3:3" x14ac:dyDescent="0.25">
      <c r="C1840"/>
    </row>
    <row r="1841" spans="3:3" x14ac:dyDescent="0.25">
      <c r="C1841"/>
    </row>
    <row r="1842" spans="3:3" x14ac:dyDescent="0.25">
      <c r="C1842"/>
    </row>
    <row r="1843" spans="3:3" x14ac:dyDescent="0.25">
      <c r="C1843"/>
    </row>
    <row r="1844" spans="3:3" x14ac:dyDescent="0.25">
      <c r="C1844"/>
    </row>
    <row r="1845" spans="3:3" x14ac:dyDescent="0.25">
      <c r="C1845"/>
    </row>
    <row r="1846" spans="3:3" x14ac:dyDescent="0.25">
      <c r="C1846"/>
    </row>
    <row r="1847" spans="3:3" x14ac:dyDescent="0.25">
      <c r="C1847"/>
    </row>
    <row r="1848" spans="3:3" x14ac:dyDescent="0.25">
      <c r="C1848"/>
    </row>
    <row r="1849" spans="3:3" x14ac:dyDescent="0.25">
      <c r="C1849"/>
    </row>
    <row r="1850" spans="3:3" x14ac:dyDescent="0.25">
      <c r="C1850"/>
    </row>
    <row r="1851" spans="3:3" x14ac:dyDescent="0.25">
      <c r="C1851"/>
    </row>
    <row r="1852" spans="3:3" x14ac:dyDescent="0.25">
      <c r="C1852"/>
    </row>
    <row r="1853" spans="3:3" x14ac:dyDescent="0.25">
      <c r="C1853"/>
    </row>
    <row r="1854" spans="3:3" x14ac:dyDescent="0.25">
      <c r="C1854"/>
    </row>
    <row r="1855" spans="3:3" x14ac:dyDescent="0.25">
      <c r="C1855"/>
    </row>
    <row r="1856" spans="3:3" x14ac:dyDescent="0.25">
      <c r="C1856"/>
    </row>
    <row r="1857" spans="3:3" x14ac:dyDescent="0.25">
      <c r="C1857"/>
    </row>
    <row r="1858" spans="3:3" x14ac:dyDescent="0.25">
      <c r="C1858"/>
    </row>
    <row r="1859" spans="3:3" x14ac:dyDescent="0.25">
      <c r="C1859"/>
    </row>
    <row r="1860" spans="3:3" x14ac:dyDescent="0.25">
      <c r="C1860"/>
    </row>
    <row r="1861" spans="3:3" x14ac:dyDescent="0.25">
      <c r="C1861"/>
    </row>
    <row r="1862" spans="3:3" x14ac:dyDescent="0.25">
      <c r="C1862"/>
    </row>
    <row r="1863" spans="3:3" x14ac:dyDescent="0.25">
      <c r="C1863"/>
    </row>
    <row r="1864" spans="3:3" x14ac:dyDescent="0.25">
      <c r="C1864"/>
    </row>
    <row r="1865" spans="3:3" x14ac:dyDescent="0.25">
      <c r="C1865"/>
    </row>
    <row r="1866" spans="3:3" x14ac:dyDescent="0.25">
      <c r="C1866"/>
    </row>
    <row r="1867" spans="3:3" x14ac:dyDescent="0.25">
      <c r="C1867"/>
    </row>
    <row r="1868" spans="3:3" x14ac:dyDescent="0.25">
      <c r="C1868"/>
    </row>
    <row r="1869" spans="3:3" x14ac:dyDescent="0.25">
      <c r="C1869"/>
    </row>
    <row r="1870" spans="3:3" x14ac:dyDescent="0.25">
      <c r="C1870"/>
    </row>
    <row r="1871" spans="3:3" x14ac:dyDescent="0.25">
      <c r="C1871"/>
    </row>
    <row r="1872" spans="3:3" x14ac:dyDescent="0.25">
      <c r="C1872"/>
    </row>
    <row r="1873" spans="3:3" x14ac:dyDescent="0.25">
      <c r="C1873"/>
    </row>
    <row r="1874" spans="3:3" x14ac:dyDescent="0.25">
      <c r="C1874"/>
    </row>
    <row r="1875" spans="3:3" x14ac:dyDescent="0.25">
      <c r="C1875"/>
    </row>
    <row r="1876" spans="3:3" x14ac:dyDescent="0.25">
      <c r="C1876"/>
    </row>
    <row r="1877" spans="3:3" x14ac:dyDescent="0.25">
      <c r="C1877"/>
    </row>
    <row r="1878" spans="3:3" x14ac:dyDescent="0.25">
      <c r="C1878"/>
    </row>
    <row r="1879" spans="3:3" x14ac:dyDescent="0.25">
      <c r="C1879"/>
    </row>
    <row r="1880" spans="3:3" x14ac:dyDescent="0.25">
      <c r="C1880"/>
    </row>
    <row r="1881" spans="3:3" x14ac:dyDescent="0.25">
      <c r="C1881"/>
    </row>
    <row r="1882" spans="3:3" x14ac:dyDescent="0.25">
      <c r="C1882"/>
    </row>
    <row r="1883" spans="3:3" x14ac:dyDescent="0.25">
      <c r="C1883"/>
    </row>
    <row r="1884" spans="3:3" x14ac:dyDescent="0.25">
      <c r="C1884"/>
    </row>
    <row r="1885" spans="3:3" x14ac:dyDescent="0.25">
      <c r="C1885"/>
    </row>
    <row r="1886" spans="3:3" x14ac:dyDescent="0.25">
      <c r="C1886"/>
    </row>
    <row r="1887" spans="3:3" x14ac:dyDescent="0.25">
      <c r="C1887"/>
    </row>
    <row r="1888" spans="3:3" x14ac:dyDescent="0.25">
      <c r="C1888"/>
    </row>
    <row r="1889" spans="3:3" x14ac:dyDescent="0.25">
      <c r="C1889"/>
    </row>
    <row r="1890" spans="3:3" x14ac:dyDescent="0.25">
      <c r="C1890"/>
    </row>
    <row r="1891" spans="3:3" x14ac:dyDescent="0.25">
      <c r="C1891"/>
    </row>
    <row r="1892" spans="3:3" x14ac:dyDescent="0.25">
      <c r="C1892"/>
    </row>
    <row r="1893" spans="3:3" x14ac:dyDescent="0.25">
      <c r="C1893"/>
    </row>
    <row r="1894" spans="3:3" x14ac:dyDescent="0.25">
      <c r="C1894"/>
    </row>
    <row r="1895" spans="3:3" x14ac:dyDescent="0.25">
      <c r="C1895"/>
    </row>
    <row r="1896" spans="3:3" x14ac:dyDescent="0.25">
      <c r="C1896"/>
    </row>
    <row r="1897" spans="3:3" x14ac:dyDescent="0.25">
      <c r="C1897"/>
    </row>
    <row r="1898" spans="3:3" x14ac:dyDescent="0.25">
      <c r="C1898"/>
    </row>
    <row r="1899" spans="3:3" x14ac:dyDescent="0.25">
      <c r="C1899"/>
    </row>
    <row r="1900" spans="3:3" x14ac:dyDescent="0.25">
      <c r="C1900"/>
    </row>
    <row r="1901" spans="3:3" x14ac:dyDescent="0.25">
      <c r="C1901"/>
    </row>
    <row r="1902" spans="3:3" x14ac:dyDescent="0.25">
      <c r="C1902"/>
    </row>
    <row r="1903" spans="3:3" x14ac:dyDescent="0.25">
      <c r="C1903"/>
    </row>
    <row r="1904" spans="3:3" x14ac:dyDescent="0.25">
      <c r="C1904"/>
    </row>
    <row r="1905" spans="3:3" x14ac:dyDescent="0.25">
      <c r="C1905"/>
    </row>
    <row r="1906" spans="3:3" x14ac:dyDescent="0.25">
      <c r="C1906"/>
    </row>
    <row r="1907" spans="3:3" x14ac:dyDescent="0.25">
      <c r="C1907"/>
    </row>
    <row r="1908" spans="3:3" x14ac:dyDescent="0.25">
      <c r="C1908"/>
    </row>
    <row r="1909" spans="3:3" x14ac:dyDescent="0.25">
      <c r="C1909"/>
    </row>
    <row r="1910" spans="3:3" x14ac:dyDescent="0.25">
      <c r="C1910"/>
    </row>
    <row r="1911" spans="3:3" x14ac:dyDescent="0.25">
      <c r="C1911"/>
    </row>
    <row r="1912" spans="3:3" x14ac:dyDescent="0.25">
      <c r="C1912"/>
    </row>
    <row r="1913" spans="3:3" x14ac:dyDescent="0.25">
      <c r="C1913"/>
    </row>
    <row r="1914" spans="3:3" x14ac:dyDescent="0.25">
      <c r="C1914"/>
    </row>
    <row r="1915" spans="3:3" x14ac:dyDescent="0.25">
      <c r="C1915"/>
    </row>
    <row r="1916" spans="3:3" x14ac:dyDescent="0.25">
      <c r="C1916"/>
    </row>
    <row r="1917" spans="3:3" x14ac:dyDescent="0.25">
      <c r="C1917"/>
    </row>
    <row r="1918" spans="3:3" x14ac:dyDescent="0.25">
      <c r="C1918"/>
    </row>
    <row r="1919" spans="3:3" x14ac:dyDescent="0.25">
      <c r="C1919"/>
    </row>
    <row r="1920" spans="3:3" x14ac:dyDescent="0.25">
      <c r="C1920"/>
    </row>
    <row r="1921" spans="3:3" x14ac:dyDescent="0.25">
      <c r="C1921"/>
    </row>
    <row r="1922" spans="3:3" x14ac:dyDescent="0.25">
      <c r="C1922"/>
    </row>
    <row r="1923" spans="3:3" x14ac:dyDescent="0.25">
      <c r="C1923"/>
    </row>
    <row r="1924" spans="3:3" x14ac:dyDescent="0.25">
      <c r="C1924"/>
    </row>
    <row r="1925" spans="3:3" x14ac:dyDescent="0.25">
      <c r="C1925"/>
    </row>
    <row r="1926" spans="3:3" x14ac:dyDescent="0.25">
      <c r="C1926"/>
    </row>
    <row r="1927" spans="3:3" x14ac:dyDescent="0.25">
      <c r="C1927"/>
    </row>
    <row r="1928" spans="3:3" x14ac:dyDescent="0.25">
      <c r="C1928"/>
    </row>
    <row r="1929" spans="3:3" x14ac:dyDescent="0.25">
      <c r="C1929"/>
    </row>
    <row r="1930" spans="3:3" x14ac:dyDescent="0.25">
      <c r="C1930"/>
    </row>
    <row r="1931" spans="3:3" x14ac:dyDescent="0.25">
      <c r="C1931"/>
    </row>
    <row r="1932" spans="3:3" x14ac:dyDescent="0.25">
      <c r="C1932"/>
    </row>
    <row r="1933" spans="3:3" x14ac:dyDescent="0.25">
      <c r="C1933"/>
    </row>
    <row r="1934" spans="3:3" x14ac:dyDescent="0.25">
      <c r="C1934"/>
    </row>
    <row r="1935" spans="3:3" x14ac:dyDescent="0.25">
      <c r="C1935"/>
    </row>
    <row r="1936" spans="3:3" x14ac:dyDescent="0.25">
      <c r="C1936"/>
    </row>
    <row r="1937" spans="3:3" x14ac:dyDescent="0.25">
      <c r="C1937"/>
    </row>
    <row r="1938" spans="3:3" x14ac:dyDescent="0.25">
      <c r="C1938"/>
    </row>
    <row r="1939" spans="3:3" x14ac:dyDescent="0.25">
      <c r="C1939"/>
    </row>
    <row r="1940" spans="3:3" x14ac:dyDescent="0.25">
      <c r="C1940"/>
    </row>
    <row r="1941" spans="3:3" x14ac:dyDescent="0.25">
      <c r="C1941"/>
    </row>
    <row r="1942" spans="3:3" x14ac:dyDescent="0.25">
      <c r="C1942"/>
    </row>
    <row r="1943" spans="3:3" x14ac:dyDescent="0.25">
      <c r="C1943"/>
    </row>
    <row r="1944" spans="3:3" x14ac:dyDescent="0.25">
      <c r="C1944"/>
    </row>
    <row r="1945" spans="3:3" x14ac:dyDescent="0.25">
      <c r="C1945"/>
    </row>
    <row r="1946" spans="3:3" x14ac:dyDescent="0.25">
      <c r="C1946"/>
    </row>
    <row r="1947" spans="3:3" x14ac:dyDescent="0.25">
      <c r="C1947"/>
    </row>
    <row r="1948" spans="3:3" x14ac:dyDescent="0.25">
      <c r="C1948"/>
    </row>
    <row r="1949" spans="3:3" x14ac:dyDescent="0.25">
      <c r="C1949"/>
    </row>
    <row r="1950" spans="3:3" x14ac:dyDescent="0.25">
      <c r="C1950"/>
    </row>
    <row r="1951" spans="3:3" x14ac:dyDescent="0.25">
      <c r="C1951"/>
    </row>
    <row r="1952" spans="3:3" x14ac:dyDescent="0.25">
      <c r="C1952"/>
    </row>
    <row r="1953" spans="3:3" x14ac:dyDescent="0.25">
      <c r="C1953"/>
    </row>
    <row r="1954" spans="3:3" x14ac:dyDescent="0.25">
      <c r="C1954"/>
    </row>
    <row r="1955" spans="3:3" x14ac:dyDescent="0.25">
      <c r="C1955"/>
    </row>
    <row r="1956" spans="3:3" x14ac:dyDescent="0.25">
      <c r="C1956"/>
    </row>
    <row r="1957" spans="3:3" x14ac:dyDescent="0.25">
      <c r="C1957"/>
    </row>
    <row r="1958" spans="3:3" x14ac:dyDescent="0.25">
      <c r="C1958"/>
    </row>
    <row r="1959" spans="3:3" x14ac:dyDescent="0.25">
      <c r="C1959"/>
    </row>
    <row r="1960" spans="3:3" x14ac:dyDescent="0.25">
      <c r="C1960"/>
    </row>
    <row r="1961" spans="3:3" x14ac:dyDescent="0.25">
      <c r="C1961"/>
    </row>
    <row r="1962" spans="3:3" x14ac:dyDescent="0.25">
      <c r="C1962"/>
    </row>
    <row r="1963" spans="3:3" x14ac:dyDescent="0.25">
      <c r="C1963"/>
    </row>
    <row r="1964" spans="3:3" x14ac:dyDescent="0.25">
      <c r="C1964"/>
    </row>
    <row r="1965" spans="3:3" x14ac:dyDescent="0.25">
      <c r="C1965"/>
    </row>
    <row r="1966" spans="3:3" x14ac:dyDescent="0.25">
      <c r="C1966"/>
    </row>
    <row r="1967" spans="3:3" x14ac:dyDescent="0.25">
      <c r="C1967"/>
    </row>
    <row r="1968" spans="3:3" x14ac:dyDescent="0.25">
      <c r="C1968"/>
    </row>
    <row r="1969" spans="3:3" x14ac:dyDescent="0.25">
      <c r="C1969"/>
    </row>
    <row r="1970" spans="3:3" x14ac:dyDescent="0.25">
      <c r="C1970"/>
    </row>
    <row r="1971" spans="3:3" x14ac:dyDescent="0.25">
      <c r="C1971"/>
    </row>
    <row r="1972" spans="3:3" x14ac:dyDescent="0.25">
      <c r="C1972"/>
    </row>
    <row r="1973" spans="3:3" x14ac:dyDescent="0.25">
      <c r="C1973"/>
    </row>
    <row r="1974" spans="3:3" x14ac:dyDescent="0.25">
      <c r="C1974"/>
    </row>
    <row r="1975" spans="3:3" x14ac:dyDescent="0.25">
      <c r="C1975"/>
    </row>
    <row r="1976" spans="3:3" x14ac:dyDescent="0.25">
      <c r="C1976"/>
    </row>
    <row r="1977" spans="3:3" x14ac:dyDescent="0.25">
      <c r="C1977"/>
    </row>
    <row r="1978" spans="3:3" x14ac:dyDescent="0.25">
      <c r="C1978"/>
    </row>
    <row r="1979" spans="3:3" x14ac:dyDescent="0.25">
      <c r="C1979"/>
    </row>
    <row r="1980" spans="3:3" x14ac:dyDescent="0.25">
      <c r="C1980"/>
    </row>
    <row r="1981" spans="3:3" x14ac:dyDescent="0.25">
      <c r="C1981"/>
    </row>
    <row r="1982" spans="3:3" x14ac:dyDescent="0.25">
      <c r="C1982"/>
    </row>
    <row r="1983" spans="3:3" x14ac:dyDescent="0.25">
      <c r="C1983"/>
    </row>
    <row r="1984" spans="3:3" x14ac:dyDescent="0.25">
      <c r="C1984"/>
    </row>
    <row r="1985" spans="3:3" x14ac:dyDescent="0.25">
      <c r="C1985"/>
    </row>
    <row r="1986" spans="3:3" x14ac:dyDescent="0.25">
      <c r="C1986"/>
    </row>
    <row r="1987" spans="3:3" x14ac:dyDescent="0.25">
      <c r="C1987"/>
    </row>
    <row r="1988" spans="3:3" x14ac:dyDescent="0.25">
      <c r="C1988"/>
    </row>
    <row r="1989" spans="3:3" x14ac:dyDescent="0.25">
      <c r="C1989"/>
    </row>
    <row r="1990" spans="3:3" x14ac:dyDescent="0.25">
      <c r="C1990"/>
    </row>
    <row r="1991" spans="3:3" x14ac:dyDescent="0.25">
      <c r="C1991"/>
    </row>
    <row r="1992" spans="3:3" x14ac:dyDescent="0.25">
      <c r="C1992"/>
    </row>
    <row r="1993" spans="3:3" x14ac:dyDescent="0.25">
      <c r="C1993"/>
    </row>
    <row r="1994" spans="3:3" x14ac:dyDescent="0.25">
      <c r="C1994"/>
    </row>
    <row r="1995" spans="3:3" x14ac:dyDescent="0.25">
      <c r="C1995"/>
    </row>
    <row r="1996" spans="3:3" x14ac:dyDescent="0.25">
      <c r="C1996"/>
    </row>
    <row r="1997" spans="3:3" x14ac:dyDescent="0.25">
      <c r="C1997"/>
    </row>
    <row r="1998" spans="3:3" x14ac:dyDescent="0.25">
      <c r="C1998"/>
    </row>
    <row r="1999" spans="3:3" x14ac:dyDescent="0.25">
      <c r="C1999"/>
    </row>
    <row r="2000" spans="3:3" x14ac:dyDescent="0.25">
      <c r="C2000"/>
    </row>
    <row r="2001" spans="3:3" x14ac:dyDescent="0.25">
      <c r="C2001"/>
    </row>
    <row r="2002" spans="3:3" x14ac:dyDescent="0.25">
      <c r="C2002"/>
    </row>
    <row r="2003" spans="3:3" x14ac:dyDescent="0.25">
      <c r="C2003"/>
    </row>
    <row r="2004" spans="3:3" x14ac:dyDescent="0.25">
      <c r="C2004"/>
    </row>
    <row r="2005" spans="3:3" x14ac:dyDescent="0.25">
      <c r="C2005"/>
    </row>
    <row r="2006" spans="3:3" x14ac:dyDescent="0.25">
      <c r="C2006"/>
    </row>
    <row r="2007" spans="3:3" x14ac:dyDescent="0.25">
      <c r="C2007"/>
    </row>
    <row r="2008" spans="3:3" x14ac:dyDescent="0.25">
      <c r="C2008"/>
    </row>
    <row r="2009" spans="3:3" x14ac:dyDescent="0.25">
      <c r="C2009"/>
    </row>
    <row r="2010" spans="3:3" x14ac:dyDescent="0.25">
      <c r="C2010"/>
    </row>
    <row r="2011" spans="3:3" x14ac:dyDescent="0.25">
      <c r="C2011"/>
    </row>
    <row r="2012" spans="3:3" x14ac:dyDescent="0.25">
      <c r="C2012"/>
    </row>
    <row r="2013" spans="3:3" x14ac:dyDescent="0.25">
      <c r="C2013"/>
    </row>
    <row r="2014" spans="3:3" x14ac:dyDescent="0.25">
      <c r="C2014"/>
    </row>
    <row r="2015" spans="3:3" x14ac:dyDescent="0.25">
      <c r="C2015"/>
    </row>
    <row r="2016" spans="3:3" x14ac:dyDescent="0.25">
      <c r="C2016"/>
    </row>
    <row r="2017" spans="3:3" x14ac:dyDescent="0.25">
      <c r="C2017"/>
    </row>
    <row r="2018" spans="3:3" x14ac:dyDescent="0.25">
      <c r="C2018"/>
    </row>
    <row r="2019" spans="3:3" x14ac:dyDescent="0.25">
      <c r="C2019"/>
    </row>
    <row r="2020" spans="3:3" x14ac:dyDescent="0.25">
      <c r="C2020"/>
    </row>
    <row r="2021" spans="3:3" x14ac:dyDescent="0.25">
      <c r="C2021"/>
    </row>
    <row r="2022" spans="3:3" x14ac:dyDescent="0.25">
      <c r="C2022"/>
    </row>
    <row r="2023" spans="3:3" x14ac:dyDescent="0.25">
      <c r="C2023"/>
    </row>
    <row r="2024" spans="3:3" x14ac:dyDescent="0.25">
      <c r="C2024"/>
    </row>
    <row r="2025" spans="3:3" x14ac:dyDescent="0.25">
      <c r="C2025"/>
    </row>
    <row r="2026" spans="3:3" x14ac:dyDescent="0.25">
      <c r="C2026"/>
    </row>
    <row r="2027" spans="3:3" x14ac:dyDescent="0.25">
      <c r="C2027"/>
    </row>
    <row r="2028" spans="3:3" x14ac:dyDescent="0.25">
      <c r="C2028"/>
    </row>
    <row r="2029" spans="3:3" x14ac:dyDescent="0.25">
      <c r="C2029"/>
    </row>
    <row r="2030" spans="3:3" x14ac:dyDescent="0.25">
      <c r="C2030"/>
    </row>
    <row r="2031" spans="3:3" x14ac:dyDescent="0.25">
      <c r="C2031"/>
    </row>
    <row r="2032" spans="3:3" x14ac:dyDescent="0.25">
      <c r="C2032"/>
    </row>
    <row r="2033" spans="3:3" x14ac:dyDescent="0.25">
      <c r="C2033"/>
    </row>
    <row r="2034" spans="3:3" x14ac:dyDescent="0.25">
      <c r="C2034"/>
    </row>
    <row r="2035" spans="3:3" x14ac:dyDescent="0.25">
      <c r="C2035"/>
    </row>
    <row r="2036" spans="3:3" x14ac:dyDescent="0.25">
      <c r="C2036"/>
    </row>
    <row r="2037" spans="3:3" x14ac:dyDescent="0.25">
      <c r="C2037"/>
    </row>
    <row r="2038" spans="3:3" x14ac:dyDescent="0.25">
      <c r="C2038"/>
    </row>
    <row r="2039" spans="3:3" x14ac:dyDescent="0.25">
      <c r="C2039"/>
    </row>
    <row r="2040" spans="3:3" x14ac:dyDescent="0.25">
      <c r="C2040"/>
    </row>
    <row r="2041" spans="3:3" x14ac:dyDescent="0.25">
      <c r="C2041"/>
    </row>
    <row r="2042" spans="3:3" x14ac:dyDescent="0.25">
      <c r="C2042"/>
    </row>
    <row r="2043" spans="3:3" x14ac:dyDescent="0.25">
      <c r="C2043"/>
    </row>
    <row r="2044" spans="3:3" x14ac:dyDescent="0.25">
      <c r="C2044"/>
    </row>
    <row r="2045" spans="3:3" x14ac:dyDescent="0.25">
      <c r="C2045"/>
    </row>
    <row r="2046" spans="3:3" x14ac:dyDescent="0.25">
      <c r="C2046"/>
    </row>
    <row r="2047" spans="3:3" x14ac:dyDescent="0.25">
      <c r="C2047"/>
    </row>
    <row r="2048" spans="3:3" x14ac:dyDescent="0.25">
      <c r="C2048"/>
    </row>
    <row r="2049" spans="3:3" x14ac:dyDescent="0.25">
      <c r="C2049"/>
    </row>
    <row r="2050" spans="3:3" x14ac:dyDescent="0.25">
      <c r="C2050"/>
    </row>
    <row r="2051" spans="3:3" x14ac:dyDescent="0.25">
      <c r="C2051"/>
    </row>
    <row r="2052" spans="3:3" x14ac:dyDescent="0.25">
      <c r="C2052"/>
    </row>
    <row r="2053" spans="3:3" x14ac:dyDescent="0.25">
      <c r="C2053"/>
    </row>
    <row r="2054" spans="3:3" x14ac:dyDescent="0.25">
      <c r="C2054"/>
    </row>
    <row r="2055" spans="3:3" x14ac:dyDescent="0.25">
      <c r="C2055"/>
    </row>
    <row r="2056" spans="3:3" x14ac:dyDescent="0.25">
      <c r="C2056"/>
    </row>
    <row r="2057" spans="3:3" x14ac:dyDescent="0.25">
      <c r="C2057"/>
    </row>
    <row r="2058" spans="3:3" x14ac:dyDescent="0.25">
      <c r="C2058"/>
    </row>
    <row r="2059" spans="3:3" x14ac:dyDescent="0.25">
      <c r="C2059"/>
    </row>
    <row r="2060" spans="3:3" x14ac:dyDescent="0.25">
      <c r="C2060"/>
    </row>
    <row r="2061" spans="3:3" x14ac:dyDescent="0.25">
      <c r="C2061"/>
    </row>
    <row r="2062" spans="3:3" x14ac:dyDescent="0.25">
      <c r="C2062"/>
    </row>
    <row r="2063" spans="3:3" x14ac:dyDescent="0.25">
      <c r="C2063"/>
    </row>
    <row r="2064" spans="3:3" x14ac:dyDescent="0.25">
      <c r="C2064"/>
    </row>
    <row r="2065" spans="3:3" x14ac:dyDescent="0.25">
      <c r="C2065"/>
    </row>
    <row r="2066" spans="3:3" x14ac:dyDescent="0.25">
      <c r="C2066"/>
    </row>
    <row r="2067" spans="3:3" x14ac:dyDescent="0.25">
      <c r="C2067"/>
    </row>
    <row r="2068" spans="3:3" x14ac:dyDescent="0.25">
      <c r="C2068"/>
    </row>
    <row r="2069" spans="3:3" x14ac:dyDescent="0.25">
      <c r="C2069"/>
    </row>
    <row r="2070" spans="3:3" x14ac:dyDescent="0.25">
      <c r="C2070"/>
    </row>
    <row r="2071" spans="3:3" x14ac:dyDescent="0.25">
      <c r="C2071"/>
    </row>
    <row r="2072" spans="3:3" x14ac:dyDescent="0.25">
      <c r="C2072"/>
    </row>
    <row r="2073" spans="3:3" x14ac:dyDescent="0.25">
      <c r="C2073"/>
    </row>
    <row r="2074" spans="3:3" x14ac:dyDescent="0.25">
      <c r="C2074"/>
    </row>
    <row r="2075" spans="3:3" x14ac:dyDescent="0.25">
      <c r="C2075"/>
    </row>
    <row r="2076" spans="3:3" x14ac:dyDescent="0.25">
      <c r="C2076"/>
    </row>
    <row r="2077" spans="3:3" x14ac:dyDescent="0.25">
      <c r="C2077"/>
    </row>
    <row r="2078" spans="3:3" x14ac:dyDescent="0.25">
      <c r="C2078"/>
    </row>
    <row r="2079" spans="3:3" x14ac:dyDescent="0.25">
      <c r="C2079"/>
    </row>
    <row r="2080" spans="3:3" x14ac:dyDescent="0.25">
      <c r="C2080"/>
    </row>
    <row r="2081" spans="3:3" x14ac:dyDescent="0.25">
      <c r="C2081"/>
    </row>
    <row r="2082" spans="3:3" x14ac:dyDescent="0.25">
      <c r="C2082"/>
    </row>
    <row r="2083" spans="3:3" x14ac:dyDescent="0.25">
      <c r="C2083"/>
    </row>
    <row r="2084" spans="3:3" x14ac:dyDescent="0.25">
      <c r="C2084"/>
    </row>
    <row r="2085" spans="3:3" x14ac:dyDescent="0.25">
      <c r="C2085"/>
    </row>
    <row r="2086" spans="3:3" x14ac:dyDescent="0.25">
      <c r="C2086"/>
    </row>
    <row r="2087" spans="3:3" x14ac:dyDescent="0.25">
      <c r="C2087"/>
    </row>
    <row r="2088" spans="3:3" x14ac:dyDescent="0.25">
      <c r="C2088"/>
    </row>
    <row r="2089" spans="3:3" x14ac:dyDescent="0.25">
      <c r="C2089"/>
    </row>
    <row r="2090" spans="3:3" x14ac:dyDescent="0.25">
      <c r="C2090"/>
    </row>
    <row r="2091" spans="3:3" x14ac:dyDescent="0.25">
      <c r="C2091"/>
    </row>
    <row r="2092" spans="3:3" x14ac:dyDescent="0.25">
      <c r="C2092"/>
    </row>
    <row r="2093" spans="3:3" x14ac:dyDescent="0.25">
      <c r="C2093"/>
    </row>
    <row r="2094" spans="3:3" x14ac:dyDescent="0.25">
      <c r="C2094"/>
    </row>
    <row r="2095" spans="3:3" x14ac:dyDescent="0.25">
      <c r="C2095"/>
    </row>
    <row r="2096" spans="3:3" x14ac:dyDescent="0.25">
      <c r="C2096"/>
    </row>
    <row r="2097" spans="3:3" x14ac:dyDescent="0.25">
      <c r="C2097"/>
    </row>
    <row r="2098" spans="3:3" x14ac:dyDescent="0.25">
      <c r="C2098"/>
    </row>
    <row r="2099" spans="3:3" x14ac:dyDescent="0.25">
      <c r="C2099"/>
    </row>
    <row r="2100" spans="3:3" x14ac:dyDescent="0.25">
      <c r="C2100"/>
    </row>
    <row r="2101" spans="3:3" x14ac:dyDescent="0.25">
      <c r="C2101"/>
    </row>
    <row r="2102" spans="3:3" x14ac:dyDescent="0.25">
      <c r="C2102"/>
    </row>
    <row r="2103" spans="3:3" x14ac:dyDescent="0.25">
      <c r="C2103"/>
    </row>
    <row r="2104" spans="3:3" x14ac:dyDescent="0.25">
      <c r="C2104"/>
    </row>
    <row r="2105" spans="3:3" x14ac:dyDescent="0.25">
      <c r="C2105"/>
    </row>
    <row r="2106" spans="3:3" x14ac:dyDescent="0.25">
      <c r="C2106"/>
    </row>
    <row r="2107" spans="3:3" x14ac:dyDescent="0.25">
      <c r="C2107"/>
    </row>
    <row r="2108" spans="3:3" x14ac:dyDescent="0.25">
      <c r="C2108"/>
    </row>
    <row r="2109" spans="3:3" x14ac:dyDescent="0.25">
      <c r="C2109"/>
    </row>
    <row r="2110" spans="3:3" x14ac:dyDescent="0.25">
      <c r="C2110"/>
    </row>
    <row r="2111" spans="3:3" x14ac:dyDescent="0.25">
      <c r="C2111"/>
    </row>
    <row r="2112" spans="3:3" x14ac:dyDescent="0.25">
      <c r="C2112"/>
    </row>
    <row r="2113" spans="3:3" x14ac:dyDescent="0.25">
      <c r="C2113"/>
    </row>
    <row r="2114" spans="3:3" x14ac:dyDescent="0.25">
      <c r="C2114"/>
    </row>
    <row r="2115" spans="3:3" x14ac:dyDescent="0.25">
      <c r="C2115"/>
    </row>
    <row r="2116" spans="3:3" x14ac:dyDescent="0.25">
      <c r="C2116"/>
    </row>
    <row r="2117" spans="3:3" x14ac:dyDescent="0.25">
      <c r="C2117"/>
    </row>
    <row r="2118" spans="3:3" x14ac:dyDescent="0.25">
      <c r="C2118"/>
    </row>
    <row r="2119" spans="3:3" x14ac:dyDescent="0.25">
      <c r="C2119"/>
    </row>
    <row r="2120" spans="3:3" x14ac:dyDescent="0.25">
      <c r="C2120"/>
    </row>
    <row r="2121" spans="3:3" x14ac:dyDescent="0.25">
      <c r="C2121"/>
    </row>
    <row r="2122" spans="3:3" x14ac:dyDescent="0.25">
      <c r="C2122"/>
    </row>
    <row r="2123" spans="3:3" x14ac:dyDescent="0.25">
      <c r="C2123"/>
    </row>
    <row r="2124" spans="3:3" x14ac:dyDescent="0.25">
      <c r="C2124"/>
    </row>
    <row r="2125" spans="3:3" x14ac:dyDescent="0.25">
      <c r="C2125"/>
    </row>
    <row r="2126" spans="3:3" x14ac:dyDescent="0.25">
      <c r="C2126"/>
    </row>
    <row r="2127" spans="3:3" x14ac:dyDescent="0.25">
      <c r="C2127"/>
    </row>
    <row r="2128" spans="3:3" x14ac:dyDescent="0.25">
      <c r="C2128"/>
    </row>
    <row r="2129" spans="3:3" x14ac:dyDescent="0.25">
      <c r="C2129"/>
    </row>
    <row r="2130" spans="3:3" x14ac:dyDescent="0.25">
      <c r="C2130"/>
    </row>
    <row r="2131" spans="3:3" x14ac:dyDescent="0.25">
      <c r="C2131"/>
    </row>
    <row r="2132" spans="3:3" x14ac:dyDescent="0.25">
      <c r="C2132"/>
    </row>
    <row r="2133" spans="3:3" x14ac:dyDescent="0.25">
      <c r="C2133"/>
    </row>
    <row r="2134" spans="3:3" x14ac:dyDescent="0.25">
      <c r="C2134"/>
    </row>
    <row r="2135" spans="3:3" x14ac:dyDescent="0.25">
      <c r="C2135"/>
    </row>
    <row r="2136" spans="3:3" x14ac:dyDescent="0.25">
      <c r="C2136"/>
    </row>
    <row r="2137" spans="3:3" x14ac:dyDescent="0.25">
      <c r="C2137"/>
    </row>
    <row r="2138" spans="3:3" x14ac:dyDescent="0.25">
      <c r="C2138"/>
    </row>
    <row r="2139" spans="3:3" x14ac:dyDescent="0.25">
      <c r="C2139"/>
    </row>
    <row r="2140" spans="3:3" x14ac:dyDescent="0.25">
      <c r="C2140"/>
    </row>
    <row r="2141" spans="3:3" x14ac:dyDescent="0.25">
      <c r="C2141"/>
    </row>
    <row r="2142" spans="3:3" x14ac:dyDescent="0.25">
      <c r="C2142"/>
    </row>
    <row r="2143" spans="3:3" x14ac:dyDescent="0.25">
      <c r="C2143"/>
    </row>
    <row r="2144" spans="3:3" x14ac:dyDescent="0.25">
      <c r="C2144"/>
    </row>
    <row r="2145" spans="3:3" x14ac:dyDescent="0.25">
      <c r="C2145"/>
    </row>
    <row r="2146" spans="3:3" x14ac:dyDescent="0.25">
      <c r="C2146"/>
    </row>
    <row r="2147" spans="3:3" x14ac:dyDescent="0.25">
      <c r="C2147"/>
    </row>
    <row r="2148" spans="3:3" x14ac:dyDescent="0.25">
      <c r="C2148"/>
    </row>
    <row r="2149" spans="3:3" x14ac:dyDescent="0.25">
      <c r="C2149"/>
    </row>
    <row r="2150" spans="3:3" x14ac:dyDescent="0.25">
      <c r="C2150"/>
    </row>
    <row r="2151" spans="3:3" x14ac:dyDescent="0.25">
      <c r="C2151"/>
    </row>
    <row r="2152" spans="3:3" x14ac:dyDescent="0.25">
      <c r="C2152"/>
    </row>
    <row r="2153" spans="3:3" x14ac:dyDescent="0.25">
      <c r="C2153"/>
    </row>
    <row r="2154" spans="3:3" x14ac:dyDescent="0.25">
      <c r="C2154"/>
    </row>
    <row r="2155" spans="3:3" x14ac:dyDescent="0.25">
      <c r="C2155"/>
    </row>
    <row r="2156" spans="3:3" x14ac:dyDescent="0.25">
      <c r="C2156"/>
    </row>
    <row r="2157" spans="3:3" x14ac:dyDescent="0.25">
      <c r="C2157"/>
    </row>
    <row r="2158" spans="3:3" x14ac:dyDescent="0.25">
      <c r="C2158"/>
    </row>
    <row r="2159" spans="3:3" x14ac:dyDescent="0.25">
      <c r="C2159"/>
    </row>
    <row r="2160" spans="3:3" x14ac:dyDescent="0.25">
      <c r="C2160"/>
    </row>
    <row r="2161" spans="3:3" x14ac:dyDescent="0.25">
      <c r="C2161"/>
    </row>
    <row r="2162" spans="3:3" x14ac:dyDescent="0.25">
      <c r="C2162"/>
    </row>
    <row r="2163" spans="3:3" x14ac:dyDescent="0.25">
      <c r="C2163"/>
    </row>
    <row r="2164" spans="3:3" x14ac:dyDescent="0.25">
      <c r="C2164"/>
    </row>
    <row r="2165" spans="3:3" x14ac:dyDescent="0.25">
      <c r="C2165"/>
    </row>
    <row r="2166" spans="3:3" x14ac:dyDescent="0.25">
      <c r="C2166"/>
    </row>
    <row r="2167" spans="3:3" x14ac:dyDescent="0.25">
      <c r="C2167"/>
    </row>
    <row r="2168" spans="3:3" x14ac:dyDescent="0.25">
      <c r="C2168"/>
    </row>
    <row r="2169" spans="3:3" x14ac:dyDescent="0.25">
      <c r="C2169"/>
    </row>
    <row r="2170" spans="3:3" x14ac:dyDescent="0.25">
      <c r="C2170"/>
    </row>
    <row r="2171" spans="3:3" x14ac:dyDescent="0.25">
      <c r="C2171"/>
    </row>
    <row r="2172" spans="3:3" x14ac:dyDescent="0.25">
      <c r="C2172"/>
    </row>
    <row r="2173" spans="3:3" x14ac:dyDescent="0.25">
      <c r="C2173"/>
    </row>
    <row r="2174" spans="3:3" x14ac:dyDescent="0.25">
      <c r="C2174"/>
    </row>
    <row r="2175" spans="3:3" x14ac:dyDescent="0.25">
      <c r="C2175"/>
    </row>
    <row r="2176" spans="3:3" x14ac:dyDescent="0.25">
      <c r="C2176"/>
    </row>
    <row r="2177" spans="3:3" x14ac:dyDescent="0.25">
      <c r="C2177"/>
    </row>
    <row r="2178" spans="3:3" x14ac:dyDescent="0.25">
      <c r="C2178"/>
    </row>
    <row r="2179" spans="3:3" x14ac:dyDescent="0.25">
      <c r="C2179"/>
    </row>
    <row r="2180" spans="3:3" x14ac:dyDescent="0.25">
      <c r="C2180"/>
    </row>
    <row r="2181" spans="3:3" x14ac:dyDescent="0.25">
      <c r="C2181"/>
    </row>
    <row r="2182" spans="3:3" x14ac:dyDescent="0.25">
      <c r="C2182"/>
    </row>
    <row r="2183" spans="3:3" x14ac:dyDescent="0.25">
      <c r="C2183"/>
    </row>
    <row r="2184" spans="3:3" x14ac:dyDescent="0.25">
      <c r="C2184"/>
    </row>
    <row r="2185" spans="3:3" x14ac:dyDescent="0.25">
      <c r="C2185"/>
    </row>
    <row r="2186" spans="3:3" x14ac:dyDescent="0.25">
      <c r="C2186"/>
    </row>
    <row r="2187" spans="3:3" x14ac:dyDescent="0.25">
      <c r="C2187"/>
    </row>
    <row r="2188" spans="3:3" x14ac:dyDescent="0.25">
      <c r="C2188"/>
    </row>
    <row r="2189" spans="3:3" x14ac:dyDescent="0.25">
      <c r="C2189"/>
    </row>
    <row r="2190" spans="3:3" x14ac:dyDescent="0.25">
      <c r="C2190"/>
    </row>
    <row r="2191" spans="3:3" x14ac:dyDescent="0.25">
      <c r="C2191"/>
    </row>
    <row r="2192" spans="3:3" x14ac:dyDescent="0.25">
      <c r="C2192"/>
    </row>
    <row r="2193" spans="3:3" x14ac:dyDescent="0.25">
      <c r="C2193"/>
    </row>
    <row r="2194" spans="3:3" x14ac:dyDescent="0.25">
      <c r="C2194"/>
    </row>
    <row r="2195" spans="3:3" x14ac:dyDescent="0.25">
      <c r="C2195"/>
    </row>
    <row r="2196" spans="3:3" x14ac:dyDescent="0.25">
      <c r="C2196"/>
    </row>
    <row r="2197" spans="3:3" x14ac:dyDescent="0.25">
      <c r="C2197"/>
    </row>
    <row r="2198" spans="3:3" x14ac:dyDescent="0.25">
      <c r="C2198"/>
    </row>
    <row r="2199" spans="3:3" x14ac:dyDescent="0.25">
      <c r="C2199"/>
    </row>
    <row r="2200" spans="3:3" x14ac:dyDescent="0.25">
      <c r="C2200"/>
    </row>
    <row r="2201" spans="3:3" x14ac:dyDescent="0.25">
      <c r="C2201"/>
    </row>
    <row r="2202" spans="3:3" x14ac:dyDescent="0.25">
      <c r="C2202"/>
    </row>
    <row r="2203" spans="3:3" x14ac:dyDescent="0.25">
      <c r="C2203"/>
    </row>
    <row r="2204" spans="3:3" x14ac:dyDescent="0.25">
      <c r="C2204"/>
    </row>
    <row r="2205" spans="3:3" x14ac:dyDescent="0.25">
      <c r="C2205"/>
    </row>
    <row r="2206" spans="3:3" x14ac:dyDescent="0.25">
      <c r="C2206"/>
    </row>
    <row r="2207" spans="3:3" x14ac:dyDescent="0.25">
      <c r="C2207"/>
    </row>
    <row r="2208" spans="3:3" x14ac:dyDescent="0.25">
      <c r="C2208"/>
    </row>
    <row r="2209" spans="3:3" x14ac:dyDescent="0.25">
      <c r="C2209"/>
    </row>
    <row r="2210" spans="3:3" x14ac:dyDescent="0.25">
      <c r="C2210"/>
    </row>
    <row r="2211" spans="3:3" x14ac:dyDescent="0.25">
      <c r="C2211"/>
    </row>
    <row r="2212" spans="3:3" x14ac:dyDescent="0.25">
      <c r="C2212"/>
    </row>
    <row r="2213" spans="3:3" x14ac:dyDescent="0.25">
      <c r="C2213"/>
    </row>
    <row r="2214" spans="3:3" x14ac:dyDescent="0.25">
      <c r="C2214"/>
    </row>
    <row r="2215" spans="3:3" x14ac:dyDescent="0.25">
      <c r="C2215"/>
    </row>
    <row r="2216" spans="3:3" x14ac:dyDescent="0.25">
      <c r="C2216"/>
    </row>
    <row r="2217" spans="3:3" x14ac:dyDescent="0.25">
      <c r="C2217"/>
    </row>
    <row r="2218" spans="3:3" x14ac:dyDescent="0.25">
      <c r="C2218"/>
    </row>
    <row r="2219" spans="3:3" x14ac:dyDescent="0.25">
      <c r="C2219"/>
    </row>
    <row r="2220" spans="3:3" x14ac:dyDescent="0.25">
      <c r="C2220"/>
    </row>
    <row r="2221" spans="3:3" x14ac:dyDescent="0.25">
      <c r="C2221"/>
    </row>
    <row r="2222" spans="3:3" x14ac:dyDescent="0.25">
      <c r="C2222"/>
    </row>
    <row r="2223" spans="3:3" x14ac:dyDescent="0.25">
      <c r="C2223"/>
    </row>
    <row r="2224" spans="3:3" x14ac:dyDescent="0.25">
      <c r="C2224"/>
    </row>
    <row r="2225" spans="3:3" x14ac:dyDescent="0.25">
      <c r="C2225"/>
    </row>
    <row r="2226" spans="3:3" x14ac:dyDescent="0.25">
      <c r="C2226"/>
    </row>
    <row r="2227" spans="3:3" x14ac:dyDescent="0.25">
      <c r="C2227"/>
    </row>
    <row r="2228" spans="3:3" x14ac:dyDescent="0.25">
      <c r="C2228"/>
    </row>
    <row r="2229" spans="3:3" x14ac:dyDescent="0.25">
      <c r="C2229"/>
    </row>
    <row r="2230" spans="3:3" x14ac:dyDescent="0.25">
      <c r="C2230"/>
    </row>
    <row r="2231" spans="3:3" x14ac:dyDescent="0.25">
      <c r="C2231"/>
    </row>
    <row r="2232" spans="3:3" x14ac:dyDescent="0.25">
      <c r="C2232"/>
    </row>
    <row r="2233" spans="3:3" x14ac:dyDescent="0.25">
      <c r="C2233"/>
    </row>
    <row r="2234" spans="3:3" x14ac:dyDescent="0.25">
      <c r="C2234"/>
    </row>
    <row r="2235" spans="3:3" x14ac:dyDescent="0.25">
      <c r="C2235"/>
    </row>
    <row r="2236" spans="3:3" x14ac:dyDescent="0.25">
      <c r="C2236"/>
    </row>
    <row r="2237" spans="3:3" x14ac:dyDescent="0.25">
      <c r="C2237"/>
    </row>
    <row r="2238" spans="3:3" x14ac:dyDescent="0.25">
      <c r="C2238"/>
    </row>
    <row r="2239" spans="3:3" x14ac:dyDescent="0.25">
      <c r="C2239"/>
    </row>
    <row r="2240" spans="3:3" x14ac:dyDescent="0.25">
      <c r="C2240"/>
    </row>
    <row r="2241" spans="3:3" x14ac:dyDescent="0.25">
      <c r="C2241"/>
    </row>
    <row r="2242" spans="3:3" x14ac:dyDescent="0.25">
      <c r="C2242"/>
    </row>
    <row r="2243" spans="3:3" x14ac:dyDescent="0.25">
      <c r="C2243"/>
    </row>
    <row r="2244" spans="3:3" x14ac:dyDescent="0.25">
      <c r="C2244"/>
    </row>
    <row r="2245" spans="3:3" x14ac:dyDescent="0.25">
      <c r="C2245"/>
    </row>
    <row r="2246" spans="3:3" x14ac:dyDescent="0.25">
      <c r="C2246"/>
    </row>
    <row r="2247" spans="3:3" x14ac:dyDescent="0.25">
      <c r="C2247"/>
    </row>
    <row r="2248" spans="3:3" x14ac:dyDescent="0.25">
      <c r="C2248"/>
    </row>
    <row r="2249" spans="3:3" x14ac:dyDescent="0.25">
      <c r="C2249"/>
    </row>
    <row r="2250" spans="3:3" x14ac:dyDescent="0.25">
      <c r="C2250"/>
    </row>
    <row r="2251" spans="3:3" x14ac:dyDescent="0.25">
      <c r="C2251"/>
    </row>
    <row r="2252" spans="3:3" x14ac:dyDescent="0.25">
      <c r="C2252"/>
    </row>
    <row r="2253" spans="3:3" x14ac:dyDescent="0.25">
      <c r="C2253"/>
    </row>
    <row r="2254" spans="3:3" x14ac:dyDescent="0.25">
      <c r="C2254"/>
    </row>
    <row r="2255" spans="3:3" x14ac:dyDescent="0.25">
      <c r="C2255"/>
    </row>
    <row r="2256" spans="3:3" x14ac:dyDescent="0.25">
      <c r="C2256"/>
    </row>
    <row r="2257" spans="3:3" x14ac:dyDescent="0.25">
      <c r="C2257"/>
    </row>
    <row r="2258" spans="3:3" x14ac:dyDescent="0.25">
      <c r="C2258"/>
    </row>
    <row r="2259" spans="3:3" x14ac:dyDescent="0.25">
      <c r="C2259"/>
    </row>
    <row r="2260" spans="3:3" x14ac:dyDescent="0.25">
      <c r="C2260"/>
    </row>
    <row r="2261" spans="3:3" x14ac:dyDescent="0.25">
      <c r="C2261"/>
    </row>
    <row r="2262" spans="3:3" x14ac:dyDescent="0.25">
      <c r="C2262"/>
    </row>
    <row r="2263" spans="3:3" x14ac:dyDescent="0.25">
      <c r="C2263"/>
    </row>
    <row r="2264" spans="3:3" x14ac:dyDescent="0.25">
      <c r="C2264"/>
    </row>
    <row r="2265" spans="3:3" x14ac:dyDescent="0.25">
      <c r="C2265"/>
    </row>
    <row r="2266" spans="3:3" x14ac:dyDescent="0.25">
      <c r="C2266"/>
    </row>
    <row r="2267" spans="3:3" x14ac:dyDescent="0.25">
      <c r="C2267"/>
    </row>
    <row r="2268" spans="3:3" x14ac:dyDescent="0.25">
      <c r="C2268"/>
    </row>
    <row r="2269" spans="3:3" x14ac:dyDescent="0.25">
      <c r="C2269"/>
    </row>
    <row r="2270" spans="3:3" x14ac:dyDescent="0.25">
      <c r="C2270"/>
    </row>
    <row r="2271" spans="3:3" x14ac:dyDescent="0.25">
      <c r="C2271"/>
    </row>
    <row r="2272" spans="3:3" x14ac:dyDescent="0.25">
      <c r="C2272"/>
    </row>
    <row r="2273" spans="3:3" x14ac:dyDescent="0.25">
      <c r="C2273"/>
    </row>
    <row r="2274" spans="3:3" x14ac:dyDescent="0.25">
      <c r="C2274"/>
    </row>
    <row r="2275" spans="3:3" x14ac:dyDescent="0.25">
      <c r="C2275"/>
    </row>
    <row r="2276" spans="3:3" x14ac:dyDescent="0.25">
      <c r="C2276"/>
    </row>
    <row r="2277" spans="3:3" x14ac:dyDescent="0.25">
      <c r="C2277"/>
    </row>
    <row r="2278" spans="3:3" x14ac:dyDescent="0.25">
      <c r="C2278"/>
    </row>
    <row r="2279" spans="3:3" x14ac:dyDescent="0.25">
      <c r="C2279"/>
    </row>
    <row r="2280" spans="3:3" x14ac:dyDescent="0.25">
      <c r="C2280"/>
    </row>
    <row r="2281" spans="3:3" x14ac:dyDescent="0.25">
      <c r="C2281"/>
    </row>
    <row r="2282" spans="3:3" x14ac:dyDescent="0.25">
      <c r="C2282"/>
    </row>
    <row r="2283" spans="3:3" x14ac:dyDescent="0.25">
      <c r="C2283"/>
    </row>
    <row r="2284" spans="3:3" x14ac:dyDescent="0.25">
      <c r="C2284"/>
    </row>
    <row r="2285" spans="3:3" x14ac:dyDescent="0.25">
      <c r="C2285"/>
    </row>
    <row r="2286" spans="3:3" x14ac:dyDescent="0.25">
      <c r="C2286"/>
    </row>
    <row r="2287" spans="3:3" x14ac:dyDescent="0.25">
      <c r="C2287"/>
    </row>
    <row r="2288" spans="3:3" x14ac:dyDescent="0.25">
      <c r="C2288"/>
    </row>
    <row r="2289" spans="3:3" x14ac:dyDescent="0.25">
      <c r="C2289"/>
    </row>
  </sheetData>
  <mergeCells count="2">
    <mergeCell ref="E35:H36"/>
    <mergeCell ref="J35:L36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301"/>
  <sheetViews>
    <sheetView showGridLines="0" topLeftCell="S1" workbookViewId="0">
      <selection activeCell="X11" sqref="X11"/>
    </sheetView>
  </sheetViews>
  <sheetFormatPr baseColWidth="10" defaultRowHeight="15" x14ac:dyDescent="0.25"/>
  <cols>
    <col min="1" max="1" width="18" style="4" hidden="1" customWidth="1"/>
    <col min="2" max="2" width="14.28515625" style="4" hidden="1" customWidth="1"/>
    <col min="3" max="3" width="10.7109375" style="8" hidden="1" customWidth="1"/>
    <col min="4" max="10" width="5" style="4" hidden="1" customWidth="1"/>
    <col min="11" max="12" width="4" style="4" hidden="1" customWidth="1"/>
    <col min="13" max="14" width="5" style="4" hidden="1" customWidth="1"/>
    <col min="15" max="17" width="4" style="4" hidden="1" customWidth="1"/>
    <col min="18" max="18" width="3" style="4" hidden="1" customWidth="1"/>
    <col min="19" max="19" width="5" style="4" bestFit="1" customWidth="1"/>
    <col min="20" max="20" width="12.140625" style="4" bestFit="1" customWidth="1"/>
    <col min="21" max="21" width="10" style="4" bestFit="1" customWidth="1"/>
    <col min="22" max="31" width="22.28515625" style="4" customWidth="1"/>
    <col min="32" max="83" width="11.42578125" style="4"/>
  </cols>
  <sheetData>
    <row r="1" spans="1:85" x14ac:dyDescent="0.25">
      <c r="A1" s="5" t="s">
        <v>23</v>
      </c>
      <c r="B1" s="6">
        <v>1996</v>
      </c>
      <c r="C1" s="2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s="51" t="s">
        <v>214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</row>
    <row r="2" spans="1:85" x14ac:dyDescent="0.25">
      <c r="A2"/>
      <c r="B2"/>
      <c r="C2" s="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 s="73" t="s">
        <v>215</v>
      </c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</row>
    <row r="3" spans="1:85" s="21" customFormat="1" ht="23.25" customHeight="1" x14ac:dyDescent="0.25">
      <c r="A3" s="22" t="s">
        <v>46</v>
      </c>
      <c r="C3" s="5" t="s">
        <v>35</v>
      </c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85" s="37" customFormat="1" ht="33" customHeight="1" x14ac:dyDescent="0.25">
      <c r="A4" s="33" t="s">
        <v>22</v>
      </c>
      <c r="B4" s="34" t="s">
        <v>24</v>
      </c>
      <c r="C4" s="35">
        <v>1</v>
      </c>
      <c r="D4" s="35">
        <v>2</v>
      </c>
      <c r="E4" s="35">
        <v>3</v>
      </c>
      <c r="F4" s="35">
        <v>4</v>
      </c>
      <c r="G4" s="35">
        <v>5</v>
      </c>
      <c r="H4" s="35">
        <v>6</v>
      </c>
      <c r="I4" s="35">
        <v>7</v>
      </c>
      <c r="J4" s="35">
        <v>8</v>
      </c>
      <c r="K4" s="35">
        <v>9</v>
      </c>
      <c r="L4" s="35">
        <v>10</v>
      </c>
      <c r="M4" s="35">
        <v>11</v>
      </c>
      <c r="N4" s="35">
        <v>12</v>
      </c>
      <c r="O4" s="35">
        <v>13</v>
      </c>
      <c r="P4" s="35">
        <v>14</v>
      </c>
      <c r="Q4" s="35">
        <v>15</v>
      </c>
      <c r="R4" s="35"/>
      <c r="S4" s="38" t="s">
        <v>23</v>
      </c>
      <c r="T4" s="38" t="s">
        <v>22</v>
      </c>
      <c r="U4" s="38" t="s">
        <v>181</v>
      </c>
      <c r="V4" s="39" t="str">
        <f>+CONCATENATE("dx","(",C4,")")</f>
        <v>dx(1)</v>
      </c>
      <c r="W4" s="39" t="str">
        <f t="shared" ref="W4:AJ4" si="0">+CONCATENATE("dx","(",D4,")")</f>
        <v>dx(2)</v>
      </c>
      <c r="X4" s="39" t="str">
        <f t="shared" si="0"/>
        <v>dx(3)</v>
      </c>
      <c r="Y4" s="39" t="str">
        <f t="shared" si="0"/>
        <v>dx(4)</v>
      </c>
      <c r="Z4" s="39" t="str">
        <f t="shared" si="0"/>
        <v>dx(5)</v>
      </c>
      <c r="AA4" s="39" t="str">
        <f t="shared" si="0"/>
        <v>dx(6)</v>
      </c>
      <c r="AB4" s="39" t="str">
        <f t="shared" si="0"/>
        <v>dx(7)</v>
      </c>
      <c r="AC4" s="39" t="str">
        <f t="shared" si="0"/>
        <v>dx(8)</v>
      </c>
      <c r="AD4" s="39" t="str">
        <f t="shared" si="0"/>
        <v>dx(9)</v>
      </c>
      <c r="AE4" s="39" t="str">
        <f t="shared" si="0"/>
        <v>dx(10)</v>
      </c>
      <c r="AF4" s="39" t="str">
        <f t="shared" si="0"/>
        <v>dx(11)</v>
      </c>
      <c r="AG4" s="39" t="str">
        <f t="shared" si="0"/>
        <v>dx(12)</v>
      </c>
      <c r="AH4" s="39" t="str">
        <f t="shared" si="0"/>
        <v>dx(13)</v>
      </c>
      <c r="AI4" s="39" t="str">
        <f t="shared" si="0"/>
        <v>dx(14)</v>
      </c>
      <c r="AJ4" s="39" t="str">
        <f t="shared" si="0"/>
        <v>dx(15)</v>
      </c>
      <c r="AK4" s="39" t="s">
        <v>182</v>
      </c>
      <c r="AL4" s="40" t="str">
        <f t="shared" ref="AL4:AZ4" si="1">+CONCATENATE("qx","(",C4,")")</f>
        <v>qx(1)</v>
      </c>
      <c r="AM4" s="40" t="str">
        <f t="shared" si="1"/>
        <v>qx(2)</v>
      </c>
      <c r="AN4" s="40" t="str">
        <f t="shared" si="1"/>
        <v>qx(3)</v>
      </c>
      <c r="AO4" s="40" t="str">
        <f t="shared" si="1"/>
        <v>qx(4)</v>
      </c>
      <c r="AP4" s="40" t="str">
        <f t="shared" si="1"/>
        <v>qx(5)</v>
      </c>
      <c r="AQ4" s="40" t="str">
        <f t="shared" si="1"/>
        <v>qx(6)</v>
      </c>
      <c r="AR4" s="40" t="str">
        <f t="shared" si="1"/>
        <v>qx(7)</v>
      </c>
      <c r="AS4" s="40" t="str">
        <f t="shared" si="1"/>
        <v>qx(8)</v>
      </c>
      <c r="AT4" s="40" t="str">
        <f t="shared" si="1"/>
        <v>qx(9)</v>
      </c>
      <c r="AU4" s="40" t="str">
        <f t="shared" si="1"/>
        <v>qx(10)</v>
      </c>
      <c r="AV4" s="40" t="str">
        <f t="shared" si="1"/>
        <v>qx(11)</v>
      </c>
      <c r="AW4" s="40" t="str">
        <f t="shared" si="1"/>
        <v>qx(12)</v>
      </c>
      <c r="AX4" s="40" t="str">
        <f t="shared" si="1"/>
        <v>qx(13)</v>
      </c>
      <c r="AY4" s="40" t="str">
        <f t="shared" si="1"/>
        <v>qx(14)</v>
      </c>
      <c r="AZ4" s="40" t="str">
        <f t="shared" si="1"/>
        <v>qx(15)</v>
      </c>
      <c r="BA4" s="40" t="str">
        <f>+CONCATENATE("qx","(T)")</f>
        <v>qx(T)</v>
      </c>
      <c r="BB4" s="41" t="s">
        <v>184</v>
      </c>
      <c r="BC4" s="43" t="str">
        <f t="shared" ref="BC4:BQ4" si="2">+CONCATENATE("mx","(",C4,")")</f>
        <v>mx(1)</v>
      </c>
      <c r="BD4" s="43" t="str">
        <f t="shared" si="2"/>
        <v>mx(2)</v>
      </c>
      <c r="BE4" s="43" t="str">
        <f t="shared" si="2"/>
        <v>mx(3)</v>
      </c>
      <c r="BF4" s="43" t="str">
        <f t="shared" si="2"/>
        <v>mx(4)</v>
      </c>
      <c r="BG4" s="43" t="str">
        <f t="shared" si="2"/>
        <v>mx(5)</v>
      </c>
      <c r="BH4" s="43" t="str">
        <f t="shared" si="2"/>
        <v>mx(6)</v>
      </c>
      <c r="BI4" s="43" t="str">
        <f t="shared" si="2"/>
        <v>mx(7)</v>
      </c>
      <c r="BJ4" s="43" t="str">
        <f t="shared" si="2"/>
        <v>mx(8)</v>
      </c>
      <c r="BK4" s="43" t="str">
        <f t="shared" si="2"/>
        <v>mx(9)</v>
      </c>
      <c r="BL4" s="43" t="str">
        <f t="shared" si="2"/>
        <v>mx(10)</v>
      </c>
      <c r="BM4" s="43" t="str">
        <f t="shared" si="2"/>
        <v>mx(11)</v>
      </c>
      <c r="BN4" s="43" t="str">
        <f t="shared" si="2"/>
        <v>mx(12)</v>
      </c>
      <c r="BO4" s="43" t="str">
        <f t="shared" si="2"/>
        <v>mx(13)</v>
      </c>
      <c r="BP4" s="43" t="str">
        <f t="shared" si="2"/>
        <v>mx(14)</v>
      </c>
      <c r="BQ4" s="43" t="str">
        <f t="shared" si="2"/>
        <v>mx(15)</v>
      </c>
      <c r="BR4" s="42" t="str">
        <f>+CONCATENATE("µ(X)",C4)</f>
        <v>µ(X)1</v>
      </c>
      <c r="BS4" s="42" t="str">
        <f t="shared" ref="BS4:CF4" si="3">+CONCATENATE("µ(X)",D4)</f>
        <v>µ(X)2</v>
      </c>
      <c r="BT4" s="42" t="str">
        <f t="shared" si="3"/>
        <v>µ(X)3</v>
      </c>
      <c r="BU4" s="42" t="str">
        <f t="shared" si="3"/>
        <v>µ(X)4</v>
      </c>
      <c r="BV4" s="42" t="str">
        <f t="shared" si="3"/>
        <v>µ(X)5</v>
      </c>
      <c r="BW4" s="42" t="str">
        <f t="shared" si="3"/>
        <v>µ(X)6</v>
      </c>
      <c r="BX4" s="42" t="str">
        <f t="shared" si="3"/>
        <v>µ(X)7</v>
      </c>
      <c r="BY4" s="42" t="str">
        <f t="shared" si="3"/>
        <v>µ(X)8</v>
      </c>
      <c r="BZ4" s="42" t="str">
        <f t="shared" si="3"/>
        <v>µ(X)9</v>
      </c>
      <c r="CA4" s="42" t="str">
        <f t="shared" si="3"/>
        <v>µ(X)10</v>
      </c>
      <c r="CB4" s="42" t="str">
        <f t="shared" si="3"/>
        <v>µ(X)11</v>
      </c>
      <c r="CC4" s="42" t="str">
        <f t="shared" si="3"/>
        <v>µ(X)12</v>
      </c>
      <c r="CD4" s="42" t="str">
        <f t="shared" si="3"/>
        <v>µ(X)13</v>
      </c>
      <c r="CE4" s="42" t="str">
        <f t="shared" si="3"/>
        <v>µ(X)14</v>
      </c>
      <c r="CF4" s="42" t="str">
        <f t="shared" si="3"/>
        <v>µ(X)15</v>
      </c>
      <c r="CG4" s="36"/>
    </row>
    <row r="5" spans="1:85" x14ac:dyDescent="0.25">
      <c r="A5" t="s">
        <v>6</v>
      </c>
      <c r="B5" s="1">
        <v>2669011.0638103201</v>
      </c>
      <c r="C5" s="7">
        <v>82</v>
      </c>
      <c r="D5" s="7">
        <v>159</v>
      </c>
      <c r="E5" s="7">
        <v>14</v>
      </c>
      <c r="F5" s="7">
        <v>786</v>
      </c>
      <c r="G5" s="7">
        <v>32</v>
      </c>
      <c r="H5" s="7">
        <v>12</v>
      </c>
      <c r="I5" s="7">
        <v>5626</v>
      </c>
      <c r="J5" s="7">
        <v>114</v>
      </c>
      <c r="K5" s="7">
        <v>877</v>
      </c>
      <c r="L5" s="7">
        <v>35</v>
      </c>
      <c r="M5" s="7">
        <v>1552</v>
      </c>
      <c r="N5" s="7">
        <v>2468</v>
      </c>
      <c r="O5" s="7">
        <v>37</v>
      </c>
      <c r="P5" s="7">
        <v>21</v>
      </c>
      <c r="Q5" s="7">
        <v>29</v>
      </c>
      <c r="R5"/>
      <c r="S5">
        <f>+$B$1</f>
        <v>1996</v>
      </c>
      <c r="T5" t="str">
        <f>+A5</f>
        <v>0-4</v>
      </c>
      <c r="U5" s="1">
        <f>+B5</f>
        <v>2669011.0638103201</v>
      </c>
      <c r="V5">
        <f>+C5</f>
        <v>82</v>
      </c>
      <c r="W5">
        <f t="shared" ref="W5:AJ11" si="4">+D5</f>
        <v>159</v>
      </c>
      <c r="X5">
        <f t="shared" si="4"/>
        <v>14</v>
      </c>
      <c r="Y5">
        <f t="shared" si="4"/>
        <v>786</v>
      </c>
      <c r="Z5">
        <f t="shared" si="4"/>
        <v>32</v>
      </c>
      <c r="AA5">
        <f t="shared" si="4"/>
        <v>12</v>
      </c>
      <c r="AB5">
        <f t="shared" si="4"/>
        <v>5626</v>
      </c>
      <c r="AC5">
        <f t="shared" si="4"/>
        <v>114</v>
      </c>
      <c r="AD5">
        <f t="shared" si="4"/>
        <v>877</v>
      </c>
      <c r="AE5">
        <f t="shared" si="4"/>
        <v>35</v>
      </c>
      <c r="AF5">
        <f t="shared" si="4"/>
        <v>1552</v>
      </c>
      <c r="AG5">
        <f t="shared" si="4"/>
        <v>2468</v>
      </c>
      <c r="AH5">
        <f t="shared" si="4"/>
        <v>37</v>
      </c>
      <c r="AI5">
        <f t="shared" si="4"/>
        <v>21</v>
      </c>
      <c r="AJ5">
        <f t="shared" si="4"/>
        <v>29</v>
      </c>
      <c r="AK5" s="31">
        <f>+SUM(V5:AJ5)</f>
        <v>11844</v>
      </c>
      <c r="AL5" s="12">
        <f>+V5/$U5</f>
        <v>3.072298991632338E-5</v>
      </c>
      <c r="AM5" s="12">
        <f t="shared" ref="AM5:AZ11" si="5">+W5/$U5</f>
        <v>5.9572626788968504E-5</v>
      </c>
      <c r="AN5" s="12">
        <f t="shared" si="5"/>
        <v>5.2453885222991139E-6</v>
      </c>
      <c r="AO5" s="12">
        <f t="shared" si="5"/>
        <v>2.9449109846622164E-4</v>
      </c>
      <c r="AP5" s="12">
        <f t="shared" si="5"/>
        <v>1.1989459479540831E-5</v>
      </c>
      <c r="AQ5" s="12">
        <f t="shared" si="5"/>
        <v>4.4960473048278115E-6</v>
      </c>
      <c r="AR5" s="12">
        <f t="shared" si="5"/>
        <v>2.1078968447467723E-3</v>
      </c>
      <c r="AS5" s="12">
        <f t="shared" si="5"/>
        <v>4.2712449395864211E-5</v>
      </c>
      <c r="AT5" s="12">
        <f t="shared" si="5"/>
        <v>3.2858612386116591E-4</v>
      </c>
      <c r="AU5" s="12">
        <f t="shared" si="5"/>
        <v>1.3113471305747784E-5</v>
      </c>
      <c r="AV5" s="12">
        <f t="shared" si="5"/>
        <v>5.8148878475773028E-4</v>
      </c>
      <c r="AW5" s="12">
        <f t="shared" si="5"/>
        <v>9.2468706235958656E-4</v>
      </c>
      <c r="AX5" s="12">
        <f t="shared" si="5"/>
        <v>1.3862812523219085E-5</v>
      </c>
      <c r="AY5" s="12">
        <f t="shared" si="5"/>
        <v>7.86808278344867E-6</v>
      </c>
      <c r="AZ5" s="12">
        <f t="shared" si="5"/>
        <v>1.0865447653333878E-5</v>
      </c>
      <c r="BA5" s="32">
        <f>+AK5/U5</f>
        <v>4.4375986898650497E-3</v>
      </c>
      <c r="BB5" s="31">
        <f>+U5-(0.5*AK5)</f>
        <v>2663089.0638103201</v>
      </c>
      <c r="BC5" s="30">
        <f t="shared" ref="BC5:BD11" si="6">+AL5/(1-(0.5*$BA5))</f>
        <v>3.0791309654013318E-5</v>
      </c>
      <c r="BD5" s="30">
        <f>+AM5/(1-(0.5*$BA5))</f>
        <v>5.9705100426684362E-5</v>
      </c>
      <c r="BE5" s="30">
        <f t="shared" ref="BE5:BQ11" si="7">+AN5/(1-(0.5*$BA5))</f>
        <v>5.2570528677583717E-6</v>
      </c>
      <c r="BF5" s="30">
        <f t="shared" si="7"/>
        <v>2.9514596814700567E-4</v>
      </c>
      <c r="BG5" s="30">
        <f t="shared" si="7"/>
        <v>1.2016120840590563E-5</v>
      </c>
      <c r="BH5" s="30">
        <f t="shared" si="7"/>
        <v>4.5060453152214609E-6</v>
      </c>
      <c r="BI5" s="30">
        <f t="shared" si="7"/>
        <v>2.1125842452863284E-3</v>
      </c>
      <c r="BJ5" s="30">
        <f t="shared" si="7"/>
        <v>4.2807430494603885E-5</v>
      </c>
      <c r="BK5" s="30">
        <f t="shared" si="7"/>
        <v>3.2931681178743514E-4</v>
      </c>
      <c r="BL5" s="30">
        <f t="shared" si="7"/>
        <v>1.3142632169395928E-5</v>
      </c>
      <c r="BM5" s="30">
        <f t="shared" si="7"/>
        <v>5.8278186076864233E-4</v>
      </c>
      <c r="BN5" s="30">
        <f t="shared" si="7"/>
        <v>9.2674331983054719E-4</v>
      </c>
      <c r="BO5" s="30">
        <f t="shared" si="7"/>
        <v>1.3893639721932839E-5</v>
      </c>
      <c r="BP5" s="30">
        <f t="shared" si="7"/>
        <v>7.8855793016375572E-6</v>
      </c>
      <c r="BQ5" s="30">
        <f t="shared" si="7"/>
        <v>1.0889609511785197E-5</v>
      </c>
      <c r="BR5" s="13">
        <f>+V5/(2*$U5)</f>
        <v>1.536149495816169E-5</v>
      </c>
      <c r="BS5" s="13">
        <f t="shared" ref="BS5:CF5" si="8">+W5/(2*$U5)</f>
        <v>2.9786313394484252E-5</v>
      </c>
      <c r="BT5" s="13">
        <f t="shared" si="8"/>
        <v>2.6226942611495569E-6</v>
      </c>
      <c r="BU5" s="13">
        <f t="shared" si="8"/>
        <v>1.4724554923311082E-4</v>
      </c>
      <c r="BV5" s="13">
        <f t="shared" si="8"/>
        <v>5.9947297397704154E-6</v>
      </c>
      <c r="BW5" s="13">
        <f t="shared" si="8"/>
        <v>2.2480236524139058E-6</v>
      </c>
      <c r="BX5" s="13">
        <f t="shared" si="8"/>
        <v>1.0539484223733861E-3</v>
      </c>
      <c r="BY5" s="13">
        <f t="shared" si="8"/>
        <v>2.1356224697932105E-5</v>
      </c>
      <c r="BZ5" s="13">
        <f t="shared" si="8"/>
        <v>1.6429306193058296E-4</v>
      </c>
      <c r="CA5" s="13">
        <f t="shared" si="8"/>
        <v>6.5567356528738919E-6</v>
      </c>
      <c r="CB5" s="13">
        <f t="shared" si="8"/>
        <v>2.9074439237886514E-4</v>
      </c>
      <c r="CC5" s="13">
        <f t="shared" si="8"/>
        <v>4.6234353117979328E-4</v>
      </c>
      <c r="CD5" s="13">
        <f t="shared" si="8"/>
        <v>6.9314062616095427E-6</v>
      </c>
      <c r="CE5" s="13">
        <f t="shared" si="8"/>
        <v>3.934041391724335E-6</v>
      </c>
      <c r="CF5" s="13">
        <f t="shared" si="8"/>
        <v>5.4327238266669388E-6</v>
      </c>
    </row>
    <row r="6" spans="1:85" x14ac:dyDescent="0.25">
      <c r="A6" t="s">
        <v>5</v>
      </c>
      <c r="B6" s="1">
        <v>5336689.2615659405</v>
      </c>
      <c r="C6" s="7">
        <v>50</v>
      </c>
      <c r="D6" s="7">
        <v>266</v>
      </c>
      <c r="E6" s="7">
        <v>18</v>
      </c>
      <c r="F6" s="7">
        <v>659</v>
      </c>
      <c r="G6" s="7">
        <v>105</v>
      </c>
      <c r="H6" s="7">
        <v>16</v>
      </c>
      <c r="I6" s="7">
        <v>2</v>
      </c>
      <c r="J6" s="7">
        <v>15</v>
      </c>
      <c r="K6" s="7">
        <v>82</v>
      </c>
      <c r="L6" s="7">
        <v>18</v>
      </c>
      <c r="M6" s="7">
        <v>121</v>
      </c>
      <c r="N6" s="7">
        <v>79</v>
      </c>
      <c r="O6" s="7">
        <v>18</v>
      </c>
      <c r="P6" s="7">
        <v>2</v>
      </c>
      <c r="Q6" s="7">
        <v>34</v>
      </c>
      <c r="R6"/>
      <c r="S6">
        <f t="shared" ref="S6:S11" si="9">+$B$1</f>
        <v>1996</v>
      </c>
      <c r="T6" t="str">
        <f t="shared" ref="T6:V11" si="10">+A6</f>
        <v>5-14</v>
      </c>
      <c r="U6" s="1">
        <f t="shared" si="10"/>
        <v>5336689.2615659405</v>
      </c>
      <c r="V6">
        <f t="shared" si="10"/>
        <v>50</v>
      </c>
      <c r="W6">
        <f t="shared" si="4"/>
        <v>266</v>
      </c>
      <c r="X6">
        <f t="shared" si="4"/>
        <v>18</v>
      </c>
      <c r="Y6">
        <f t="shared" si="4"/>
        <v>659</v>
      </c>
      <c r="Z6">
        <f t="shared" si="4"/>
        <v>105</v>
      </c>
      <c r="AA6">
        <f t="shared" si="4"/>
        <v>16</v>
      </c>
      <c r="AB6">
        <f t="shared" si="4"/>
        <v>2</v>
      </c>
      <c r="AC6">
        <f t="shared" si="4"/>
        <v>15</v>
      </c>
      <c r="AD6">
        <f t="shared" si="4"/>
        <v>82</v>
      </c>
      <c r="AE6">
        <f t="shared" si="4"/>
        <v>18</v>
      </c>
      <c r="AF6">
        <f t="shared" si="4"/>
        <v>121</v>
      </c>
      <c r="AG6">
        <f t="shared" si="4"/>
        <v>79</v>
      </c>
      <c r="AH6">
        <f t="shared" si="4"/>
        <v>18</v>
      </c>
      <c r="AI6">
        <f t="shared" si="4"/>
        <v>2</v>
      </c>
      <c r="AJ6">
        <f t="shared" si="4"/>
        <v>34</v>
      </c>
      <c r="AK6" s="31">
        <f t="shared" ref="AK6:AK11" si="11">+SUM(V6:AJ6)</f>
        <v>1485</v>
      </c>
      <c r="AL6" s="12">
        <f t="shared" ref="AL6:AL11" si="12">+V6/$U6</f>
        <v>9.3691046169940461E-6</v>
      </c>
      <c r="AM6" s="12">
        <f t="shared" si="5"/>
        <v>4.9843636562408325E-5</v>
      </c>
      <c r="AN6" s="12">
        <f t="shared" si="5"/>
        <v>3.3728776621178566E-6</v>
      </c>
      <c r="AO6" s="12">
        <f t="shared" si="5"/>
        <v>1.2348479885198154E-4</v>
      </c>
      <c r="AP6" s="12">
        <f t="shared" si="5"/>
        <v>1.9675119695687498E-5</v>
      </c>
      <c r="AQ6" s="12">
        <f t="shared" si="5"/>
        <v>2.998113477438095E-6</v>
      </c>
      <c r="AR6" s="12">
        <f t="shared" si="5"/>
        <v>3.7476418467976187E-7</v>
      </c>
      <c r="AS6" s="12">
        <f t="shared" si="5"/>
        <v>2.8107313850982138E-6</v>
      </c>
      <c r="AT6" s="12">
        <f t="shared" si="5"/>
        <v>1.5365331571870237E-5</v>
      </c>
      <c r="AU6" s="12">
        <f t="shared" si="5"/>
        <v>3.3728776621178566E-6</v>
      </c>
      <c r="AV6" s="12">
        <f t="shared" si="5"/>
        <v>2.2673233173125591E-5</v>
      </c>
      <c r="AW6" s="12">
        <f t="shared" si="5"/>
        <v>1.4803185294850593E-5</v>
      </c>
      <c r="AX6" s="12">
        <f t="shared" si="5"/>
        <v>3.3728776621178566E-6</v>
      </c>
      <c r="AY6" s="12">
        <f t="shared" si="5"/>
        <v>3.7476418467976187E-7</v>
      </c>
      <c r="AZ6" s="12">
        <f t="shared" si="5"/>
        <v>6.3709911395559516E-6</v>
      </c>
      <c r="BA6" s="32">
        <f t="shared" ref="BA6:BA11" si="13">+AK6/U6</f>
        <v>2.7826240712472319E-4</v>
      </c>
      <c r="BB6" s="31">
        <f t="shared" ref="BB6:BB11" si="14">+U6-(0.5*AK6)</f>
        <v>5335946.7615659405</v>
      </c>
      <c r="BC6" s="30">
        <f t="shared" si="6"/>
        <v>9.3704083331833129E-6</v>
      </c>
      <c r="BD6" s="30">
        <f t="shared" si="6"/>
        <v>4.9850572332535225E-5</v>
      </c>
      <c r="BE6" s="30">
        <f t="shared" si="7"/>
        <v>3.3733469999459925E-6</v>
      </c>
      <c r="BF6" s="30">
        <f t="shared" si="7"/>
        <v>1.2350198183135608E-4</v>
      </c>
      <c r="BG6" s="30">
        <f t="shared" si="7"/>
        <v>1.9677857499684958E-5</v>
      </c>
      <c r="BH6" s="30">
        <f t="shared" si="7"/>
        <v>2.9985306666186604E-6</v>
      </c>
      <c r="BI6" s="30">
        <f t="shared" si="7"/>
        <v>3.7481633332733255E-7</v>
      </c>
      <c r="BJ6" s="30">
        <f t="shared" si="7"/>
        <v>2.8111224999549937E-6</v>
      </c>
      <c r="BK6" s="30">
        <f t="shared" si="7"/>
        <v>1.5367469666420634E-5</v>
      </c>
      <c r="BL6" s="30">
        <f t="shared" si="7"/>
        <v>3.3733469999459925E-6</v>
      </c>
      <c r="BM6" s="30">
        <f t="shared" si="7"/>
        <v>2.2676388166303615E-5</v>
      </c>
      <c r="BN6" s="30">
        <f t="shared" si="7"/>
        <v>1.4805245166429634E-5</v>
      </c>
      <c r="BO6" s="30">
        <f>+AX6/(1-(0.5*$BA6))</f>
        <v>3.3733469999459925E-6</v>
      </c>
      <c r="BP6" s="30">
        <f t="shared" si="7"/>
        <v>3.7481633332733255E-7</v>
      </c>
      <c r="BQ6" s="30">
        <f t="shared" si="7"/>
        <v>6.3718776665646525E-6</v>
      </c>
      <c r="BR6" s="13">
        <f>+(V5+V6)/(2*$U6)</f>
        <v>1.2367218094432141E-5</v>
      </c>
      <c r="BS6" s="13">
        <f t="shared" ref="BS6:CF11" si="15">+(W5+W6)/(2*$U6)</f>
        <v>3.98186946222247E-5</v>
      </c>
      <c r="BT6" s="13">
        <f t="shared" si="15"/>
        <v>2.998113477438095E-6</v>
      </c>
      <c r="BU6" s="13">
        <f t="shared" si="15"/>
        <v>1.3538356171556397E-4</v>
      </c>
      <c r="BV6" s="13">
        <f t="shared" si="15"/>
        <v>1.2835673325281844E-5</v>
      </c>
      <c r="BW6" s="13">
        <f t="shared" si="15"/>
        <v>2.6233492927583329E-6</v>
      </c>
      <c r="BX6" s="13">
        <f t="shared" si="15"/>
        <v>5.2729320784442491E-4</v>
      </c>
      <c r="BY6" s="13">
        <f t="shared" si="15"/>
        <v>1.2086144955922319E-5</v>
      </c>
      <c r="BZ6" s="13">
        <f t="shared" si="15"/>
        <v>8.9849713276972899E-5</v>
      </c>
      <c r="CA6" s="13">
        <f t="shared" si="15"/>
        <v>4.9656254470068449E-6</v>
      </c>
      <c r="CB6" s="13">
        <f t="shared" si="15"/>
        <v>1.567451202423104E-4</v>
      </c>
      <c r="CC6" s="13">
        <f t="shared" si="15"/>
        <v>2.3863109459483836E-4</v>
      </c>
      <c r="CD6" s="13">
        <f t="shared" si="15"/>
        <v>5.1530075393467253E-6</v>
      </c>
      <c r="CE6" s="13">
        <f t="shared" si="15"/>
        <v>2.1548940619086307E-6</v>
      </c>
      <c r="CF6" s="13">
        <f t="shared" si="15"/>
        <v>5.9025359087062493E-6</v>
      </c>
    </row>
    <row r="7" spans="1:85" x14ac:dyDescent="0.25">
      <c r="A7" t="s">
        <v>4</v>
      </c>
      <c r="B7" s="1">
        <v>4328734.7335640304</v>
      </c>
      <c r="C7" s="7">
        <v>101</v>
      </c>
      <c r="D7" s="7">
        <v>301</v>
      </c>
      <c r="E7" s="7">
        <v>64</v>
      </c>
      <c r="F7" s="7">
        <v>1352</v>
      </c>
      <c r="G7" s="7">
        <v>1694</v>
      </c>
      <c r="H7" s="7">
        <v>51</v>
      </c>
      <c r="I7" s="7">
        <v>0</v>
      </c>
      <c r="J7" s="7">
        <v>33</v>
      </c>
      <c r="K7" s="7">
        <v>90</v>
      </c>
      <c r="L7" s="7">
        <v>34</v>
      </c>
      <c r="M7" s="7">
        <v>66</v>
      </c>
      <c r="N7" s="7">
        <v>36</v>
      </c>
      <c r="O7" s="7">
        <v>71</v>
      </c>
      <c r="P7" s="7">
        <v>47</v>
      </c>
      <c r="Q7" s="7">
        <v>27</v>
      </c>
      <c r="R7"/>
      <c r="S7">
        <f t="shared" si="9"/>
        <v>1996</v>
      </c>
      <c r="T7" t="str">
        <f t="shared" si="10"/>
        <v>15-24</v>
      </c>
      <c r="U7" s="1">
        <f t="shared" si="10"/>
        <v>4328734.7335640304</v>
      </c>
      <c r="V7">
        <f t="shared" si="10"/>
        <v>101</v>
      </c>
      <c r="W7">
        <f t="shared" si="4"/>
        <v>301</v>
      </c>
      <c r="X7">
        <f t="shared" si="4"/>
        <v>64</v>
      </c>
      <c r="Y7">
        <f t="shared" si="4"/>
        <v>1352</v>
      </c>
      <c r="Z7">
        <f t="shared" si="4"/>
        <v>1694</v>
      </c>
      <c r="AA7">
        <f t="shared" si="4"/>
        <v>51</v>
      </c>
      <c r="AB7">
        <f t="shared" si="4"/>
        <v>0</v>
      </c>
      <c r="AC7">
        <f t="shared" si="4"/>
        <v>33</v>
      </c>
      <c r="AD7">
        <f t="shared" si="4"/>
        <v>90</v>
      </c>
      <c r="AE7">
        <f t="shared" si="4"/>
        <v>34</v>
      </c>
      <c r="AF7">
        <f t="shared" si="4"/>
        <v>66</v>
      </c>
      <c r="AG7">
        <f t="shared" si="4"/>
        <v>36</v>
      </c>
      <c r="AH7">
        <f t="shared" si="4"/>
        <v>71</v>
      </c>
      <c r="AI7">
        <f t="shared" si="4"/>
        <v>47</v>
      </c>
      <c r="AJ7">
        <f t="shared" si="4"/>
        <v>27</v>
      </c>
      <c r="AK7" s="31">
        <f t="shared" si="11"/>
        <v>3967</v>
      </c>
      <c r="AL7" s="12">
        <f t="shared" si="12"/>
        <v>2.3332453064603114E-5</v>
      </c>
      <c r="AM7" s="12">
        <f t="shared" si="5"/>
        <v>6.9535330420252836E-5</v>
      </c>
      <c r="AN7" s="12">
        <f t="shared" si="5"/>
        <v>1.4784920753807913E-5</v>
      </c>
      <c r="AO7" s="12">
        <f t="shared" si="5"/>
        <v>3.1233145092419214E-4</v>
      </c>
      <c r="AP7" s="12">
        <f t="shared" si="5"/>
        <v>3.9133837120235322E-4</v>
      </c>
      <c r="AQ7" s="12">
        <f t="shared" si="5"/>
        <v>1.1781733725690681E-5</v>
      </c>
      <c r="AR7" s="12">
        <f t="shared" si="5"/>
        <v>0</v>
      </c>
      <c r="AS7" s="12">
        <f t="shared" si="5"/>
        <v>7.6234747636822054E-6</v>
      </c>
      <c r="AT7" s="12">
        <f t="shared" si="5"/>
        <v>2.0791294810042377E-5</v>
      </c>
      <c r="AU7" s="12">
        <f t="shared" si="5"/>
        <v>7.8544891504604536E-6</v>
      </c>
      <c r="AV7" s="12">
        <f t="shared" si="5"/>
        <v>1.5246949527364411E-5</v>
      </c>
      <c r="AW7" s="12">
        <f t="shared" si="5"/>
        <v>8.3165179240169518E-6</v>
      </c>
      <c r="AX7" s="12">
        <f t="shared" si="5"/>
        <v>1.6402021461255655E-5</v>
      </c>
      <c r="AY7" s="12">
        <f t="shared" si="5"/>
        <v>1.0857676178577687E-5</v>
      </c>
      <c r="AZ7" s="12">
        <f t="shared" si="5"/>
        <v>6.2373884430127134E-6</v>
      </c>
      <c r="BA7" s="32">
        <f t="shared" si="13"/>
        <v>9.1643407234931235E-4</v>
      </c>
      <c r="BB7" s="31">
        <f t="shared" si="14"/>
        <v>4326751.2335640304</v>
      </c>
      <c r="BC7" s="30">
        <f t="shared" si="6"/>
        <v>2.3343149293287266E-5</v>
      </c>
      <c r="BD7" s="30">
        <f t="shared" si="6"/>
        <v>6.9567207299796693E-5</v>
      </c>
      <c r="BE7" s="30">
        <f t="shared" si="7"/>
        <v>1.4791698562083019E-5</v>
      </c>
      <c r="BF7" s="30">
        <f t="shared" si="7"/>
        <v>3.1247463212400378E-4</v>
      </c>
      <c r="BG7" s="30">
        <f t="shared" si="7"/>
        <v>3.9151777131513494E-4</v>
      </c>
      <c r="BH7" s="30">
        <f t="shared" si="7"/>
        <v>1.1787134791659907E-5</v>
      </c>
      <c r="BI7" s="30">
        <f t="shared" si="7"/>
        <v>0</v>
      </c>
      <c r="BJ7" s="30">
        <f t="shared" si="7"/>
        <v>7.6269695710740576E-6</v>
      </c>
      <c r="BK7" s="30">
        <f t="shared" si="7"/>
        <v>2.0800826102929245E-5</v>
      </c>
      <c r="BL7" s="30">
        <f t="shared" si="7"/>
        <v>7.8580898611066048E-6</v>
      </c>
      <c r="BM7" s="30">
        <f t="shared" si="7"/>
        <v>1.5253939142148115E-5</v>
      </c>
      <c r="BN7" s="30">
        <f t="shared" si="7"/>
        <v>8.3203304411716991E-6</v>
      </c>
      <c r="BO7" s="30">
        <f t="shared" si="7"/>
        <v>1.640954059231085E-5</v>
      </c>
      <c r="BP7" s="30">
        <f t="shared" si="7"/>
        <v>1.0862653631529719E-5</v>
      </c>
      <c r="BQ7" s="30">
        <f t="shared" si="7"/>
        <v>6.2402478308787739E-6</v>
      </c>
      <c r="BR7" s="13">
        <f t="shared" ref="BR7:BR11" si="16">+(V6+V7)/(2*$U7)</f>
        <v>1.7441586201757774E-5</v>
      </c>
      <c r="BS7" s="13">
        <f t="shared" si="15"/>
        <v>6.5492578651633488E-5</v>
      </c>
      <c r="BT7" s="13">
        <f t="shared" si="15"/>
        <v>9.4715898579081938E-6</v>
      </c>
      <c r="BU7" s="13">
        <f t="shared" si="15"/>
        <v>2.3228496590552901E-4</v>
      </c>
      <c r="BV7" s="13">
        <f t="shared" si="15"/>
        <v>2.0779744090703467E-4</v>
      </c>
      <c r="BW7" s="13">
        <f t="shared" si="15"/>
        <v>7.7389819570713291E-6</v>
      </c>
      <c r="BX7" s="13">
        <f t="shared" si="15"/>
        <v>2.3101438677824863E-7</v>
      </c>
      <c r="BY7" s="13">
        <f t="shared" si="15"/>
        <v>5.544345282677967E-6</v>
      </c>
      <c r="BZ7" s="13">
        <f t="shared" si="15"/>
        <v>1.9867237262929384E-5</v>
      </c>
      <c r="CA7" s="13">
        <f t="shared" si="15"/>
        <v>6.0063740562344643E-6</v>
      </c>
      <c r="CB7" s="13">
        <f t="shared" si="15"/>
        <v>2.1599845163766247E-5</v>
      </c>
      <c r="CC7" s="13">
        <f t="shared" si="15"/>
        <v>1.3283327239749297E-5</v>
      </c>
      <c r="CD7" s="13">
        <f t="shared" si="15"/>
        <v>1.0280140211632064E-5</v>
      </c>
      <c r="CE7" s="13">
        <f t="shared" si="15"/>
        <v>5.6598524760670916E-6</v>
      </c>
      <c r="CF7" s="13">
        <f t="shared" si="15"/>
        <v>7.0459387967365835E-6</v>
      </c>
    </row>
    <row r="8" spans="1:85" x14ac:dyDescent="0.25">
      <c r="A8" t="s">
        <v>3</v>
      </c>
      <c r="B8" s="1">
        <v>6500086.9398599695</v>
      </c>
      <c r="C8" s="7">
        <v>1265</v>
      </c>
      <c r="D8" s="7">
        <v>1734</v>
      </c>
      <c r="E8" s="7">
        <v>517</v>
      </c>
      <c r="F8" s="7">
        <v>2393</v>
      </c>
      <c r="G8" s="7">
        <v>1811</v>
      </c>
      <c r="H8" s="7">
        <v>272</v>
      </c>
      <c r="I8" s="7">
        <v>1</v>
      </c>
      <c r="J8" s="7">
        <v>99</v>
      </c>
      <c r="K8" s="7">
        <v>191</v>
      </c>
      <c r="L8" s="7">
        <v>267</v>
      </c>
      <c r="M8" s="7">
        <v>94</v>
      </c>
      <c r="N8" s="7">
        <v>65</v>
      </c>
      <c r="O8" s="7">
        <v>232</v>
      </c>
      <c r="P8" s="7">
        <v>719</v>
      </c>
      <c r="Q8" s="7">
        <v>111</v>
      </c>
      <c r="R8"/>
      <c r="S8">
        <f t="shared" si="9"/>
        <v>1996</v>
      </c>
      <c r="T8" t="str">
        <f t="shared" si="10"/>
        <v>25-44</v>
      </c>
      <c r="U8" s="1">
        <f t="shared" si="10"/>
        <v>6500086.9398599695</v>
      </c>
      <c r="V8">
        <f t="shared" si="10"/>
        <v>1265</v>
      </c>
      <c r="W8">
        <f t="shared" si="4"/>
        <v>1734</v>
      </c>
      <c r="X8">
        <f t="shared" si="4"/>
        <v>517</v>
      </c>
      <c r="Y8">
        <f t="shared" si="4"/>
        <v>2393</v>
      </c>
      <c r="Z8">
        <f t="shared" si="4"/>
        <v>1811</v>
      </c>
      <c r="AA8">
        <f t="shared" si="4"/>
        <v>272</v>
      </c>
      <c r="AB8">
        <f t="shared" si="4"/>
        <v>1</v>
      </c>
      <c r="AC8">
        <f t="shared" si="4"/>
        <v>99</v>
      </c>
      <c r="AD8">
        <f t="shared" si="4"/>
        <v>191</v>
      </c>
      <c r="AE8">
        <f t="shared" si="4"/>
        <v>267</v>
      </c>
      <c r="AF8">
        <f t="shared" si="4"/>
        <v>94</v>
      </c>
      <c r="AG8">
        <f t="shared" si="4"/>
        <v>65</v>
      </c>
      <c r="AH8">
        <f t="shared" si="4"/>
        <v>232</v>
      </c>
      <c r="AI8">
        <f t="shared" si="4"/>
        <v>719</v>
      </c>
      <c r="AJ8">
        <f t="shared" si="4"/>
        <v>111</v>
      </c>
      <c r="AK8" s="31">
        <f t="shared" si="11"/>
        <v>9771</v>
      </c>
      <c r="AL8" s="12">
        <f t="shared" si="12"/>
        <v>1.9461278159877223E-4</v>
      </c>
      <c r="AM8" s="12">
        <f t="shared" si="5"/>
        <v>2.6676566268163718E-4</v>
      </c>
      <c r="AN8" s="12">
        <f t="shared" si="5"/>
        <v>7.953739769688952E-5</v>
      </c>
      <c r="AO8" s="12">
        <f t="shared" si="5"/>
        <v>3.6814892202834939E-4</v>
      </c>
      <c r="AP8" s="12">
        <f t="shared" si="5"/>
        <v>2.7861165808330162E-4</v>
      </c>
      <c r="AQ8" s="12">
        <f t="shared" si="5"/>
        <v>4.1845594146139165E-5</v>
      </c>
      <c r="AR8" s="12">
        <f t="shared" si="5"/>
        <v>1.5384409612551164E-7</v>
      </c>
      <c r="AS8" s="12">
        <f t="shared" si="5"/>
        <v>1.5230565516425653E-5</v>
      </c>
      <c r="AT8" s="12">
        <f t="shared" si="5"/>
        <v>2.9384222359972725E-5</v>
      </c>
      <c r="AU8" s="12">
        <f t="shared" si="5"/>
        <v>4.107637366551161E-5</v>
      </c>
      <c r="AV8" s="12">
        <f t="shared" si="5"/>
        <v>1.4461345035798096E-5</v>
      </c>
      <c r="AW8" s="12">
        <f t="shared" si="5"/>
        <v>9.9998662481582572E-6</v>
      </c>
      <c r="AX8" s="12">
        <f t="shared" si="5"/>
        <v>3.56918303011187E-5</v>
      </c>
      <c r="AY8" s="12">
        <f t="shared" si="5"/>
        <v>1.1061390511424288E-4</v>
      </c>
      <c r="AZ8" s="12">
        <f t="shared" si="5"/>
        <v>1.7076694669931794E-5</v>
      </c>
      <c r="BA8" s="32">
        <f t="shared" si="13"/>
        <v>1.5032106632423743E-3</v>
      </c>
      <c r="BB8" s="31">
        <f t="shared" si="14"/>
        <v>6495201.4398599695</v>
      </c>
      <c r="BC8" s="30">
        <f t="shared" si="6"/>
        <v>1.9475916362453452E-4</v>
      </c>
      <c r="BD8" s="30">
        <f t="shared" si="6"/>
        <v>2.6696631598809712E-4</v>
      </c>
      <c r="BE8" s="30">
        <f t="shared" si="7"/>
        <v>7.9597223394374983E-5</v>
      </c>
      <c r="BF8" s="30">
        <f t="shared" si="7"/>
        <v>3.6842583284862543E-4</v>
      </c>
      <c r="BG8" s="30">
        <f t="shared" si="7"/>
        <v>2.7882122160002534E-4</v>
      </c>
      <c r="BH8" s="30">
        <f t="shared" si="7"/>
        <v>4.187706917460347E-5</v>
      </c>
      <c r="BI8" s="30">
        <f t="shared" si="7"/>
        <v>1.5395981314192452E-7</v>
      </c>
      <c r="BJ8" s="30">
        <f t="shared" si="7"/>
        <v>1.5242021501050527E-5</v>
      </c>
      <c r="BK8" s="30">
        <f t="shared" si="7"/>
        <v>2.9406324310107584E-5</v>
      </c>
      <c r="BL8" s="30">
        <f t="shared" si="7"/>
        <v>4.1107270108893847E-5</v>
      </c>
      <c r="BM8" s="30">
        <f t="shared" si="7"/>
        <v>1.4472222435340906E-5</v>
      </c>
      <c r="BN8" s="30">
        <f t="shared" si="7"/>
        <v>1.0007387854225095E-5</v>
      </c>
      <c r="BO8" s="30">
        <f t="shared" si="7"/>
        <v>3.5718676648926485E-5</v>
      </c>
      <c r="BP8" s="30">
        <f t="shared" si="7"/>
        <v>1.1069710564904374E-4</v>
      </c>
      <c r="BQ8" s="30">
        <f t="shared" si="7"/>
        <v>1.7089539258753623E-5</v>
      </c>
      <c r="BR8" s="13">
        <f t="shared" si="16"/>
        <v>1.0507551765372446E-4</v>
      </c>
      <c r="BS8" s="13">
        <f t="shared" si="15"/>
        <v>1.565363678077081E-4</v>
      </c>
      <c r="BT8" s="13">
        <f t="shared" si="15"/>
        <v>4.4691709924461133E-5</v>
      </c>
      <c r="BU8" s="13">
        <f t="shared" si="15"/>
        <v>2.8807306999502054E-4</v>
      </c>
      <c r="BV8" s="13">
        <f t="shared" si="15"/>
        <v>2.6961177845995915E-4</v>
      </c>
      <c r="BW8" s="13">
        <f t="shared" si="15"/>
        <v>2.4845821524270131E-5</v>
      </c>
      <c r="BX8" s="13">
        <f t="shared" si="15"/>
        <v>7.6922048062755818E-8</v>
      </c>
      <c r="BY8" s="13">
        <f t="shared" si="15"/>
        <v>1.0153710344283768E-5</v>
      </c>
      <c r="BZ8" s="13">
        <f t="shared" si="15"/>
        <v>2.1615095505634385E-5</v>
      </c>
      <c r="CA8" s="13">
        <f t="shared" si="15"/>
        <v>2.3153536466889503E-5</v>
      </c>
      <c r="CB8" s="13">
        <f t="shared" si="15"/>
        <v>1.2307527690040933E-5</v>
      </c>
      <c r="CC8" s="13">
        <f t="shared" si="15"/>
        <v>7.7691268543383381E-6</v>
      </c>
      <c r="CD8" s="13">
        <f t="shared" si="15"/>
        <v>2.3307380563015016E-5</v>
      </c>
      <c r="CE8" s="13">
        <f t="shared" si="15"/>
        <v>5.8922288816070963E-5</v>
      </c>
      <c r="CF8" s="13">
        <f t="shared" si="15"/>
        <v>1.0615242632660304E-5</v>
      </c>
    </row>
    <row r="9" spans="1:85" x14ac:dyDescent="0.25">
      <c r="A9" t="s">
        <v>2</v>
      </c>
      <c r="B9" s="1">
        <v>2862216.4853526298</v>
      </c>
      <c r="C9" s="7">
        <v>5170</v>
      </c>
      <c r="D9" s="7">
        <v>4424</v>
      </c>
      <c r="E9" s="7">
        <v>1783</v>
      </c>
      <c r="F9" s="7">
        <v>1078</v>
      </c>
      <c r="G9" s="7">
        <v>502</v>
      </c>
      <c r="H9" s="7">
        <v>1450</v>
      </c>
      <c r="I9" s="7">
        <v>0</v>
      </c>
      <c r="J9" s="7">
        <v>427</v>
      </c>
      <c r="K9" s="7">
        <v>247</v>
      </c>
      <c r="L9" s="7">
        <v>791</v>
      </c>
      <c r="M9" s="7">
        <v>38</v>
      </c>
      <c r="N9" s="7">
        <v>151</v>
      </c>
      <c r="O9" s="7">
        <v>387</v>
      </c>
      <c r="P9" s="7">
        <v>130</v>
      </c>
      <c r="Q9" s="7">
        <v>206</v>
      </c>
      <c r="R9"/>
      <c r="S9">
        <f t="shared" si="9"/>
        <v>1996</v>
      </c>
      <c r="T9" t="str">
        <f t="shared" si="10"/>
        <v>45-64</v>
      </c>
      <c r="U9" s="1">
        <f t="shared" si="10"/>
        <v>2862216.4853526298</v>
      </c>
      <c r="V9">
        <f t="shared" si="10"/>
        <v>5170</v>
      </c>
      <c r="W9">
        <f t="shared" si="4"/>
        <v>4424</v>
      </c>
      <c r="X9">
        <f t="shared" si="4"/>
        <v>1783</v>
      </c>
      <c r="Y9">
        <f t="shared" si="4"/>
        <v>1078</v>
      </c>
      <c r="Z9">
        <f t="shared" si="4"/>
        <v>502</v>
      </c>
      <c r="AA9">
        <f t="shared" si="4"/>
        <v>1450</v>
      </c>
      <c r="AB9">
        <f t="shared" si="4"/>
        <v>0</v>
      </c>
      <c r="AC9">
        <f t="shared" si="4"/>
        <v>427</v>
      </c>
      <c r="AD9">
        <f t="shared" si="4"/>
        <v>247</v>
      </c>
      <c r="AE9">
        <f t="shared" si="4"/>
        <v>791</v>
      </c>
      <c r="AF9">
        <f t="shared" si="4"/>
        <v>38</v>
      </c>
      <c r="AG9">
        <f t="shared" si="4"/>
        <v>151</v>
      </c>
      <c r="AH9">
        <f t="shared" si="4"/>
        <v>387</v>
      </c>
      <c r="AI9">
        <f t="shared" si="4"/>
        <v>130</v>
      </c>
      <c r="AJ9">
        <f t="shared" si="4"/>
        <v>206</v>
      </c>
      <c r="AK9" s="31">
        <f t="shared" si="11"/>
        <v>16784</v>
      </c>
      <c r="AL9" s="12">
        <f t="shared" si="12"/>
        <v>1.8062924403019248E-3</v>
      </c>
      <c r="AM9" s="12">
        <f t="shared" si="5"/>
        <v>1.5456552719334072E-3</v>
      </c>
      <c r="AN9" s="12">
        <f t="shared" si="5"/>
        <v>6.229437951756928E-4</v>
      </c>
      <c r="AO9" s="12">
        <f t="shared" si="5"/>
        <v>3.7663118967997582E-4</v>
      </c>
      <c r="AP9" s="12">
        <f t="shared" si="5"/>
        <v>1.7538855029624104E-4</v>
      </c>
      <c r="AQ9" s="12">
        <f t="shared" si="5"/>
        <v>5.0660039428197118E-4</v>
      </c>
      <c r="AR9" s="12">
        <f t="shared" si="5"/>
        <v>0</v>
      </c>
      <c r="AS9" s="12">
        <f t="shared" si="5"/>
        <v>1.4918508162648392E-4</v>
      </c>
      <c r="AT9" s="12">
        <f t="shared" si="5"/>
        <v>8.6296756819066809E-5</v>
      </c>
      <c r="AU9" s="12">
        <f t="shared" si="5"/>
        <v>2.7635924957037186E-4</v>
      </c>
      <c r="AV9" s="12">
        <f t="shared" si="5"/>
        <v>1.3276424126010279E-5</v>
      </c>
      <c r="AW9" s="12">
        <f t="shared" si="5"/>
        <v>5.2756316921777688E-5</v>
      </c>
      <c r="AX9" s="12">
        <f t="shared" si="5"/>
        <v>1.3520989833594679E-4</v>
      </c>
      <c r="AY9" s="12">
        <f t="shared" si="5"/>
        <v>4.541934569424569E-5</v>
      </c>
      <c r="AZ9" s="12">
        <f t="shared" si="5"/>
        <v>7.1972193946266255E-5</v>
      </c>
      <c r="BA9" s="32">
        <f t="shared" si="13"/>
        <v>5.8639869087093819E-3</v>
      </c>
      <c r="BB9" s="31">
        <f t="shared" si="14"/>
        <v>2853824.4853526298</v>
      </c>
      <c r="BC9" s="30">
        <f t="shared" si="6"/>
        <v>1.8116040515228724E-3</v>
      </c>
      <c r="BD9" s="30">
        <f t="shared" si="6"/>
        <v>1.5502004495042915E-3</v>
      </c>
      <c r="BE9" s="30">
        <f t="shared" si="7"/>
        <v>6.2477563324280102E-4</v>
      </c>
      <c r="BF9" s="30">
        <f t="shared" si="7"/>
        <v>3.7773871712604574E-4</v>
      </c>
      <c r="BG9" s="30">
        <f t="shared" si="7"/>
        <v>1.7590430055405837E-4</v>
      </c>
      <c r="BH9" s="30">
        <f t="shared" si="7"/>
        <v>5.0809011116212085E-4</v>
      </c>
      <c r="BI9" s="30">
        <f t="shared" si="7"/>
        <v>0</v>
      </c>
      <c r="BJ9" s="30">
        <f t="shared" si="7"/>
        <v>1.4962377756291422E-4</v>
      </c>
      <c r="BK9" s="30">
        <f t="shared" si="7"/>
        <v>8.6550522384168166E-5</v>
      </c>
      <c r="BL9" s="30">
        <f t="shared" si="7"/>
        <v>2.7717191581326728E-4</v>
      </c>
      <c r="BM9" s="30">
        <f t="shared" si="7"/>
        <v>1.3315464982179718E-5</v>
      </c>
      <c r="BN9" s="30">
        <f t="shared" si="7"/>
        <v>5.2911452955503619E-5</v>
      </c>
      <c r="BO9" s="30">
        <f t="shared" si="7"/>
        <v>1.3560749863430398E-4</v>
      </c>
      <c r="BP9" s="30">
        <f t="shared" si="7"/>
        <v>4.5552906517983245E-5</v>
      </c>
      <c r="BQ9" s="30">
        <f t="shared" si="7"/>
        <v>7.2183836482342698E-5</v>
      </c>
      <c r="BR9" s="13">
        <f t="shared" si="16"/>
        <v>1.1241288059325809E-3</v>
      </c>
      <c r="BS9" s="13">
        <f t="shared" si="15"/>
        <v>1.0757397337890959E-3</v>
      </c>
      <c r="BT9" s="13">
        <f t="shared" si="15"/>
        <v>4.0178651960294265E-4</v>
      </c>
      <c r="BU9" s="13">
        <f t="shared" si="15"/>
        <v>6.0634826501817997E-4</v>
      </c>
      <c r="BV9" s="13">
        <f t="shared" si="15"/>
        <v>4.0405748688765491E-4</v>
      </c>
      <c r="BW9" s="13">
        <f t="shared" si="15"/>
        <v>3.0081582032881184E-4</v>
      </c>
      <c r="BX9" s="13">
        <f t="shared" si="15"/>
        <v>1.746897911317142E-7</v>
      </c>
      <c r="BY9" s="13">
        <f t="shared" si="15"/>
        <v>9.1886830135281663E-5</v>
      </c>
      <c r="BZ9" s="13">
        <f t="shared" si="15"/>
        <v>7.6514128515690812E-5</v>
      </c>
      <c r="CA9" s="13">
        <f t="shared" si="15"/>
        <v>1.8482179901735361E-4</v>
      </c>
      <c r="CB9" s="13">
        <f t="shared" si="15"/>
        <v>2.3059052429386273E-5</v>
      </c>
      <c r="CC9" s="13">
        <f t="shared" si="15"/>
        <v>3.7732994884450265E-5</v>
      </c>
      <c r="CD9" s="13">
        <f t="shared" si="15"/>
        <v>1.0813298071053108E-4</v>
      </c>
      <c r="CE9" s="13">
        <f t="shared" si="15"/>
        <v>1.4831163267082535E-4</v>
      </c>
      <c r="CF9" s="13">
        <f t="shared" si="15"/>
        <v>5.5376663788753401E-5</v>
      </c>
    </row>
    <row r="10" spans="1:85" x14ac:dyDescent="0.25">
      <c r="A10" t="s">
        <v>1</v>
      </c>
      <c r="B10" s="1">
        <v>710343.28776711202</v>
      </c>
      <c r="C10" s="7">
        <v>5212</v>
      </c>
      <c r="D10" s="7">
        <v>3335</v>
      </c>
      <c r="E10" s="7">
        <v>1780</v>
      </c>
      <c r="F10" s="7">
        <v>380</v>
      </c>
      <c r="G10" s="7">
        <v>125</v>
      </c>
      <c r="H10" s="7">
        <v>1343</v>
      </c>
      <c r="I10" s="7">
        <v>0</v>
      </c>
      <c r="J10" s="7">
        <v>576</v>
      </c>
      <c r="K10" s="7">
        <v>226</v>
      </c>
      <c r="L10" s="7">
        <v>406</v>
      </c>
      <c r="M10" s="7">
        <v>24</v>
      </c>
      <c r="N10" s="7">
        <v>146</v>
      </c>
      <c r="O10" s="7">
        <v>319</v>
      </c>
      <c r="P10" s="7">
        <v>5</v>
      </c>
      <c r="Q10" s="7">
        <v>161</v>
      </c>
      <c r="R10"/>
      <c r="S10">
        <f t="shared" si="9"/>
        <v>1996</v>
      </c>
      <c r="T10" t="str">
        <f t="shared" si="10"/>
        <v>65-74</v>
      </c>
      <c r="U10" s="1">
        <f t="shared" si="10"/>
        <v>710343.28776711202</v>
      </c>
      <c r="V10">
        <f t="shared" si="10"/>
        <v>5212</v>
      </c>
      <c r="W10">
        <f t="shared" si="4"/>
        <v>3335</v>
      </c>
      <c r="X10">
        <f t="shared" si="4"/>
        <v>1780</v>
      </c>
      <c r="Y10">
        <f t="shared" si="4"/>
        <v>380</v>
      </c>
      <c r="Z10">
        <f t="shared" si="4"/>
        <v>125</v>
      </c>
      <c r="AA10">
        <f t="shared" si="4"/>
        <v>1343</v>
      </c>
      <c r="AB10">
        <f t="shared" si="4"/>
        <v>0</v>
      </c>
      <c r="AC10">
        <f t="shared" si="4"/>
        <v>576</v>
      </c>
      <c r="AD10">
        <f t="shared" si="4"/>
        <v>226</v>
      </c>
      <c r="AE10">
        <f t="shared" si="4"/>
        <v>406</v>
      </c>
      <c r="AF10">
        <f t="shared" si="4"/>
        <v>24</v>
      </c>
      <c r="AG10">
        <f t="shared" si="4"/>
        <v>146</v>
      </c>
      <c r="AH10">
        <f t="shared" si="4"/>
        <v>319</v>
      </c>
      <c r="AI10">
        <f t="shared" si="4"/>
        <v>5</v>
      </c>
      <c r="AJ10">
        <f t="shared" si="4"/>
        <v>161</v>
      </c>
      <c r="AK10" s="31">
        <f t="shared" si="11"/>
        <v>14038</v>
      </c>
      <c r="AL10" s="12">
        <f t="shared" si="12"/>
        <v>7.3372974585053981E-3</v>
      </c>
      <c r="AM10" s="12">
        <f t="shared" si="5"/>
        <v>4.6949130898149474E-3</v>
      </c>
      <c r="AN10" s="12">
        <f t="shared" si="5"/>
        <v>2.5058306746238699E-3</v>
      </c>
      <c r="AO10" s="12">
        <f t="shared" si="5"/>
        <v>5.3495261593093852E-4</v>
      </c>
      <c r="AP10" s="12">
        <f t="shared" si="5"/>
        <v>1.759712552404403E-4</v>
      </c>
      <c r="AQ10" s="12">
        <f t="shared" si="5"/>
        <v>1.8906351663032905E-3</v>
      </c>
      <c r="AR10" s="12">
        <f t="shared" si="5"/>
        <v>0</v>
      </c>
      <c r="AS10" s="12">
        <f t="shared" si="5"/>
        <v>8.1087554414794889E-4</v>
      </c>
      <c r="AT10" s="12">
        <f t="shared" si="5"/>
        <v>3.1815602947471606E-4</v>
      </c>
      <c r="AU10" s="12">
        <f t="shared" si="5"/>
        <v>5.7155463702095004E-4</v>
      </c>
      <c r="AV10" s="12">
        <f t="shared" si="5"/>
        <v>3.3786481006164537E-5</v>
      </c>
      <c r="AW10" s="12">
        <f t="shared" si="5"/>
        <v>2.0553442612083426E-4</v>
      </c>
      <c r="AX10" s="12">
        <f t="shared" si="5"/>
        <v>4.4907864337360363E-4</v>
      </c>
      <c r="AY10" s="12">
        <f t="shared" si="5"/>
        <v>7.0388502096176121E-6</v>
      </c>
      <c r="AZ10" s="12">
        <f t="shared" si="5"/>
        <v>2.2665097674968711E-4</v>
      </c>
      <c r="BA10" s="32">
        <f t="shared" si="13"/>
        <v>1.9762275848522408E-2</v>
      </c>
      <c r="BB10" s="31">
        <f t="shared" si="14"/>
        <v>703324.28776711202</v>
      </c>
      <c r="BC10" s="30">
        <f t="shared" si="6"/>
        <v>7.4105218469660197E-3</v>
      </c>
      <c r="BD10" s="30">
        <f t="shared" si="6"/>
        <v>4.741767144979217E-3</v>
      </c>
      <c r="BE10" s="30">
        <f t="shared" si="7"/>
        <v>2.5308382363007516E-3</v>
      </c>
      <c r="BF10" s="30">
        <f t="shared" si="7"/>
        <v>5.4029130887319409E-4</v>
      </c>
      <c r="BG10" s="30">
        <f t="shared" si="7"/>
        <v>1.7772740423460334E-4</v>
      </c>
      <c r="BH10" s="30">
        <f t="shared" si="7"/>
        <v>1.909503231096578E-3</v>
      </c>
      <c r="BI10" s="30">
        <f t="shared" si="7"/>
        <v>0</v>
      </c>
      <c r="BJ10" s="30">
        <f t="shared" si="7"/>
        <v>8.1896787871305217E-4</v>
      </c>
      <c r="BK10" s="30">
        <f t="shared" si="7"/>
        <v>3.2133114685616281E-4</v>
      </c>
      <c r="BL10" s="30">
        <f t="shared" si="7"/>
        <v>5.772586089539916E-4</v>
      </c>
      <c r="BM10" s="30">
        <f t="shared" si="7"/>
        <v>3.4123661613043836E-5</v>
      </c>
      <c r="BN10" s="30">
        <f t="shared" si="7"/>
        <v>2.0758560814601668E-4</v>
      </c>
      <c r="BO10" s="30">
        <f t="shared" si="7"/>
        <v>4.5356033560670767E-4</v>
      </c>
      <c r="BP10" s="30">
        <f t="shared" si="7"/>
        <v>7.1090961693841331E-6</v>
      </c>
      <c r="BQ10" s="30">
        <f t="shared" si="7"/>
        <v>2.2891289665416908E-4</v>
      </c>
      <c r="BR10" s="13">
        <f t="shared" si="16"/>
        <v>7.3077342876250043E-3</v>
      </c>
      <c r="BS10" s="13">
        <f t="shared" si="15"/>
        <v>5.461443877642305E-3</v>
      </c>
      <c r="BT10" s="13">
        <f t="shared" si="15"/>
        <v>2.5079423296867549E-3</v>
      </c>
      <c r="BU10" s="13">
        <f t="shared" si="15"/>
        <v>1.0262643605622478E-3</v>
      </c>
      <c r="BV10" s="13">
        <f t="shared" si="15"/>
        <v>4.4133590814302427E-4</v>
      </c>
      <c r="BW10" s="13">
        <f t="shared" si="15"/>
        <v>1.9659508635461991E-3</v>
      </c>
      <c r="BX10" s="13">
        <f t="shared" si="15"/>
        <v>0</v>
      </c>
      <c r="BY10" s="13">
        <f t="shared" si="15"/>
        <v>7.0599667602464649E-4</v>
      </c>
      <c r="BZ10" s="13">
        <f t="shared" si="15"/>
        <v>3.3293761491491304E-4</v>
      </c>
      <c r="CA10" s="13">
        <f t="shared" si="15"/>
        <v>8.4255037009122813E-4</v>
      </c>
      <c r="CB10" s="13">
        <f t="shared" si="15"/>
        <v>4.3640871299629196E-5</v>
      </c>
      <c r="CC10" s="13">
        <f t="shared" si="15"/>
        <v>2.0905385122564307E-4</v>
      </c>
      <c r="CD10" s="13">
        <f t="shared" si="15"/>
        <v>4.969428247990034E-4</v>
      </c>
      <c r="CE10" s="13">
        <f t="shared" si="15"/>
        <v>9.5024477829837753E-5</v>
      </c>
      <c r="CF10" s="13">
        <f t="shared" si="15"/>
        <v>2.5832580269296635E-4</v>
      </c>
    </row>
    <row r="11" spans="1:85" x14ac:dyDescent="0.25">
      <c r="A11" t="s">
        <v>0</v>
      </c>
      <c r="B11" s="1">
        <v>710343.28776711202</v>
      </c>
      <c r="C11" s="7">
        <v>9429</v>
      </c>
      <c r="D11" s="7">
        <v>3401</v>
      </c>
      <c r="E11" s="7">
        <v>3442</v>
      </c>
      <c r="F11" s="7">
        <v>534</v>
      </c>
      <c r="G11" s="7">
        <v>68</v>
      </c>
      <c r="H11" s="7">
        <v>1306</v>
      </c>
      <c r="I11" s="7">
        <v>14</v>
      </c>
      <c r="J11" s="7">
        <v>1141</v>
      </c>
      <c r="K11" s="7">
        <v>974</v>
      </c>
      <c r="L11" s="7">
        <v>279</v>
      </c>
      <c r="M11" s="7">
        <v>22</v>
      </c>
      <c r="N11" s="7">
        <v>432</v>
      </c>
      <c r="O11" s="7">
        <v>397</v>
      </c>
      <c r="P11" s="7">
        <v>7</v>
      </c>
      <c r="Q11" s="7">
        <v>178</v>
      </c>
      <c r="R11"/>
      <c r="S11">
        <f t="shared" si="9"/>
        <v>1996</v>
      </c>
      <c r="T11" t="str">
        <f t="shared" si="10"/>
        <v>75+</v>
      </c>
      <c r="U11" s="1">
        <f t="shared" si="10"/>
        <v>710343.28776711202</v>
      </c>
      <c r="V11">
        <f t="shared" si="10"/>
        <v>9429</v>
      </c>
      <c r="W11">
        <f t="shared" si="4"/>
        <v>3401</v>
      </c>
      <c r="X11">
        <f t="shared" si="4"/>
        <v>3442</v>
      </c>
      <c r="Y11">
        <f t="shared" si="4"/>
        <v>534</v>
      </c>
      <c r="Z11">
        <f t="shared" si="4"/>
        <v>68</v>
      </c>
      <c r="AA11">
        <f t="shared" si="4"/>
        <v>1306</v>
      </c>
      <c r="AB11">
        <f t="shared" si="4"/>
        <v>14</v>
      </c>
      <c r="AC11">
        <f t="shared" si="4"/>
        <v>1141</v>
      </c>
      <c r="AD11">
        <f t="shared" si="4"/>
        <v>974</v>
      </c>
      <c r="AE11">
        <f t="shared" si="4"/>
        <v>279</v>
      </c>
      <c r="AF11">
        <f t="shared" si="4"/>
        <v>22</v>
      </c>
      <c r="AG11">
        <f t="shared" si="4"/>
        <v>432</v>
      </c>
      <c r="AH11">
        <f t="shared" si="4"/>
        <v>397</v>
      </c>
      <c r="AI11">
        <f t="shared" si="4"/>
        <v>7</v>
      </c>
      <c r="AJ11">
        <f t="shared" si="4"/>
        <v>178</v>
      </c>
      <c r="AK11" s="31">
        <f t="shared" si="11"/>
        <v>21624</v>
      </c>
      <c r="AL11" s="12">
        <f t="shared" si="12"/>
        <v>1.3273863725296892E-2</v>
      </c>
      <c r="AM11" s="12">
        <f t="shared" si="5"/>
        <v>4.7878259125818997E-3</v>
      </c>
      <c r="AN11" s="12">
        <f t="shared" si="5"/>
        <v>4.8455444843007638E-3</v>
      </c>
      <c r="AO11" s="12">
        <f t="shared" si="5"/>
        <v>7.5174920238716097E-4</v>
      </c>
      <c r="AP11" s="12">
        <f t="shared" si="5"/>
        <v>9.5728362850799526E-5</v>
      </c>
      <c r="AQ11" s="12">
        <f t="shared" si="5"/>
        <v>1.8385476747521201E-3</v>
      </c>
      <c r="AR11" s="12">
        <f t="shared" si="5"/>
        <v>1.9708780586929314E-5</v>
      </c>
      <c r="AS11" s="12">
        <f t="shared" si="5"/>
        <v>1.606265617834739E-3</v>
      </c>
      <c r="AT11" s="12">
        <f t="shared" si="5"/>
        <v>1.3711680208335108E-3</v>
      </c>
      <c r="AU11" s="12">
        <f t="shared" si="5"/>
        <v>3.9276784169666276E-4</v>
      </c>
      <c r="AV11" s="12">
        <f t="shared" si="5"/>
        <v>3.0970940922317494E-5</v>
      </c>
      <c r="AW11" s="12">
        <f t="shared" si="5"/>
        <v>6.0815665811096166E-4</v>
      </c>
      <c r="AX11" s="12">
        <f t="shared" si="5"/>
        <v>5.588847066436384E-4</v>
      </c>
      <c r="AY11" s="12">
        <f t="shared" si="5"/>
        <v>9.8543902934646572E-6</v>
      </c>
      <c r="AZ11" s="12">
        <f t="shared" si="5"/>
        <v>2.5058306746238699E-4</v>
      </c>
      <c r="BA11" s="32">
        <f t="shared" si="13"/>
        <v>3.0441619386554247E-2</v>
      </c>
      <c r="BB11" s="31">
        <f t="shared" si="14"/>
        <v>699531.28776711202</v>
      </c>
      <c r="BC11" s="30">
        <f t="shared" si="6"/>
        <v>1.3479025405850185E-2</v>
      </c>
      <c r="BD11" s="30">
        <f t="shared" si="6"/>
        <v>4.8618268538865713E-3</v>
      </c>
      <c r="BE11" s="30">
        <f t="shared" si="7"/>
        <v>4.9204375275147243E-3</v>
      </c>
      <c r="BF11" s="30">
        <f t="shared" si="7"/>
        <v>7.6336828579107001E-4</v>
      </c>
      <c r="BG11" s="30">
        <f t="shared" si="7"/>
        <v>9.7207946505229885E-5</v>
      </c>
      <c r="BH11" s="30">
        <f t="shared" si="7"/>
        <v>1.8669643843504445E-3</v>
      </c>
      <c r="BI11" s="30">
        <f t="shared" si="7"/>
        <v>2.0013400751076742E-5</v>
      </c>
      <c r="BJ11" s="30">
        <f t="shared" si="7"/>
        <v>1.6310921612127545E-3</v>
      </c>
      <c r="BK11" s="30">
        <f t="shared" si="7"/>
        <v>1.3923608808249104E-3</v>
      </c>
      <c r="BL11" s="30">
        <f t="shared" si="7"/>
        <v>3.9883848639645793E-4</v>
      </c>
      <c r="BM11" s="30">
        <f t="shared" si="7"/>
        <v>3.1449629751692027E-5</v>
      </c>
      <c r="BN11" s="30">
        <f t="shared" si="7"/>
        <v>6.1755636603322511E-4</v>
      </c>
      <c r="BO11" s="30">
        <f t="shared" si="7"/>
        <v>5.6752286415553336E-4</v>
      </c>
      <c r="BP11" s="30">
        <f t="shared" si="7"/>
        <v>1.0006700375538371E-5</v>
      </c>
      <c r="BQ11" s="30">
        <f t="shared" si="7"/>
        <v>2.5445609526369002E-4</v>
      </c>
      <c r="BR11" s="13">
        <f t="shared" si="16"/>
        <v>1.0305580591901146E-2</v>
      </c>
      <c r="BS11" s="13">
        <f t="shared" si="15"/>
        <v>4.7413695011984235E-3</v>
      </c>
      <c r="BT11" s="13">
        <f t="shared" si="15"/>
        <v>3.6756875794623171E-3</v>
      </c>
      <c r="BU11" s="13">
        <f t="shared" si="15"/>
        <v>6.4335090915904969E-4</v>
      </c>
      <c r="BV11" s="13">
        <f t="shared" si="15"/>
        <v>1.3584980904561992E-4</v>
      </c>
      <c r="BW11" s="13">
        <f t="shared" si="15"/>
        <v>1.8645914205277054E-3</v>
      </c>
      <c r="BX11" s="13">
        <f t="shared" si="15"/>
        <v>9.8543902934646572E-6</v>
      </c>
      <c r="BY11" s="13">
        <f t="shared" si="15"/>
        <v>1.208570580991344E-3</v>
      </c>
      <c r="BZ11" s="13">
        <f t="shared" si="15"/>
        <v>8.4466202515411342E-4</v>
      </c>
      <c r="CA11" s="13">
        <f t="shared" si="15"/>
        <v>4.8216123935880642E-4</v>
      </c>
      <c r="CB11" s="13">
        <f t="shared" si="15"/>
        <v>3.2378710964241012E-5</v>
      </c>
      <c r="CC11" s="13">
        <f t="shared" si="15"/>
        <v>4.0684554211589799E-4</v>
      </c>
      <c r="CD11" s="13">
        <f t="shared" si="15"/>
        <v>5.0398167500862096E-4</v>
      </c>
      <c r="CE11" s="13">
        <f t="shared" si="15"/>
        <v>8.4466202515411342E-6</v>
      </c>
      <c r="CF11" s="13">
        <f t="shared" si="15"/>
        <v>2.3861702210603705E-4</v>
      </c>
    </row>
    <row r="12" spans="1:85" x14ac:dyDescent="0.25">
      <c r="B12" s="56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U12" s="56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13"/>
    </row>
    <row r="13" spans="1:85" x14ac:dyDescent="0.25">
      <c r="B13" s="56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U13" s="56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13"/>
    </row>
    <row r="14" spans="1:85" x14ac:dyDescent="0.25">
      <c r="B14" s="56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T14" s="76" t="s">
        <v>210</v>
      </c>
      <c r="U14" s="76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13"/>
    </row>
    <row r="15" spans="1:85" x14ac:dyDescent="0.25">
      <c r="B15" s="56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T15" s="67" t="s">
        <v>35</v>
      </c>
      <c r="U15" s="67" t="s">
        <v>211</v>
      </c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13"/>
    </row>
    <row r="16" spans="1:85" x14ac:dyDescent="0.25">
      <c r="B16" s="56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T16" s="69">
        <v>1</v>
      </c>
      <c r="U16" s="69" t="s">
        <v>21</v>
      </c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13"/>
    </row>
    <row r="17" spans="1:84" x14ac:dyDescent="0.25"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T17" s="70">
        <v>2</v>
      </c>
      <c r="U17" s="70" t="s">
        <v>20</v>
      </c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13"/>
    </row>
    <row r="18" spans="1:84" x14ac:dyDescent="0.25">
      <c r="B18" s="56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T18" s="70">
        <v>3</v>
      </c>
      <c r="U18" s="70" t="s">
        <v>19</v>
      </c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13"/>
    </row>
    <row r="19" spans="1:84" x14ac:dyDescent="0.25">
      <c r="B19" s="56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T19" s="70">
        <v>4</v>
      </c>
      <c r="U19" s="70" t="s">
        <v>16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13"/>
    </row>
    <row r="20" spans="1:84" x14ac:dyDescent="0.25">
      <c r="B20" s="56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T20" s="70">
        <v>5</v>
      </c>
      <c r="U20" s="70" t="s">
        <v>8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13"/>
    </row>
    <row r="21" spans="1:84" x14ac:dyDescent="0.25"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T21" s="70">
        <v>6</v>
      </c>
      <c r="U21" s="70" t="s">
        <v>18</v>
      </c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13"/>
    </row>
    <row r="22" spans="1:84" x14ac:dyDescent="0.25">
      <c r="B22" s="56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T22" s="70">
        <v>7</v>
      </c>
      <c r="U22" s="70" t="s">
        <v>17</v>
      </c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13"/>
    </row>
    <row r="23" spans="1:84" x14ac:dyDescent="0.25"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T23" s="70">
        <v>8</v>
      </c>
      <c r="U23" s="70" t="s">
        <v>15</v>
      </c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13"/>
    </row>
    <row r="24" spans="1:84" x14ac:dyDescent="0.25"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T24" s="70">
        <v>9</v>
      </c>
      <c r="U24" s="70" t="s">
        <v>14</v>
      </c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13"/>
    </row>
    <row r="25" spans="1:84" x14ac:dyDescent="0.25">
      <c r="B25" s="56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T25" s="70">
        <v>10</v>
      </c>
      <c r="U25" s="70" t="s">
        <v>7</v>
      </c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13"/>
    </row>
    <row r="26" spans="1:84" x14ac:dyDescent="0.25"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T26" s="70">
        <v>11</v>
      </c>
      <c r="U26" s="70" t="s">
        <v>13</v>
      </c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13"/>
    </row>
    <row r="27" spans="1:84" x14ac:dyDescent="0.25"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T27" s="70">
        <v>12</v>
      </c>
      <c r="U27" s="70" t="s">
        <v>12</v>
      </c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13"/>
    </row>
    <row r="28" spans="1:84" x14ac:dyDescent="0.25"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T28" s="70">
        <v>13</v>
      </c>
      <c r="U28" s="70" t="s">
        <v>11</v>
      </c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13"/>
    </row>
    <row r="29" spans="1:84" x14ac:dyDescent="0.25">
      <c r="B29" s="56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T29" s="70">
        <v>14</v>
      </c>
      <c r="U29" s="70" t="s">
        <v>28</v>
      </c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13"/>
    </row>
    <row r="30" spans="1:84" x14ac:dyDescent="0.25">
      <c r="C30" s="4"/>
      <c r="T30" s="70">
        <v>15</v>
      </c>
      <c r="U30" s="70" t="s">
        <v>10</v>
      </c>
    </row>
    <row r="31" spans="1:84" x14ac:dyDescent="0.25">
      <c r="C31" s="4"/>
      <c r="T31" s="70"/>
      <c r="U31" s="70"/>
    </row>
    <row r="32" spans="1:84" hidden="1" x14ac:dyDescent="0.25">
      <c r="A32" s="4" t="s">
        <v>23</v>
      </c>
      <c r="B32" s="61">
        <v>1996</v>
      </c>
    </row>
    <row r="33" spans="1:85" hidden="1" x14ac:dyDescent="0.25"/>
    <row r="34" spans="1:85" s="21" customFormat="1" ht="23.25" hidden="1" customHeight="1" x14ac:dyDescent="0.25">
      <c r="A34" s="62" t="s">
        <v>46</v>
      </c>
      <c r="B34" s="62"/>
      <c r="C34" s="4" t="s">
        <v>35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</row>
    <row r="35" spans="1:85" s="37" customFormat="1" ht="33" hidden="1" customHeight="1" x14ac:dyDescent="0.25">
      <c r="A35" s="63" t="s">
        <v>22</v>
      </c>
      <c r="B35" s="64" t="s">
        <v>24</v>
      </c>
      <c r="C35" s="64">
        <v>1</v>
      </c>
      <c r="D35" s="64">
        <v>10</v>
      </c>
      <c r="E35" s="64">
        <v>11</v>
      </c>
      <c r="F35" s="64">
        <v>12</v>
      </c>
      <c r="G35" s="64">
        <v>13</v>
      </c>
      <c r="H35" s="64">
        <v>2</v>
      </c>
      <c r="I35" s="64">
        <v>3</v>
      </c>
      <c r="J35" s="64">
        <v>4</v>
      </c>
      <c r="K35" s="64">
        <v>5</v>
      </c>
      <c r="L35" s="64">
        <v>6</v>
      </c>
      <c r="M35" s="64">
        <v>7</v>
      </c>
      <c r="N35" s="64">
        <v>8</v>
      </c>
      <c r="O35" s="64">
        <v>9</v>
      </c>
      <c r="P35" s="64">
        <v>14</v>
      </c>
      <c r="Q35" s="64">
        <v>15</v>
      </c>
      <c r="R35" s="64"/>
      <c r="S35" s="65" t="s">
        <v>23</v>
      </c>
      <c r="T35" s="65" t="s">
        <v>22</v>
      </c>
      <c r="U35" s="65" t="s">
        <v>181</v>
      </c>
      <c r="V35" s="66" t="str">
        <f>+CONCATENATE("dx","(",C35,")")</f>
        <v>dx(1)</v>
      </c>
      <c r="W35" s="66" t="str">
        <f t="shared" ref="W35" si="17">+CONCATENATE("dx","(",D35,")")</f>
        <v>dx(10)</v>
      </c>
      <c r="X35" s="66" t="str">
        <f t="shared" ref="X35" si="18">+CONCATENATE("dx","(",E35,")")</f>
        <v>dx(11)</v>
      </c>
      <c r="Y35" s="66" t="str">
        <f t="shared" ref="Y35" si="19">+CONCATENATE("dx","(",F35,")")</f>
        <v>dx(12)</v>
      </c>
      <c r="Z35" s="66" t="str">
        <f t="shared" ref="Z35" si="20">+CONCATENATE("dx","(",G35,")")</f>
        <v>dx(13)</v>
      </c>
      <c r="AA35" s="66" t="str">
        <f t="shared" ref="AA35" si="21">+CONCATENATE("dx","(",H35,")")</f>
        <v>dx(2)</v>
      </c>
      <c r="AB35" s="66" t="str">
        <f t="shared" ref="AB35" si="22">+CONCATENATE("dx","(",I35,")")</f>
        <v>dx(3)</v>
      </c>
      <c r="AC35" s="66" t="str">
        <f t="shared" ref="AC35" si="23">+CONCATENATE("dx","(",J35,")")</f>
        <v>dx(4)</v>
      </c>
      <c r="AD35" s="66" t="str">
        <f t="shared" ref="AD35" si="24">+CONCATENATE("dx","(",K35,")")</f>
        <v>dx(5)</v>
      </c>
      <c r="AE35" s="66" t="str">
        <f t="shared" ref="AE35" si="25">+CONCATENATE("dx","(",L35,")")</f>
        <v>dx(6)</v>
      </c>
      <c r="AF35" s="66" t="str">
        <f t="shared" ref="AF35" si="26">+CONCATENATE("dx","(",M35,")")</f>
        <v>dx(7)</v>
      </c>
      <c r="AG35" s="66" t="str">
        <f t="shared" ref="AG35" si="27">+CONCATENATE("dx","(",N35,")")</f>
        <v>dx(8)</v>
      </c>
      <c r="AH35" s="66" t="str">
        <f t="shared" ref="AH35" si="28">+CONCATENATE("dx","(",O35,")")</f>
        <v>dx(9)</v>
      </c>
      <c r="AI35" s="66" t="str">
        <f t="shared" ref="AI35" si="29">+CONCATENATE("dx","(",P35,")")</f>
        <v>dx(14)</v>
      </c>
      <c r="AJ35" s="66" t="str">
        <f t="shared" ref="AJ35" si="30">+CONCATENATE("dx","(",Q35,")")</f>
        <v>dx(15)</v>
      </c>
      <c r="AK35" s="66" t="s">
        <v>182</v>
      </c>
      <c r="AL35" s="66" t="str">
        <f t="shared" ref="AL35:AZ35" si="31">+CONCATENATE("qx","(",C35,")")</f>
        <v>qx(1)</v>
      </c>
      <c r="AM35" s="66" t="str">
        <f t="shared" si="31"/>
        <v>qx(10)</v>
      </c>
      <c r="AN35" s="66" t="str">
        <f t="shared" si="31"/>
        <v>qx(11)</v>
      </c>
      <c r="AO35" s="66" t="str">
        <f t="shared" si="31"/>
        <v>qx(12)</v>
      </c>
      <c r="AP35" s="66" t="str">
        <f t="shared" si="31"/>
        <v>qx(13)</v>
      </c>
      <c r="AQ35" s="66" t="str">
        <f t="shared" si="31"/>
        <v>qx(2)</v>
      </c>
      <c r="AR35" s="66" t="str">
        <f t="shared" si="31"/>
        <v>qx(3)</v>
      </c>
      <c r="AS35" s="66" t="str">
        <f t="shared" si="31"/>
        <v>qx(4)</v>
      </c>
      <c r="AT35" s="66" t="str">
        <f t="shared" si="31"/>
        <v>qx(5)</v>
      </c>
      <c r="AU35" s="66" t="str">
        <f t="shared" si="31"/>
        <v>qx(6)</v>
      </c>
      <c r="AV35" s="66" t="str">
        <f t="shared" si="31"/>
        <v>qx(7)</v>
      </c>
      <c r="AW35" s="66" t="str">
        <f t="shared" si="31"/>
        <v>qx(8)</v>
      </c>
      <c r="AX35" s="66" t="str">
        <f t="shared" si="31"/>
        <v>qx(9)</v>
      </c>
      <c r="AY35" s="66" t="str">
        <f t="shared" si="31"/>
        <v>qx(14)</v>
      </c>
      <c r="AZ35" s="66" t="str">
        <f t="shared" si="31"/>
        <v>qx(15)</v>
      </c>
      <c r="BA35" s="66" t="str">
        <f>+CONCATENATE("qx","(T)")</f>
        <v>qx(T)</v>
      </c>
      <c r="BB35" s="65" t="s">
        <v>184</v>
      </c>
      <c r="BC35" s="66" t="str">
        <f t="shared" ref="BC35:BQ35" si="32">+CONCATENATE("mx","(",C35,")")</f>
        <v>mx(1)</v>
      </c>
      <c r="BD35" s="66" t="str">
        <f t="shared" si="32"/>
        <v>mx(10)</v>
      </c>
      <c r="BE35" s="66" t="str">
        <f t="shared" si="32"/>
        <v>mx(11)</v>
      </c>
      <c r="BF35" s="66" t="str">
        <f t="shared" si="32"/>
        <v>mx(12)</v>
      </c>
      <c r="BG35" s="66" t="str">
        <f t="shared" si="32"/>
        <v>mx(13)</v>
      </c>
      <c r="BH35" s="66" t="str">
        <f t="shared" si="32"/>
        <v>mx(2)</v>
      </c>
      <c r="BI35" s="66" t="str">
        <f t="shared" si="32"/>
        <v>mx(3)</v>
      </c>
      <c r="BJ35" s="66" t="str">
        <f t="shared" si="32"/>
        <v>mx(4)</v>
      </c>
      <c r="BK35" s="66" t="str">
        <f t="shared" si="32"/>
        <v>mx(5)</v>
      </c>
      <c r="BL35" s="66" t="str">
        <f t="shared" si="32"/>
        <v>mx(6)</v>
      </c>
      <c r="BM35" s="66" t="str">
        <f t="shared" si="32"/>
        <v>mx(7)</v>
      </c>
      <c r="BN35" s="66" t="str">
        <f t="shared" si="32"/>
        <v>mx(8)</v>
      </c>
      <c r="BO35" s="66" t="str">
        <f t="shared" si="32"/>
        <v>mx(9)</v>
      </c>
      <c r="BP35" s="66" t="str">
        <f t="shared" si="32"/>
        <v>mx(14)</v>
      </c>
      <c r="BQ35" s="66" t="str">
        <f t="shared" si="32"/>
        <v>mx(15)</v>
      </c>
      <c r="BR35" s="66" t="str">
        <f>+CONCATENATE("µ(X)",C35)</f>
        <v>µ(X)1</v>
      </c>
      <c r="BS35" s="66" t="str">
        <f t="shared" ref="BS35" si="33">+CONCATENATE("µ(X)",D35)</f>
        <v>µ(X)10</v>
      </c>
      <c r="BT35" s="66" t="str">
        <f t="shared" ref="BT35" si="34">+CONCATENATE("µ(X)",E35)</f>
        <v>µ(X)11</v>
      </c>
      <c r="BU35" s="66" t="str">
        <f t="shared" ref="BU35" si="35">+CONCATENATE("µ(X)",F35)</f>
        <v>µ(X)12</v>
      </c>
      <c r="BV35" s="66" t="str">
        <f t="shared" ref="BV35" si="36">+CONCATENATE("µ(X)",G35)</f>
        <v>µ(X)13</v>
      </c>
      <c r="BW35" s="66" t="str">
        <f t="shared" ref="BW35" si="37">+CONCATENATE("µ(X)",H35)</f>
        <v>µ(X)2</v>
      </c>
      <c r="BX35" s="66" t="str">
        <f t="shared" ref="BX35" si="38">+CONCATENATE("µ(X)",I35)</f>
        <v>µ(X)3</v>
      </c>
      <c r="BY35" s="66" t="str">
        <f t="shared" ref="BY35" si="39">+CONCATENATE("µ(X)",J35)</f>
        <v>µ(X)4</v>
      </c>
      <c r="BZ35" s="66" t="str">
        <f t="shared" ref="BZ35" si="40">+CONCATENATE("µ(X)",K35)</f>
        <v>µ(X)5</v>
      </c>
      <c r="CA35" s="66" t="str">
        <f t="shared" ref="CA35" si="41">+CONCATENATE("µ(X)",L35)</f>
        <v>µ(X)6</v>
      </c>
      <c r="CB35" s="66" t="str">
        <f t="shared" ref="CB35" si="42">+CONCATENATE("µ(X)",M35)</f>
        <v>µ(X)7</v>
      </c>
      <c r="CC35" s="66" t="str">
        <f t="shared" ref="CC35" si="43">+CONCATENATE("µ(X)",N35)</f>
        <v>µ(X)8</v>
      </c>
      <c r="CD35" s="66" t="str">
        <f t="shared" ref="CD35" si="44">+CONCATENATE("µ(X)",O35)</f>
        <v>µ(X)9</v>
      </c>
      <c r="CE35" s="66" t="str">
        <f t="shared" ref="CE35" si="45">+CONCATENATE("µ(X)",P35)</f>
        <v>µ(X)14</v>
      </c>
      <c r="CF35" s="42" t="str">
        <f t="shared" ref="CF35" si="46">+CONCATENATE("µ(X)",Q35)</f>
        <v>µ(X)15</v>
      </c>
      <c r="CG35" s="36"/>
    </row>
    <row r="36" spans="1:85" hidden="1" x14ac:dyDescent="0.25">
      <c r="A36" s="4" t="s">
        <v>6</v>
      </c>
      <c r="B36" s="56">
        <v>2669011.0638103201</v>
      </c>
      <c r="C36" s="57">
        <v>82</v>
      </c>
      <c r="D36" s="57">
        <v>35</v>
      </c>
      <c r="E36" s="57">
        <v>1552</v>
      </c>
      <c r="F36" s="57">
        <v>2468</v>
      </c>
      <c r="G36" s="57">
        <v>37</v>
      </c>
      <c r="H36" s="57">
        <v>159</v>
      </c>
      <c r="I36" s="57">
        <v>14</v>
      </c>
      <c r="J36" s="57">
        <v>786</v>
      </c>
      <c r="K36" s="57">
        <v>32</v>
      </c>
      <c r="L36" s="57">
        <v>12</v>
      </c>
      <c r="M36" s="57">
        <v>5626</v>
      </c>
      <c r="N36" s="57">
        <v>114</v>
      </c>
      <c r="O36" s="57">
        <v>877</v>
      </c>
      <c r="P36" s="57">
        <v>21</v>
      </c>
      <c r="Q36" s="57">
        <v>29</v>
      </c>
      <c r="S36" s="4">
        <f>+$B$32</f>
        <v>1996</v>
      </c>
      <c r="T36" s="4" t="str">
        <f>+A36</f>
        <v>0-4</v>
      </c>
      <c r="U36" s="56">
        <f>+B36</f>
        <v>2669011.0638103201</v>
      </c>
      <c r="V36" s="4">
        <f>+C36</f>
        <v>82</v>
      </c>
      <c r="W36" s="4">
        <f t="shared" ref="W36:W42" si="47">+D36</f>
        <v>35</v>
      </c>
      <c r="X36" s="4">
        <f t="shared" ref="X36:X42" si="48">+E36</f>
        <v>1552</v>
      </c>
      <c r="Y36" s="4">
        <f t="shared" ref="Y36:Y42" si="49">+F36</f>
        <v>2468</v>
      </c>
      <c r="Z36" s="4">
        <f t="shared" ref="Z36:Z42" si="50">+G36</f>
        <v>37</v>
      </c>
      <c r="AA36" s="4">
        <f t="shared" ref="AA36:AA42" si="51">+H36</f>
        <v>159</v>
      </c>
      <c r="AB36" s="4">
        <f t="shared" ref="AB36:AB42" si="52">+I36</f>
        <v>14</v>
      </c>
      <c r="AC36" s="4">
        <f t="shared" ref="AC36:AC42" si="53">+J36</f>
        <v>786</v>
      </c>
      <c r="AD36" s="4">
        <f t="shared" ref="AD36:AD42" si="54">+K36</f>
        <v>32</v>
      </c>
      <c r="AE36" s="4">
        <f t="shared" ref="AE36:AE42" si="55">+L36</f>
        <v>12</v>
      </c>
      <c r="AF36" s="4">
        <f t="shared" ref="AF36:AF42" si="56">+M36</f>
        <v>5626</v>
      </c>
      <c r="AG36" s="4">
        <f t="shared" ref="AG36:AG42" si="57">+N36</f>
        <v>114</v>
      </c>
      <c r="AH36" s="4">
        <f t="shared" ref="AH36:AH42" si="58">+O36</f>
        <v>877</v>
      </c>
      <c r="AI36" s="4">
        <f t="shared" ref="AI36:AI42" si="59">+P36</f>
        <v>21</v>
      </c>
      <c r="AJ36" s="4">
        <f t="shared" ref="AJ36:AJ42" si="60">+Q36</f>
        <v>29</v>
      </c>
      <c r="AK36" s="4">
        <f>+SUM(V36:AJ36)</f>
        <v>11844</v>
      </c>
      <c r="AL36" s="58">
        <f>+V36/$U36</f>
        <v>3.072298991632338E-5</v>
      </c>
      <c r="AM36" s="58">
        <f t="shared" ref="AM36:AM42" si="61">+W36/$U36</f>
        <v>1.3113471305747784E-5</v>
      </c>
      <c r="AN36" s="58">
        <f t="shared" ref="AN36:AN42" si="62">+X36/$U36</f>
        <v>5.8148878475773028E-4</v>
      </c>
      <c r="AO36" s="58">
        <f t="shared" ref="AO36:AO42" si="63">+Y36/$U36</f>
        <v>9.2468706235958656E-4</v>
      </c>
      <c r="AP36" s="58">
        <f t="shared" ref="AP36:AP42" si="64">+Z36/$U36</f>
        <v>1.3862812523219085E-5</v>
      </c>
      <c r="AQ36" s="58">
        <f t="shared" ref="AQ36:AQ42" si="65">+AA36/$U36</f>
        <v>5.9572626788968504E-5</v>
      </c>
      <c r="AR36" s="58">
        <f t="shared" ref="AR36:AR42" si="66">+AB36/$U36</f>
        <v>5.2453885222991139E-6</v>
      </c>
      <c r="AS36" s="58">
        <f t="shared" ref="AS36:AS42" si="67">+AC36/$U36</f>
        <v>2.9449109846622164E-4</v>
      </c>
      <c r="AT36" s="58">
        <f t="shared" ref="AT36:AT42" si="68">+AD36/$U36</f>
        <v>1.1989459479540831E-5</v>
      </c>
      <c r="AU36" s="58">
        <f t="shared" ref="AU36:AU42" si="69">+AE36/$U36</f>
        <v>4.4960473048278115E-6</v>
      </c>
      <c r="AV36" s="58">
        <f t="shared" ref="AV36:AV42" si="70">+AF36/$U36</f>
        <v>2.1078968447467723E-3</v>
      </c>
      <c r="AW36" s="58">
        <f t="shared" ref="AW36:AW42" si="71">+AG36/$U36</f>
        <v>4.2712449395864211E-5</v>
      </c>
      <c r="AX36" s="58">
        <f t="shared" ref="AX36:AX42" si="72">+AH36/$U36</f>
        <v>3.2858612386116591E-4</v>
      </c>
      <c r="AY36" s="58">
        <f t="shared" ref="AY36:AY42" si="73">+AI36/$U36</f>
        <v>7.86808278344867E-6</v>
      </c>
      <c r="AZ36" s="58">
        <f t="shared" ref="AZ36:AZ42" si="74">+AJ36/$U36</f>
        <v>1.0865447653333878E-5</v>
      </c>
      <c r="BA36" s="58">
        <f>+AK36/U36</f>
        <v>4.4375986898650497E-3</v>
      </c>
      <c r="BB36" s="4">
        <f>+U36-(0.5*AK36)</f>
        <v>2663089.0638103201</v>
      </c>
      <c r="BC36" s="59">
        <f t="shared" ref="BC36:BC42" si="75">+AL36/(1-(0.5*$BA36))</f>
        <v>3.0791309654013318E-5</v>
      </c>
      <c r="BD36" s="59">
        <f>+AM36/(1-(0.5*$BA36))</f>
        <v>1.3142632169395928E-5</v>
      </c>
      <c r="BE36" s="59">
        <f t="shared" ref="BE36:BE42" si="76">+AN36/(1-(0.5*$BA36))</f>
        <v>5.8278186076864233E-4</v>
      </c>
      <c r="BF36" s="59">
        <f t="shared" ref="BF36:BF42" si="77">+AO36/(1-(0.5*$BA36))</f>
        <v>9.2674331983054719E-4</v>
      </c>
      <c r="BG36" s="59">
        <f t="shared" ref="BG36:BG42" si="78">+AP36/(1-(0.5*$BA36))</f>
        <v>1.3893639721932839E-5</v>
      </c>
      <c r="BH36" s="59">
        <f t="shared" ref="BH36:BH42" si="79">+AQ36/(1-(0.5*$BA36))</f>
        <v>5.9705100426684362E-5</v>
      </c>
      <c r="BI36" s="59">
        <f t="shared" ref="BI36:BI42" si="80">+AR36/(1-(0.5*$BA36))</f>
        <v>5.2570528677583717E-6</v>
      </c>
      <c r="BJ36" s="59">
        <f t="shared" ref="BJ36:BJ42" si="81">+AS36/(1-(0.5*$BA36))</f>
        <v>2.9514596814700567E-4</v>
      </c>
      <c r="BK36" s="59">
        <f t="shared" ref="BK36:BK42" si="82">+AT36/(1-(0.5*$BA36))</f>
        <v>1.2016120840590563E-5</v>
      </c>
      <c r="BL36" s="59">
        <f t="shared" ref="BL36:BL42" si="83">+AU36/(1-(0.5*$BA36))</f>
        <v>4.5060453152214609E-6</v>
      </c>
      <c r="BM36" s="59">
        <f t="shared" ref="BM36:BM42" si="84">+AV36/(1-(0.5*$BA36))</f>
        <v>2.1125842452863284E-3</v>
      </c>
      <c r="BN36" s="59">
        <f t="shared" ref="BN36:BN42" si="85">+AW36/(1-(0.5*$BA36))</f>
        <v>4.2807430494603885E-5</v>
      </c>
      <c r="BO36" s="59">
        <f t="shared" ref="BO36" si="86">+AX36/(1-(0.5*$BA36))</f>
        <v>3.2931681178743514E-4</v>
      </c>
      <c r="BP36" s="59">
        <f t="shared" ref="BP36:BP42" si="87">+AY36/(1-(0.5*$BA36))</f>
        <v>7.8855793016375572E-6</v>
      </c>
      <c r="BQ36" s="59">
        <f t="shared" ref="BQ36:BQ42" si="88">+AZ36/(1-(0.5*$BA36))</f>
        <v>1.0889609511785197E-5</v>
      </c>
      <c r="BR36" s="60">
        <f>+V36/(2*$U36)</f>
        <v>1.536149495816169E-5</v>
      </c>
      <c r="BS36" s="60">
        <f t="shared" ref="BS36" si="89">+W36/(2*$U36)</f>
        <v>6.5567356528738919E-6</v>
      </c>
      <c r="BT36" s="60">
        <f t="shared" ref="BT36" si="90">+X36/(2*$U36)</f>
        <v>2.9074439237886514E-4</v>
      </c>
      <c r="BU36" s="60">
        <f t="shared" ref="BU36" si="91">+Y36/(2*$U36)</f>
        <v>4.6234353117979328E-4</v>
      </c>
      <c r="BV36" s="60">
        <f t="shared" ref="BV36" si="92">+Z36/(2*$U36)</f>
        <v>6.9314062616095427E-6</v>
      </c>
      <c r="BW36" s="60">
        <f t="shared" ref="BW36" si="93">+AA36/(2*$U36)</f>
        <v>2.9786313394484252E-5</v>
      </c>
      <c r="BX36" s="60">
        <f t="shared" ref="BX36" si="94">+AB36/(2*$U36)</f>
        <v>2.6226942611495569E-6</v>
      </c>
      <c r="BY36" s="60">
        <f t="shared" ref="BY36" si="95">+AC36/(2*$U36)</f>
        <v>1.4724554923311082E-4</v>
      </c>
      <c r="BZ36" s="60">
        <f t="shared" ref="BZ36" si="96">+AD36/(2*$U36)</f>
        <v>5.9947297397704154E-6</v>
      </c>
      <c r="CA36" s="60">
        <f t="shared" ref="CA36" si="97">+AE36/(2*$U36)</f>
        <v>2.2480236524139058E-6</v>
      </c>
      <c r="CB36" s="60">
        <f t="shared" ref="CB36" si="98">+AF36/(2*$U36)</f>
        <v>1.0539484223733861E-3</v>
      </c>
      <c r="CC36" s="60">
        <f t="shared" ref="CC36" si="99">+AG36/(2*$U36)</f>
        <v>2.1356224697932105E-5</v>
      </c>
      <c r="CD36" s="60">
        <f t="shared" ref="CD36" si="100">+AH36/(2*$U36)</f>
        <v>1.6429306193058296E-4</v>
      </c>
      <c r="CE36" s="60">
        <f t="shared" ref="CE36" si="101">+AI36/(2*$U36)</f>
        <v>3.934041391724335E-6</v>
      </c>
      <c r="CF36" s="13">
        <f t="shared" ref="CF36" si="102">+AJ36/(2*$U36)</f>
        <v>5.4327238266669388E-6</v>
      </c>
    </row>
    <row r="37" spans="1:85" hidden="1" x14ac:dyDescent="0.25">
      <c r="A37" s="4" t="s">
        <v>5</v>
      </c>
      <c r="B37" s="56">
        <v>5336689.2615659405</v>
      </c>
      <c r="C37" s="57">
        <v>50</v>
      </c>
      <c r="D37" s="57">
        <v>18</v>
      </c>
      <c r="E37" s="57">
        <v>121</v>
      </c>
      <c r="F37" s="57">
        <v>79</v>
      </c>
      <c r="G37" s="57">
        <v>18</v>
      </c>
      <c r="H37" s="57">
        <v>266</v>
      </c>
      <c r="I37" s="57">
        <v>18</v>
      </c>
      <c r="J37" s="57">
        <v>659</v>
      </c>
      <c r="K37" s="57">
        <v>105</v>
      </c>
      <c r="L37" s="57">
        <v>16</v>
      </c>
      <c r="M37" s="57">
        <v>2</v>
      </c>
      <c r="N37" s="57">
        <v>15</v>
      </c>
      <c r="O37" s="57">
        <v>82</v>
      </c>
      <c r="P37" s="57">
        <v>2</v>
      </c>
      <c r="Q37" s="57">
        <v>34</v>
      </c>
      <c r="S37" s="4">
        <f t="shared" ref="S37:S42" si="103">+$B$32</f>
        <v>1996</v>
      </c>
      <c r="T37" s="4" t="str">
        <f t="shared" ref="T37:T42" si="104">+A37</f>
        <v>5-14</v>
      </c>
      <c r="U37" s="56">
        <f t="shared" ref="U37:U42" si="105">+B37</f>
        <v>5336689.2615659405</v>
      </c>
      <c r="V37" s="4">
        <f t="shared" ref="V37:V42" si="106">+C37</f>
        <v>50</v>
      </c>
      <c r="W37" s="4">
        <f t="shared" si="47"/>
        <v>18</v>
      </c>
      <c r="X37" s="4">
        <f t="shared" si="48"/>
        <v>121</v>
      </c>
      <c r="Y37" s="4">
        <f t="shared" si="49"/>
        <v>79</v>
      </c>
      <c r="Z37" s="4">
        <f t="shared" si="50"/>
        <v>18</v>
      </c>
      <c r="AA37" s="4">
        <f t="shared" si="51"/>
        <v>266</v>
      </c>
      <c r="AB37" s="4">
        <f t="shared" si="52"/>
        <v>18</v>
      </c>
      <c r="AC37" s="4">
        <f t="shared" si="53"/>
        <v>659</v>
      </c>
      <c r="AD37" s="4">
        <f t="shared" si="54"/>
        <v>105</v>
      </c>
      <c r="AE37" s="4">
        <f t="shared" si="55"/>
        <v>16</v>
      </c>
      <c r="AF37" s="4">
        <f t="shared" si="56"/>
        <v>2</v>
      </c>
      <c r="AG37" s="4">
        <f t="shared" si="57"/>
        <v>15</v>
      </c>
      <c r="AH37" s="4">
        <f t="shared" si="58"/>
        <v>82</v>
      </c>
      <c r="AI37" s="4">
        <f t="shared" si="59"/>
        <v>2</v>
      </c>
      <c r="AJ37" s="4">
        <f t="shared" si="60"/>
        <v>34</v>
      </c>
      <c r="AK37" s="4">
        <f t="shared" ref="AK37:AK42" si="107">+SUM(V37:AJ37)</f>
        <v>1485</v>
      </c>
      <c r="AL37" s="58">
        <f t="shared" ref="AL37:AL42" si="108">+V37/$U37</f>
        <v>9.3691046169940461E-6</v>
      </c>
      <c r="AM37" s="58">
        <f t="shared" si="61"/>
        <v>3.3728776621178566E-6</v>
      </c>
      <c r="AN37" s="58">
        <f t="shared" si="62"/>
        <v>2.2673233173125591E-5</v>
      </c>
      <c r="AO37" s="58">
        <f t="shared" si="63"/>
        <v>1.4803185294850593E-5</v>
      </c>
      <c r="AP37" s="58">
        <f t="shared" si="64"/>
        <v>3.3728776621178566E-6</v>
      </c>
      <c r="AQ37" s="58">
        <f t="shared" si="65"/>
        <v>4.9843636562408325E-5</v>
      </c>
      <c r="AR37" s="58">
        <f t="shared" si="66"/>
        <v>3.3728776621178566E-6</v>
      </c>
      <c r="AS37" s="58">
        <f t="shared" si="67"/>
        <v>1.2348479885198154E-4</v>
      </c>
      <c r="AT37" s="58">
        <f t="shared" si="68"/>
        <v>1.9675119695687498E-5</v>
      </c>
      <c r="AU37" s="58">
        <f t="shared" si="69"/>
        <v>2.998113477438095E-6</v>
      </c>
      <c r="AV37" s="58">
        <f t="shared" si="70"/>
        <v>3.7476418467976187E-7</v>
      </c>
      <c r="AW37" s="58">
        <f t="shared" si="71"/>
        <v>2.8107313850982138E-6</v>
      </c>
      <c r="AX37" s="58">
        <f t="shared" si="72"/>
        <v>1.5365331571870237E-5</v>
      </c>
      <c r="AY37" s="58">
        <f t="shared" si="73"/>
        <v>3.7476418467976187E-7</v>
      </c>
      <c r="AZ37" s="58">
        <f t="shared" si="74"/>
        <v>6.3709911395559516E-6</v>
      </c>
      <c r="BA37" s="58">
        <f t="shared" ref="BA37:BA42" si="109">+AK37/U37</f>
        <v>2.7826240712472319E-4</v>
      </c>
      <c r="BB37" s="4">
        <f t="shared" ref="BB37:BB42" si="110">+U37-(0.5*AK37)</f>
        <v>5335946.7615659405</v>
      </c>
      <c r="BC37" s="59">
        <f t="shared" si="75"/>
        <v>9.3704083331833129E-6</v>
      </c>
      <c r="BD37" s="59">
        <f t="shared" ref="BD37:BD42" si="111">+AM37/(1-(0.5*$BA37))</f>
        <v>3.3733469999459925E-6</v>
      </c>
      <c r="BE37" s="59">
        <f t="shared" si="76"/>
        <v>2.2676388166303615E-5</v>
      </c>
      <c r="BF37" s="59">
        <f t="shared" si="77"/>
        <v>1.4805245166429634E-5</v>
      </c>
      <c r="BG37" s="59">
        <f t="shared" si="78"/>
        <v>3.3733469999459925E-6</v>
      </c>
      <c r="BH37" s="59">
        <f t="shared" si="79"/>
        <v>4.9850572332535225E-5</v>
      </c>
      <c r="BI37" s="59">
        <f t="shared" si="80"/>
        <v>3.3733469999459925E-6</v>
      </c>
      <c r="BJ37" s="59">
        <f t="shared" si="81"/>
        <v>1.2350198183135608E-4</v>
      </c>
      <c r="BK37" s="59">
        <f t="shared" si="82"/>
        <v>1.9677857499684958E-5</v>
      </c>
      <c r="BL37" s="59">
        <f t="shared" si="83"/>
        <v>2.9985306666186604E-6</v>
      </c>
      <c r="BM37" s="59">
        <f t="shared" si="84"/>
        <v>3.7481633332733255E-7</v>
      </c>
      <c r="BN37" s="59">
        <f t="shared" si="85"/>
        <v>2.8111224999549937E-6</v>
      </c>
      <c r="BO37" s="59">
        <f>+AX37/(1-(0.5*$BA37))</f>
        <v>1.5367469666420634E-5</v>
      </c>
      <c r="BP37" s="59">
        <f t="shared" si="87"/>
        <v>3.7481633332733255E-7</v>
      </c>
      <c r="BQ37" s="59">
        <f t="shared" si="88"/>
        <v>6.3718776665646525E-6</v>
      </c>
      <c r="BR37" s="60">
        <f>+(V36+V37)/(2*$U37)</f>
        <v>1.2367218094432141E-5</v>
      </c>
      <c r="BS37" s="60">
        <f t="shared" ref="BS37:BS42" si="112">+(W36+W37)/(2*$U37)</f>
        <v>4.9656254470068449E-6</v>
      </c>
      <c r="BT37" s="60">
        <f t="shared" ref="BT37:BT42" si="113">+(X36+X37)/(2*$U37)</f>
        <v>1.567451202423104E-4</v>
      </c>
      <c r="BU37" s="60">
        <f t="shared" ref="BU37:BU42" si="114">+(Y36+Y37)/(2*$U37)</f>
        <v>2.3863109459483836E-4</v>
      </c>
      <c r="BV37" s="60">
        <f t="shared" ref="BV37:BV42" si="115">+(Z36+Z37)/(2*$U37)</f>
        <v>5.1530075393467253E-6</v>
      </c>
      <c r="BW37" s="60">
        <f t="shared" ref="BW37:BW42" si="116">+(AA36+AA37)/(2*$U37)</f>
        <v>3.98186946222247E-5</v>
      </c>
      <c r="BX37" s="60">
        <f t="shared" ref="BX37:BX42" si="117">+(AB36+AB37)/(2*$U37)</f>
        <v>2.998113477438095E-6</v>
      </c>
      <c r="BY37" s="60">
        <f t="shared" ref="BY37:BY42" si="118">+(AC36+AC37)/(2*$U37)</f>
        <v>1.3538356171556397E-4</v>
      </c>
      <c r="BZ37" s="60">
        <f t="shared" ref="BZ37:BZ42" si="119">+(AD36+AD37)/(2*$U37)</f>
        <v>1.2835673325281844E-5</v>
      </c>
      <c r="CA37" s="60">
        <f t="shared" ref="CA37:CA42" si="120">+(AE36+AE37)/(2*$U37)</f>
        <v>2.6233492927583329E-6</v>
      </c>
      <c r="CB37" s="60">
        <f t="shared" ref="CB37:CB42" si="121">+(AF36+AF37)/(2*$U37)</f>
        <v>5.2729320784442491E-4</v>
      </c>
      <c r="CC37" s="60">
        <f t="shared" ref="CC37:CC42" si="122">+(AG36+AG37)/(2*$U37)</f>
        <v>1.2086144955922319E-5</v>
      </c>
      <c r="CD37" s="60">
        <f t="shared" ref="CD37:CD42" si="123">+(AH36+AH37)/(2*$U37)</f>
        <v>8.9849713276972899E-5</v>
      </c>
      <c r="CE37" s="60">
        <f t="shared" ref="CE37:CE42" si="124">+(AI36+AI37)/(2*$U37)</f>
        <v>2.1548940619086307E-6</v>
      </c>
      <c r="CF37" s="13">
        <f t="shared" ref="CF37:CF42" si="125">+(AJ36+AJ37)/(2*$U37)</f>
        <v>5.9025359087062493E-6</v>
      </c>
    </row>
    <row r="38" spans="1:85" hidden="1" x14ac:dyDescent="0.25">
      <c r="A38" s="4" t="s">
        <v>4</v>
      </c>
      <c r="B38" s="56">
        <v>4328734.7335640304</v>
      </c>
      <c r="C38" s="57">
        <v>101</v>
      </c>
      <c r="D38" s="57">
        <v>34</v>
      </c>
      <c r="E38" s="57">
        <v>66</v>
      </c>
      <c r="F38" s="57">
        <v>36</v>
      </c>
      <c r="G38" s="57">
        <v>71</v>
      </c>
      <c r="H38" s="57">
        <v>301</v>
      </c>
      <c r="I38" s="57">
        <v>64</v>
      </c>
      <c r="J38" s="57">
        <v>1352</v>
      </c>
      <c r="K38" s="57">
        <v>1694</v>
      </c>
      <c r="L38" s="57">
        <v>51</v>
      </c>
      <c r="M38" s="57">
        <v>0</v>
      </c>
      <c r="N38" s="57">
        <v>33</v>
      </c>
      <c r="O38" s="57">
        <v>90</v>
      </c>
      <c r="P38" s="57">
        <v>47</v>
      </c>
      <c r="Q38" s="57">
        <v>27</v>
      </c>
      <c r="S38" s="4">
        <f t="shared" si="103"/>
        <v>1996</v>
      </c>
      <c r="T38" s="4" t="str">
        <f t="shared" si="104"/>
        <v>15-24</v>
      </c>
      <c r="U38" s="56">
        <f t="shared" si="105"/>
        <v>4328734.7335640304</v>
      </c>
      <c r="V38" s="4">
        <f t="shared" si="106"/>
        <v>101</v>
      </c>
      <c r="W38" s="4">
        <f t="shared" si="47"/>
        <v>34</v>
      </c>
      <c r="X38" s="4">
        <f t="shared" si="48"/>
        <v>66</v>
      </c>
      <c r="Y38" s="4">
        <f t="shared" si="49"/>
        <v>36</v>
      </c>
      <c r="Z38" s="4">
        <f t="shared" si="50"/>
        <v>71</v>
      </c>
      <c r="AA38" s="4">
        <f t="shared" si="51"/>
        <v>301</v>
      </c>
      <c r="AB38" s="4">
        <f t="shared" si="52"/>
        <v>64</v>
      </c>
      <c r="AC38" s="4">
        <f t="shared" si="53"/>
        <v>1352</v>
      </c>
      <c r="AD38" s="4">
        <f t="shared" si="54"/>
        <v>1694</v>
      </c>
      <c r="AE38" s="4">
        <f t="shared" si="55"/>
        <v>51</v>
      </c>
      <c r="AF38" s="4">
        <f t="shared" si="56"/>
        <v>0</v>
      </c>
      <c r="AG38" s="4">
        <f t="shared" si="57"/>
        <v>33</v>
      </c>
      <c r="AH38" s="4">
        <f t="shared" si="58"/>
        <v>90</v>
      </c>
      <c r="AI38" s="4">
        <f t="shared" si="59"/>
        <v>47</v>
      </c>
      <c r="AJ38" s="4">
        <f t="shared" si="60"/>
        <v>27</v>
      </c>
      <c r="AK38" s="4">
        <f t="shared" si="107"/>
        <v>3967</v>
      </c>
      <c r="AL38" s="58">
        <f t="shared" si="108"/>
        <v>2.3332453064603114E-5</v>
      </c>
      <c r="AM38" s="58">
        <f t="shared" si="61"/>
        <v>7.8544891504604536E-6</v>
      </c>
      <c r="AN38" s="58">
        <f t="shared" si="62"/>
        <v>1.5246949527364411E-5</v>
      </c>
      <c r="AO38" s="58">
        <f t="shared" si="63"/>
        <v>8.3165179240169518E-6</v>
      </c>
      <c r="AP38" s="58">
        <f t="shared" si="64"/>
        <v>1.6402021461255655E-5</v>
      </c>
      <c r="AQ38" s="58">
        <f t="shared" si="65"/>
        <v>6.9535330420252836E-5</v>
      </c>
      <c r="AR38" s="58">
        <f t="shared" si="66"/>
        <v>1.4784920753807913E-5</v>
      </c>
      <c r="AS38" s="58">
        <f t="shared" si="67"/>
        <v>3.1233145092419214E-4</v>
      </c>
      <c r="AT38" s="58">
        <f t="shared" si="68"/>
        <v>3.9133837120235322E-4</v>
      </c>
      <c r="AU38" s="58">
        <f t="shared" si="69"/>
        <v>1.1781733725690681E-5</v>
      </c>
      <c r="AV38" s="58">
        <f t="shared" si="70"/>
        <v>0</v>
      </c>
      <c r="AW38" s="58">
        <f t="shared" si="71"/>
        <v>7.6234747636822054E-6</v>
      </c>
      <c r="AX38" s="58">
        <f t="shared" si="72"/>
        <v>2.0791294810042377E-5</v>
      </c>
      <c r="AY38" s="58">
        <f t="shared" si="73"/>
        <v>1.0857676178577687E-5</v>
      </c>
      <c r="AZ38" s="58">
        <f t="shared" si="74"/>
        <v>6.2373884430127134E-6</v>
      </c>
      <c r="BA38" s="58">
        <f t="shared" si="109"/>
        <v>9.1643407234931235E-4</v>
      </c>
      <c r="BB38" s="4">
        <f t="shared" si="110"/>
        <v>4326751.2335640304</v>
      </c>
      <c r="BC38" s="59">
        <f t="shared" si="75"/>
        <v>2.3343149293287266E-5</v>
      </c>
      <c r="BD38" s="59">
        <f t="shared" si="111"/>
        <v>7.8580898611066048E-6</v>
      </c>
      <c r="BE38" s="59">
        <f t="shared" si="76"/>
        <v>1.5253939142148115E-5</v>
      </c>
      <c r="BF38" s="59">
        <f t="shared" si="77"/>
        <v>8.3203304411716991E-6</v>
      </c>
      <c r="BG38" s="59">
        <f t="shared" si="78"/>
        <v>1.640954059231085E-5</v>
      </c>
      <c r="BH38" s="59">
        <f t="shared" si="79"/>
        <v>6.9567207299796693E-5</v>
      </c>
      <c r="BI38" s="59">
        <f t="shared" si="80"/>
        <v>1.4791698562083019E-5</v>
      </c>
      <c r="BJ38" s="59">
        <f t="shared" si="81"/>
        <v>3.1247463212400378E-4</v>
      </c>
      <c r="BK38" s="59">
        <f t="shared" si="82"/>
        <v>3.9151777131513494E-4</v>
      </c>
      <c r="BL38" s="59">
        <f t="shared" si="83"/>
        <v>1.1787134791659907E-5</v>
      </c>
      <c r="BM38" s="59">
        <f t="shared" si="84"/>
        <v>0</v>
      </c>
      <c r="BN38" s="59">
        <f t="shared" si="85"/>
        <v>7.6269695710740576E-6</v>
      </c>
      <c r="BO38" s="59">
        <f t="shared" ref="BO38:BO42" si="126">+AX38/(1-(0.5*$BA38))</f>
        <v>2.0800826102929245E-5</v>
      </c>
      <c r="BP38" s="59">
        <f t="shared" si="87"/>
        <v>1.0862653631529719E-5</v>
      </c>
      <c r="BQ38" s="59">
        <f t="shared" si="88"/>
        <v>6.2402478308787739E-6</v>
      </c>
      <c r="BR38" s="60">
        <f t="shared" ref="BR38:BR42" si="127">+(V37+V38)/(2*$U38)</f>
        <v>1.7441586201757774E-5</v>
      </c>
      <c r="BS38" s="60">
        <f t="shared" si="112"/>
        <v>6.0063740562344643E-6</v>
      </c>
      <c r="BT38" s="60">
        <f t="shared" si="113"/>
        <v>2.1599845163766247E-5</v>
      </c>
      <c r="BU38" s="60">
        <f t="shared" si="114"/>
        <v>1.3283327239749297E-5</v>
      </c>
      <c r="BV38" s="60">
        <f t="shared" si="115"/>
        <v>1.0280140211632064E-5</v>
      </c>
      <c r="BW38" s="60">
        <f t="shared" si="116"/>
        <v>6.5492578651633488E-5</v>
      </c>
      <c r="BX38" s="60">
        <f t="shared" si="117"/>
        <v>9.4715898579081938E-6</v>
      </c>
      <c r="BY38" s="60">
        <f t="shared" si="118"/>
        <v>2.3228496590552901E-4</v>
      </c>
      <c r="BZ38" s="60">
        <f t="shared" si="119"/>
        <v>2.0779744090703467E-4</v>
      </c>
      <c r="CA38" s="60">
        <f t="shared" si="120"/>
        <v>7.7389819570713291E-6</v>
      </c>
      <c r="CB38" s="60">
        <f t="shared" si="121"/>
        <v>2.3101438677824863E-7</v>
      </c>
      <c r="CC38" s="60">
        <f t="shared" si="122"/>
        <v>5.544345282677967E-6</v>
      </c>
      <c r="CD38" s="60">
        <f t="shared" si="123"/>
        <v>1.9867237262929384E-5</v>
      </c>
      <c r="CE38" s="60">
        <f t="shared" si="124"/>
        <v>5.6598524760670916E-6</v>
      </c>
      <c r="CF38" s="13">
        <f t="shared" si="125"/>
        <v>7.0459387967365835E-6</v>
      </c>
    </row>
    <row r="39" spans="1:85" hidden="1" x14ac:dyDescent="0.25">
      <c r="A39" s="4" t="s">
        <v>3</v>
      </c>
      <c r="B39" s="56">
        <v>6500086.9398599695</v>
      </c>
      <c r="C39" s="57">
        <v>1265</v>
      </c>
      <c r="D39" s="57">
        <v>267</v>
      </c>
      <c r="E39" s="57">
        <v>94</v>
      </c>
      <c r="F39" s="57">
        <v>65</v>
      </c>
      <c r="G39" s="57">
        <v>232</v>
      </c>
      <c r="H39" s="57">
        <v>1734</v>
      </c>
      <c r="I39" s="57">
        <v>517</v>
      </c>
      <c r="J39" s="57">
        <v>2393</v>
      </c>
      <c r="K39" s="57">
        <v>1811</v>
      </c>
      <c r="L39" s="57">
        <v>272</v>
      </c>
      <c r="M39" s="57">
        <v>1</v>
      </c>
      <c r="N39" s="57">
        <v>99</v>
      </c>
      <c r="O39" s="57">
        <v>191</v>
      </c>
      <c r="P39" s="57">
        <v>719</v>
      </c>
      <c r="Q39" s="57">
        <v>111</v>
      </c>
      <c r="S39" s="4">
        <f t="shared" si="103"/>
        <v>1996</v>
      </c>
      <c r="T39" s="4" t="str">
        <f t="shared" si="104"/>
        <v>25-44</v>
      </c>
      <c r="U39" s="56">
        <f t="shared" si="105"/>
        <v>6500086.9398599695</v>
      </c>
      <c r="V39" s="4">
        <f t="shared" si="106"/>
        <v>1265</v>
      </c>
      <c r="W39" s="4">
        <f t="shared" si="47"/>
        <v>267</v>
      </c>
      <c r="X39" s="4">
        <f t="shared" si="48"/>
        <v>94</v>
      </c>
      <c r="Y39" s="4">
        <f t="shared" si="49"/>
        <v>65</v>
      </c>
      <c r="Z39" s="4">
        <f t="shared" si="50"/>
        <v>232</v>
      </c>
      <c r="AA39" s="4">
        <f t="shared" si="51"/>
        <v>1734</v>
      </c>
      <c r="AB39" s="4">
        <f t="shared" si="52"/>
        <v>517</v>
      </c>
      <c r="AC39" s="4">
        <f t="shared" si="53"/>
        <v>2393</v>
      </c>
      <c r="AD39" s="4">
        <f t="shared" si="54"/>
        <v>1811</v>
      </c>
      <c r="AE39" s="4">
        <f t="shared" si="55"/>
        <v>272</v>
      </c>
      <c r="AF39" s="4">
        <f t="shared" si="56"/>
        <v>1</v>
      </c>
      <c r="AG39" s="4">
        <f t="shared" si="57"/>
        <v>99</v>
      </c>
      <c r="AH39" s="4">
        <f t="shared" si="58"/>
        <v>191</v>
      </c>
      <c r="AI39" s="4">
        <f t="shared" si="59"/>
        <v>719</v>
      </c>
      <c r="AJ39" s="4">
        <f t="shared" si="60"/>
        <v>111</v>
      </c>
      <c r="AK39" s="4">
        <f t="shared" si="107"/>
        <v>9771</v>
      </c>
      <c r="AL39" s="58">
        <f t="shared" si="108"/>
        <v>1.9461278159877223E-4</v>
      </c>
      <c r="AM39" s="58">
        <f t="shared" si="61"/>
        <v>4.107637366551161E-5</v>
      </c>
      <c r="AN39" s="58">
        <f t="shared" si="62"/>
        <v>1.4461345035798096E-5</v>
      </c>
      <c r="AO39" s="58">
        <f t="shared" si="63"/>
        <v>9.9998662481582572E-6</v>
      </c>
      <c r="AP39" s="58">
        <f t="shared" si="64"/>
        <v>3.56918303011187E-5</v>
      </c>
      <c r="AQ39" s="58">
        <f t="shared" si="65"/>
        <v>2.6676566268163718E-4</v>
      </c>
      <c r="AR39" s="58">
        <f t="shared" si="66"/>
        <v>7.953739769688952E-5</v>
      </c>
      <c r="AS39" s="58">
        <f t="shared" si="67"/>
        <v>3.6814892202834939E-4</v>
      </c>
      <c r="AT39" s="58">
        <f t="shared" si="68"/>
        <v>2.7861165808330162E-4</v>
      </c>
      <c r="AU39" s="58">
        <f t="shared" si="69"/>
        <v>4.1845594146139165E-5</v>
      </c>
      <c r="AV39" s="58">
        <f t="shared" si="70"/>
        <v>1.5384409612551164E-7</v>
      </c>
      <c r="AW39" s="58">
        <f t="shared" si="71"/>
        <v>1.5230565516425653E-5</v>
      </c>
      <c r="AX39" s="58">
        <f t="shared" si="72"/>
        <v>2.9384222359972725E-5</v>
      </c>
      <c r="AY39" s="58">
        <f t="shared" si="73"/>
        <v>1.1061390511424288E-4</v>
      </c>
      <c r="AZ39" s="58">
        <f t="shared" si="74"/>
        <v>1.7076694669931794E-5</v>
      </c>
      <c r="BA39" s="58">
        <f t="shared" si="109"/>
        <v>1.5032106632423743E-3</v>
      </c>
      <c r="BB39" s="4">
        <f t="shared" si="110"/>
        <v>6495201.4398599695</v>
      </c>
      <c r="BC39" s="59">
        <f t="shared" si="75"/>
        <v>1.9475916362453452E-4</v>
      </c>
      <c r="BD39" s="59">
        <f t="shared" si="111"/>
        <v>4.1107270108893847E-5</v>
      </c>
      <c r="BE39" s="59">
        <f t="shared" si="76"/>
        <v>1.4472222435340906E-5</v>
      </c>
      <c r="BF39" s="59">
        <f t="shared" si="77"/>
        <v>1.0007387854225095E-5</v>
      </c>
      <c r="BG39" s="59">
        <f t="shared" si="78"/>
        <v>3.5718676648926485E-5</v>
      </c>
      <c r="BH39" s="59">
        <f t="shared" si="79"/>
        <v>2.6696631598809712E-4</v>
      </c>
      <c r="BI39" s="59">
        <f t="shared" si="80"/>
        <v>7.9597223394374983E-5</v>
      </c>
      <c r="BJ39" s="59">
        <f t="shared" si="81"/>
        <v>3.6842583284862543E-4</v>
      </c>
      <c r="BK39" s="59">
        <f t="shared" si="82"/>
        <v>2.7882122160002534E-4</v>
      </c>
      <c r="BL39" s="59">
        <f t="shared" si="83"/>
        <v>4.187706917460347E-5</v>
      </c>
      <c r="BM39" s="59">
        <f t="shared" si="84"/>
        <v>1.5395981314192452E-7</v>
      </c>
      <c r="BN39" s="59">
        <f t="shared" si="85"/>
        <v>1.5242021501050527E-5</v>
      </c>
      <c r="BO39" s="59">
        <f t="shared" si="126"/>
        <v>2.9406324310107584E-5</v>
      </c>
      <c r="BP39" s="59">
        <f t="shared" si="87"/>
        <v>1.1069710564904374E-4</v>
      </c>
      <c r="BQ39" s="59">
        <f t="shared" si="88"/>
        <v>1.7089539258753623E-5</v>
      </c>
      <c r="BR39" s="60">
        <f t="shared" si="127"/>
        <v>1.0507551765372446E-4</v>
      </c>
      <c r="BS39" s="60">
        <f t="shared" si="112"/>
        <v>2.3153536466889503E-5</v>
      </c>
      <c r="BT39" s="60">
        <f t="shared" si="113"/>
        <v>1.2307527690040933E-5</v>
      </c>
      <c r="BU39" s="60">
        <f t="shared" si="114"/>
        <v>7.7691268543383381E-6</v>
      </c>
      <c r="BV39" s="60">
        <f t="shared" si="115"/>
        <v>2.3307380563015016E-5</v>
      </c>
      <c r="BW39" s="60">
        <f t="shared" si="116"/>
        <v>1.565363678077081E-4</v>
      </c>
      <c r="BX39" s="60">
        <f t="shared" si="117"/>
        <v>4.4691709924461133E-5</v>
      </c>
      <c r="BY39" s="60">
        <f t="shared" si="118"/>
        <v>2.8807306999502054E-4</v>
      </c>
      <c r="BZ39" s="60">
        <f t="shared" si="119"/>
        <v>2.6961177845995915E-4</v>
      </c>
      <c r="CA39" s="60">
        <f t="shared" si="120"/>
        <v>2.4845821524270131E-5</v>
      </c>
      <c r="CB39" s="60">
        <f t="shared" si="121"/>
        <v>7.6922048062755818E-8</v>
      </c>
      <c r="CC39" s="60">
        <f t="shared" si="122"/>
        <v>1.0153710344283768E-5</v>
      </c>
      <c r="CD39" s="60">
        <f t="shared" si="123"/>
        <v>2.1615095505634385E-5</v>
      </c>
      <c r="CE39" s="60">
        <f t="shared" si="124"/>
        <v>5.8922288816070963E-5</v>
      </c>
      <c r="CF39" s="13">
        <f t="shared" si="125"/>
        <v>1.0615242632660304E-5</v>
      </c>
    </row>
    <row r="40" spans="1:85" hidden="1" x14ac:dyDescent="0.25">
      <c r="A40" s="4" t="s">
        <v>2</v>
      </c>
      <c r="B40" s="56">
        <v>2862216.4853526298</v>
      </c>
      <c r="C40" s="57">
        <v>5170</v>
      </c>
      <c r="D40" s="57">
        <v>791</v>
      </c>
      <c r="E40" s="57">
        <v>38</v>
      </c>
      <c r="F40" s="57">
        <v>151</v>
      </c>
      <c r="G40" s="57">
        <v>387</v>
      </c>
      <c r="H40" s="57">
        <v>4424</v>
      </c>
      <c r="I40" s="57">
        <v>1783</v>
      </c>
      <c r="J40" s="57">
        <v>1078</v>
      </c>
      <c r="K40" s="57">
        <v>502</v>
      </c>
      <c r="L40" s="57">
        <v>1450</v>
      </c>
      <c r="M40" s="57">
        <v>0</v>
      </c>
      <c r="N40" s="57">
        <v>427</v>
      </c>
      <c r="O40" s="57">
        <v>247</v>
      </c>
      <c r="P40" s="57">
        <v>130</v>
      </c>
      <c r="Q40" s="57">
        <v>206</v>
      </c>
      <c r="S40" s="4">
        <f t="shared" si="103"/>
        <v>1996</v>
      </c>
      <c r="T40" s="4" t="str">
        <f t="shared" si="104"/>
        <v>45-64</v>
      </c>
      <c r="U40" s="56">
        <f t="shared" si="105"/>
        <v>2862216.4853526298</v>
      </c>
      <c r="V40" s="4">
        <f t="shared" si="106"/>
        <v>5170</v>
      </c>
      <c r="W40" s="4">
        <f t="shared" si="47"/>
        <v>791</v>
      </c>
      <c r="X40" s="4">
        <f t="shared" si="48"/>
        <v>38</v>
      </c>
      <c r="Y40" s="4">
        <f t="shared" si="49"/>
        <v>151</v>
      </c>
      <c r="Z40" s="4">
        <f t="shared" si="50"/>
        <v>387</v>
      </c>
      <c r="AA40" s="4">
        <f t="shared" si="51"/>
        <v>4424</v>
      </c>
      <c r="AB40" s="4">
        <f t="shared" si="52"/>
        <v>1783</v>
      </c>
      <c r="AC40" s="4">
        <f t="shared" si="53"/>
        <v>1078</v>
      </c>
      <c r="AD40" s="4">
        <f t="shared" si="54"/>
        <v>502</v>
      </c>
      <c r="AE40" s="4">
        <f t="shared" si="55"/>
        <v>1450</v>
      </c>
      <c r="AF40" s="4">
        <f t="shared" si="56"/>
        <v>0</v>
      </c>
      <c r="AG40" s="4">
        <f t="shared" si="57"/>
        <v>427</v>
      </c>
      <c r="AH40" s="4">
        <f t="shared" si="58"/>
        <v>247</v>
      </c>
      <c r="AI40" s="4">
        <f t="shared" si="59"/>
        <v>130</v>
      </c>
      <c r="AJ40" s="4">
        <f t="shared" si="60"/>
        <v>206</v>
      </c>
      <c r="AK40" s="4">
        <f t="shared" si="107"/>
        <v>16784</v>
      </c>
      <c r="AL40" s="58">
        <f t="shared" si="108"/>
        <v>1.8062924403019248E-3</v>
      </c>
      <c r="AM40" s="58">
        <f t="shared" si="61"/>
        <v>2.7635924957037186E-4</v>
      </c>
      <c r="AN40" s="58">
        <f t="shared" si="62"/>
        <v>1.3276424126010279E-5</v>
      </c>
      <c r="AO40" s="58">
        <f t="shared" si="63"/>
        <v>5.2756316921777688E-5</v>
      </c>
      <c r="AP40" s="58">
        <f t="shared" si="64"/>
        <v>1.3520989833594679E-4</v>
      </c>
      <c r="AQ40" s="58">
        <f t="shared" si="65"/>
        <v>1.5456552719334072E-3</v>
      </c>
      <c r="AR40" s="58">
        <f t="shared" si="66"/>
        <v>6.229437951756928E-4</v>
      </c>
      <c r="AS40" s="58">
        <f t="shared" si="67"/>
        <v>3.7663118967997582E-4</v>
      </c>
      <c r="AT40" s="58">
        <f t="shared" si="68"/>
        <v>1.7538855029624104E-4</v>
      </c>
      <c r="AU40" s="58">
        <f t="shared" si="69"/>
        <v>5.0660039428197118E-4</v>
      </c>
      <c r="AV40" s="58">
        <f t="shared" si="70"/>
        <v>0</v>
      </c>
      <c r="AW40" s="58">
        <f t="shared" si="71"/>
        <v>1.4918508162648392E-4</v>
      </c>
      <c r="AX40" s="58">
        <f t="shared" si="72"/>
        <v>8.6296756819066809E-5</v>
      </c>
      <c r="AY40" s="58">
        <f t="shared" si="73"/>
        <v>4.541934569424569E-5</v>
      </c>
      <c r="AZ40" s="58">
        <f t="shared" si="74"/>
        <v>7.1972193946266255E-5</v>
      </c>
      <c r="BA40" s="58">
        <f t="shared" si="109"/>
        <v>5.8639869087093819E-3</v>
      </c>
      <c r="BB40" s="4">
        <f t="shared" si="110"/>
        <v>2853824.4853526298</v>
      </c>
      <c r="BC40" s="59">
        <f t="shared" si="75"/>
        <v>1.8116040515228724E-3</v>
      </c>
      <c r="BD40" s="59">
        <f t="shared" si="111"/>
        <v>2.7717191581326728E-4</v>
      </c>
      <c r="BE40" s="59">
        <f t="shared" si="76"/>
        <v>1.3315464982179718E-5</v>
      </c>
      <c r="BF40" s="59">
        <f t="shared" si="77"/>
        <v>5.2911452955503619E-5</v>
      </c>
      <c r="BG40" s="59">
        <f t="shared" si="78"/>
        <v>1.3560749863430398E-4</v>
      </c>
      <c r="BH40" s="59">
        <f t="shared" si="79"/>
        <v>1.5502004495042915E-3</v>
      </c>
      <c r="BI40" s="59">
        <f t="shared" si="80"/>
        <v>6.2477563324280102E-4</v>
      </c>
      <c r="BJ40" s="59">
        <f t="shared" si="81"/>
        <v>3.7773871712604574E-4</v>
      </c>
      <c r="BK40" s="59">
        <f t="shared" si="82"/>
        <v>1.7590430055405837E-4</v>
      </c>
      <c r="BL40" s="59">
        <f t="shared" si="83"/>
        <v>5.0809011116212085E-4</v>
      </c>
      <c r="BM40" s="59">
        <f t="shared" si="84"/>
        <v>0</v>
      </c>
      <c r="BN40" s="59">
        <f t="shared" si="85"/>
        <v>1.4962377756291422E-4</v>
      </c>
      <c r="BO40" s="59">
        <f t="shared" si="126"/>
        <v>8.6550522384168166E-5</v>
      </c>
      <c r="BP40" s="59">
        <f t="shared" si="87"/>
        <v>4.5552906517983245E-5</v>
      </c>
      <c r="BQ40" s="59">
        <f t="shared" si="88"/>
        <v>7.2183836482342698E-5</v>
      </c>
      <c r="BR40" s="60">
        <f t="shared" si="127"/>
        <v>1.1241288059325809E-3</v>
      </c>
      <c r="BS40" s="60">
        <f t="shared" si="112"/>
        <v>1.8482179901735361E-4</v>
      </c>
      <c r="BT40" s="60">
        <f t="shared" si="113"/>
        <v>2.3059052429386273E-5</v>
      </c>
      <c r="BU40" s="60">
        <f t="shared" si="114"/>
        <v>3.7732994884450265E-5</v>
      </c>
      <c r="BV40" s="60">
        <f t="shared" si="115"/>
        <v>1.0813298071053108E-4</v>
      </c>
      <c r="BW40" s="60">
        <f t="shared" si="116"/>
        <v>1.0757397337890959E-3</v>
      </c>
      <c r="BX40" s="60">
        <f t="shared" si="117"/>
        <v>4.0178651960294265E-4</v>
      </c>
      <c r="BY40" s="60">
        <f t="shared" si="118"/>
        <v>6.0634826501817997E-4</v>
      </c>
      <c r="BZ40" s="60">
        <f t="shared" si="119"/>
        <v>4.0405748688765491E-4</v>
      </c>
      <c r="CA40" s="60">
        <f t="shared" si="120"/>
        <v>3.0081582032881184E-4</v>
      </c>
      <c r="CB40" s="60">
        <f t="shared" si="121"/>
        <v>1.746897911317142E-7</v>
      </c>
      <c r="CC40" s="60">
        <f t="shared" si="122"/>
        <v>9.1886830135281663E-5</v>
      </c>
      <c r="CD40" s="60">
        <f t="shared" si="123"/>
        <v>7.6514128515690812E-5</v>
      </c>
      <c r="CE40" s="60">
        <f t="shared" si="124"/>
        <v>1.4831163267082535E-4</v>
      </c>
      <c r="CF40" s="13">
        <f t="shared" si="125"/>
        <v>5.5376663788753401E-5</v>
      </c>
    </row>
    <row r="41" spans="1:85" hidden="1" x14ac:dyDescent="0.25">
      <c r="A41" s="4" t="s">
        <v>1</v>
      </c>
      <c r="B41" s="56">
        <v>710343.28776711202</v>
      </c>
      <c r="C41" s="57">
        <v>5212</v>
      </c>
      <c r="D41" s="57">
        <v>406</v>
      </c>
      <c r="E41" s="57">
        <v>24</v>
      </c>
      <c r="F41" s="57">
        <v>146</v>
      </c>
      <c r="G41" s="57">
        <v>319</v>
      </c>
      <c r="H41" s="57">
        <v>3335</v>
      </c>
      <c r="I41" s="57">
        <v>1780</v>
      </c>
      <c r="J41" s="57">
        <v>380</v>
      </c>
      <c r="K41" s="57">
        <v>125</v>
      </c>
      <c r="L41" s="57">
        <v>1343</v>
      </c>
      <c r="M41" s="57">
        <v>0</v>
      </c>
      <c r="N41" s="57">
        <v>576</v>
      </c>
      <c r="O41" s="57">
        <v>226</v>
      </c>
      <c r="P41" s="57">
        <v>5</v>
      </c>
      <c r="Q41" s="57">
        <v>161</v>
      </c>
      <c r="S41" s="4">
        <f t="shared" si="103"/>
        <v>1996</v>
      </c>
      <c r="T41" s="4" t="str">
        <f t="shared" si="104"/>
        <v>65-74</v>
      </c>
      <c r="U41" s="56">
        <f t="shared" si="105"/>
        <v>710343.28776711202</v>
      </c>
      <c r="V41" s="4">
        <f t="shared" si="106"/>
        <v>5212</v>
      </c>
      <c r="W41" s="4">
        <f t="shared" si="47"/>
        <v>406</v>
      </c>
      <c r="X41" s="4">
        <f t="shared" si="48"/>
        <v>24</v>
      </c>
      <c r="Y41" s="4">
        <f t="shared" si="49"/>
        <v>146</v>
      </c>
      <c r="Z41" s="4">
        <f t="shared" si="50"/>
        <v>319</v>
      </c>
      <c r="AA41" s="4">
        <f t="shared" si="51"/>
        <v>3335</v>
      </c>
      <c r="AB41" s="4">
        <f t="shared" si="52"/>
        <v>1780</v>
      </c>
      <c r="AC41" s="4">
        <f t="shared" si="53"/>
        <v>380</v>
      </c>
      <c r="AD41" s="4">
        <f t="shared" si="54"/>
        <v>125</v>
      </c>
      <c r="AE41" s="4">
        <f t="shared" si="55"/>
        <v>1343</v>
      </c>
      <c r="AF41" s="4">
        <f t="shared" si="56"/>
        <v>0</v>
      </c>
      <c r="AG41" s="4">
        <f t="shared" si="57"/>
        <v>576</v>
      </c>
      <c r="AH41" s="4">
        <f t="shared" si="58"/>
        <v>226</v>
      </c>
      <c r="AI41" s="4">
        <f t="shared" si="59"/>
        <v>5</v>
      </c>
      <c r="AJ41" s="4">
        <f t="shared" si="60"/>
        <v>161</v>
      </c>
      <c r="AK41" s="4">
        <f t="shared" si="107"/>
        <v>14038</v>
      </c>
      <c r="AL41" s="58">
        <f t="shared" si="108"/>
        <v>7.3372974585053981E-3</v>
      </c>
      <c r="AM41" s="58">
        <f t="shared" si="61"/>
        <v>5.7155463702095004E-4</v>
      </c>
      <c r="AN41" s="58">
        <f t="shared" si="62"/>
        <v>3.3786481006164537E-5</v>
      </c>
      <c r="AO41" s="58">
        <f t="shared" si="63"/>
        <v>2.0553442612083426E-4</v>
      </c>
      <c r="AP41" s="58">
        <f t="shared" si="64"/>
        <v>4.4907864337360363E-4</v>
      </c>
      <c r="AQ41" s="58">
        <f t="shared" si="65"/>
        <v>4.6949130898149474E-3</v>
      </c>
      <c r="AR41" s="58">
        <f t="shared" si="66"/>
        <v>2.5058306746238699E-3</v>
      </c>
      <c r="AS41" s="58">
        <f t="shared" si="67"/>
        <v>5.3495261593093852E-4</v>
      </c>
      <c r="AT41" s="58">
        <f t="shared" si="68"/>
        <v>1.759712552404403E-4</v>
      </c>
      <c r="AU41" s="58">
        <f t="shared" si="69"/>
        <v>1.8906351663032905E-3</v>
      </c>
      <c r="AV41" s="58">
        <f t="shared" si="70"/>
        <v>0</v>
      </c>
      <c r="AW41" s="58">
        <f t="shared" si="71"/>
        <v>8.1087554414794889E-4</v>
      </c>
      <c r="AX41" s="58">
        <f t="shared" si="72"/>
        <v>3.1815602947471606E-4</v>
      </c>
      <c r="AY41" s="58">
        <f t="shared" si="73"/>
        <v>7.0388502096176121E-6</v>
      </c>
      <c r="AZ41" s="58">
        <f t="shared" si="74"/>
        <v>2.2665097674968711E-4</v>
      </c>
      <c r="BA41" s="58">
        <f t="shared" si="109"/>
        <v>1.9762275848522408E-2</v>
      </c>
      <c r="BB41" s="4">
        <f t="shared" si="110"/>
        <v>703324.28776711202</v>
      </c>
      <c r="BC41" s="59">
        <f t="shared" si="75"/>
        <v>7.4105218469660197E-3</v>
      </c>
      <c r="BD41" s="59">
        <f t="shared" si="111"/>
        <v>5.772586089539916E-4</v>
      </c>
      <c r="BE41" s="59">
        <f t="shared" si="76"/>
        <v>3.4123661613043836E-5</v>
      </c>
      <c r="BF41" s="59">
        <f t="shared" si="77"/>
        <v>2.0758560814601668E-4</v>
      </c>
      <c r="BG41" s="59">
        <f t="shared" si="78"/>
        <v>4.5356033560670767E-4</v>
      </c>
      <c r="BH41" s="59">
        <f t="shared" si="79"/>
        <v>4.741767144979217E-3</v>
      </c>
      <c r="BI41" s="59">
        <f t="shared" si="80"/>
        <v>2.5308382363007516E-3</v>
      </c>
      <c r="BJ41" s="59">
        <f t="shared" si="81"/>
        <v>5.4029130887319409E-4</v>
      </c>
      <c r="BK41" s="59">
        <f t="shared" si="82"/>
        <v>1.7772740423460334E-4</v>
      </c>
      <c r="BL41" s="59">
        <f t="shared" si="83"/>
        <v>1.909503231096578E-3</v>
      </c>
      <c r="BM41" s="59">
        <f t="shared" si="84"/>
        <v>0</v>
      </c>
      <c r="BN41" s="59">
        <f t="shared" si="85"/>
        <v>8.1896787871305217E-4</v>
      </c>
      <c r="BO41" s="59">
        <f t="shared" si="126"/>
        <v>3.2133114685616281E-4</v>
      </c>
      <c r="BP41" s="59">
        <f t="shared" si="87"/>
        <v>7.1090961693841331E-6</v>
      </c>
      <c r="BQ41" s="59">
        <f t="shared" si="88"/>
        <v>2.2891289665416908E-4</v>
      </c>
      <c r="BR41" s="60">
        <f t="shared" si="127"/>
        <v>7.3077342876250043E-3</v>
      </c>
      <c r="BS41" s="60">
        <f t="shared" si="112"/>
        <v>8.4255037009122813E-4</v>
      </c>
      <c r="BT41" s="60">
        <f t="shared" si="113"/>
        <v>4.3640871299629196E-5</v>
      </c>
      <c r="BU41" s="60">
        <f t="shared" si="114"/>
        <v>2.0905385122564307E-4</v>
      </c>
      <c r="BV41" s="60">
        <f t="shared" si="115"/>
        <v>4.969428247990034E-4</v>
      </c>
      <c r="BW41" s="60">
        <f t="shared" si="116"/>
        <v>5.461443877642305E-3</v>
      </c>
      <c r="BX41" s="60">
        <f t="shared" si="117"/>
        <v>2.5079423296867549E-3</v>
      </c>
      <c r="BY41" s="60">
        <f t="shared" si="118"/>
        <v>1.0262643605622478E-3</v>
      </c>
      <c r="BZ41" s="60">
        <f t="shared" si="119"/>
        <v>4.4133590814302427E-4</v>
      </c>
      <c r="CA41" s="60">
        <f t="shared" si="120"/>
        <v>1.9659508635461991E-3</v>
      </c>
      <c r="CB41" s="60">
        <f t="shared" si="121"/>
        <v>0</v>
      </c>
      <c r="CC41" s="60">
        <f t="shared" si="122"/>
        <v>7.0599667602464649E-4</v>
      </c>
      <c r="CD41" s="60">
        <f t="shared" si="123"/>
        <v>3.3293761491491304E-4</v>
      </c>
      <c r="CE41" s="60">
        <f t="shared" si="124"/>
        <v>9.5024477829837753E-5</v>
      </c>
      <c r="CF41" s="13">
        <f t="shared" si="125"/>
        <v>2.5832580269296635E-4</v>
      </c>
    </row>
    <row r="42" spans="1:85" hidden="1" x14ac:dyDescent="0.25">
      <c r="A42" s="4" t="s">
        <v>0</v>
      </c>
      <c r="B42" s="56">
        <v>710343.28776711202</v>
      </c>
      <c r="C42" s="57">
        <v>9429</v>
      </c>
      <c r="D42" s="57">
        <v>279</v>
      </c>
      <c r="E42" s="57">
        <v>22</v>
      </c>
      <c r="F42" s="57">
        <v>432</v>
      </c>
      <c r="G42" s="57">
        <v>397</v>
      </c>
      <c r="H42" s="57">
        <v>3401</v>
      </c>
      <c r="I42" s="57">
        <v>3442</v>
      </c>
      <c r="J42" s="57">
        <v>534</v>
      </c>
      <c r="K42" s="57">
        <v>68</v>
      </c>
      <c r="L42" s="57">
        <v>1306</v>
      </c>
      <c r="M42" s="57">
        <v>14</v>
      </c>
      <c r="N42" s="57">
        <v>1141</v>
      </c>
      <c r="O42" s="57">
        <v>974</v>
      </c>
      <c r="P42" s="57">
        <v>7</v>
      </c>
      <c r="Q42" s="57">
        <v>178</v>
      </c>
      <c r="S42" s="4">
        <f t="shared" si="103"/>
        <v>1996</v>
      </c>
      <c r="T42" s="4" t="str">
        <f t="shared" si="104"/>
        <v>75+</v>
      </c>
      <c r="U42" s="56">
        <f t="shared" si="105"/>
        <v>710343.28776711202</v>
      </c>
      <c r="V42" s="4">
        <f t="shared" si="106"/>
        <v>9429</v>
      </c>
      <c r="W42" s="4">
        <f t="shared" si="47"/>
        <v>279</v>
      </c>
      <c r="X42" s="4">
        <f t="shared" si="48"/>
        <v>22</v>
      </c>
      <c r="Y42" s="4">
        <f t="shared" si="49"/>
        <v>432</v>
      </c>
      <c r="Z42" s="4">
        <f t="shared" si="50"/>
        <v>397</v>
      </c>
      <c r="AA42" s="4">
        <f t="shared" si="51"/>
        <v>3401</v>
      </c>
      <c r="AB42" s="4">
        <f t="shared" si="52"/>
        <v>3442</v>
      </c>
      <c r="AC42" s="4">
        <f t="shared" si="53"/>
        <v>534</v>
      </c>
      <c r="AD42" s="4">
        <f t="shared" si="54"/>
        <v>68</v>
      </c>
      <c r="AE42" s="4">
        <f t="shared" si="55"/>
        <v>1306</v>
      </c>
      <c r="AF42" s="4">
        <f t="shared" si="56"/>
        <v>14</v>
      </c>
      <c r="AG42" s="4">
        <f t="shared" si="57"/>
        <v>1141</v>
      </c>
      <c r="AH42" s="4">
        <f t="shared" si="58"/>
        <v>974</v>
      </c>
      <c r="AI42" s="4">
        <f t="shared" si="59"/>
        <v>7</v>
      </c>
      <c r="AJ42" s="4">
        <f t="shared" si="60"/>
        <v>178</v>
      </c>
      <c r="AK42" s="4">
        <f t="shared" si="107"/>
        <v>21624</v>
      </c>
      <c r="AL42" s="58">
        <f t="shared" si="108"/>
        <v>1.3273863725296892E-2</v>
      </c>
      <c r="AM42" s="58">
        <f t="shared" si="61"/>
        <v>3.9276784169666276E-4</v>
      </c>
      <c r="AN42" s="58">
        <f t="shared" si="62"/>
        <v>3.0970940922317494E-5</v>
      </c>
      <c r="AO42" s="58">
        <f t="shared" si="63"/>
        <v>6.0815665811096166E-4</v>
      </c>
      <c r="AP42" s="58">
        <f t="shared" si="64"/>
        <v>5.588847066436384E-4</v>
      </c>
      <c r="AQ42" s="58">
        <f t="shared" si="65"/>
        <v>4.7878259125818997E-3</v>
      </c>
      <c r="AR42" s="58">
        <f t="shared" si="66"/>
        <v>4.8455444843007638E-3</v>
      </c>
      <c r="AS42" s="58">
        <f t="shared" si="67"/>
        <v>7.5174920238716097E-4</v>
      </c>
      <c r="AT42" s="58">
        <f t="shared" si="68"/>
        <v>9.5728362850799526E-5</v>
      </c>
      <c r="AU42" s="58">
        <f t="shared" si="69"/>
        <v>1.8385476747521201E-3</v>
      </c>
      <c r="AV42" s="58">
        <f t="shared" si="70"/>
        <v>1.9708780586929314E-5</v>
      </c>
      <c r="AW42" s="58">
        <f t="shared" si="71"/>
        <v>1.606265617834739E-3</v>
      </c>
      <c r="AX42" s="58">
        <f t="shared" si="72"/>
        <v>1.3711680208335108E-3</v>
      </c>
      <c r="AY42" s="58">
        <f t="shared" si="73"/>
        <v>9.8543902934646572E-6</v>
      </c>
      <c r="AZ42" s="58">
        <f t="shared" si="74"/>
        <v>2.5058306746238699E-4</v>
      </c>
      <c r="BA42" s="58">
        <f t="shared" si="109"/>
        <v>3.0441619386554247E-2</v>
      </c>
      <c r="BB42" s="4">
        <f t="shared" si="110"/>
        <v>699531.28776711202</v>
      </c>
      <c r="BC42" s="59">
        <f t="shared" si="75"/>
        <v>1.3479025405850185E-2</v>
      </c>
      <c r="BD42" s="59">
        <f t="shared" si="111"/>
        <v>3.9883848639645793E-4</v>
      </c>
      <c r="BE42" s="59">
        <f t="shared" si="76"/>
        <v>3.1449629751692027E-5</v>
      </c>
      <c r="BF42" s="59">
        <f t="shared" si="77"/>
        <v>6.1755636603322511E-4</v>
      </c>
      <c r="BG42" s="59">
        <f t="shared" si="78"/>
        <v>5.6752286415553336E-4</v>
      </c>
      <c r="BH42" s="59">
        <f t="shared" si="79"/>
        <v>4.8618268538865713E-3</v>
      </c>
      <c r="BI42" s="59">
        <f t="shared" si="80"/>
        <v>4.9204375275147243E-3</v>
      </c>
      <c r="BJ42" s="59">
        <f t="shared" si="81"/>
        <v>7.6336828579107001E-4</v>
      </c>
      <c r="BK42" s="59">
        <f t="shared" si="82"/>
        <v>9.7207946505229885E-5</v>
      </c>
      <c r="BL42" s="59">
        <f t="shared" si="83"/>
        <v>1.8669643843504445E-3</v>
      </c>
      <c r="BM42" s="59">
        <f t="shared" si="84"/>
        <v>2.0013400751076742E-5</v>
      </c>
      <c r="BN42" s="59">
        <f t="shared" si="85"/>
        <v>1.6310921612127545E-3</v>
      </c>
      <c r="BO42" s="59">
        <f t="shared" si="126"/>
        <v>1.3923608808249104E-3</v>
      </c>
      <c r="BP42" s="59">
        <f t="shared" si="87"/>
        <v>1.0006700375538371E-5</v>
      </c>
      <c r="BQ42" s="59">
        <f t="shared" si="88"/>
        <v>2.5445609526369002E-4</v>
      </c>
      <c r="BR42" s="60">
        <f t="shared" si="127"/>
        <v>1.0305580591901146E-2</v>
      </c>
      <c r="BS42" s="60">
        <f t="shared" si="112"/>
        <v>4.8216123935880642E-4</v>
      </c>
      <c r="BT42" s="60">
        <f t="shared" si="113"/>
        <v>3.2378710964241012E-5</v>
      </c>
      <c r="BU42" s="60">
        <f t="shared" si="114"/>
        <v>4.0684554211589799E-4</v>
      </c>
      <c r="BV42" s="60">
        <f t="shared" si="115"/>
        <v>5.0398167500862096E-4</v>
      </c>
      <c r="BW42" s="60">
        <f t="shared" si="116"/>
        <v>4.7413695011984235E-3</v>
      </c>
      <c r="BX42" s="60">
        <f t="shared" si="117"/>
        <v>3.6756875794623171E-3</v>
      </c>
      <c r="BY42" s="60">
        <f t="shared" si="118"/>
        <v>6.4335090915904969E-4</v>
      </c>
      <c r="BZ42" s="60">
        <f t="shared" si="119"/>
        <v>1.3584980904561992E-4</v>
      </c>
      <c r="CA42" s="60">
        <f t="shared" si="120"/>
        <v>1.8645914205277054E-3</v>
      </c>
      <c r="CB42" s="60">
        <f t="shared" si="121"/>
        <v>9.8543902934646572E-6</v>
      </c>
      <c r="CC42" s="60">
        <f t="shared" si="122"/>
        <v>1.208570580991344E-3</v>
      </c>
      <c r="CD42" s="60">
        <f t="shared" si="123"/>
        <v>8.4466202515411342E-4</v>
      </c>
      <c r="CE42" s="60">
        <f t="shared" si="124"/>
        <v>8.4466202515411342E-6</v>
      </c>
      <c r="CF42" s="13">
        <f t="shared" si="125"/>
        <v>2.3861702210603705E-4</v>
      </c>
    </row>
    <row r="43" spans="1:85" hidden="1" x14ac:dyDescent="0.25">
      <c r="C43" s="4"/>
    </row>
    <row r="44" spans="1:85" hidden="1" x14ac:dyDescent="0.25">
      <c r="C44" s="4"/>
    </row>
    <row r="45" spans="1:85" hidden="1" x14ac:dyDescent="0.25">
      <c r="A45" s="4" t="s">
        <v>23</v>
      </c>
      <c r="B45" s="61">
        <v>1996</v>
      </c>
    </row>
    <row r="46" spans="1:85" hidden="1" x14ac:dyDescent="0.25"/>
    <row r="47" spans="1:85" s="21" customFormat="1" ht="23.25" hidden="1" customHeight="1" x14ac:dyDescent="0.25">
      <c r="A47" s="62" t="s">
        <v>46</v>
      </c>
      <c r="B47" s="62"/>
      <c r="C47" s="4" t="s">
        <v>35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</row>
    <row r="48" spans="1:85" s="37" customFormat="1" ht="33" hidden="1" customHeight="1" x14ac:dyDescent="0.25">
      <c r="A48" s="63" t="s">
        <v>22</v>
      </c>
      <c r="B48" s="64" t="s">
        <v>24</v>
      </c>
      <c r="C48" s="64">
        <v>1</v>
      </c>
      <c r="D48" s="64">
        <v>10</v>
      </c>
      <c r="E48" s="64">
        <v>11</v>
      </c>
      <c r="F48" s="64">
        <v>12</v>
      </c>
      <c r="G48" s="64">
        <v>13</v>
      </c>
      <c r="H48" s="64">
        <v>2</v>
      </c>
      <c r="I48" s="64">
        <v>3</v>
      </c>
      <c r="J48" s="64">
        <v>4</v>
      </c>
      <c r="K48" s="64">
        <v>5</v>
      </c>
      <c r="L48" s="64">
        <v>6</v>
      </c>
      <c r="M48" s="64">
        <v>7</v>
      </c>
      <c r="N48" s="64">
        <v>8</v>
      </c>
      <c r="O48" s="64">
        <v>9</v>
      </c>
      <c r="P48" s="64">
        <v>14</v>
      </c>
      <c r="Q48" s="64">
        <v>15</v>
      </c>
      <c r="R48" s="64"/>
      <c r="S48" s="65" t="s">
        <v>23</v>
      </c>
      <c r="T48" s="65" t="s">
        <v>22</v>
      </c>
      <c r="U48" s="65" t="s">
        <v>181</v>
      </c>
      <c r="V48" s="66" t="str">
        <f>+CONCATENATE("dx","(",C48,")")</f>
        <v>dx(1)</v>
      </c>
      <c r="W48" s="66" t="str">
        <f t="shared" ref="W48" si="128">+CONCATENATE("dx","(",D48,")")</f>
        <v>dx(10)</v>
      </c>
      <c r="X48" s="66" t="str">
        <f t="shared" ref="X48" si="129">+CONCATENATE("dx","(",E48,")")</f>
        <v>dx(11)</v>
      </c>
      <c r="Y48" s="66" t="str">
        <f t="shared" ref="Y48" si="130">+CONCATENATE("dx","(",F48,")")</f>
        <v>dx(12)</v>
      </c>
      <c r="Z48" s="66" t="str">
        <f t="shared" ref="Z48" si="131">+CONCATENATE("dx","(",G48,")")</f>
        <v>dx(13)</v>
      </c>
      <c r="AA48" s="66" t="str">
        <f t="shared" ref="AA48" si="132">+CONCATENATE("dx","(",H48,")")</f>
        <v>dx(2)</v>
      </c>
      <c r="AB48" s="66" t="str">
        <f t="shared" ref="AB48" si="133">+CONCATENATE("dx","(",I48,")")</f>
        <v>dx(3)</v>
      </c>
      <c r="AC48" s="66" t="str">
        <f t="shared" ref="AC48" si="134">+CONCATENATE("dx","(",J48,")")</f>
        <v>dx(4)</v>
      </c>
      <c r="AD48" s="66" t="str">
        <f t="shared" ref="AD48" si="135">+CONCATENATE("dx","(",K48,")")</f>
        <v>dx(5)</v>
      </c>
      <c r="AE48" s="66" t="str">
        <f t="shared" ref="AE48" si="136">+CONCATENATE("dx","(",L48,")")</f>
        <v>dx(6)</v>
      </c>
      <c r="AF48" s="66" t="str">
        <f t="shared" ref="AF48" si="137">+CONCATENATE("dx","(",M48,")")</f>
        <v>dx(7)</v>
      </c>
      <c r="AG48" s="66" t="str">
        <f t="shared" ref="AG48" si="138">+CONCATENATE("dx","(",N48,")")</f>
        <v>dx(8)</v>
      </c>
      <c r="AH48" s="66" t="str">
        <f t="shared" ref="AH48" si="139">+CONCATENATE("dx","(",O48,")")</f>
        <v>dx(9)</v>
      </c>
      <c r="AI48" s="66" t="str">
        <f t="shared" ref="AI48" si="140">+CONCATENATE("dx","(",P48,")")</f>
        <v>dx(14)</v>
      </c>
      <c r="AJ48" s="66" t="str">
        <f t="shared" ref="AJ48" si="141">+CONCATENATE("dx","(",Q48,")")</f>
        <v>dx(15)</v>
      </c>
      <c r="AK48" s="66" t="s">
        <v>182</v>
      </c>
      <c r="AL48" s="66" t="str">
        <f t="shared" ref="AL48:AZ48" si="142">+CONCATENATE("qx","(",C48,")")</f>
        <v>qx(1)</v>
      </c>
      <c r="AM48" s="66" t="str">
        <f t="shared" si="142"/>
        <v>qx(10)</v>
      </c>
      <c r="AN48" s="66" t="str">
        <f t="shared" si="142"/>
        <v>qx(11)</v>
      </c>
      <c r="AO48" s="66" t="str">
        <f t="shared" si="142"/>
        <v>qx(12)</v>
      </c>
      <c r="AP48" s="66" t="str">
        <f t="shared" si="142"/>
        <v>qx(13)</v>
      </c>
      <c r="AQ48" s="66" t="str">
        <f t="shared" si="142"/>
        <v>qx(2)</v>
      </c>
      <c r="AR48" s="66" t="str">
        <f t="shared" si="142"/>
        <v>qx(3)</v>
      </c>
      <c r="AS48" s="66" t="str">
        <f t="shared" si="142"/>
        <v>qx(4)</v>
      </c>
      <c r="AT48" s="66" t="str">
        <f t="shared" si="142"/>
        <v>qx(5)</v>
      </c>
      <c r="AU48" s="66" t="str">
        <f t="shared" si="142"/>
        <v>qx(6)</v>
      </c>
      <c r="AV48" s="66" t="str">
        <f t="shared" si="142"/>
        <v>qx(7)</v>
      </c>
      <c r="AW48" s="66" t="str">
        <f t="shared" si="142"/>
        <v>qx(8)</v>
      </c>
      <c r="AX48" s="66" t="str">
        <f t="shared" si="142"/>
        <v>qx(9)</v>
      </c>
      <c r="AY48" s="66" t="str">
        <f t="shared" si="142"/>
        <v>qx(14)</v>
      </c>
      <c r="AZ48" s="66" t="str">
        <f t="shared" si="142"/>
        <v>qx(15)</v>
      </c>
      <c r="BA48" s="66" t="str">
        <f>+CONCATENATE("qx","(T)")</f>
        <v>qx(T)</v>
      </c>
      <c r="BB48" s="65" t="s">
        <v>184</v>
      </c>
      <c r="BC48" s="66" t="str">
        <f t="shared" ref="BC48:BQ48" si="143">+CONCATENATE("mx","(",C48,")")</f>
        <v>mx(1)</v>
      </c>
      <c r="BD48" s="66" t="str">
        <f t="shared" si="143"/>
        <v>mx(10)</v>
      </c>
      <c r="BE48" s="66" t="str">
        <f t="shared" si="143"/>
        <v>mx(11)</v>
      </c>
      <c r="BF48" s="66" t="str">
        <f t="shared" si="143"/>
        <v>mx(12)</v>
      </c>
      <c r="BG48" s="66" t="str">
        <f t="shared" si="143"/>
        <v>mx(13)</v>
      </c>
      <c r="BH48" s="66" t="str">
        <f t="shared" si="143"/>
        <v>mx(2)</v>
      </c>
      <c r="BI48" s="66" t="str">
        <f t="shared" si="143"/>
        <v>mx(3)</v>
      </c>
      <c r="BJ48" s="66" t="str">
        <f t="shared" si="143"/>
        <v>mx(4)</v>
      </c>
      <c r="BK48" s="66" t="str">
        <f t="shared" si="143"/>
        <v>mx(5)</v>
      </c>
      <c r="BL48" s="66" t="str">
        <f t="shared" si="143"/>
        <v>mx(6)</v>
      </c>
      <c r="BM48" s="66" t="str">
        <f t="shared" si="143"/>
        <v>mx(7)</v>
      </c>
      <c r="BN48" s="66" t="str">
        <f t="shared" si="143"/>
        <v>mx(8)</v>
      </c>
      <c r="BO48" s="66" t="str">
        <f t="shared" si="143"/>
        <v>mx(9)</v>
      </c>
      <c r="BP48" s="66" t="str">
        <f t="shared" si="143"/>
        <v>mx(14)</v>
      </c>
      <c r="BQ48" s="66" t="str">
        <f t="shared" si="143"/>
        <v>mx(15)</v>
      </c>
      <c r="BR48" s="66" t="str">
        <f>+CONCATENATE("µ(X)",C48)</f>
        <v>µ(X)1</v>
      </c>
      <c r="BS48" s="66" t="str">
        <f t="shared" ref="BS48" si="144">+CONCATENATE("µ(X)",D48)</f>
        <v>µ(X)10</v>
      </c>
      <c r="BT48" s="66" t="str">
        <f t="shared" ref="BT48" si="145">+CONCATENATE("µ(X)",E48)</f>
        <v>µ(X)11</v>
      </c>
      <c r="BU48" s="66" t="str">
        <f t="shared" ref="BU48" si="146">+CONCATENATE("µ(X)",F48)</f>
        <v>µ(X)12</v>
      </c>
      <c r="BV48" s="66" t="str">
        <f t="shared" ref="BV48" si="147">+CONCATENATE("µ(X)",G48)</f>
        <v>µ(X)13</v>
      </c>
      <c r="BW48" s="66" t="str">
        <f t="shared" ref="BW48" si="148">+CONCATENATE("µ(X)",H48)</f>
        <v>µ(X)2</v>
      </c>
      <c r="BX48" s="66" t="str">
        <f t="shared" ref="BX48" si="149">+CONCATENATE("µ(X)",I48)</f>
        <v>µ(X)3</v>
      </c>
      <c r="BY48" s="66" t="str">
        <f t="shared" ref="BY48" si="150">+CONCATENATE("µ(X)",J48)</f>
        <v>µ(X)4</v>
      </c>
      <c r="BZ48" s="66" t="str">
        <f t="shared" ref="BZ48" si="151">+CONCATENATE("µ(X)",K48)</f>
        <v>µ(X)5</v>
      </c>
      <c r="CA48" s="66" t="str">
        <f t="shared" ref="CA48" si="152">+CONCATENATE("µ(X)",L48)</f>
        <v>µ(X)6</v>
      </c>
      <c r="CB48" s="66" t="str">
        <f t="shared" ref="CB48" si="153">+CONCATENATE("µ(X)",M48)</f>
        <v>µ(X)7</v>
      </c>
      <c r="CC48" s="66" t="str">
        <f t="shared" ref="CC48" si="154">+CONCATENATE("µ(X)",N48)</f>
        <v>µ(X)8</v>
      </c>
      <c r="CD48" s="66" t="str">
        <f t="shared" ref="CD48" si="155">+CONCATENATE("µ(X)",O48)</f>
        <v>µ(X)9</v>
      </c>
      <c r="CE48" s="66" t="str">
        <f t="shared" ref="CE48" si="156">+CONCATENATE("µ(X)",P48)</f>
        <v>µ(X)14</v>
      </c>
      <c r="CF48" s="42" t="str">
        <f t="shared" ref="CF48" si="157">+CONCATENATE("µ(X)",Q48)</f>
        <v>µ(X)15</v>
      </c>
      <c r="CG48" s="36"/>
    </row>
    <row r="49" spans="1:85" hidden="1" x14ac:dyDescent="0.25">
      <c r="A49" s="4" t="s">
        <v>6</v>
      </c>
      <c r="B49" s="56">
        <v>2669011.0638103201</v>
      </c>
      <c r="C49" s="57">
        <v>82</v>
      </c>
      <c r="D49" s="57">
        <v>35</v>
      </c>
      <c r="E49" s="57">
        <v>1552</v>
      </c>
      <c r="F49" s="57">
        <v>2468</v>
      </c>
      <c r="G49" s="57">
        <v>37</v>
      </c>
      <c r="H49" s="57">
        <v>159</v>
      </c>
      <c r="I49" s="57">
        <v>14</v>
      </c>
      <c r="J49" s="57">
        <v>786</v>
      </c>
      <c r="K49" s="57">
        <v>32</v>
      </c>
      <c r="L49" s="57">
        <v>12</v>
      </c>
      <c r="M49" s="57">
        <v>5626</v>
      </c>
      <c r="N49" s="57">
        <v>114</v>
      </c>
      <c r="O49" s="57">
        <v>877</v>
      </c>
      <c r="P49" s="57">
        <v>21</v>
      </c>
      <c r="Q49" s="57">
        <v>29</v>
      </c>
      <c r="S49" s="4">
        <f>+$B$45</f>
        <v>1996</v>
      </c>
      <c r="T49" s="4" t="str">
        <f>+A49</f>
        <v>0-4</v>
      </c>
      <c r="U49" s="56">
        <f>+B49</f>
        <v>2669011.0638103201</v>
      </c>
      <c r="V49" s="4">
        <f>+C49</f>
        <v>82</v>
      </c>
      <c r="W49" s="4">
        <f t="shared" ref="W49:W55" si="158">+D49</f>
        <v>35</v>
      </c>
      <c r="X49" s="4">
        <f t="shared" ref="X49:X55" si="159">+E49</f>
        <v>1552</v>
      </c>
      <c r="Y49" s="4">
        <f t="shared" ref="Y49:Y55" si="160">+F49</f>
        <v>2468</v>
      </c>
      <c r="Z49" s="4">
        <f t="shared" ref="Z49:Z55" si="161">+G49</f>
        <v>37</v>
      </c>
      <c r="AA49" s="4">
        <f t="shared" ref="AA49:AA55" si="162">+H49</f>
        <v>159</v>
      </c>
      <c r="AB49" s="4">
        <f t="shared" ref="AB49:AB55" si="163">+I49</f>
        <v>14</v>
      </c>
      <c r="AC49" s="4">
        <f t="shared" ref="AC49:AC55" si="164">+J49</f>
        <v>786</v>
      </c>
      <c r="AD49" s="4">
        <f t="shared" ref="AD49:AD55" si="165">+K49</f>
        <v>32</v>
      </c>
      <c r="AE49" s="4">
        <f t="shared" ref="AE49:AE55" si="166">+L49</f>
        <v>12</v>
      </c>
      <c r="AF49" s="4">
        <f t="shared" ref="AF49:AF55" si="167">+M49</f>
        <v>5626</v>
      </c>
      <c r="AG49" s="4">
        <f t="shared" ref="AG49:AG55" si="168">+N49</f>
        <v>114</v>
      </c>
      <c r="AH49" s="4">
        <f t="shared" ref="AH49:AH55" si="169">+O49</f>
        <v>877</v>
      </c>
      <c r="AI49" s="4">
        <f t="shared" ref="AI49:AI55" si="170">+P49</f>
        <v>21</v>
      </c>
      <c r="AJ49" s="4">
        <f t="shared" ref="AJ49:AJ55" si="171">+Q49</f>
        <v>29</v>
      </c>
      <c r="AK49" s="4">
        <f>+SUM(V49:AJ49)</f>
        <v>11844</v>
      </c>
      <c r="AL49" s="58">
        <f>+V49/$U49</f>
        <v>3.072298991632338E-5</v>
      </c>
      <c r="AM49" s="58">
        <f t="shared" ref="AM49:AM55" si="172">+W49/$U49</f>
        <v>1.3113471305747784E-5</v>
      </c>
      <c r="AN49" s="58">
        <f t="shared" ref="AN49:AN55" si="173">+X49/$U49</f>
        <v>5.8148878475773028E-4</v>
      </c>
      <c r="AO49" s="58">
        <f t="shared" ref="AO49:AO55" si="174">+Y49/$U49</f>
        <v>9.2468706235958656E-4</v>
      </c>
      <c r="AP49" s="58">
        <f t="shared" ref="AP49:AP55" si="175">+Z49/$U49</f>
        <v>1.3862812523219085E-5</v>
      </c>
      <c r="AQ49" s="58">
        <f t="shared" ref="AQ49:AQ55" si="176">+AA49/$U49</f>
        <v>5.9572626788968504E-5</v>
      </c>
      <c r="AR49" s="58">
        <f t="shared" ref="AR49:AR55" si="177">+AB49/$U49</f>
        <v>5.2453885222991139E-6</v>
      </c>
      <c r="AS49" s="58">
        <f t="shared" ref="AS49:AS55" si="178">+AC49/$U49</f>
        <v>2.9449109846622164E-4</v>
      </c>
      <c r="AT49" s="58">
        <f t="shared" ref="AT49:AT55" si="179">+AD49/$U49</f>
        <v>1.1989459479540831E-5</v>
      </c>
      <c r="AU49" s="58">
        <f t="shared" ref="AU49:AU55" si="180">+AE49/$U49</f>
        <v>4.4960473048278115E-6</v>
      </c>
      <c r="AV49" s="58">
        <f t="shared" ref="AV49:AV55" si="181">+AF49/$U49</f>
        <v>2.1078968447467723E-3</v>
      </c>
      <c r="AW49" s="58">
        <f t="shared" ref="AW49:AW55" si="182">+AG49/$U49</f>
        <v>4.2712449395864211E-5</v>
      </c>
      <c r="AX49" s="58">
        <f t="shared" ref="AX49:AX55" si="183">+AH49/$U49</f>
        <v>3.2858612386116591E-4</v>
      </c>
      <c r="AY49" s="58">
        <f t="shared" ref="AY49:AY55" si="184">+AI49/$U49</f>
        <v>7.86808278344867E-6</v>
      </c>
      <c r="AZ49" s="58">
        <f t="shared" ref="AZ49:AZ55" si="185">+AJ49/$U49</f>
        <v>1.0865447653333878E-5</v>
      </c>
      <c r="BA49" s="58">
        <f>+AK49/U49</f>
        <v>4.4375986898650497E-3</v>
      </c>
      <c r="BB49" s="4">
        <f>+U49-(0.5*AK49)</f>
        <v>2663089.0638103201</v>
      </c>
      <c r="BC49" s="59">
        <f t="shared" ref="BC49:BC55" si="186">+AL49/(1-(0.5*$BA49))</f>
        <v>3.0791309654013318E-5</v>
      </c>
      <c r="BD49" s="59">
        <f>+AM49/(1-(0.5*$BA49))</f>
        <v>1.3142632169395928E-5</v>
      </c>
      <c r="BE49" s="59">
        <f t="shared" ref="BE49:BE55" si="187">+AN49/(1-(0.5*$BA49))</f>
        <v>5.8278186076864233E-4</v>
      </c>
      <c r="BF49" s="59">
        <f t="shared" ref="BF49:BF55" si="188">+AO49/(1-(0.5*$BA49))</f>
        <v>9.2674331983054719E-4</v>
      </c>
      <c r="BG49" s="59">
        <f t="shared" ref="BG49:BG55" si="189">+AP49/(1-(0.5*$BA49))</f>
        <v>1.3893639721932839E-5</v>
      </c>
      <c r="BH49" s="59">
        <f t="shared" ref="BH49:BH55" si="190">+AQ49/(1-(0.5*$BA49))</f>
        <v>5.9705100426684362E-5</v>
      </c>
      <c r="BI49" s="59">
        <f t="shared" ref="BI49:BI55" si="191">+AR49/(1-(0.5*$BA49))</f>
        <v>5.2570528677583717E-6</v>
      </c>
      <c r="BJ49" s="59">
        <f t="shared" ref="BJ49:BJ55" si="192">+AS49/(1-(0.5*$BA49))</f>
        <v>2.9514596814700567E-4</v>
      </c>
      <c r="BK49" s="59">
        <f t="shared" ref="BK49:BK55" si="193">+AT49/(1-(0.5*$BA49))</f>
        <v>1.2016120840590563E-5</v>
      </c>
      <c r="BL49" s="59">
        <f t="shared" ref="BL49:BL55" si="194">+AU49/(1-(0.5*$BA49))</f>
        <v>4.5060453152214609E-6</v>
      </c>
      <c r="BM49" s="59">
        <f t="shared" ref="BM49:BM55" si="195">+AV49/(1-(0.5*$BA49))</f>
        <v>2.1125842452863284E-3</v>
      </c>
      <c r="BN49" s="59">
        <f t="shared" ref="BN49:BN55" si="196">+AW49/(1-(0.5*$BA49))</f>
        <v>4.2807430494603885E-5</v>
      </c>
      <c r="BO49" s="59">
        <f t="shared" ref="BO49" si="197">+AX49/(1-(0.5*$BA49))</f>
        <v>3.2931681178743514E-4</v>
      </c>
      <c r="BP49" s="59">
        <f t="shared" ref="BP49:BP55" si="198">+AY49/(1-(0.5*$BA49))</f>
        <v>7.8855793016375572E-6</v>
      </c>
      <c r="BQ49" s="59">
        <f t="shared" ref="BQ49:BQ55" si="199">+AZ49/(1-(0.5*$BA49))</f>
        <v>1.0889609511785197E-5</v>
      </c>
      <c r="BR49" s="60">
        <f>+V49/(2*$U49)</f>
        <v>1.536149495816169E-5</v>
      </c>
      <c r="BS49" s="60">
        <f t="shared" ref="BS49" si="200">+W49/(2*$U49)</f>
        <v>6.5567356528738919E-6</v>
      </c>
      <c r="BT49" s="60">
        <f t="shared" ref="BT49" si="201">+X49/(2*$U49)</f>
        <v>2.9074439237886514E-4</v>
      </c>
      <c r="BU49" s="60">
        <f t="shared" ref="BU49" si="202">+Y49/(2*$U49)</f>
        <v>4.6234353117979328E-4</v>
      </c>
      <c r="BV49" s="60">
        <f t="shared" ref="BV49" si="203">+Z49/(2*$U49)</f>
        <v>6.9314062616095427E-6</v>
      </c>
      <c r="BW49" s="60">
        <f t="shared" ref="BW49" si="204">+AA49/(2*$U49)</f>
        <v>2.9786313394484252E-5</v>
      </c>
      <c r="BX49" s="60">
        <f t="shared" ref="BX49" si="205">+AB49/(2*$U49)</f>
        <v>2.6226942611495569E-6</v>
      </c>
      <c r="BY49" s="60">
        <f t="shared" ref="BY49" si="206">+AC49/(2*$U49)</f>
        <v>1.4724554923311082E-4</v>
      </c>
      <c r="BZ49" s="60">
        <f t="shared" ref="BZ49" si="207">+AD49/(2*$U49)</f>
        <v>5.9947297397704154E-6</v>
      </c>
      <c r="CA49" s="60">
        <f t="shared" ref="CA49" si="208">+AE49/(2*$U49)</f>
        <v>2.2480236524139058E-6</v>
      </c>
      <c r="CB49" s="60">
        <f t="shared" ref="CB49" si="209">+AF49/(2*$U49)</f>
        <v>1.0539484223733861E-3</v>
      </c>
      <c r="CC49" s="60">
        <f t="shared" ref="CC49" si="210">+AG49/(2*$U49)</f>
        <v>2.1356224697932105E-5</v>
      </c>
      <c r="CD49" s="60">
        <f t="shared" ref="CD49" si="211">+AH49/(2*$U49)</f>
        <v>1.6429306193058296E-4</v>
      </c>
      <c r="CE49" s="60">
        <f t="shared" ref="CE49" si="212">+AI49/(2*$U49)</f>
        <v>3.934041391724335E-6</v>
      </c>
      <c r="CF49" s="13">
        <f t="shared" ref="CF49" si="213">+AJ49/(2*$U49)</f>
        <v>5.4327238266669388E-6</v>
      </c>
    </row>
    <row r="50" spans="1:85" hidden="1" x14ac:dyDescent="0.25">
      <c r="A50" s="4" t="s">
        <v>5</v>
      </c>
      <c r="B50" s="56">
        <v>5336689.2615659405</v>
      </c>
      <c r="C50" s="57">
        <v>50</v>
      </c>
      <c r="D50" s="57">
        <v>18</v>
      </c>
      <c r="E50" s="57">
        <v>121</v>
      </c>
      <c r="F50" s="57">
        <v>79</v>
      </c>
      <c r="G50" s="57">
        <v>18</v>
      </c>
      <c r="H50" s="57">
        <v>266</v>
      </c>
      <c r="I50" s="57">
        <v>18</v>
      </c>
      <c r="J50" s="57">
        <v>659</v>
      </c>
      <c r="K50" s="57">
        <v>105</v>
      </c>
      <c r="L50" s="57">
        <v>16</v>
      </c>
      <c r="M50" s="57">
        <v>2</v>
      </c>
      <c r="N50" s="57">
        <v>15</v>
      </c>
      <c r="O50" s="57">
        <v>82</v>
      </c>
      <c r="P50" s="57">
        <v>2</v>
      </c>
      <c r="Q50" s="57">
        <v>34</v>
      </c>
      <c r="S50" s="4">
        <f t="shared" ref="S50:S55" si="214">+$B$45</f>
        <v>1996</v>
      </c>
      <c r="T50" s="4" t="str">
        <f t="shared" ref="T50:T55" si="215">+A50</f>
        <v>5-14</v>
      </c>
      <c r="U50" s="56">
        <f t="shared" ref="U50:U55" si="216">+B50</f>
        <v>5336689.2615659405</v>
      </c>
      <c r="V50" s="4">
        <f t="shared" ref="V50:V55" si="217">+C50</f>
        <v>50</v>
      </c>
      <c r="W50" s="4">
        <f t="shared" si="158"/>
        <v>18</v>
      </c>
      <c r="X50" s="4">
        <f t="shared" si="159"/>
        <v>121</v>
      </c>
      <c r="Y50" s="4">
        <f t="shared" si="160"/>
        <v>79</v>
      </c>
      <c r="Z50" s="4">
        <f t="shared" si="161"/>
        <v>18</v>
      </c>
      <c r="AA50" s="4">
        <f t="shared" si="162"/>
        <v>266</v>
      </c>
      <c r="AB50" s="4">
        <f t="shared" si="163"/>
        <v>18</v>
      </c>
      <c r="AC50" s="4">
        <f t="shared" si="164"/>
        <v>659</v>
      </c>
      <c r="AD50" s="4">
        <f t="shared" si="165"/>
        <v>105</v>
      </c>
      <c r="AE50" s="4">
        <f t="shared" si="166"/>
        <v>16</v>
      </c>
      <c r="AF50" s="4">
        <f t="shared" si="167"/>
        <v>2</v>
      </c>
      <c r="AG50" s="4">
        <f t="shared" si="168"/>
        <v>15</v>
      </c>
      <c r="AH50" s="4">
        <f t="shared" si="169"/>
        <v>82</v>
      </c>
      <c r="AI50" s="4">
        <f t="shared" si="170"/>
        <v>2</v>
      </c>
      <c r="AJ50" s="4">
        <f t="shared" si="171"/>
        <v>34</v>
      </c>
      <c r="AK50" s="4">
        <f t="shared" ref="AK50:AK55" si="218">+SUM(V50:AJ50)</f>
        <v>1485</v>
      </c>
      <c r="AL50" s="58">
        <f t="shared" ref="AL50:AL55" si="219">+V50/$U50</f>
        <v>9.3691046169940461E-6</v>
      </c>
      <c r="AM50" s="58">
        <f t="shared" si="172"/>
        <v>3.3728776621178566E-6</v>
      </c>
      <c r="AN50" s="58">
        <f t="shared" si="173"/>
        <v>2.2673233173125591E-5</v>
      </c>
      <c r="AO50" s="58">
        <f t="shared" si="174"/>
        <v>1.4803185294850593E-5</v>
      </c>
      <c r="AP50" s="58">
        <f t="shared" si="175"/>
        <v>3.3728776621178566E-6</v>
      </c>
      <c r="AQ50" s="58">
        <f t="shared" si="176"/>
        <v>4.9843636562408325E-5</v>
      </c>
      <c r="AR50" s="58">
        <f t="shared" si="177"/>
        <v>3.3728776621178566E-6</v>
      </c>
      <c r="AS50" s="58">
        <f t="shared" si="178"/>
        <v>1.2348479885198154E-4</v>
      </c>
      <c r="AT50" s="58">
        <f t="shared" si="179"/>
        <v>1.9675119695687498E-5</v>
      </c>
      <c r="AU50" s="58">
        <f t="shared" si="180"/>
        <v>2.998113477438095E-6</v>
      </c>
      <c r="AV50" s="58">
        <f t="shared" si="181"/>
        <v>3.7476418467976187E-7</v>
      </c>
      <c r="AW50" s="58">
        <f t="shared" si="182"/>
        <v>2.8107313850982138E-6</v>
      </c>
      <c r="AX50" s="58">
        <f t="shared" si="183"/>
        <v>1.5365331571870237E-5</v>
      </c>
      <c r="AY50" s="58">
        <f t="shared" si="184"/>
        <v>3.7476418467976187E-7</v>
      </c>
      <c r="AZ50" s="58">
        <f t="shared" si="185"/>
        <v>6.3709911395559516E-6</v>
      </c>
      <c r="BA50" s="58">
        <f t="shared" ref="BA50:BA55" si="220">+AK50/U50</f>
        <v>2.7826240712472319E-4</v>
      </c>
      <c r="BB50" s="4">
        <f t="shared" ref="BB50:BB55" si="221">+U50-(0.5*AK50)</f>
        <v>5335946.7615659405</v>
      </c>
      <c r="BC50" s="59">
        <f t="shared" si="186"/>
        <v>9.3704083331833129E-6</v>
      </c>
      <c r="BD50" s="59">
        <f t="shared" ref="BD50:BD55" si="222">+AM50/(1-(0.5*$BA50))</f>
        <v>3.3733469999459925E-6</v>
      </c>
      <c r="BE50" s="59">
        <f t="shared" si="187"/>
        <v>2.2676388166303615E-5</v>
      </c>
      <c r="BF50" s="59">
        <f t="shared" si="188"/>
        <v>1.4805245166429634E-5</v>
      </c>
      <c r="BG50" s="59">
        <f t="shared" si="189"/>
        <v>3.3733469999459925E-6</v>
      </c>
      <c r="BH50" s="59">
        <f t="shared" si="190"/>
        <v>4.9850572332535225E-5</v>
      </c>
      <c r="BI50" s="59">
        <f t="shared" si="191"/>
        <v>3.3733469999459925E-6</v>
      </c>
      <c r="BJ50" s="59">
        <f t="shared" si="192"/>
        <v>1.2350198183135608E-4</v>
      </c>
      <c r="BK50" s="59">
        <f t="shared" si="193"/>
        <v>1.9677857499684958E-5</v>
      </c>
      <c r="BL50" s="59">
        <f t="shared" si="194"/>
        <v>2.9985306666186604E-6</v>
      </c>
      <c r="BM50" s="59">
        <f t="shared" si="195"/>
        <v>3.7481633332733255E-7</v>
      </c>
      <c r="BN50" s="59">
        <f t="shared" si="196"/>
        <v>2.8111224999549937E-6</v>
      </c>
      <c r="BO50" s="59">
        <f>+AX50/(1-(0.5*$BA50))</f>
        <v>1.5367469666420634E-5</v>
      </c>
      <c r="BP50" s="59">
        <f t="shared" si="198"/>
        <v>3.7481633332733255E-7</v>
      </c>
      <c r="BQ50" s="59">
        <f t="shared" si="199"/>
        <v>6.3718776665646525E-6</v>
      </c>
      <c r="BR50" s="60">
        <f>+(V49+V50)/(2*$U50)</f>
        <v>1.2367218094432141E-5</v>
      </c>
      <c r="BS50" s="60">
        <f t="shared" ref="BS50:BS55" si="223">+(W49+W50)/(2*$U50)</f>
        <v>4.9656254470068449E-6</v>
      </c>
      <c r="BT50" s="60">
        <f t="shared" ref="BT50:BT55" si="224">+(X49+X50)/(2*$U50)</f>
        <v>1.567451202423104E-4</v>
      </c>
      <c r="BU50" s="60">
        <f t="shared" ref="BU50:BU55" si="225">+(Y49+Y50)/(2*$U50)</f>
        <v>2.3863109459483836E-4</v>
      </c>
      <c r="BV50" s="60">
        <f t="shared" ref="BV50:BV55" si="226">+(Z49+Z50)/(2*$U50)</f>
        <v>5.1530075393467253E-6</v>
      </c>
      <c r="BW50" s="60">
        <f t="shared" ref="BW50:BW55" si="227">+(AA49+AA50)/(2*$U50)</f>
        <v>3.98186946222247E-5</v>
      </c>
      <c r="BX50" s="60">
        <f t="shared" ref="BX50:BX55" si="228">+(AB49+AB50)/(2*$U50)</f>
        <v>2.998113477438095E-6</v>
      </c>
      <c r="BY50" s="60">
        <f t="shared" ref="BY50:BY55" si="229">+(AC49+AC50)/(2*$U50)</f>
        <v>1.3538356171556397E-4</v>
      </c>
      <c r="BZ50" s="60">
        <f t="shared" ref="BZ50:BZ55" si="230">+(AD49+AD50)/(2*$U50)</f>
        <v>1.2835673325281844E-5</v>
      </c>
      <c r="CA50" s="60">
        <f t="shared" ref="CA50:CA55" si="231">+(AE49+AE50)/(2*$U50)</f>
        <v>2.6233492927583329E-6</v>
      </c>
      <c r="CB50" s="60">
        <f t="shared" ref="CB50:CB55" si="232">+(AF49+AF50)/(2*$U50)</f>
        <v>5.2729320784442491E-4</v>
      </c>
      <c r="CC50" s="60">
        <f t="shared" ref="CC50:CC55" si="233">+(AG49+AG50)/(2*$U50)</f>
        <v>1.2086144955922319E-5</v>
      </c>
      <c r="CD50" s="60">
        <f t="shared" ref="CD50:CD55" si="234">+(AH49+AH50)/(2*$U50)</f>
        <v>8.9849713276972899E-5</v>
      </c>
      <c r="CE50" s="60">
        <f t="shared" ref="CE50:CE55" si="235">+(AI49+AI50)/(2*$U50)</f>
        <v>2.1548940619086307E-6</v>
      </c>
      <c r="CF50" s="13">
        <f t="shared" ref="CF50:CF55" si="236">+(AJ49+AJ50)/(2*$U50)</f>
        <v>5.9025359087062493E-6</v>
      </c>
    </row>
    <row r="51" spans="1:85" hidden="1" x14ac:dyDescent="0.25">
      <c r="A51" s="4" t="s">
        <v>4</v>
      </c>
      <c r="B51" s="56">
        <v>4328734.7335640304</v>
      </c>
      <c r="C51" s="57">
        <v>101</v>
      </c>
      <c r="D51" s="57">
        <v>34</v>
      </c>
      <c r="E51" s="57">
        <v>66</v>
      </c>
      <c r="F51" s="57">
        <v>36</v>
      </c>
      <c r="G51" s="57">
        <v>71</v>
      </c>
      <c r="H51" s="57">
        <v>301</v>
      </c>
      <c r="I51" s="57">
        <v>64</v>
      </c>
      <c r="J51" s="57">
        <v>1352</v>
      </c>
      <c r="K51" s="57">
        <v>1694</v>
      </c>
      <c r="L51" s="57">
        <v>51</v>
      </c>
      <c r="M51" s="57">
        <v>0</v>
      </c>
      <c r="N51" s="57">
        <v>33</v>
      </c>
      <c r="O51" s="57">
        <v>90</v>
      </c>
      <c r="P51" s="57">
        <v>47</v>
      </c>
      <c r="Q51" s="57">
        <v>27</v>
      </c>
      <c r="S51" s="4">
        <f t="shared" si="214"/>
        <v>1996</v>
      </c>
      <c r="T51" s="4" t="str">
        <f t="shared" si="215"/>
        <v>15-24</v>
      </c>
      <c r="U51" s="56">
        <f t="shared" si="216"/>
        <v>4328734.7335640304</v>
      </c>
      <c r="V51" s="4">
        <f t="shared" si="217"/>
        <v>101</v>
      </c>
      <c r="W51" s="4">
        <f t="shared" si="158"/>
        <v>34</v>
      </c>
      <c r="X51" s="4">
        <f t="shared" si="159"/>
        <v>66</v>
      </c>
      <c r="Y51" s="4">
        <f t="shared" si="160"/>
        <v>36</v>
      </c>
      <c r="Z51" s="4">
        <f t="shared" si="161"/>
        <v>71</v>
      </c>
      <c r="AA51" s="4">
        <f t="shared" si="162"/>
        <v>301</v>
      </c>
      <c r="AB51" s="4">
        <f t="shared" si="163"/>
        <v>64</v>
      </c>
      <c r="AC51" s="4">
        <f t="shared" si="164"/>
        <v>1352</v>
      </c>
      <c r="AD51" s="4">
        <f t="shared" si="165"/>
        <v>1694</v>
      </c>
      <c r="AE51" s="4">
        <f t="shared" si="166"/>
        <v>51</v>
      </c>
      <c r="AF51" s="4">
        <f t="shared" si="167"/>
        <v>0</v>
      </c>
      <c r="AG51" s="4">
        <f t="shared" si="168"/>
        <v>33</v>
      </c>
      <c r="AH51" s="4">
        <f t="shared" si="169"/>
        <v>90</v>
      </c>
      <c r="AI51" s="4">
        <f t="shared" si="170"/>
        <v>47</v>
      </c>
      <c r="AJ51" s="4">
        <f t="shared" si="171"/>
        <v>27</v>
      </c>
      <c r="AK51" s="4">
        <f t="shared" si="218"/>
        <v>3967</v>
      </c>
      <c r="AL51" s="58">
        <f t="shared" si="219"/>
        <v>2.3332453064603114E-5</v>
      </c>
      <c r="AM51" s="58">
        <f t="shared" si="172"/>
        <v>7.8544891504604536E-6</v>
      </c>
      <c r="AN51" s="58">
        <f t="shared" si="173"/>
        <v>1.5246949527364411E-5</v>
      </c>
      <c r="AO51" s="58">
        <f t="shared" si="174"/>
        <v>8.3165179240169518E-6</v>
      </c>
      <c r="AP51" s="58">
        <f t="shared" si="175"/>
        <v>1.6402021461255655E-5</v>
      </c>
      <c r="AQ51" s="58">
        <f t="shared" si="176"/>
        <v>6.9535330420252836E-5</v>
      </c>
      <c r="AR51" s="58">
        <f t="shared" si="177"/>
        <v>1.4784920753807913E-5</v>
      </c>
      <c r="AS51" s="58">
        <f t="shared" si="178"/>
        <v>3.1233145092419214E-4</v>
      </c>
      <c r="AT51" s="58">
        <f t="shared" si="179"/>
        <v>3.9133837120235322E-4</v>
      </c>
      <c r="AU51" s="58">
        <f t="shared" si="180"/>
        <v>1.1781733725690681E-5</v>
      </c>
      <c r="AV51" s="58">
        <f t="shared" si="181"/>
        <v>0</v>
      </c>
      <c r="AW51" s="58">
        <f t="shared" si="182"/>
        <v>7.6234747636822054E-6</v>
      </c>
      <c r="AX51" s="58">
        <f t="shared" si="183"/>
        <v>2.0791294810042377E-5</v>
      </c>
      <c r="AY51" s="58">
        <f t="shared" si="184"/>
        <v>1.0857676178577687E-5</v>
      </c>
      <c r="AZ51" s="58">
        <f t="shared" si="185"/>
        <v>6.2373884430127134E-6</v>
      </c>
      <c r="BA51" s="58">
        <f t="shared" si="220"/>
        <v>9.1643407234931235E-4</v>
      </c>
      <c r="BB51" s="4">
        <f t="shared" si="221"/>
        <v>4326751.2335640304</v>
      </c>
      <c r="BC51" s="59">
        <f t="shared" si="186"/>
        <v>2.3343149293287266E-5</v>
      </c>
      <c r="BD51" s="59">
        <f t="shared" si="222"/>
        <v>7.8580898611066048E-6</v>
      </c>
      <c r="BE51" s="59">
        <f t="shared" si="187"/>
        <v>1.5253939142148115E-5</v>
      </c>
      <c r="BF51" s="59">
        <f t="shared" si="188"/>
        <v>8.3203304411716991E-6</v>
      </c>
      <c r="BG51" s="59">
        <f t="shared" si="189"/>
        <v>1.640954059231085E-5</v>
      </c>
      <c r="BH51" s="59">
        <f t="shared" si="190"/>
        <v>6.9567207299796693E-5</v>
      </c>
      <c r="BI51" s="59">
        <f t="shared" si="191"/>
        <v>1.4791698562083019E-5</v>
      </c>
      <c r="BJ51" s="59">
        <f t="shared" si="192"/>
        <v>3.1247463212400378E-4</v>
      </c>
      <c r="BK51" s="59">
        <f t="shared" si="193"/>
        <v>3.9151777131513494E-4</v>
      </c>
      <c r="BL51" s="59">
        <f t="shared" si="194"/>
        <v>1.1787134791659907E-5</v>
      </c>
      <c r="BM51" s="59">
        <f t="shared" si="195"/>
        <v>0</v>
      </c>
      <c r="BN51" s="59">
        <f t="shared" si="196"/>
        <v>7.6269695710740576E-6</v>
      </c>
      <c r="BO51" s="59">
        <f t="shared" ref="BO51:BO55" si="237">+AX51/(1-(0.5*$BA51))</f>
        <v>2.0800826102929245E-5</v>
      </c>
      <c r="BP51" s="59">
        <f t="shared" si="198"/>
        <v>1.0862653631529719E-5</v>
      </c>
      <c r="BQ51" s="59">
        <f t="shared" si="199"/>
        <v>6.2402478308787739E-6</v>
      </c>
      <c r="BR51" s="60">
        <f t="shared" ref="BR51:BR55" si="238">+(V50+V51)/(2*$U51)</f>
        <v>1.7441586201757774E-5</v>
      </c>
      <c r="BS51" s="60">
        <f t="shared" si="223"/>
        <v>6.0063740562344643E-6</v>
      </c>
      <c r="BT51" s="60">
        <f t="shared" si="224"/>
        <v>2.1599845163766247E-5</v>
      </c>
      <c r="BU51" s="60">
        <f t="shared" si="225"/>
        <v>1.3283327239749297E-5</v>
      </c>
      <c r="BV51" s="60">
        <f t="shared" si="226"/>
        <v>1.0280140211632064E-5</v>
      </c>
      <c r="BW51" s="60">
        <f t="shared" si="227"/>
        <v>6.5492578651633488E-5</v>
      </c>
      <c r="BX51" s="60">
        <f t="shared" si="228"/>
        <v>9.4715898579081938E-6</v>
      </c>
      <c r="BY51" s="60">
        <f t="shared" si="229"/>
        <v>2.3228496590552901E-4</v>
      </c>
      <c r="BZ51" s="60">
        <f t="shared" si="230"/>
        <v>2.0779744090703467E-4</v>
      </c>
      <c r="CA51" s="60">
        <f t="shared" si="231"/>
        <v>7.7389819570713291E-6</v>
      </c>
      <c r="CB51" s="60">
        <f t="shared" si="232"/>
        <v>2.3101438677824863E-7</v>
      </c>
      <c r="CC51" s="60">
        <f t="shared" si="233"/>
        <v>5.544345282677967E-6</v>
      </c>
      <c r="CD51" s="60">
        <f t="shared" si="234"/>
        <v>1.9867237262929384E-5</v>
      </c>
      <c r="CE51" s="60">
        <f t="shared" si="235"/>
        <v>5.6598524760670916E-6</v>
      </c>
      <c r="CF51" s="13">
        <f t="shared" si="236"/>
        <v>7.0459387967365835E-6</v>
      </c>
    </row>
    <row r="52" spans="1:85" hidden="1" x14ac:dyDescent="0.25">
      <c r="A52" s="4" t="s">
        <v>3</v>
      </c>
      <c r="B52" s="56">
        <v>6500086.9398599695</v>
      </c>
      <c r="C52" s="57">
        <v>1265</v>
      </c>
      <c r="D52" s="57">
        <v>267</v>
      </c>
      <c r="E52" s="57">
        <v>94</v>
      </c>
      <c r="F52" s="57">
        <v>65</v>
      </c>
      <c r="G52" s="57">
        <v>232</v>
      </c>
      <c r="H52" s="57">
        <v>1734</v>
      </c>
      <c r="I52" s="57">
        <v>517</v>
      </c>
      <c r="J52" s="57">
        <v>2393</v>
      </c>
      <c r="K52" s="57">
        <v>1811</v>
      </c>
      <c r="L52" s="57">
        <v>272</v>
      </c>
      <c r="M52" s="57">
        <v>1</v>
      </c>
      <c r="N52" s="57">
        <v>99</v>
      </c>
      <c r="O52" s="57">
        <v>191</v>
      </c>
      <c r="P52" s="57">
        <v>719</v>
      </c>
      <c r="Q52" s="57">
        <v>111</v>
      </c>
      <c r="S52" s="4">
        <f t="shared" si="214"/>
        <v>1996</v>
      </c>
      <c r="T52" s="4" t="str">
        <f t="shared" si="215"/>
        <v>25-44</v>
      </c>
      <c r="U52" s="56">
        <f t="shared" si="216"/>
        <v>6500086.9398599695</v>
      </c>
      <c r="V52" s="4">
        <f t="shared" si="217"/>
        <v>1265</v>
      </c>
      <c r="W52" s="4">
        <f t="shared" si="158"/>
        <v>267</v>
      </c>
      <c r="X52" s="4">
        <f t="shared" si="159"/>
        <v>94</v>
      </c>
      <c r="Y52" s="4">
        <f t="shared" si="160"/>
        <v>65</v>
      </c>
      <c r="Z52" s="4">
        <f t="shared" si="161"/>
        <v>232</v>
      </c>
      <c r="AA52" s="4">
        <f t="shared" si="162"/>
        <v>1734</v>
      </c>
      <c r="AB52" s="4">
        <f t="shared" si="163"/>
        <v>517</v>
      </c>
      <c r="AC52" s="4">
        <f t="shared" si="164"/>
        <v>2393</v>
      </c>
      <c r="AD52" s="4">
        <f t="shared" si="165"/>
        <v>1811</v>
      </c>
      <c r="AE52" s="4">
        <f t="shared" si="166"/>
        <v>272</v>
      </c>
      <c r="AF52" s="4">
        <f t="shared" si="167"/>
        <v>1</v>
      </c>
      <c r="AG52" s="4">
        <f t="shared" si="168"/>
        <v>99</v>
      </c>
      <c r="AH52" s="4">
        <f t="shared" si="169"/>
        <v>191</v>
      </c>
      <c r="AI52" s="4">
        <f t="shared" si="170"/>
        <v>719</v>
      </c>
      <c r="AJ52" s="4">
        <f t="shared" si="171"/>
        <v>111</v>
      </c>
      <c r="AK52" s="4">
        <f t="shared" si="218"/>
        <v>9771</v>
      </c>
      <c r="AL52" s="58">
        <f t="shared" si="219"/>
        <v>1.9461278159877223E-4</v>
      </c>
      <c r="AM52" s="58">
        <f t="shared" si="172"/>
        <v>4.107637366551161E-5</v>
      </c>
      <c r="AN52" s="58">
        <f t="shared" si="173"/>
        <v>1.4461345035798096E-5</v>
      </c>
      <c r="AO52" s="58">
        <f t="shared" si="174"/>
        <v>9.9998662481582572E-6</v>
      </c>
      <c r="AP52" s="58">
        <f t="shared" si="175"/>
        <v>3.56918303011187E-5</v>
      </c>
      <c r="AQ52" s="58">
        <f t="shared" si="176"/>
        <v>2.6676566268163718E-4</v>
      </c>
      <c r="AR52" s="58">
        <f t="shared" si="177"/>
        <v>7.953739769688952E-5</v>
      </c>
      <c r="AS52" s="58">
        <f t="shared" si="178"/>
        <v>3.6814892202834939E-4</v>
      </c>
      <c r="AT52" s="58">
        <f t="shared" si="179"/>
        <v>2.7861165808330162E-4</v>
      </c>
      <c r="AU52" s="58">
        <f t="shared" si="180"/>
        <v>4.1845594146139165E-5</v>
      </c>
      <c r="AV52" s="58">
        <f t="shared" si="181"/>
        <v>1.5384409612551164E-7</v>
      </c>
      <c r="AW52" s="58">
        <f t="shared" si="182"/>
        <v>1.5230565516425653E-5</v>
      </c>
      <c r="AX52" s="58">
        <f t="shared" si="183"/>
        <v>2.9384222359972725E-5</v>
      </c>
      <c r="AY52" s="58">
        <f t="shared" si="184"/>
        <v>1.1061390511424288E-4</v>
      </c>
      <c r="AZ52" s="58">
        <f t="shared" si="185"/>
        <v>1.7076694669931794E-5</v>
      </c>
      <c r="BA52" s="58">
        <f t="shared" si="220"/>
        <v>1.5032106632423743E-3</v>
      </c>
      <c r="BB52" s="4">
        <f t="shared" si="221"/>
        <v>6495201.4398599695</v>
      </c>
      <c r="BC52" s="59">
        <f t="shared" si="186"/>
        <v>1.9475916362453452E-4</v>
      </c>
      <c r="BD52" s="59">
        <f t="shared" si="222"/>
        <v>4.1107270108893847E-5</v>
      </c>
      <c r="BE52" s="59">
        <f t="shared" si="187"/>
        <v>1.4472222435340906E-5</v>
      </c>
      <c r="BF52" s="59">
        <f t="shared" si="188"/>
        <v>1.0007387854225095E-5</v>
      </c>
      <c r="BG52" s="59">
        <f t="shared" si="189"/>
        <v>3.5718676648926485E-5</v>
      </c>
      <c r="BH52" s="59">
        <f t="shared" si="190"/>
        <v>2.6696631598809712E-4</v>
      </c>
      <c r="BI52" s="59">
        <f t="shared" si="191"/>
        <v>7.9597223394374983E-5</v>
      </c>
      <c r="BJ52" s="59">
        <f t="shared" si="192"/>
        <v>3.6842583284862543E-4</v>
      </c>
      <c r="BK52" s="59">
        <f t="shared" si="193"/>
        <v>2.7882122160002534E-4</v>
      </c>
      <c r="BL52" s="59">
        <f t="shared" si="194"/>
        <v>4.187706917460347E-5</v>
      </c>
      <c r="BM52" s="59">
        <f t="shared" si="195"/>
        <v>1.5395981314192452E-7</v>
      </c>
      <c r="BN52" s="59">
        <f t="shared" si="196"/>
        <v>1.5242021501050527E-5</v>
      </c>
      <c r="BO52" s="59">
        <f t="shared" si="237"/>
        <v>2.9406324310107584E-5</v>
      </c>
      <c r="BP52" s="59">
        <f t="shared" si="198"/>
        <v>1.1069710564904374E-4</v>
      </c>
      <c r="BQ52" s="59">
        <f t="shared" si="199"/>
        <v>1.7089539258753623E-5</v>
      </c>
      <c r="BR52" s="60">
        <f t="shared" si="238"/>
        <v>1.0507551765372446E-4</v>
      </c>
      <c r="BS52" s="60">
        <f t="shared" si="223"/>
        <v>2.3153536466889503E-5</v>
      </c>
      <c r="BT52" s="60">
        <f t="shared" si="224"/>
        <v>1.2307527690040933E-5</v>
      </c>
      <c r="BU52" s="60">
        <f t="shared" si="225"/>
        <v>7.7691268543383381E-6</v>
      </c>
      <c r="BV52" s="60">
        <f t="shared" si="226"/>
        <v>2.3307380563015016E-5</v>
      </c>
      <c r="BW52" s="60">
        <f t="shared" si="227"/>
        <v>1.565363678077081E-4</v>
      </c>
      <c r="BX52" s="60">
        <f t="shared" si="228"/>
        <v>4.4691709924461133E-5</v>
      </c>
      <c r="BY52" s="60">
        <f t="shared" si="229"/>
        <v>2.8807306999502054E-4</v>
      </c>
      <c r="BZ52" s="60">
        <f t="shared" si="230"/>
        <v>2.6961177845995915E-4</v>
      </c>
      <c r="CA52" s="60">
        <f t="shared" si="231"/>
        <v>2.4845821524270131E-5</v>
      </c>
      <c r="CB52" s="60">
        <f t="shared" si="232"/>
        <v>7.6922048062755818E-8</v>
      </c>
      <c r="CC52" s="60">
        <f t="shared" si="233"/>
        <v>1.0153710344283768E-5</v>
      </c>
      <c r="CD52" s="60">
        <f t="shared" si="234"/>
        <v>2.1615095505634385E-5</v>
      </c>
      <c r="CE52" s="60">
        <f t="shared" si="235"/>
        <v>5.8922288816070963E-5</v>
      </c>
      <c r="CF52" s="13">
        <f t="shared" si="236"/>
        <v>1.0615242632660304E-5</v>
      </c>
    </row>
    <row r="53" spans="1:85" hidden="1" x14ac:dyDescent="0.25">
      <c r="A53" s="4" t="s">
        <v>2</v>
      </c>
      <c r="B53" s="56">
        <v>2862216.4853526298</v>
      </c>
      <c r="C53" s="57">
        <v>5170</v>
      </c>
      <c r="D53" s="57">
        <v>791</v>
      </c>
      <c r="E53" s="57">
        <v>38</v>
      </c>
      <c r="F53" s="57">
        <v>151</v>
      </c>
      <c r="G53" s="57">
        <v>387</v>
      </c>
      <c r="H53" s="57">
        <v>4424</v>
      </c>
      <c r="I53" s="57">
        <v>1783</v>
      </c>
      <c r="J53" s="57">
        <v>1078</v>
      </c>
      <c r="K53" s="57">
        <v>502</v>
      </c>
      <c r="L53" s="57">
        <v>1450</v>
      </c>
      <c r="M53" s="57">
        <v>0</v>
      </c>
      <c r="N53" s="57">
        <v>427</v>
      </c>
      <c r="O53" s="57">
        <v>247</v>
      </c>
      <c r="P53" s="57">
        <v>130</v>
      </c>
      <c r="Q53" s="57">
        <v>206</v>
      </c>
      <c r="S53" s="4">
        <f t="shared" si="214"/>
        <v>1996</v>
      </c>
      <c r="T53" s="4" t="str">
        <f t="shared" si="215"/>
        <v>45-64</v>
      </c>
      <c r="U53" s="56">
        <f t="shared" si="216"/>
        <v>2862216.4853526298</v>
      </c>
      <c r="V53" s="4">
        <f t="shared" si="217"/>
        <v>5170</v>
      </c>
      <c r="W53" s="4">
        <f t="shared" si="158"/>
        <v>791</v>
      </c>
      <c r="X53" s="4">
        <f t="shared" si="159"/>
        <v>38</v>
      </c>
      <c r="Y53" s="4">
        <f t="shared" si="160"/>
        <v>151</v>
      </c>
      <c r="Z53" s="4">
        <f t="shared" si="161"/>
        <v>387</v>
      </c>
      <c r="AA53" s="4">
        <f t="shared" si="162"/>
        <v>4424</v>
      </c>
      <c r="AB53" s="4">
        <f t="shared" si="163"/>
        <v>1783</v>
      </c>
      <c r="AC53" s="4">
        <f t="shared" si="164"/>
        <v>1078</v>
      </c>
      <c r="AD53" s="4">
        <f t="shared" si="165"/>
        <v>502</v>
      </c>
      <c r="AE53" s="4">
        <f t="shared" si="166"/>
        <v>1450</v>
      </c>
      <c r="AF53" s="4">
        <f t="shared" si="167"/>
        <v>0</v>
      </c>
      <c r="AG53" s="4">
        <f t="shared" si="168"/>
        <v>427</v>
      </c>
      <c r="AH53" s="4">
        <f t="shared" si="169"/>
        <v>247</v>
      </c>
      <c r="AI53" s="4">
        <f t="shared" si="170"/>
        <v>130</v>
      </c>
      <c r="AJ53" s="4">
        <f t="shared" si="171"/>
        <v>206</v>
      </c>
      <c r="AK53" s="4">
        <f t="shared" si="218"/>
        <v>16784</v>
      </c>
      <c r="AL53" s="58">
        <f t="shared" si="219"/>
        <v>1.8062924403019248E-3</v>
      </c>
      <c r="AM53" s="58">
        <f t="shared" si="172"/>
        <v>2.7635924957037186E-4</v>
      </c>
      <c r="AN53" s="58">
        <f t="shared" si="173"/>
        <v>1.3276424126010279E-5</v>
      </c>
      <c r="AO53" s="58">
        <f t="shared" si="174"/>
        <v>5.2756316921777688E-5</v>
      </c>
      <c r="AP53" s="58">
        <f t="shared" si="175"/>
        <v>1.3520989833594679E-4</v>
      </c>
      <c r="AQ53" s="58">
        <f t="shared" si="176"/>
        <v>1.5456552719334072E-3</v>
      </c>
      <c r="AR53" s="58">
        <f t="shared" si="177"/>
        <v>6.229437951756928E-4</v>
      </c>
      <c r="AS53" s="58">
        <f t="shared" si="178"/>
        <v>3.7663118967997582E-4</v>
      </c>
      <c r="AT53" s="58">
        <f t="shared" si="179"/>
        <v>1.7538855029624104E-4</v>
      </c>
      <c r="AU53" s="58">
        <f t="shared" si="180"/>
        <v>5.0660039428197118E-4</v>
      </c>
      <c r="AV53" s="58">
        <f t="shared" si="181"/>
        <v>0</v>
      </c>
      <c r="AW53" s="58">
        <f t="shared" si="182"/>
        <v>1.4918508162648392E-4</v>
      </c>
      <c r="AX53" s="58">
        <f t="shared" si="183"/>
        <v>8.6296756819066809E-5</v>
      </c>
      <c r="AY53" s="58">
        <f t="shared" si="184"/>
        <v>4.541934569424569E-5</v>
      </c>
      <c r="AZ53" s="58">
        <f t="shared" si="185"/>
        <v>7.1972193946266255E-5</v>
      </c>
      <c r="BA53" s="58">
        <f t="shared" si="220"/>
        <v>5.8639869087093819E-3</v>
      </c>
      <c r="BB53" s="4">
        <f t="shared" si="221"/>
        <v>2853824.4853526298</v>
      </c>
      <c r="BC53" s="59">
        <f t="shared" si="186"/>
        <v>1.8116040515228724E-3</v>
      </c>
      <c r="BD53" s="59">
        <f t="shared" si="222"/>
        <v>2.7717191581326728E-4</v>
      </c>
      <c r="BE53" s="59">
        <f t="shared" si="187"/>
        <v>1.3315464982179718E-5</v>
      </c>
      <c r="BF53" s="59">
        <f t="shared" si="188"/>
        <v>5.2911452955503619E-5</v>
      </c>
      <c r="BG53" s="59">
        <f t="shared" si="189"/>
        <v>1.3560749863430398E-4</v>
      </c>
      <c r="BH53" s="59">
        <f t="shared" si="190"/>
        <v>1.5502004495042915E-3</v>
      </c>
      <c r="BI53" s="59">
        <f t="shared" si="191"/>
        <v>6.2477563324280102E-4</v>
      </c>
      <c r="BJ53" s="59">
        <f t="shared" si="192"/>
        <v>3.7773871712604574E-4</v>
      </c>
      <c r="BK53" s="59">
        <f t="shared" si="193"/>
        <v>1.7590430055405837E-4</v>
      </c>
      <c r="BL53" s="59">
        <f t="shared" si="194"/>
        <v>5.0809011116212085E-4</v>
      </c>
      <c r="BM53" s="59">
        <f t="shared" si="195"/>
        <v>0</v>
      </c>
      <c r="BN53" s="59">
        <f t="shared" si="196"/>
        <v>1.4962377756291422E-4</v>
      </c>
      <c r="BO53" s="59">
        <f t="shared" si="237"/>
        <v>8.6550522384168166E-5</v>
      </c>
      <c r="BP53" s="59">
        <f t="shared" si="198"/>
        <v>4.5552906517983245E-5</v>
      </c>
      <c r="BQ53" s="59">
        <f t="shared" si="199"/>
        <v>7.2183836482342698E-5</v>
      </c>
      <c r="BR53" s="60">
        <f t="shared" si="238"/>
        <v>1.1241288059325809E-3</v>
      </c>
      <c r="BS53" s="60">
        <f t="shared" si="223"/>
        <v>1.8482179901735361E-4</v>
      </c>
      <c r="BT53" s="60">
        <f t="shared" si="224"/>
        <v>2.3059052429386273E-5</v>
      </c>
      <c r="BU53" s="60">
        <f t="shared" si="225"/>
        <v>3.7732994884450265E-5</v>
      </c>
      <c r="BV53" s="60">
        <f t="shared" si="226"/>
        <v>1.0813298071053108E-4</v>
      </c>
      <c r="BW53" s="60">
        <f t="shared" si="227"/>
        <v>1.0757397337890959E-3</v>
      </c>
      <c r="BX53" s="60">
        <f t="shared" si="228"/>
        <v>4.0178651960294265E-4</v>
      </c>
      <c r="BY53" s="60">
        <f t="shared" si="229"/>
        <v>6.0634826501817997E-4</v>
      </c>
      <c r="BZ53" s="60">
        <f t="shared" si="230"/>
        <v>4.0405748688765491E-4</v>
      </c>
      <c r="CA53" s="60">
        <f t="shared" si="231"/>
        <v>3.0081582032881184E-4</v>
      </c>
      <c r="CB53" s="60">
        <f t="shared" si="232"/>
        <v>1.746897911317142E-7</v>
      </c>
      <c r="CC53" s="60">
        <f t="shared" si="233"/>
        <v>9.1886830135281663E-5</v>
      </c>
      <c r="CD53" s="60">
        <f t="shared" si="234"/>
        <v>7.6514128515690812E-5</v>
      </c>
      <c r="CE53" s="60">
        <f t="shared" si="235"/>
        <v>1.4831163267082535E-4</v>
      </c>
      <c r="CF53" s="13">
        <f t="shared" si="236"/>
        <v>5.5376663788753401E-5</v>
      </c>
    </row>
    <row r="54" spans="1:85" hidden="1" x14ac:dyDescent="0.25">
      <c r="A54" s="4" t="s">
        <v>1</v>
      </c>
      <c r="B54" s="56">
        <v>710343.28776711202</v>
      </c>
      <c r="C54" s="57">
        <v>5212</v>
      </c>
      <c r="D54" s="57">
        <v>406</v>
      </c>
      <c r="E54" s="57">
        <v>24</v>
      </c>
      <c r="F54" s="57">
        <v>146</v>
      </c>
      <c r="G54" s="57">
        <v>319</v>
      </c>
      <c r="H54" s="57">
        <v>3335</v>
      </c>
      <c r="I54" s="57">
        <v>1780</v>
      </c>
      <c r="J54" s="57">
        <v>380</v>
      </c>
      <c r="K54" s="57">
        <v>125</v>
      </c>
      <c r="L54" s="57">
        <v>1343</v>
      </c>
      <c r="M54" s="57">
        <v>0</v>
      </c>
      <c r="N54" s="57">
        <v>576</v>
      </c>
      <c r="O54" s="57">
        <v>226</v>
      </c>
      <c r="P54" s="57">
        <v>5</v>
      </c>
      <c r="Q54" s="57">
        <v>161</v>
      </c>
      <c r="S54" s="4">
        <f t="shared" si="214"/>
        <v>1996</v>
      </c>
      <c r="T54" s="4" t="str">
        <f t="shared" si="215"/>
        <v>65-74</v>
      </c>
      <c r="U54" s="56">
        <f t="shared" si="216"/>
        <v>710343.28776711202</v>
      </c>
      <c r="V54" s="4">
        <f t="shared" si="217"/>
        <v>5212</v>
      </c>
      <c r="W54" s="4">
        <f t="shared" si="158"/>
        <v>406</v>
      </c>
      <c r="X54" s="4">
        <f t="shared" si="159"/>
        <v>24</v>
      </c>
      <c r="Y54" s="4">
        <f t="shared" si="160"/>
        <v>146</v>
      </c>
      <c r="Z54" s="4">
        <f t="shared" si="161"/>
        <v>319</v>
      </c>
      <c r="AA54" s="4">
        <f t="shared" si="162"/>
        <v>3335</v>
      </c>
      <c r="AB54" s="4">
        <f t="shared" si="163"/>
        <v>1780</v>
      </c>
      <c r="AC54" s="4">
        <f t="shared" si="164"/>
        <v>380</v>
      </c>
      <c r="AD54" s="4">
        <f t="shared" si="165"/>
        <v>125</v>
      </c>
      <c r="AE54" s="4">
        <f t="shared" si="166"/>
        <v>1343</v>
      </c>
      <c r="AF54" s="4">
        <f t="shared" si="167"/>
        <v>0</v>
      </c>
      <c r="AG54" s="4">
        <f t="shared" si="168"/>
        <v>576</v>
      </c>
      <c r="AH54" s="4">
        <f t="shared" si="169"/>
        <v>226</v>
      </c>
      <c r="AI54" s="4">
        <f t="shared" si="170"/>
        <v>5</v>
      </c>
      <c r="AJ54" s="4">
        <f t="shared" si="171"/>
        <v>161</v>
      </c>
      <c r="AK54" s="4">
        <f t="shared" si="218"/>
        <v>14038</v>
      </c>
      <c r="AL54" s="58">
        <f t="shared" si="219"/>
        <v>7.3372974585053981E-3</v>
      </c>
      <c r="AM54" s="58">
        <f t="shared" si="172"/>
        <v>5.7155463702095004E-4</v>
      </c>
      <c r="AN54" s="58">
        <f t="shared" si="173"/>
        <v>3.3786481006164537E-5</v>
      </c>
      <c r="AO54" s="58">
        <f t="shared" si="174"/>
        <v>2.0553442612083426E-4</v>
      </c>
      <c r="AP54" s="58">
        <f t="shared" si="175"/>
        <v>4.4907864337360363E-4</v>
      </c>
      <c r="AQ54" s="58">
        <f t="shared" si="176"/>
        <v>4.6949130898149474E-3</v>
      </c>
      <c r="AR54" s="58">
        <f t="shared" si="177"/>
        <v>2.5058306746238699E-3</v>
      </c>
      <c r="AS54" s="58">
        <f t="shared" si="178"/>
        <v>5.3495261593093852E-4</v>
      </c>
      <c r="AT54" s="58">
        <f t="shared" si="179"/>
        <v>1.759712552404403E-4</v>
      </c>
      <c r="AU54" s="58">
        <f t="shared" si="180"/>
        <v>1.8906351663032905E-3</v>
      </c>
      <c r="AV54" s="58">
        <f t="shared" si="181"/>
        <v>0</v>
      </c>
      <c r="AW54" s="58">
        <f t="shared" si="182"/>
        <v>8.1087554414794889E-4</v>
      </c>
      <c r="AX54" s="58">
        <f t="shared" si="183"/>
        <v>3.1815602947471606E-4</v>
      </c>
      <c r="AY54" s="58">
        <f t="shared" si="184"/>
        <v>7.0388502096176121E-6</v>
      </c>
      <c r="AZ54" s="58">
        <f t="shared" si="185"/>
        <v>2.2665097674968711E-4</v>
      </c>
      <c r="BA54" s="58">
        <f t="shared" si="220"/>
        <v>1.9762275848522408E-2</v>
      </c>
      <c r="BB54" s="4">
        <f t="shared" si="221"/>
        <v>703324.28776711202</v>
      </c>
      <c r="BC54" s="59">
        <f t="shared" si="186"/>
        <v>7.4105218469660197E-3</v>
      </c>
      <c r="BD54" s="59">
        <f t="shared" si="222"/>
        <v>5.772586089539916E-4</v>
      </c>
      <c r="BE54" s="59">
        <f t="shared" si="187"/>
        <v>3.4123661613043836E-5</v>
      </c>
      <c r="BF54" s="59">
        <f t="shared" si="188"/>
        <v>2.0758560814601668E-4</v>
      </c>
      <c r="BG54" s="59">
        <f t="shared" si="189"/>
        <v>4.5356033560670767E-4</v>
      </c>
      <c r="BH54" s="59">
        <f t="shared" si="190"/>
        <v>4.741767144979217E-3</v>
      </c>
      <c r="BI54" s="59">
        <f t="shared" si="191"/>
        <v>2.5308382363007516E-3</v>
      </c>
      <c r="BJ54" s="59">
        <f t="shared" si="192"/>
        <v>5.4029130887319409E-4</v>
      </c>
      <c r="BK54" s="59">
        <f t="shared" si="193"/>
        <v>1.7772740423460334E-4</v>
      </c>
      <c r="BL54" s="59">
        <f t="shared" si="194"/>
        <v>1.909503231096578E-3</v>
      </c>
      <c r="BM54" s="59">
        <f t="shared" si="195"/>
        <v>0</v>
      </c>
      <c r="BN54" s="59">
        <f t="shared" si="196"/>
        <v>8.1896787871305217E-4</v>
      </c>
      <c r="BO54" s="59">
        <f t="shared" si="237"/>
        <v>3.2133114685616281E-4</v>
      </c>
      <c r="BP54" s="59">
        <f t="shared" si="198"/>
        <v>7.1090961693841331E-6</v>
      </c>
      <c r="BQ54" s="59">
        <f t="shared" si="199"/>
        <v>2.2891289665416908E-4</v>
      </c>
      <c r="BR54" s="60">
        <f t="shared" si="238"/>
        <v>7.3077342876250043E-3</v>
      </c>
      <c r="BS54" s="60">
        <f t="shared" si="223"/>
        <v>8.4255037009122813E-4</v>
      </c>
      <c r="BT54" s="60">
        <f t="shared" si="224"/>
        <v>4.3640871299629196E-5</v>
      </c>
      <c r="BU54" s="60">
        <f t="shared" si="225"/>
        <v>2.0905385122564307E-4</v>
      </c>
      <c r="BV54" s="60">
        <f t="shared" si="226"/>
        <v>4.969428247990034E-4</v>
      </c>
      <c r="BW54" s="60">
        <f t="shared" si="227"/>
        <v>5.461443877642305E-3</v>
      </c>
      <c r="BX54" s="60">
        <f t="shared" si="228"/>
        <v>2.5079423296867549E-3</v>
      </c>
      <c r="BY54" s="60">
        <f t="shared" si="229"/>
        <v>1.0262643605622478E-3</v>
      </c>
      <c r="BZ54" s="60">
        <f t="shared" si="230"/>
        <v>4.4133590814302427E-4</v>
      </c>
      <c r="CA54" s="60">
        <f t="shared" si="231"/>
        <v>1.9659508635461991E-3</v>
      </c>
      <c r="CB54" s="60">
        <f t="shared" si="232"/>
        <v>0</v>
      </c>
      <c r="CC54" s="60">
        <f t="shared" si="233"/>
        <v>7.0599667602464649E-4</v>
      </c>
      <c r="CD54" s="60">
        <f t="shared" si="234"/>
        <v>3.3293761491491304E-4</v>
      </c>
      <c r="CE54" s="60">
        <f t="shared" si="235"/>
        <v>9.5024477829837753E-5</v>
      </c>
      <c r="CF54" s="13">
        <f t="shared" si="236"/>
        <v>2.5832580269296635E-4</v>
      </c>
    </row>
    <row r="55" spans="1:85" hidden="1" x14ac:dyDescent="0.25">
      <c r="A55" s="4" t="s">
        <v>0</v>
      </c>
      <c r="B55" s="56">
        <v>710343.28776711202</v>
      </c>
      <c r="C55" s="57">
        <v>9429</v>
      </c>
      <c r="D55" s="57">
        <v>279</v>
      </c>
      <c r="E55" s="57">
        <v>22</v>
      </c>
      <c r="F55" s="57">
        <v>432</v>
      </c>
      <c r="G55" s="57">
        <v>397</v>
      </c>
      <c r="H55" s="57">
        <v>3401</v>
      </c>
      <c r="I55" s="57">
        <v>3442</v>
      </c>
      <c r="J55" s="57">
        <v>534</v>
      </c>
      <c r="K55" s="57">
        <v>68</v>
      </c>
      <c r="L55" s="57">
        <v>1306</v>
      </c>
      <c r="M55" s="57">
        <v>14</v>
      </c>
      <c r="N55" s="57">
        <v>1141</v>
      </c>
      <c r="O55" s="57">
        <v>974</v>
      </c>
      <c r="P55" s="57">
        <v>7</v>
      </c>
      <c r="Q55" s="57">
        <v>178</v>
      </c>
      <c r="S55" s="4">
        <f t="shared" si="214"/>
        <v>1996</v>
      </c>
      <c r="T55" s="4" t="str">
        <f t="shared" si="215"/>
        <v>75+</v>
      </c>
      <c r="U55" s="56">
        <f t="shared" si="216"/>
        <v>710343.28776711202</v>
      </c>
      <c r="V55" s="4">
        <f t="shared" si="217"/>
        <v>9429</v>
      </c>
      <c r="W55" s="4">
        <f t="shared" si="158"/>
        <v>279</v>
      </c>
      <c r="X55" s="4">
        <f t="shared" si="159"/>
        <v>22</v>
      </c>
      <c r="Y55" s="4">
        <f t="shared" si="160"/>
        <v>432</v>
      </c>
      <c r="Z55" s="4">
        <f t="shared" si="161"/>
        <v>397</v>
      </c>
      <c r="AA55" s="4">
        <f t="shared" si="162"/>
        <v>3401</v>
      </c>
      <c r="AB55" s="4">
        <f t="shared" si="163"/>
        <v>3442</v>
      </c>
      <c r="AC55" s="4">
        <f t="shared" si="164"/>
        <v>534</v>
      </c>
      <c r="AD55" s="4">
        <f t="shared" si="165"/>
        <v>68</v>
      </c>
      <c r="AE55" s="4">
        <f t="shared" si="166"/>
        <v>1306</v>
      </c>
      <c r="AF55" s="4">
        <f t="shared" si="167"/>
        <v>14</v>
      </c>
      <c r="AG55" s="4">
        <f t="shared" si="168"/>
        <v>1141</v>
      </c>
      <c r="AH55" s="4">
        <f t="shared" si="169"/>
        <v>974</v>
      </c>
      <c r="AI55" s="4">
        <f t="shared" si="170"/>
        <v>7</v>
      </c>
      <c r="AJ55" s="4">
        <f t="shared" si="171"/>
        <v>178</v>
      </c>
      <c r="AK55" s="4">
        <f t="shared" si="218"/>
        <v>21624</v>
      </c>
      <c r="AL55" s="58">
        <f t="shared" si="219"/>
        <v>1.3273863725296892E-2</v>
      </c>
      <c r="AM55" s="58">
        <f t="shared" si="172"/>
        <v>3.9276784169666276E-4</v>
      </c>
      <c r="AN55" s="58">
        <f t="shared" si="173"/>
        <v>3.0970940922317494E-5</v>
      </c>
      <c r="AO55" s="58">
        <f t="shared" si="174"/>
        <v>6.0815665811096166E-4</v>
      </c>
      <c r="AP55" s="58">
        <f t="shared" si="175"/>
        <v>5.588847066436384E-4</v>
      </c>
      <c r="AQ55" s="58">
        <f t="shared" si="176"/>
        <v>4.7878259125818997E-3</v>
      </c>
      <c r="AR55" s="58">
        <f t="shared" si="177"/>
        <v>4.8455444843007638E-3</v>
      </c>
      <c r="AS55" s="58">
        <f t="shared" si="178"/>
        <v>7.5174920238716097E-4</v>
      </c>
      <c r="AT55" s="58">
        <f t="shared" si="179"/>
        <v>9.5728362850799526E-5</v>
      </c>
      <c r="AU55" s="58">
        <f t="shared" si="180"/>
        <v>1.8385476747521201E-3</v>
      </c>
      <c r="AV55" s="58">
        <f t="shared" si="181"/>
        <v>1.9708780586929314E-5</v>
      </c>
      <c r="AW55" s="58">
        <f t="shared" si="182"/>
        <v>1.606265617834739E-3</v>
      </c>
      <c r="AX55" s="58">
        <f t="shared" si="183"/>
        <v>1.3711680208335108E-3</v>
      </c>
      <c r="AY55" s="58">
        <f t="shared" si="184"/>
        <v>9.8543902934646572E-6</v>
      </c>
      <c r="AZ55" s="58">
        <f t="shared" si="185"/>
        <v>2.5058306746238699E-4</v>
      </c>
      <c r="BA55" s="58">
        <f t="shared" si="220"/>
        <v>3.0441619386554247E-2</v>
      </c>
      <c r="BB55" s="4">
        <f t="shared" si="221"/>
        <v>699531.28776711202</v>
      </c>
      <c r="BC55" s="59">
        <f t="shared" si="186"/>
        <v>1.3479025405850185E-2</v>
      </c>
      <c r="BD55" s="59">
        <f t="shared" si="222"/>
        <v>3.9883848639645793E-4</v>
      </c>
      <c r="BE55" s="59">
        <f t="shared" si="187"/>
        <v>3.1449629751692027E-5</v>
      </c>
      <c r="BF55" s="59">
        <f t="shared" si="188"/>
        <v>6.1755636603322511E-4</v>
      </c>
      <c r="BG55" s="59">
        <f t="shared" si="189"/>
        <v>5.6752286415553336E-4</v>
      </c>
      <c r="BH55" s="59">
        <f t="shared" si="190"/>
        <v>4.8618268538865713E-3</v>
      </c>
      <c r="BI55" s="59">
        <f t="shared" si="191"/>
        <v>4.9204375275147243E-3</v>
      </c>
      <c r="BJ55" s="59">
        <f t="shared" si="192"/>
        <v>7.6336828579107001E-4</v>
      </c>
      <c r="BK55" s="59">
        <f t="shared" si="193"/>
        <v>9.7207946505229885E-5</v>
      </c>
      <c r="BL55" s="59">
        <f t="shared" si="194"/>
        <v>1.8669643843504445E-3</v>
      </c>
      <c r="BM55" s="59">
        <f t="shared" si="195"/>
        <v>2.0013400751076742E-5</v>
      </c>
      <c r="BN55" s="59">
        <f t="shared" si="196"/>
        <v>1.6310921612127545E-3</v>
      </c>
      <c r="BO55" s="59">
        <f t="shared" si="237"/>
        <v>1.3923608808249104E-3</v>
      </c>
      <c r="BP55" s="59">
        <f t="shared" si="198"/>
        <v>1.0006700375538371E-5</v>
      </c>
      <c r="BQ55" s="59">
        <f t="shared" si="199"/>
        <v>2.5445609526369002E-4</v>
      </c>
      <c r="BR55" s="60">
        <f t="shared" si="238"/>
        <v>1.0305580591901146E-2</v>
      </c>
      <c r="BS55" s="60">
        <f t="shared" si="223"/>
        <v>4.8216123935880642E-4</v>
      </c>
      <c r="BT55" s="60">
        <f t="shared" si="224"/>
        <v>3.2378710964241012E-5</v>
      </c>
      <c r="BU55" s="60">
        <f t="shared" si="225"/>
        <v>4.0684554211589799E-4</v>
      </c>
      <c r="BV55" s="60">
        <f t="shared" si="226"/>
        <v>5.0398167500862096E-4</v>
      </c>
      <c r="BW55" s="60">
        <f t="shared" si="227"/>
        <v>4.7413695011984235E-3</v>
      </c>
      <c r="BX55" s="60">
        <f t="shared" si="228"/>
        <v>3.6756875794623171E-3</v>
      </c>
      <c r="BY55" s="60">
        <f t="shared" si="229"/>
        <v>6.4335090915904969E-4</v>
      </c>
      <c r="BZ55" s="60">
        <f t="shared" si="230"/>
        <v>1.3584980904561992E-4</v>
      </c>
      <c r="CA55" s="60">
        <f t="shared" si="231"/>
        <v>1.8645914205277054E-3</v>
      </c>
      <c r="CB55" s="60">
        <f t="shared" si="232"/>
        <v>9.8543902934646572E-6</v>
      </c>
      <c r="CC55" s="60">
        <f t="shared" si="233"/>
        <v>1.208570580991344E-3</v>
      </c>
      <c r="CD55" s="60">
        <f t="shared" si="234"/>
        <v>8.4466202515411342E-4</v>
      </c>
      <c r="CE55" s="60">
        <f t="shared" si="235"/>
        <v>8.4466202515411342E-6</v>
      </c>
      <c r="CF55" s="13">
        <f t="shared" si="236"/>
        <v>2.3861702210603705E-4</v>
      </c>
    </row>
    <row r="56" spans="1:85" hidden="1" x14ac:dyDescent="0.25">
      <c r="C56" s="4"/>
    </row>
    <row r="57" spans="1:85" hidden="1" x14ac:dyDescent="0.25">
      <c r="C57" s="4"/>
    </row>
    <row r="58" spans="1:85" hidden="1" x14ac:dyDescent="0.25">
      <c r="A58" s="4" t="s">
        <v>23</v>
      </c>
      <c r="B58" s="61">
        <v>1996</v>
      </c>
    </row>
    <row r="59" spans="1:85" hidden="1" x14ac:dyDescent="0.25"/>
    <row r="60" spans="1:85" s="21" customFormat="1" ht="23.25" hidden="1" customHeight="1" x14ac:dyDescent="0.25">
      <c r="A60" s="62" t="s">
        <v>46</v>
      </c>
      <c r="B60" s="62"/>
      <c r="C60" s="4" t="s">
        <v>35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</row>
    <row r="61" spans="1:85" s="37" customFormat="1" ht="33" hidden="1" customHeight="1" x14ac:dyDescent="0.25">
      <c r="A61" s="63" t="s">
        <v>22</v>
      </c>
      <c r="B61" s="64" t="s">
        <v>24</v>
      </c>
      <c r="C61" s="64">
        <v>1</v>
      </c>
      <c r="D61" s="64">
        <v>10</v>
      </c>
      <c r="E61" s="64">
        <v>11</v>
      </c>
      <c r="F61" s="64">
        <v>12</v>
      </c>
      <c r="G61" s="64">
        <v>13</v>
      </c>
      <c r="H61" s="64">
        <v>2</v>
      </c>
      <c r="I61" s="64">
        <v>3</v>
      </c>
      <c r="J61" s="64">
        <v>4</v>
      </c>
      <c r="K61" s="64">
        <v>5</v>
      </c>
      <c r="L61" s="64">
        <v>6</v>
      </c>
      <c r="M61" s="64">
        <v>7</v>
      </c>
      <c r="N61" s="64">
        <v>8</v>
      </c>
      <c r="O61" s="64">
        <v>9</v>
      </c>
      <c r="P61" s="64">
        <v>14</v>
      </c>
      <c r="Q61" s="64">
        <v>15</v>
      </c>
      <c r="R61" s="64"/>
      <c r="S61" s="65" t="s">
        <v>23</v>
      </c>
      <c r="T61" s="65" t="s">
        <v>22</v>
      </c>
      <c r="U61" s="65" t="s">
        <v>181</v>
      </c>
      <c r="V61" s="66" t="str">
        <f>+CONCATENATE("dx","(",C61,")")</f>
        <v>dx(1)</v>
      </c>
      <c r="W61" s="66" t="str">
        <f t="shared" ref="W61" si="239">+CONCATENATE("dx","(",D61,")")</f>
        <v>dx(10)</v>
      </c>
      <c r="X61" s="66" t="str">
        <f t="shared" ref="X61" si="240">+CONCATENATE("dx","(",E61,")")</f>
        <v>dx(11)</v>
      </c>
      <c r="Y61" s="66" t="str">
        <f t="shared" ref="Y61" si="241">+CONCATENATE("dx","(",F61,")")</f>
        <v>dx(12)</v>
      </c>
      <c r="Z61" s="66" t="str">
        <f t="shared" ref="Z61" si="242">+CONCATENATE("dx","(",G61,")")</f>
        <v>dx(13)</v>
      </c>
      <c r="AA61" s="66" t="str">
        <f t="shared" ref="AA61" si="243">+CONCATENATE("dx","(",H61,")")</f>
        <v>dx(2)</v>
      </c>
      <c r="AB61" s="66" t="str">
        <f t="shared" ref="AB61" si="244">+CONCATENATE("dx","(",I61,")")</f>
        <v>dx(3)</v>
      </c>
      <c r="AC61" s="66" t="str">
        <f t="shared" ref="AC61" si="245">+CONCATENATE("dx","(",J61,")")</f>
        <v>dx(4)</v>
      </c>
      <c r="AD61" s="66" t="str">
        <f t="shared" ref="AD61" si="246">+CONCATENATE("dx","(",K61,")")</f>
        <v>dx(5)</v>
      </c>
      <c r="AE61" s="66" t="str">
        <f t="shared" ref="AE61" si="247">+CONCATENATE("dx","(",L61,")")</f>
        <v>dx(6)</v>
      </c>
      <c r="AF61" s="66" t="str">
        <f t="shared" ref="AF61" si="248">+CONCATENATE("dx","(",M61,")")</f>
        <v>dx(7)</v>
      </c>
      <c r="AG61" s="66" t="str">
        <f t="shared" ref="AG61" si="249">+CONCATENATE("dx","(",N61,")")</f>
        <v>dx(8)</v>
      </c>
      <c r="AH61" s="66" t="str">
        <f t="shared" ref="AH61" si="250">+CONCATENATE("dx","(",O61,")")</f>
        <v>dx(9)</v>
      </c>
      <c r="AI61" s="66" t="str">
        <f t="shared" ref="AI61" si="251">+CONCATENATE("dx","(",P61,")")</f>
        <v>dx(14)</v>
      </c>
      <c r="AJ61" s="66" t="str">
        <f t="shared" ref="AJ61" si="252">+CONCATENATE("dx","(",Q61,")")</f>
        <v>dx(15)</v>
      </c>
      <c r="AK61" s="66" t="s">
        <v>182</v>
      </c>
      <c r="AL61" s="66" t="str">
        <f t="shared" ref="AL61:AZ61" si="253">+CONCATENATE("qx","(",C61,")")</f>
        <v>qx(1)</v>
      </c>
      <c r="AM61" s="66" t="str">
        <f t="shared" si="253"/>
        <v>qx(10)</v>
      </c>
      <c r="AN61" s="66" t="str">
        <f t="shared" si="253"/>
        <v>qx(11)</v>
      </c>
      <c r="AO61" s="66" t="str">
        <f t="shared" si="253"/>
        <v>qx(12)</v>
      </c>
      <c r="AP61" s="66" t="str">
        <f t="shared" si="253"/>
        <v>qx(13)</v>
      </c>
      <c r="AQ61" s="66" t="str">
        <f t="shared" si="253"/>
        <v>qx(2)</v>
      </c>
      <c r="AR61" s="66" t="str">
        <f t="shared" si="253"/>
        <v>qx(3)</v>
      </c>
      <c r="AS61" s="66" t="str">
        <f t="shared" si="253"/>
        <v>qx(4)</v>
      </c>
      <c r="AT61" s="66" t="str">
        <f t="shared" si="253"/>
        <v>qx(5)</v>
      </c>
      <c r="AU61" s="66" t="str">
        <f t="shared" si="253"/>
        <v>qx(6)</v>
      </c>
      <c r="AV61" s="66" t="str">
        <f t="shared" si="253"/>
        <v>qx(7)</v>
      </c>
      <c r="AW61" s="66" t="str">
        <f t="shared" si="253"/>
        <v>qx(8)</v>
      </c>
      <c r="AX61" s="66" t="str">
        <f t="shared" si="253"/>
        <v>qx(9)</v>
      </c>
      <c r="AY61" s="66" t="str">
        <f t="shared" si="253"/>
        <v>qx(14)</v>
      </c>
      <c r="AZ61" s="66" t="str">
        <f t="shared" si="253"/>
        <v>qx(15)</v>
      </c>
      <c r="BA61" s="66" t="str">
        <f>+CONCATENATE("qx","(T)")</f>
        <v>qx(T)</v>
      </c>
      <c r="BB61" s="65" t="s">
        <v>184</v>
      </c>
      <c r="BC61" s="66" t="str">
        <f t="shared" ref="BC61:BQ61" si="254">+CONCATENATE("mx","(",C61,")")</f>
        <v>mx(1)</v>
      </c>
      <c r="BD61" s="66" t="str">
        <f t="shared" si="254"/>
        <v>mx(10)</v>
      </c>
      <c r="BE61" s="66" t="str">
        <f t="shared" si="254"/>
        <v>mx(11)</v>
      </c>
      <c r="BF61" s="66" t="str">
        <f t="shared" si="254"/>
        <v>mx(12)</v>
      </c>
      <c r="BG61" s="66" t="str">
        <f t="shared" si="254"/>
        <v>mx(13)</v>
      </c>
      <c r="BH61" s="66" t="str">
        <f t="shared" si="254"/>
        <v>mx(2)</v>
      </c>
      <c r="BI61" s="66" t="str">
        <f t="shared" si="254"/>
        <v>mx(3)</v>
      </c>
      <c r="BJ61" s="66" t="str">
        <f t="shared" si="254"/>
        <v>mx(4)</v>
      </c>
      <c r="BK61" s="66" t="str">
        <f t="shared" si="254"/>
        <v>mx(5)</v>
      </c>
      <c r="BL61" s="66" t="str">
        <f t="shared" si="254"/>
        <v>mx(6)</v>
      </c>
      <c r="BM61" s="66" t="str">
        <f t="shared" si="254"/>
        <v>mx(7)</v>
      </c>
      <c r="BN61" s="66" t="str">
        <f t="shared" si="254"/>
        <v>mx(8)</v>
      </c>
      <c r="BO61" s="66" t="str">
        <f t="shared" si="254"/>
        <v>mx(9)</v>
      </c>
      <c r="BP61" s="66" t="str">
        <f t="shared" si="254"/>
        <v>mx(14)</v>
      </c>
      <c r="BQ61" s="66" t="str">
        <f t="shared" si="254"/>
        <v>mx(15)</v>
      </c>
      <c r="BR61" s="66" t="str">
        <f>+CONCATENATE("µ(X)",C61)</f>
        <v>µ(X)1</v>
      </c>
      <c r="BS61" s="66" t="str">
        <f t="shared" ref="BS61" si="255">+CONCATENATE("µ(X)",D61)</f>
        <v>µ(X)10</v>
      </c>
      <c r="BT61" s="66" t="str">
        <f t="shared" ref="BT61" si="256">+CONCATENATE("µ(X)",E61)</f>
        <v>µ(X)11</v>
      </c>
      <c r="BU61" s="66" t="str">
        <f t="shared" ref="BU61" si="257">+CONCATENATE("µ(X)",F61)</f>
        <v>µ(X)12</v>
      </c>
      <c r="BV61" s="66" t="str">
        <f t="shared" ref="BV61" si="258">+CONCATENATE("µ(X)",G61)</f>
        <v>µ(X)13</v>
      </c>
      <c r="BW61" s="66" t="str">
        <f t="shared" ref="BW61" si="259">+CONCATENATE("µ(X)",H61)</f>
        <v>µ(X)2</v>
      </c>
      <c r="BX61" s="66" t="str">
        <f t="shared" ref="BX61" si="260">+CONCATENATE("µ(X)",I61)</f>
        <v>µ(X)3</v>
      </c>
      <c r="BY61" s="66" t="str">
        <f t="shared" ref="BY61" si="261">+CONCATENATE("µ(X)",J61)</f>
        <v>µ(X)4</v>
      </c>
      <c r="BZ61" s="66" t="str">
        <f t="shared" ref="BZ61" si="262">+CONCATENATE("µ(X)",K61)</f>
        <v>µ(X)5</v>
      </c>
      <c r="CA61" s="66" t="str">
        <f t="shared" ref="CA61" si="263">+CONCATENATE("µ(X)",L61)</f>
        <v>µ(X)6</v>
      </c>
      <c r="CB61" s="66" t="str">
        <f t="shared" ref="CB61" si="264">+CONCATENATE("µ(X)",M61)</f>
        <v>µ(X)7</v>
      </c>
      <c r="CC61" s="66" t="str">
        <f t="shared" ref="CC61" si="265">+CONCATENATE("µ(X)",N61)</f>
        <v>µ(X)8</v>
      </c>
      <c r="CD61" s="66" t="str">
        <f t="shared" ref="CD61" si="266">+CONCATENATE("µ(X)",O61)</f>
        <v>µ(X)9</v>
      </c>
      <c r="CE61" s="66" t="str">
        <f t="shared" ref="CE61" si="267">+CONCATENATE("µ(X)",P61)</f>
        <v>µ(X)14</v>
      </c>
      <c r="CF61" s="42" t="str">
        <f t="shared" ref="CF61" si="268">+CONCATENATE("µ(X)",Q61)</f>
        <v>µ(X)15</v>
      </c>
      <c r="CG61" s="36"/>
    </row>
    <row r="62" spans="1:85" hidden="1" x14ac:dyDescent="0.25">
      <c r="A62" s="4" t="s">
        <v>6</v>
      </c>
      <c r="B62" s="56">
        <v>2669011.0638103201</v>
      </c>
      <c r="C62" s="57">
        <v>82</v>
      </c>
      <c r="D62" s="57">
        <v>35</v>
      </c>
      <c r="E62" s="57">
        <v>1552</v>
      </c>
      <c r="F62" s="57">
        <v>2468</v>
      </c>
      <c r="G62" s="57">
        <v>37</v>
      </c>
      <c r="H62" s="57">
        <v>159</v>
      </c>
      <c r="I62" s="57">
        <v>14</v>
      </c>
      <c r="J62" s="57">
        <v>786</v>
      </c>
      <c r="K62" s="57">
        <v>32</v>
      </c>
      <c r="L62" s="57">
        <v>12</v>
      </c>
      <c r="M62" s="57">
        <v>5626</v>
      </c>
      <c r="N62" s="57">
        <v>114</v>
      </c>
      <c r="O62" s="57">
        <v>877</v>
      </c>
      <c r="P62" s="57">
        <v>21</v>
      </c>
      <c r="Q62" s="57">
        <v>29</v>
      </c>
      <c r="S62" s="4">
        <f>+$B$58</f>
        <v>1996</v>
      </c>
      <c r="T62" s="4" t="str">
        <f>+A62</f>
        <v>0-4</v>
      </c>
      <c r="U62" s="56">
        <f>+B62</f>
        <v>2669011.0638103201</v>
      </c>
      <c r="V62" s="4">
        <f>+C62</f>
        <v>82</v>
      </c>
      <c r="W62" s="4">
        <f t="shared" ref="W62:W68" si="269">+D62</f>
        <v>35</v>
      </c>
      <c r="X62" s="4">
        <f t="shared" ref="X62:X68" si="270">+E62</f>
        <v>1552</v>
      </c>
      <c r="Y62" s="4">
        <f t="shared" ref="Y62:Y68" si="271">+F62</f>
        <v>2468</v>
      </c>
      <c r="Z62" s="4">
        <f t="shared" ref="Z62:Z68" si="272">+G62</f>
        <v>37</v>
      </c>
      <c r="AA62" s="4">
        <f t="shared" ref="AA62:AA68" si="273">+H62</f>
        <v>159</v>
      </c>
      <c r="AB62" s="4">
        <f t="shared" ref="AB62:AB68" si="274">+I62</f>
        <v>14</v>
      </c>
      <c r="AC62" s="4">
        <f t="shared" ref="AC62:AC68" si="275">+J62</f>
        <v>786</v>
      </c>
      <c r="AD62" s="4">
        <f t="shared" ref="AD62:AD68" si="276">+K62</f>
        <v>32</v>
      </c>
      <c r="AE62" s="4">
        <f t="shared" ref="AE62:AE68" si="277">+L62</f>
        <v>12</v>
      </c>
      <c r="AF62" s="4">
        <f t="shared" ref="AF62:AF68" si="278">+M62</f>
        <v>5626</v>
      </c>
      <c r="AG62" s="4">
        <f t="shared" ref="AG62:AG68" si="279">+N62</f>
        <v>114</v>
      </c>
      <c r="AH62" s="4">
        <f t="shared" ref="AH62:AH68" si="280">+O62</f>
        <v>877</v>
      </c>
      <c r="AI62" s="4">
        <f t="shared" ref="AI62:AI68" si="281">+P62</f>
        <v>21</v>
      </c>
      <c r="AJ62" s="4">
        <f t="shared" ref="AJ62:AJ68" si="282">+Q62</f>
        <v>29</v>
      </c>
      <c r="AK62" s="4">
        <f>+SUM(V62:AJ62)</f>
        <v>11844</v>
      </c>
      <c r="AL62" s="58">
        <f>+V62/$U62</f>
        <v>3.072298991632338E-5</v>
      </c>
      <c r="AM62" s="58">
        <f t="shared" ref="AM62:AM68" si="283">+W62/$U62</f>
        <v>1.3113471305747784E-5</v>
      </c>
      <c r="AN62" s="58">
        <f t="shared" ref="AN62:AN68" si="284">+X62/$U62</f>
        <v>5.8148878475773028E-4</v>
      </c>
      <c r="AO62" s="58">
        <f t="shared" ref="AO62:AO68" si="285">+Y62/$U62</f>
        <v>9.2468706235958656E-4</v>
      </c>
      <c r="AP62" s="58">
        <f t="shared" ref="AP62:AP68" si="286">+Z62/$U62</f>
        <v>1.3862812523219085E-5</v>
      </c>
      <c r="AQ62" s="58">
        <f t="shared" ref="AQ62:AQ68" si="287">+AA62/$U62</f>
        <v>5.9572626788968504E-5</v>
      </c>
      <c r="AR62" s="58">
        <f t="shared" ref="AR62:AR68" si="288">+AB62/$U62</f>
        <v>5.2453885222991139E-6</v>
      </c>
      <c r="AS62" s="58">
        <f t="shared" ref="AS62:AS68" si="289">+AC62/$U62</f>
        <v>2.9449109846622164E-4</v>
      </c>
      <c r="AT62" s="58">
        <f t="shared" ref="AT62:AT68" si="290">+AD62/$U62</f>
        <v>1.1989459479540831E-5</v>
      </c>
      <c r="AU62" s="58">
        <f t="shared" ref="AU62:AU68" si="291">+AE62/$U62</f>
        <v>4.4960473048278115E-6</v>
      </c>
      <c r="AV62" s="58">
        <f t="shared" ref="AV62:AV68" si="292">+AF62/$U62</f>
        <v>2.1078968447467723E-3</v>
      </c>
      <c r="AW62" s="58">
        <f t="shared" ref="AW62:AW68" si="293">+AG62/$U62</f>
        <v>4.2712449395864211E-5</v>
      </c>
      <c r="AX62" s="58">
        <f t="shared" ref="AX62:AX68" si="294">+AH62/$U62</f>
        <v>3.2858612386116591E-4</v>
      </c>
      <c r="AY62" s="58">
        <f t="shared" ref="AY62:AY68" si="295">+AI62/$U62</f>
        <v>7.86808278344867E-6</v>
      </c>
      <c r="AZ62" s="58">
        <f t="shared" ref="AZ62:AZ68" si="296">+AJ62/$U62</f>
        <v>1.0865447653333878E-5</v>
      </c>
      <c r="BA62" s="58">
        <f>+AK62/U62</f>
        <v>4.4375986898650497E-3</v>
      </c>
      <c r="BB62" s="4">
        <f>+U62-(0.5*AK62)</f>
        <v>2663089.0638103201</v>
      </c>
      <c r="BC62" s="59">
        <f t="shared" ref="BC62:BC68" si="297">+AL62/(1-(0.5*$BA62))</f>
        <v>3.0791309654013318E-5</v>
      </c>
      <c r="BD62" s="59">
        <f>+AM62/(1-(0.5*$BA62))</f>
        <v>1.3142632169395928E-5</v>
      </c>
      <c r="BE62" s="59">
        <f t="shared" ref="BE62:BE68" si="298">+AN62/(1-(0.5*$BA62))</f>
        <v>5.8278186076864233E-4</v>
      </c>
      <c r="BF62" s="59">
        <f t="shared" ref="BF62:BF68" si="299">+AO62/(1-(0.5*$BA62))</f>
        <v>9.2674331983054719E-4</v>
      </c>
      <c r="BG62" s="59">
        <f t="shared" ref="BG62:BG68" si="300">+AP62/(1-(0.5*$BA62))</f>
        <v>1.3893639721932839E-5</v>
      </c>
      <c r="BH62" s="59">
        <f t="shared" ref="BH62:BH68" si="301">+AQ62/(1-(0.5*$BA62))</f>
        <v>5.9705100426684362E-5</v>
      </c>
      <c r="BI62" s="59">
        <f t="shared" ref="BI62:BI68" si="302">+AR62/(1-(0.5*$BA62))</f>
        <v>5.2570528677583717E-6</v>
      </c>
      <c r="BJ62" s="59">
        <f t="shared" ref="BJ62:BJ68" si="303">+AS62/(1-(0.5*$BA62))</f>
        <v>2.9514596814700567E-4</v>
      </c>
      <c r="BK62" s="59">
        <f t="shared" ref="BK62:BK68" si="304">+AT62/(1-(0.5*$BA62))</f>
        <v>1.2016120840590563E-5</v>
      </c>
      <c r="BL62" s="59">
        <f t="shared" ref="BL62:BL68" si="305">+AU62/(1-(0.5*$BA62))</f>
        <v>4.5060453152214609E-6</v>
      </c>
      <c r="BM62" s="59">
        <f t="shared" ref="BM62:BM68" si="306">+AV62/(1-(0.5*$BA62))</f>
        <v>2.1125842452863284E-3</v>
      </c>
      <c r="BN62" s="59">
        <f t="shared" ref="BN62:BN68" si="307">+AW62/(1-(0.5*$BA62))</f>
        <v>4.2807430494603885E-5</v>
      </c>
      <c r="BO62" s="59">
        <f t="shared" ref="BO62" si="308">+AX62/(1-(0.5*$BA62))</f>
        <v>3.2931681178743514E-4</v>
      </c>
      <c r="BP62" s="59">
        <f t="shared" ref="BP62:BP68" si="309">+AY62/(1-(0.5*$BA62))</f>
        <v>7.8855793016375572E-6</v>
      </c>
      <c r="BQ62" s="59">
        <f t="shared" ref="BQ62:BQ68" si="310">+AZ62/(1-(0.5*$BA62))</f>
        <v>1.0889609511785197E-5</v>
      </c>
      <c r="BR62" s="60">
        <f>+V62/(2*$U62)</f>
        <v>1.536149495816169E-5</v>
      </c>
      <c r="BS62" s="60">
        <f t="shared" ref="BS62" si="311">+W62/(2*$U62)</f>
        <v>6.5567356528738919E-6</v>
      </c>
      <c r="BT62" s="60">
        <f t="shared" ref="BT62" si="312">+X62/(2*$U62)</f>
        <v>2.9074439237886514E-4</v>
      </c>
      <c r="BU62" s="60">
        <f t="shared" ref="BU62" si="313">+Y62/(2*$U62)</f>
        <v>4.6234353117979328E-4</v>
      </c>
      <c r="BV62" s="60">
        <f t="shared" ref="BV62" si="314">+Z62/(2*$U62)</f>
        <v>6.9314062616095427E-6</v>
      </c>
      <c r="BW62" s="60">
        <f t="shared" ref="BW62" si="315">+AA62/(2*$U62)</f>
        <v>2.9786313394484252E-5</v>
      </c>
      <c r="BX62" s="60">
        <f t="shared" ref="BX62" si="316">+AB62/(2*$U62)</f>
        <v>2.6226942611495569E-6</v>
      </c>
      <c r="BY62" s="60">
        <f t="shared" ref="BY62" si="317">+AC62/(2*$U62)</f>
        <v>1.4724554923311082E-4</v>
      </c>
      <c r="BZ62" s="60">
        <f t="shared" ref="BZ62" si="318">+AD62/(2*$U62)</f>
        <v>5.9947297397704154E-6</v>
      </c>
      <c r="CA62" s="60">
        <f t="shared" ref="CA62" si="319">+AE62/(2*$U62)</f>
        <v>2.2480236524139058E-6</v>
      </c>
      <c r="CB62" s="60">
        <f t="shared" ref="CB62" si="320">+AF62/(2*$U62)</f>
        <v>1.0539484223733861E-3</v>
      </c>
      <c r="CC62" s="60">
        <f t="shared" ref="CC62" si="321">+AG62/(2*$U62)</f>
        <v>2.1356224697932105E-5</v>
      </c>
      <c r="CD62" s="60">
        <f t="shared" ref="CD62" si="322">+AH62/(2*$U62)</f>
        <v>1.6429306193058296E-4</v>
      </c>
      <c r="CE62" s="60">
        <f t="shared" ref="CE62" si="323">+AI62/(2*$U62)</f>
        <v>3.934041391724335E-6</v>
      </c>
      <c r="CF62" s="13">
        <f t="shared" ref="CF62" si="324">+AJ62/(2*$U62)</f>
        <v>5.4327238266669388E-6</v>
      </c>
    </row>
    <row r="63" spans="1:85" hidden="1" x14ac:dyDescent="0.25">
      <c r="A63" s="4" t="s">
        <v>5</v>
      </c>
      <c r="B63" s="56">
        <v>5336689.2615659405</v>
      </c>
      <c r="C63" s="57">
        <v>50</v>
      </c>
      <c r="D63" s="57">
        <v>18</v>
      </c>
      <c r="E63" s="57">
        <v>121</v>
      </c>
      <c r="F63" s="57">
        <v>79</v>
      </c>
      <c r="G63" s="57">
        <v>18</v>
      </c>
      <c r="H63" s="57">
        <v>266</v>
      </c>
      <c r="I63" s="57">
        <v>18</v>
      </c>
      <c r="J63" s="57">
        <v>659</v>
      </c>
      <c r="K63" s="57">
        <v>105</v>
      </c>
      <c r="L63" s="57">
        <v>16</v>
      </c>
      <c r="M63" s="57">
        <v>2</v>
      </c>
      <c r="N63" s="57">
        <v>15</v>
      </c>
      <c r="O63" s="57">
        <v>82</v>
      </c>
      <c r="P63" s="57">
        <v>2</v>
      </c>
      <c r="Q63" s="57">
        <v>34</v>
      </c>
      <c r="S63" s="4">
        <f t="shared" ref="S63:S68" si="325">+$B$58</f>
        <v>1996</v>
      </c>
      <c r="T63" s="4" t="str">
        <f t="shared" ref="T63:T68" si="326">+A63</f>
        <v>5-14</v>
      </c>
      <c r="U63" s="56">
        <f t="shared" ref="U63:U68" si="327">+B63</f>
        <v>5336689.2615659405</v>
      </c>
      <c r="V63" s="4">
        <f t="shared" ref="V63:V68" si="328">+C63</f>
        <v>50</v>
      </c>
      <c r="W63" s="4">
        <f t="shared" si="269"/>
        <v>18</v>
      </c>
      <c r="X63" s="4">
        <f t="shared" si="270"/>
        <v>121</v>
      </c>
      <c r="Y63" s="4">
        <f t="shared" si="271"/>
        <v>79</v>
      </c>
      <c r="Z63" s="4">
        <f t="shared" si="272"/>
        <v>18</v>
      </c>
      <c r="AA63" s="4">
        <f t="shared" si="273"/>
        <v>266</v>
      </c>
      <c r="AB63" s="4">
        <f t="shared" si="274"/>
        <v>18</v>
      </c>
      <c r="AC63" s="4">
        <f t="shared" si="275"/>
        <v>659</v>
      </c>
      <c r="AD63" s="4">
        <f t="shared" si="276"/>
        <v>105</v>
      </c>
      <c r="AE63" s="4">
        <f t="shared" si="277"/>
        <v>16</v>
      </c>
      <c r="AF63" s="4">
        <f t="shared" si="278"/>
        <v>2</v>
      </c>
      <c r="AG63" s="4">
        <f t="shared" si="279"/>
        <v>15</v>
      </c>
      <c r="AH63" s="4">
        <f t="shared" si="280"/>
        <v>82</v>
      </c>
      <c r="AI63" s="4">
        <f t="shared" si="281"/>
        <v>2</v>
      </c>
      <c r="AJ63" s="4">
        <f t="shared" si="282"/>
        <v>34</v>
      </c>
      <c r="AK63" s="4">
        <f t="shared" ref="AK63:AK68" si="329">+SUM(V63:AJ63)</f>
        <v>1485</v>
      </c>
      <c r="AL63" s="58">
        <f t="shared" ref="AL63:AL68" si="330">+V63/$U63</f>
        <v>9.3691046169940461E-6</v>
      </c>
      <c r="AM63" s="58">
        <f t="shared" si="283"/>
        <v>3.3728776621178566E-6</v>
      </c>
      <c r="AN63" s="58">
        <f t="shared" si="284"/>
        <v>2.2673233173125591E-5</v>
      </c>
      <c r="AO63" s="58">
        <f t="shared" si="285"/>
        <v>1.4803185294850593E-5</v>
      </c>
      <c r="AP63" s="58">
        <f t="shared" si="286"/>
        <v>3.3728776621178566E-6</v>
      </c>
      <c r="AQ63" s="58">
        <f t="shared" si="287"/>
        <v>4.9843636562408325E-5</v>
      </c>
      <c r="AR63" s="58">
        <f t="shared" si="288"/>
        <v>3.3728776621178566E-6</v>
      </c>
      <c r="AS63" s="58">
        <f t="shared" si="289"/>
        <v>1.2348479885198154E-4</v>
      </c>
      <c r="AT63" s="58">
        <f t="shared" si="290"/>
        <v>1.9675119695687498E-5</v>
      </c>
      <c r="AU63" s="58">
        <f t="shared" si="291"/>
        <v>2.998113477438095E-6</v>
      </c>
      <c r="AV63" s="58">
        <f t="shared" si="292"/>
        <v>3.7476418467976187E-7</v>
      </c>
      <c r="AW63" s="58">
        <f t="shared" si="293"/>
        <v>2.8107313850982138E-6</v>
      </c>
      <c r="AX63" s="58">
        <f t="shared" si="294"/>
        <v>1.5365331571870237E-5</v>
      </c>
      <c r="AY63" s="58">
        <f t="shared" si="295"/>
        <v>3.7476418467976187E-7</v>
      </c>
      <c r="AZ63" s="58">
        <f t="shared" si="296"/>
        <v>6.3709911395559516E-6</v>
      </c>
      <c r="BA63" s="58">
        <f t="shared" ref="BA63:BA68" si="331">+AK63/U63</f>
        <v>2.7826240712472319E-4</v>
      </c>
      <c r="BB63" s="4">
        <f t="shared" ref="BB63:BB68" si="332">+U63-(0.5*AK63)</f>
        <v>5335946.7615659405</v>
      </c>
      <c r="BC63" s="59">
        <f t="shared" si="297"/>
        <v>9.3704083331833129E-6</v>
      </c>
      <c r="BD63" s="59">
        <f t="shared" ref="BD63:BD68" si="333">+AM63/(1-(0.5*$BA63))</f>
        <v>3.3733469999459925E-6</v>
      </c>
      <c r="BE63" s="59">
        <f t="shared" si="298"/>
        <v>2.2676388166303615E-5</v>
      </c>
      <c r="BF63" s="59">
        <f t="shared" si="299"/>
        <v>1.4805245166429634E-5</v>
      </c>
      <c r="BG63" s="59">
        <f t="shared" si="300"/>
        <v>3.3733469999459925E-6</v>
      </c>
      <c r="BH63" s="59">
        <f t="shared" si="301"/>
        <v>4.9850572332535225E-5</v>
      </c>
      <c r="BI63" s="59">
        <f t="shared" si="302"/>
        <v>3.3733469999459925E-6</v>
      </c>
      <c r="BJ63" s="59">
        <f t="shared" si="303"/>
        <v>1.2350198183135608E-4</v>
      </c>
      <c r="BK63" s="59">
        <f t="shared" si="304"/>
        <v>1.9677857499684958E-5</v>
      </c>
      <c r="BL63" s="59">
        <f t="shared" si="305"/>
        <v>2.9985306666186604E-6</v>
      </c>
      <c r="BM63" s="59">
        <f t="shared" si="306"/>
        <v>3.7481633332733255E-7</v>
      </c>
      <c r="BN63" s="59">
        <f t="shared" si="307"/>
        <v>2.8111224999549937E-6</v>
      </c>
      <c r="BO63" s="59">
        <f>+AX63/(1-(0.5*$BA63))</f>
        <v>1.5367469666420634E-5</v>
      </c>
      <c r="BP63" s="59">
        <f t="shared" si="309"/>
        <v>3.7481633332733255E-7</v>
      </c>
      <c r="BQ63" s="59">
        <f t="shared" si="310"/>
        <v>6.3718776665646525E-6</v>
      </c>
      <c r="BR63" s="60">
        <f>+(V62+V63)/(2*$U63)</f>
        <v>1.2367218094432141E-5</v>
      </c>
      <c r="BS63" s="60">
        <f t="shared" ref="BS63:BS68" si="334">+(W62+W63)/(2*$U63)</f>
        <v>4.9656254470068449E-6</v>
      </c>
      <c r="BT63" s="60">
        <f t="shared" ref="BT63:BT68" si="335">+(X62+X63)/(2*$U63)</f>
        <v>1.567451202423104E-4</v>
      </c>
      <c r="BU63" s="60">
        <f t="shared" ref="BU63:BU68" si="336">+(Y62+Y63)/(2*$U63)</f>
        <v>2.3863109459483836E-4</v>
      </c>
      <c r="BV63" s="60">
        <f t="shared" ref="BV63:BV68" si="337">+(Z62+Z63)/(2*$U63)</f>
        <v>5.1530075393467253E-6</v>
      </c>
      <c r="BW63" s="60">
        <f t="shared" ref="BW63:BW68" si="338">+(AA62+AA63)/(2*$U63)</f>
        <v>3.98186946222247E-5</v>
      </c>
      <c r="BX63" s="60">
        <f t="shared" ref="BX63:BX68" si="339">+(AB62+AB63)/(2*$U63)</f>
        <v>2.998113477438095E-6</v>
      </c>
      <c r="BY63" s="60">
        <f t="shared" ref="BY63:BY68" si="340">+(AC62+AC63)/(2*$U63)</f>
        <v>1.3538356171556397E-4</v>
      </c>
      <c r="BZ63" s="60">
        <f t="shared" ref="BZ63:BZ68" si="341">+(AD62+AD63)/(2*$U63)</f>
        <v>1.2835673325281844E-5</v>
      </c>
      <c r="CA63" s="60">
        <f t="shared" ref="CA63:CA68" si="342">+(AE62+AE63)/(2*$U63)</f>
        <v>2.6233492927583329E-6</v>
      </c>
      <c r="CB63" s="60">
        <f t="shared" ref="CB63:CB68" si="343">+(AF62+AF63)/(2*$U63)</f>
        <v>5.2729320784442491E-4</v>
      </c>
      <c r="CC63" s="60">
        <f t="shared" ref="CC63:CC68" si="344">+(AG62+AG63)/(2*$U63)</f>
        <v>1.2086144955922319E-5</v>
      </c>
      <c r="CD63" s="60">
        <f t="shared" ref="CD63:CD68" si="345">+(AH62+AH63)/(2*$U63)</f>
        <v>8.9849713276972899E-5</v>
      </c>
      <c r="CE63" s="60">
        <f t="shared" ref="CE63:CE68" si="346">+(AI62+AI63)/(2*$U63)</f>
        <v>2.1548940619086307E-6</v>
      </c>
      <c r="CF63" s="13">
        <f t="shared" ref="CF63:CF68" si="347">+(AJ62+AJ63)/(2*$U63)</f>
        <v>5.9025359087062493E-6</v>
      </c>
    </row>
    <row r="64" spans="1:85" hidden="1" x14ac:dyDescent="0.25">
      <c r="A64" s="4" t="s">
        <v>4</v>
      </c>
      <c r="B64" s="56">
        <v>4328734.7335640304</v>
      </c>
      <c r="C64" s="57">
        <v>101</v>
      </c>
      <c r="D64" s="57">
        <v>34</v>
      </c>
      <c r="E64" s="57">
        <v>66</v>
      </c>
      <c r="F64" s="57">
        <v>36</v>
      </c>
      <c r="G64" s="57">
        <v>71</v>
      </c>
      <c r="H64" s="57">
        <v>301</v>
      </c>
      <c r="I64" s="57">
        <v>64</v>
      </c>
      <c r="J64" s="57">
        <v>1352</v>
      </c>
      <c r="K64" s="57">
        <v>1694</v>
      </c>
      <c r="L64" s="57">
        <v>51</v>
      </c>
      <c r="M64" s="57">
        <v>0</v>
      </c>
      <c r="N64" s="57">
        <v>33</v>
      </c>
      <c r="O64" s="57">
        <v>90</v>
      </c>
      <c r="P64" s="57">
        <v>47</v>
      </c>
      <c r="Q64" s="57">
        <v>27</v>
      </c>
      <c r="S64" s="4">
        <f t="shared" si="325"/>
        <v>1996</v>
      </c>
      <c r="T64" s="4" t="str">
        <f t="shared" si="326"/>
        <v>15-24</v>
      </c>
      <c r="U64" s="56">
        <f t="shared" si="327"/>
        <v>4328734.7335640304</v>
      </c>
      <c r="V64" s="4">
        <f t="shared" si="328"/>
        <v>101</v>
      </c>
      <c r="W64" s="4">
        <f t="shared" si="269"/>
        <v>34</v>
      </c>
      <c r="X64" s="4">
        <f t="shared" si="270"/>
        <v>66</v>
      </c>
      <c r="Y64" s="4">
        <f t="shared" si="271"/>
        <v>36</v>
      </c>
      <c r="Z64" s="4">
        <f t="shared" si="272"/>
        <v>71</v>
      </c>
      <c r="AA64" s="4">
        <f t="shared" si="273"/>
        <v>301</v>
      </c>
      <c r="AB64" s="4">
        <f t="shared" si="274"/>
        <v>64</v>
      </c>
      <c r="AC64" s="4">
        <f t="shared" si="275"/>
        <v>1352</v>
      </c>
      <c r="AD64" s="4">
        <f t="shared" si="276"/>
        <v>1694</v>
      </c>
      <c r="AE64" s="4">
        <f t="shared" si="277"/>
        <v>51</v>
      </c>
      <c r="AF64" s="4">
        <f t="shared" si="278"/>
        <v>0</v>
      </c>
      <c r="AG64" s="4">
        <f t="shared" si="279"/>
        <v>33</v>
      </c>
      <c r="AH64" s="4">
        <f t="shared" si="280"/>
        <v>90</v>
      </c>
      <c r="AI64" s="4">
        <f t="shared" si="281"/>
        <v>47</v>
      </c>
      <c r="AJ64" s="4">
        <f t="shared" si="282"/>
        <v>27</v>
      </c>
      <c r="AK64" s="4">
        <f t="shared" si="329"/>
        <v>3967</v>
      </c>
      <c r="AL64" s="58">
        <f t="shared" si="330"/>
        <v>2.3332453064603114E-5</v>
      </c>
      <c r="AM64" s="58">
        <f t="shared" si="283"/>
        <v>7.8544891504604536E-6</v>
      </c>
      <c r="AN64" s="58">
        <f t="shared" si="284"/>
        <v>1.5246949527364411E-5</v>
      </c>
      <c r="AO64" s="58">
        <f t="shared" si="285"/>
        <v>8.3165179240169518E-6</v>
      </c>
      <c r="AP64" s="58">
        <f t="shared" si="286"/>
        <v>1.6402021461255655E-5</v>
      </c>
      <c r="AQ64" s="58">
        <f t="shared" si="287"/>
        <v>6.9535330420252836E-5</v>
      </c>
      <c r="AR64" s="58">
        <f t="shared" si="288"/>
        <v>1.4784920753807913E-5</v>
      </c>
      <c r="AS64" s="58">
        <f t="shared" si="289"/>
        <v>3.1233145092419214E-4</v>
      </c>
      <c r="AT64" s="58">
        <f t="shared" si="290"/>
        <v>3.9133837120235322E-4</v>
      </c>
      <c r="AU64" s="58">
        <f t="shared" si="291"/>
        <v>1.1781733725690681E-5</v>
      </c>
      <c r="AV64" s="58">
        <f t="shared" si="292"/>
        <v>0</v>
      </c>
      <c r="AW64" s="58">
        <f t="shared" si="293"/>
        <v>7.6234747636822054E-6</v>
      </c>
      <c r="AX64" s="58">
        <f t="shared" si="294"/>
        <v>2.0791294810042377E-5</v>
      </c>
      <c r="AY64" s="58">
        <f t="shared" si="295"/>
        <v>1.0857676178577687E-5</v>
      </c>
      <c r="AZ64" s="58">
        <f t="shared" si="296"/>
        <v>6.2373884430127134E-6</v>
      </c>
      <c r="BA64" s="58">
        <f t="shared" si="331"/>
        <v>9.1643407234931235E-4</v>
      </c>
      <c r="BB64" s="4">
        <f t="shared" si="332"/>
        <v>4326751.2335640304</v>
      </c>
      <c r="BC64" s="59">
        <f t="shared" si="297"/>
        <v>2.3343149293287266E-5</v>
      </c>
      <c r="BD64" s="59">
        <f t="shared" si="333"/>
        <v>7.8580898611066048E-6</v>
      </c>
      <c r="BE64" s="59">
        <f t="shared" si="298"/>
        <v>1.5253939142148115E-5</v>
      </c>
      <c r="BF64" s="59">
        <f t="shared" si="299"/>
        <v>8.3203304411716991E-6</v>
      </c>
      <c r="BG64" s="59">
        <f t="shared" si="300"/>
        <v>1.640954059231085E-5</v>
      </c>
      <c r="BH64" s="59">
        <f t="shared" si="301"/>
        <v>6.9567207299796693E-5</v>
      </c>
      <c r="BI64" s="59">
        <f t="shared" si="302"/>
        <v>1.4791698562083019E-5</v>
      </c>
      <c r="BJ64" s="59">
        <f t="shared" si="303"/>
        <v>3.1247463212400378E-4</v>
      </c>
      <c r="BK64" s="59">
        <f t="shared" si="304"/>
        <v>3.9151777131513494E-4</v>
      </c>
      <c r="BL64" s="59">
        <f t="shared" si="305"/>
        <v>1.1787134791659907E-5</v>
      </c>
      <c r="BM64" s="59">
        <f t="shared" si="306"/>
        <v>0</v>
      </c>
      <c r="BN64" s="59">
        <f t="shared" si="307"/>
        <v>7.6269695710740576E-6</v>
      </c>
      <c r="BO64" s="59">
        <f t="shared" ref="BO64:BO68" si="348">+AX64/(1-(0.5*$BA64))</f>
        <v>2.0800826102929245E-5</v>
      </c>
      <c r="BP64" s="59">
        <f t="shared" si="309"/>
        <v>1.0862653631529719E-5</v>
      </c>
      <c r="BQ64" s="59">
        <f t="shared" si="310"/>
        <v>6.2402478308787739E-6</v>
      </c>
      <c r="BR64" s="60">
        <f t="shared" ref="BR64:BR68" si="349">+(V63+V64)/(2*$U64)</f>
        <v>1.7441586201757774E-5</v>
      </c>
      <c r="BS64" s="60">
        <f t="shared" si="334"/>
        <v>6.0063740562344643E-6</v>
      </c>
      <c r="BT64" s="60">
        <f t="shared" si="335"/>
        <v>2.1599845163766247E-5</v>
      </c>
      <c r="BU64" s="60">
        <f t="shared" si="336"/>
        <v>1.3283327239749297E-5</v>
      </c>
      <c r="BV64" s="60">
        <f t="shared" si="337"/>
        <v>1.0280140211632064E-5</v>
      </c>
      <c r="BW64" s="60">
        <f t="shared" si="338"/>
        <v>6.5492578651633488E-5</v>
      </c>
      <c r="BX64" s="60">
        <f t="shared" si="339"/>
        <v>9.4715898579081938E-6</v>
      </c>
      <c r="BY64" s="60">
        <f t="shared" si="340"/>
        <v>2.3228496590552901E-4</v>
      </c>
      <c r="BZ64" s="60">
        <f t="shared" si="341"/>
        <v>2.0779744090703467E-4</v>
      </c>
      <c r="CA64" s="60">
        <f t="shared" si="342"/>
        <v>7.7389819570713291E-6</v>
      </c>
      <c r="CB64" s="60">
        <f t="shared" si="343"/>
        <v>2.3101438677824863E-7</v>
      </c>
      <c r="CC64" s="60">
        <f t="shared" si="344"/>
        <v>5.544345282677967E-6</v>
      </c>
      <c r="CD64" s="60">
        <f t="shared" si="345"/>
        <v>1.9867237262929384E-5</v>
      </c>
      <c r="CE64" s="60">
        <f t="shared" si="346"/>
        <v>5.6598524760670916E-6</v>
      </c>
      <c r="CF64" s="13">
        <f t="shared" si="347"/>
        <v>7.0459387967365835E-6</v>
      </c>
    </row>
    <row r="65" spans="1:85" hidden="1" x14ac:dyDescent="0.25">
      <c r="A65" s="4" t="s">
        <v>3</v>
      </c>
      <c r="B65" s="56">
        <v>6500086.9398599695</v>
      </c>
      <c r="C65" s="57">
        <v>1265</v>
      </c>
      <c r="D65" s="57">
        <v>267</v>
      </c>
      <c r="E65" s="57">
        <v>94</v>
      </c>
      <c r="F65" s="57">
        <v>65</v>
      </c>
      <c r="G65" s="57">
        <v>232</v>
      </c>
      <c r="H65" s="57">
        <v>1734</v>
      </c>
      <c r="I65" s="57">
        <v>517</v>
      </c>
      <c r="J65" s="57">
        <v>2393</v>
      </c>
      <c r="K65" s="57">
        <v>1811</v>
      </c>
      <c r="L65" s="57">
        <v>272</v>
      </c>
      <c r="M65" s="57">
        <v>1</v>
      </c>
      <c r="N65" s="57">
        <v>99</v>
      </c>
      <c r="O65" s="57">
        <v>191</v>
      </c>
      <c r="P65" s="57">
        <v>719</v>
      </c>
      <c r="Q65" s="57">
        <v>111</v>
      </c>
      <c r="S65" s="4">
        <f t="shared" si="325"/>
        <v>1996</v>
      </c>
      <c r="T65" s="4" t="str">
        <f t="shared" si="326"/>
        <v>25-44</v>
      </c>
      <c r="U65" s="56">
        <f t="shared" si="327"/>
        <v>6500086.9398599695</v>
      </c>
      <c r="V65" s="4">
        <f t="shared" si="328"/>
        <v>1265</v>
      </c>
      <c r="W65" s="4">
        <f t="shared" si="269"/>
        <v>267</v>
      </c>
      <c r="X65" s="4">
        <f t="shared" si="270"/>
        <v>94</v>
      </c>
      <c r="Y65" s="4">
        <f t="shared" si="271"/>
        <v>65</v>
      </c>
      <c r="Z65" s="4">
        <f t="shared" si="272"/>
        <v>232</v>
      </c>
      <c r="AA65" s="4">
        <f t="shared" si="273"/>
        <v>1734</v>
      </c>
      <c r="AB65" s="4">
        <f t="shared" si="274"/>
        <v>517</v>
      </c>
      <c r="AC65" s="4">
        <f t="shared" si="275"/>
        <v>2393</v>
      </c>
      <c r="AD65" s="4">
        <f t="shared" si="276"/>
        <v>1811</v>
      </c>
      <c r="AE65" s="4">
        <f t="shared" si="277"/>
        <v>272</v>
      </c>
      <c r="AF65" s="4">
        <f t="shared" si="278"/>
        <v>1</v>
      </c>
      <c r="AG65" s="4">
        <f t="shared" si="279"/>
        <v>99</v>
      </c>
      <c r="AH65" s="4">
        <f t="shared" si="280"/>
        <v>191</v>
      </c>
      <c r="AI65" s="4">
        <f t="shared" si="281"/>
        <v>719</v>
      </c>
      <c r="AJ65" s="4">
        <f t="shared" si="282"/>
        <v>111</v>
      </c>
      <c r="AK65" s="4">
        <f t="shared" si="329"/>
        <v>9771</v>
      </c>
      <c r="AL65" s="58">
        <f t="shared" si="330"/>
        <v>1.9461278159877223E-4</v>
      </c>
      <c r="AM65" s="58">
        <f t="shared" si="283"/>
        <v>4.107637366551161E-5</v>
      </c>
      <c r="AN65" s="58">
        <f t="shared" si="284"/>
        <v>1.4461345035798096E-5</v>
      </c>
      <c r="AO65" s="58">
        <f t="shared" si="285"/>
        <v>9.9998662481582572E-6</v>
      </c>
      <c r="AP65" s="58">
        <f t="shared" si="286"/>
        <v>3.56918303011187E-5</v>
      </c>
      <c r="AQ65" s="58">
        <f t="shared" si="287"/>
        <v>2.6676566268163718E-4</v>
      </c>
      <c r="AR65" s="58">
        <f t="shared" si="288"/>
        <v>7.953739769688952E-5</v>
      </c>
      <c r="AS65" s="58">
        <f t="shared" si="289"/>
        <v>3.6814892202834939E-4</v>
      </c>
      <c r="AT65" s="58">
        <f t="shared" si="290"/>
        <v>2.7861165808330162E-4</v>
      </c>
      <c r="AU65" s="58">
        <f t="shared" si="291"/>
        <v>4.1845594146139165E-5</v>
      </c>
      <c r="AV65" s="58">
        <f t="shared" si="292"/>
        <v>1.5384409612551164E-7</v>
      </c>
      <c r="AW65" s="58">
        <f t="shared" si="293"/>
        <v>1.5230565516425653E-5</v>
      </c>
      <c r="AX65" s="58">
        <f t="shared" si="294"/>
        <v>2.9384222359972725E-5</v>
      </c>
      <c r="AY65" s="58">
        <f t="shared" si="295"/>
        <v>1.1061390511424288E-4</v>
      </c>
      <c r="AZ65" s="58">
        <f t="shared" si="296"/>
        <v>1.7076694669931794E-5</v>
      </c>
      <c r="BA65" s="58">
        <f t="shared" si="331"/>
        <v>1.5032106632423743E-3</v>
      </c>
      <c r="BB65" s="4">
        <f t="shared" si="332"/>
        <v>6495201.4398599695</v>
      </c>
      <c r="BC65" s="59">
        <f t="shared" si="297"/>
        <v>1.9475916362453452E-4</v>
      </c>
      <c r="BD65" s="59">
        <f t="shared" si="333"/>
        <v>4.1107270108893847E-5</v>
      </c>
      <c r="BE65" s="59">
        <f t="shared" si="298"/>
        <v>1.4472222435340906E-5</v>
      </c>
      <c r="BF65" s="59">
        <f t="shared" si="299"/>
        <v>1.0007387854225095E-5</v>
      </c>
      <c r="BG65" s="59">
        <f t="shared" si="300"/>
        <v>3.5718676648926485E-5</v>
      </c>
      <c r="BH65" s="59">
        <f t="shared" si="301"/>
        <v>2.6696631598809712E-4</v>
      </c>
      <c r="BI65" s="59">
        <f t="shared" si="302"/>
        <v>7.9597223394374983E-5</v>
      </c>
      <c r="BJ65" s="59">
        <f t="shared" si="303"/>
        <v>3.6842583284862543E-4</v>
      </c>
      <c r="BK65" s="59">
        <f t="shared" si="304"/>
        <v>2.7882122160002534E-4</v>
      </c>
      <c r="BL65" s="59">
        <f t="shared" si="305"/>
        <v>4.187706917460347E-5</v>
      </c>
      <c r="BM65" s="59">
        <f t="shared" si="306"/>
        <v>1.5395981314192452E-7</v>
      </c>
      <c r="BN65" s="59">
        <f t="shared" si="307"/>
        <v>1.5242021501050527E-5</v>
      </c>
      <c r="BO65" s="59">
        <f t="shared" si="348"/>
        <v>2.9406324310107584E-5</v>
      </c>
      <c r="BP65" s="59">
        <f t="shared" si="309"/>
        <v>1.1069710564904374E-4</v>
      </c>
      <c r="BQ65" s="59">
        <f t="shared" si="310"/>
        <v>1.7089539258753623E-5</v>
      </c>
      <c r="BR65" s="60">
        <f t="shared" si="349"/>
        <v>1.0507551765372446E-4</v>
      </c>
      <c r="BS65" s="60">
        <f t="shared" si="334"/>
        <v>2.3153536466889503E-5</v>
      </c>
      <c r="BT65" s="60">
        <f t="shared" si="335"/>
        <v>1.2307527690040933E-5</v>
      </c>
      <c r="BU65" s="60">
        <f t="shared" si="336"/>
        <v>7.7691268543383381E-6</v>
      </c>
      <c r="BV65" s="60">
        <f t="shared" si="337"/>
        <v>2.3307380563015016E-5</v>
      </c>
      <c r="BW65" s="60">
        <f t="shared" si="338"/>
        <v>1.565363678077081E-4</v>
      </c>
      <c r="BX65" s="60">
        <f t="shared" si="339"/>
        <v>4.4691709924461133E-5</v>
      </c>
      <c r="BY65" s="60">
        <f t="shared" si="340"/>
        <v>2.8807306999502054E-4</v>
      </c>
      <c r="BZ65" s="60">
        <f t="shared" si="341"/>
        <v>2.6961177845995915E-4</v>
      </c>
      <c r="CA65" s="60">
        <f t="shared" si="342"/>
        <v>2.4845821524270131E-5</v>
      </c>
      <c r="CB65" s="60">
        <f t="shared" si="343"/>
        <v>7.6922048062755818E-8</v>
      </c>
      <c r="CC65" s="60">
        <f t="shared" si="344"/>
        <v>1.0153710344283768E-5</v>
      </c>
      <c r="CD65" s="60">
        <f t="shared" si="345"/>
        <v>2.1615095505634385E-5</v>
      </c>
      <c r="CE65" s="60">
        <f t="shared" si="346"/>
        <v>5.8922288816070963E-5</v>
      </c>
      <c r="CF65" s="13">
        <f t="shared" si="347"/>
        <v>1.0615242632660304E-5</v>
      </c>
    </row>
    <row r="66" spans="1:85" hidden="1" x14ac:dyDescent="0.25">
      <c r="A66" s="4" t="s">
        <v>2</v>
      </c>
      <c r="B66" s="56">
        <v>2862216.4853526298</v>
      </c>
      <c r="C66" s="57">
        <v>5170</v>
      </c>
      <c r="D66" s="57">
        <v>791</v>
      </c>
      <c r="E66" s="57">
        <v>38</v>
      </c>
      <c r="F66" s="57">
        <v>151</v>
      </c>
      <c r="G66" s="57">
        <v>387</v>
      </c>
      <c r="H66" s="57">
        <v>4424</v>
      </c>
      <c r="I66" s="57">
        <v>1783</v>
      </c>
      <c r="J66" s="57">
        <v>1078</v>
      </c>
      <c r="K66" s="57">
        <v>502</v>
      </c>
      <c r="L66" s="57">
        <v>1450</v>
      </c>
      <c r="M66" s="57">
        <v>0</v>
      </c>
      <c r="N66" s="57">
        <v>427</v>
      </c>
      <c r="O66" s="57">
        <v>247</v>
      </c>
      <c r="P66" s="57">
        <v>130</v>
      </c>
      <c r="Q66" s="57">
        <v>206</v>
      </c>
      <c r="S66" s="4">
        <f t="shared" si="325"/>
        <v>1996</v>
      </c>
      <c r="T66" s="4" t="str">
        <f t="shared" si="326"/>
        <v>45-64</v>
      </c>
      <c r="U66" s="56">
        <f t="shared" si="327"/>
        <v>2862216.4853526298</v>
      </c>
      <c r="V66" s="4">
        <f t="shared" si="328"/>
        <v>5170</v>
      </c>
      <c r="W66" s="4">
        <f t="shared" si="269"/>
        <v>791</v>
      </c>
      <c r="X66" s="4">
        <f t="shared" si="270"/>
        <v>38</v>
      </c>
      <c r="Y66" s="4">
        <f t="shared" si="271"/>
        <v>151</v>
      </c>
      <c r="Z66" s="4">
        <f t="shared" si="272"/>
        <v>387</v>
      </c>
      <c r="AA66" s="4">
        <f t="shared" si="273"/>
        <v>4424</v>
      </c>
      <c r="AB66" s="4">
        <f t="shared" si="274"/>
        <v>1783</v>
      </c>
      <c r="AC66" s="4">
        <f t="shared" si="275"/>
        <v>1078</v>
      </c>
      <c r="AD66" s="4">
        <f t="shared" si="276"/>
        <v>502</v>
      </c>
      <c r="AE66" s="4">
        <f t="shared" si="277"/>
        <v>1450</v>
      </c>
      <c r="AF66" s="4">
        <f t="shared" si="278"/>
        <v>0</v>
      </c>
      <c r="AG66" s="4">
        <f t="shared" si="279"/>
        <v>427</v>
      </c>
      <c r="AH66" s="4">
        <f t="shared" si="280"/>
        <v>247</v>
      </c>
      <c r="AI66" s="4">
        <f t="shared" si="281"/>
        <v>130</v>
      </c>
      <c r="AJ66" s="4">
        <f t="shared" si="282"/>
        <v>206</v>
      </c>
      <c r="AK66" s="4">
        <f t="shared" si="329"/>
        <v>16784</v>
      </c>
      <c r="AL66" s="58">
        <f t="shared" si="330"/>
        <v>1.8062924403019248E-3</v>
      </c>
      <c r="AM66" s="58">
        <f t="shared" si="283"/>
        <v>2.7635924957037186E-4</v>
      </c>
      <c r="AN66" s="58">
        <f t="shared" si="284"/>
        <v>1.3276424126010279E-5</v>
      </c>
      <c r="AO66" s="58">
        <f t="shared" si="285"/>
        <v>5.2756316921777688E-5</v>
      </c>
      <c r="AP66" s="58">
        <f t="shared" si="286"/>
        <v>1.3520989833594679E-4</v>
      </c>
      <c r="AQ66" s="58">
        <f t="shared" si="287"/>
        <v>1.5456552719334072E-3</v>
      </c>
      <c r="AR66" s="58">
        <f t="shared" si="288"/>
        <v>6.229437951756928E-4</v>
      </c>
      <c r="AS66" s="58">
        <f t="shared" si="289"/>
        <v>3.7663118967997582E-4</v>
      </c>
      <c r="AT66" s="58">
        <f t="shared" si="290"/>
        <v>1.7538855029624104E-4</v>
      </c>
      <c r="AU66" s="58">
        <f t="shared" si="291"/>
        <v>5.0660039428197118E-4</v>
      </c>
      <c r="AV66" s="58">
        <f t="shared" si="292"/>
        <v>0</v>
      </c>
      <c r="AW66" s="58">
        <f t="shared" si="293"/>
        <v>1.4918508162648392E-4</v>
      </c>
      <c r="AX66" s="58">
        <f t="shared" si="294"/>
        <v>8.6296756819066809E-5</v>
      </c>
      <c r="AY66" s="58">
        <f t="shared" si="295"/>
        <v>4.541934569424569E-5</v>
      </c>
      <c r="AZ66" s="58">
        <f t="shared" si="296"/>
        <v>7.1972193946266255E-5</v>
      </c>
      <c r="BA66" s="58">
        <f t="shared" si="331"/>
        <v>5.8639869087093819E-3</v>
      </c>
      <c r="BB66" s="4">
        <f t="shared" si="332"/>
        <v>2853824.4853526298</v>
      </c>
      <c r="BC66" s="59">
        <f t="shared" si="297"/>
        <v>1.8116040515228724E-3</v>
      </c>
      <c r="BD66" s="59">
        <f t="shared" si="333"/>
        <v>2.7717191581326728E-4</v>
      </c>
      <c r="BE66" s="59">
        <f t="shared" si="298"/>
        <v>1.3315464982179718E-5</v>
      </c>
      <c r="BF66" s="59">
        <f t="shared" si="299"/>
        <v>5.2911452955503619E-5</v>
      </c>
      <c r="BG66" s="59">
        <f t="shared" si="300"/>
        <v>1.3560749863430398E-4</v>
      </c>
      <c r="BH66" s="59">
        <f t="shared" si="301"/>
        <v>1.5502004495042915E-3</v>
      </c>
      <c r="BI66" s="59">
        <f t="shared" si="302"/>
        <v>6.2477563324280102E-4</v>
      </c>
      <c r="BJ66" s="59">
        <f t="shared" si="303"/>
        <v>3.7773871712604574E-4</v>
      </c>
      <c r="BK66" s="59">
        <f t="shared" si="304"/>
        <v>1.7590430055405837E-4</v>
      </c>
      <c r="BL66" s="59">
        <f t="shared" si="305"/>
        <v>5.0809011116212085E-4</v>
      </c>
      <c r="BM66" s="59">
        <f t="shared" si="306"/>
        <v>0</v>
      </c>
      <c r="BN66" s="59">
        <f t="shared" si="307"/>
        <v>1.4962377756291422E-4</v>
      </c>
      <c r="BO66" s="59">
        <f t="shared" si="348"/>
        <v>8.6550522384168166E-5</v>
      </c>
      <c r="BP66" s="59">
        <f t="shared" si="309"/>
        <v>4.5552906517983245E-5</v>
      </c>
      <c r="BQ66" s="59">
        <f t="shared" si="310"/>
        <v>7.2183836482342698E-5</v>
      </c>
      <c r="BR66" s="60">
        <f t="shared" si="349"/>
        <v>1.1241288059325809E-3</v>
      </c>
      <c r="BS66" s="60">
        <f t="shared" si="334"/>
        <v>1.8482179901735361E-4</v>
      </c>
      <c r="BT66" s="60">
        <f t="shared" si="335"/>
        <v>2.3059052429386273E-5</v>
      </c>
      <c r="BU66" s="60">
        <f t="shared" si="336"/>
        <v>3.7732994884450265E-5</v>
      </c>
      <c r="BV66" s="60">
        <f t="shared" si="337"/>
        <v>1.0813298071053108E-4</v>
      </c>
      <c r="BW66" s="60">
        <f t="shared" si="338"/>
        <v>1.0757397337890959E-3</v>
      </c>
      <c r="BX66" s="60">
        <f t="shared" si="339"/>
        <v>4.0178651960294265E-4</v>
      </c>
      <c r="BY66" s="60">
        <f t="shared" si="340"/>
        <v>6.0634826501817997E-4</v>
      </c>
      <c r="BZ66" s="60">
        <f t="shared" si="341"/>
        <v>4.0405748688765491E-4</v>
      </c>
      <c r="CA66" s="60">
        <f t="shared" si="342"/>
        <v>3.0081582032881184E-4</v>
      </c>
      <c r="CB66" s="60">
        <f t="shared" si="343"/>
        <v>1.746897911317142E-7</v>
      </c>
      <c r="CC66" s="60">
        <f t="shared" si="344"/>
        <v>9.1886830135281663E-5</v>
      </c>
      <c r="CD66" s="60">
        <f t="shared" si="345"/>
        <v>7.6514128515690812E-5</v>
      </c>
      <c r="CE66" s="60">
        <f t="shared" si="346"/>
        <v>1.4831163267082535E-4</v>
      </c>
      <c r="CF66" s="13">
        <f t="shared" si="347"/>
        <v>5.5376663788753401E-5</v>
      </c>
    </row>
    <row r="67" spans="1:85" hidden="1" x14ac:dyDescent="0.25">
      <c r="A67" s="4" t="s">
        <v>1</v>
      </c>
      <c r="B67" s="56">
        <v>710343.28776711202</v>
      </c>
      <c r="C67" s="57">
        <v>5212</v>
      </c>
      <c r="D67" s="57">
        <v>406</v>
      </c>
      <c r="E67" s="57">
        <v>24</v>
      </c>
      <c r="F67" s="57">
        <v>146</v>
      </c>
      <c r="G67" s="57">
        <v>319</v>
      </c>
      <c r="H67" s="57">
        <v>3335</v>
      </c>
      <c r="I67" s="57">
        <v>1780</v>
      </c>
      <c r="J67" s="57">
        <v>380</v>
      </c>
      <c r="K67" s="57">
        <v>125</v>
      </c>
      <c r="L67" s="57">
        <v>1343</v>
      </c>
      <c r="M67" s="57">
        <v>0</v>
      </c>
      <c r="N67" s="57">
        <v>576</v>
      </c>
      <c r="O67" s="57">
        <v>226</v>
      </c>
      <c r="P67" s="57">
        <v>5</v>
      </c>
      <c r="Q67" s="57">
        <v>161</v>
      </c>
      <c r="S67" s="4">
        <f t="shared" si="325"/>
        <v>1996</v>
      </c>
      <c r="T67" s="4" t="str">
        <f t="shared" si="326"/>
        <v>65-74</v>
      </c>
      <c r="U67" s="56">
        <f t="shared" si="327"/>
        <v>710343.28776711202</v>
      </c>
      <c r="V67" s="4">
        <f t="shared" si="328"/>
        <v>5212</v>
      </c>
      <c r="W67" s="4">
        <f t="shared" si="269"/>
        <v>406</v>
      </c>
      <c r="X67" s="4">
        <f t="shared" si="270"/>
        <v>24</v>
      </c>
      <c r="Y67" s="4">
        <f t="shared" si="271"/>
        <v>146</v>
      </c>
      <c r="Z67" s="4">
        <f t="shared" si="272"/>
        <v>319</v>
      </c>
      <c r="AA67" s="4">
        <f t="shared" si="273"/>
        <v>3335</v>
      </c>
      <c r="AB67" s="4">
        <f t="shared" si="274"/>
        <v>1780</v>
      </c>
      <c r="AC67" s="4">
        <f t="shared" si="275"/>
        <v>380</v>
      </c>
      <c r="AD67" s="4">
        <f t="shared" si="276"/>
        <v>125</v>
      </c>
      <c r="AE67" s="4">
        <f t="shared" si="277"/>
        <v>1343</v>
      </c>
      <c r="AF67" s="4">
        <f t="shared" si="278"/>
        <v>0</v>
      </c>
      <c r="AG67" s="4">
        <f t="shared" si="279"/>
        <v>576</v>
      </c>
      <c r="AH67" s="4">
        <f t="shared" si="280"/>
        <v>226</v>
      </c>
      <c r="AI67" s="4">
        <f t="shared" si="281"/>
        <v>5</v>
      </c>
      <c r="AJ67" s="4">
        <f t="shared" si="282"/>
        <v>161</v>
      </c>
      <c r="AK67" s="4">
        <f t="shared" si="329"/>
        <v>14038</v>
      </c>
      <c r="AL67" s="58">
        <f t="shared" si="330"/>
        <v>7.3372974585053981E-3</v>
      </c>
      <c r="AM67" s="58">
        <f t="shared" si="283"/>
        <v>5.7155463702095004E-4</v>
      </c>
      <c r="AN67" s="58">
        <f t="shared" si="284"/>
        <v>3.3786481006164537E-5</v>
      </c>
      <c r="AO67" s="58">
        <f t="shared" si="285"/>
        <v>2.0553442612083426E-4</v>
      </c>
      <c r="AP67" s="58">
        <f t="shared" si="286"/>
        <v>4.4907864337360363E-4</v>
      </c>
      <c r="AQ67" s="58">
        <f t="shared" si="287"/>
        <v>4.6949130898149474E-3</v>
      </c>
      <c r="AR67" s="58">
        <f t="shared" si="288"/>
        <v>2.5058306746238699E-3</v>
      </c>
      <c r="AS67" s="58">
        <f t="shared" si="289"/>
        <v>5.3495261593093852E-4</v>
      </c>
      <c r="AT67" s="58">
        <f t="shared" si="290"/>
        <v>1.759712552404403E-4</v>
      </c>
      <c r="AU67" s="58">
        <f t="shared" si="291"/>
        <v>1.8906351663032905E-3</v>
      </c>
      <c r="AV67" s="58">
        <f t="shared" si="292"/>
        <v>0</v>
      </c>
      <c r="AW67" s="58">
        <f t="shared" si="293"/>
        <v>8.1087554414794889E-4</v>
      </c>
      <c r="AX67" s="58">
        <f t="shared" si="294"/>
        <v>3.1815602947471606E-4</v>
      </c>
      <c r="AY67" s="58">
        <f t="shared" si="295"/>
        <v>7.0388502096176121E-6</v>
      </c>
      <c r="AZ67" s="58">
        <f t="shared" si="296"/>
        <v>2.2665097674968711E-4</v>
      </c>
      <c r="BA67" s="58">
        <f t="shared" si="331"/>
        <v>1.9762275848522408E-2</v>
      </c>
      <c r="BB67" s="4">
        <f t="shared" si="332"/>
        <v>703324.28776711202</v>
      </c>
      <c r="BC67" s="59">
        <f t="shared" si="297"/>
        <v>7.4105218469660197E-3</v>
      </c>
      <c r="BD67" s="59">
        <f t="shared" si="333"/>
        <v>5.772586089539916E-4</v>
      </c>
      <c r="BE67" s="59">
        <f t="shared" si="298"/>
        <v>3.4123661613043836E-5</v>
      </c>
      <c r="BF67" s="59">
        <f t="shared" si="299"/>
        <v>2.0758560814601668E-4</v>
      </c>
      <c r="BG67" s="59">
        <f t="shared" si="300"/>
        <v>4.5356033560670767E-4</v>
      </c>
      <c r="BH67" s="59">
        <f t="shared" si="301"/>
        <v>4.741767144979217E-3</v>
      </c>
      <c r="BI67" s="59">
        <f t="shared" si="302"/>
        <v>2.5308382363007516E-3</v>
      </c>
      <c r="BJ67" s="59">
        <f t="shared" si="303"/>
        <v>5.4029130887319409E-4</v>
      </c>
      <c r="BK67" s="59">
        <f t="shared" si="304"/>
        <v>1.7772740423460334E-4</v>
      </c>
      <c r="BL67" s="59">
        <f t="shared" si="305"/>
        <v>1.909503231096578E-3</v>
      </c>
      <c r="BM67" s="59">
        <f t="shared" si="306"/>
        <v>0</v>
      </c>
      <c r="BN67" s="59">
        <f t="shared" si="307"/>
        <v>8.1896787871305217E-4</v>
      </c>
      <c r="BO67" s="59">
        <f t="shared" si="348"/>
        <v>3.2133114685616281E-4</v>
      </c>
      <c r="BP67" s="59">
        <f t="shared" si="309"/>
        <v>7.1090961693841331E-6</v>
      </c>
      <c r="BQ67" s="59">
        <f t="shared" si="310"/>
        <v>2.2891289665416908E-4</v>
      </c>
      <c r="BR67" s="60">
        <f t="shared" si="349"/>
        <v>7.3077342876250043E-3</v>
      </c>
      <c r="BS67" s="60">
        <f t="shared" si="334"/>
        <v>8.4255037009122813E-4</v>
      </c>
      <c r="BT67" s="60">
        <f t="shared" si="335"/>
        <v>4.3640871299629196E-5</v>
      </c>
      <c r="BU67" s="60">
        <f t="shared" si="336"/>
        <v>2.0905385122564307E-4</v>
      </c>
      <c r="BV67" s="60">
        <f t="shared" si="337"/>
        <v>4.969428247990034E-4</v>
      </c>
      <c r="BW67" s="60">
        <f t="shared" si="338"/>
        <v>5.461443877642305E-3</v>
      </c>
      <c r="BX67" s="60">
        <f t="shared" si="339"/>
        <v>2.5079423296867549E-3</v>
      </c>
      <c r="BY67" s="60">
        <f t="shared" si="340"/>
        <v>1.0262643605622478E-3</v>
      </c>
      <c r="BZ67" s="60">
        <f t="shared" si="341"/>
        <v>4.4133590814302427E-4</v>
      </c>
      <c r="CA67" s="60">
        <f t="shared" si="342"/>
        <v>1.9659508635461991E-3</v>
      </c>
      <c r="CB67" s="60">
        <f t="shared" si="343"/>
        <v>0</v>
      </c>
      <c r="CC67" s="60">
        <f t="shared" si="344"/>
        <v>7.0599667602464649E-4</v>
      </c>
      <c r="CD67" s="60">
        <f t="shared" si="345"/>
        <v>3.3293761491491304E-4</v>
      </c>
      <c r="CE67" s="60">
        <f t="shared" si="346"/>
        <v>9.5024477829837753E-5</v>
      </c>
      <c r="CF67" s="13">
        <f t="shared" si="347"/>
        <v>2.5832580269296635E-4</v>
      </c>
    </row>
    <row r="68" spans="1:85" hidden="1" x14ac:dyDescent="0.25">
      <c r="A68" s="4" t="s">
        <v>0</v>
      </c>
      <c r="B68" s="56">
        <v>710343.28776711202</v>
      </c>
      <c r="C68" s="57">
        <v>9429</v>
      </c>
      <c r="D68" s="57">
        <v>279</v>
      </c>
      <c r="E68" s="57">
        <v>22</v>
      </c>
      <c r="F68" s="57">
        <v>432</v>
      </c>
      <c r="G68" s="57">
        <v>397</v>
      </c>
      <c r="H68" s="57">
        <v>3401</v>
      </c>
      <c r="I68" s="57">
        <v>3442</v>
      </c>
      <c r="J68" s="57">
        <v>534</v>
      </c>
      <c r="K68" s="57">
        <v>68</v>
      </c>
      <c r="L68" s="57">
        <v>1306</v>
      </c>
      <c r="M68" s="57">
        <v>14</v>
      </c>
      <c r="N68" s="57">
        <v>1141</v>
      </c>
      <c r="O68" s="57">
        <v>974</v>
      </c>
      <c r="P68" s="57">
        <v>7</v>
      </c>
      <c r="Q68" s="57">
        <v>178</v>
      </c>
      <c r="S68" s="4">
        <f t="shared" si="325"/>
        <v>1996</v>
      </c>
      <c r="T68" s="4" t="str">
        <f t="shared" si="326"/>
        <v>75+</v>
      </c>
      <c r="U68" s="56">
        <f t="shared" si="327"/>
        <v>710343.28776711202</v>
      </c>
      <c r="V68" s="4">
        <f t="shared" si="328"/>
        <v>9429</v>
      </c>
      <c r="W68" s="4">
        <f t="shared" si="269"/>
        <v>279</v>
      </c>
      <c r="X68" s="4">
        <f t="shared" si="270"/>
        <v>22</v>
      </c>
      <c r="Y68" s="4">
        <f t="shared" si="271"/>
        <v>432</v>
      </c>
      <c r="Z68" s="4">
        <f t="shared" si="272"/>
        <v>397</v>
      </c>
      <c r="AA68" s="4">
        <f t="shared" si="273"/>
        <v>3401</v>
      </c>
      <c r="AB68" s="4">
        <f t="shared" si="274"/>
        <v>3442</v>
      </c>
      <c r="AC68" s="4">
        <f t="shared" si="275"/>
        <v>534</v>
      </c>
      <c r="AD68" s="4">
        <f t="shared" si="276"/>
        <v>68</v>
      </c>
      <c r="AE68" s="4">
        <f t="shared" si="277"/>
        <v>1306</v>
      </c>
      <c r="AF68" s="4">
        <f t="shared" si="278"/>
        <v>14</v>
      </c>
      <c r="AG68" s="4">
        <f t="shared" si="279"/>
        <v>1141</v>
      </c>
      <c r="AH68" s="4">
        <f t="shared" si="280"/>
        <v>974</v>
      </c>
      <c r="AI68" s="4">
        <f t="shared" si="281"/>
        <v>7</v>
      </c>
      <c r="AJ68" s="4">
        <f t="shared" si="282"/>
        <v>178</v>
      </c>
      <c r="AK68" s="4">
        <f t="shared" si="329"/>
        <v>21624</v>
      </c>
      <c r="AL68" s="58">
        <f t="shared" si="330"/>
        <v>1.3273863725296892E-2</v>
      </c>
      <c r="AM68" s="58">
        <f t="shared" si="283"/>
        <v>3.9276784169666276E-4</v>
      </c>
      <c r="AN68" s="58">
        <f t="shared" si="284"/>
        <v>3.0970940922317494E-5</v>
      </c>
      <c r="AO68" s="58">
        <f t="shared" si="285"/>
        <v>6.0815665811096166E-4</v>
      </c>
      <c r="AP68" s="58">
        <f t="shared" si="286"/>
        <v>5.588847066436384E-4</v>
      </c>
      <c r="AQ68" s="58">
        <f t="shared" si="287"/>
        <v>4.7878259125818997E-3</v>
      </c>
      <c r="AR68" s="58">
        <f t="shared" si="288"/>
        <v>4.8455444843007638E-3</v>
      </c>
      <c r="AS68" s="58">
        <f t="shared" si="289"/>
        <v>7.5174920238716097E-4</v>
      </c>
      <c r="AT68" s="58">
        <f t="shared" si="290"/>
        <v>9.5728362850799526E-5</v>
      </c>
      <c r="AU68" s="58">
        <f t="shared" si="291"/>
        <v>1.8385476747521201E-3</v>
      </c>
      <c r="AV68" s="58">
        <f t="shared" si="292"/>
        <v>1.9708780586929314E-5</v>
      </c>
      <c r="AW68" s="58">
        <f t="shared" si="293"/>
        <v>1.606265617834739E-3</v>
      </c>
      <c r="AX68" s="58">
        <f t="shared" si="294"/>
        <v>1.3711680208335108E-3</v>
      </c>
      <c r="AY68" s="58">
        <f t="shared" si="295"/>
        <v>9.8543902934646572E-6</v>
      </c>
      <c r="AZ68" s="58">
        <f t="shared" si="296"/>
        <v>2.5058306746238699E-4</v>
      </c>
      <c r="BA68" s="58">
        <f t="shared" si="331"/>
        <v>3.0441619386554247E-2</v>
      </c>
      <c r="BB68" s="4">
        <f t="shared" si="332"/>
        <v>699531.28776711202</v>
      </c>
      <c r="BC68" s="59">
        <f t="shared" si="297"/>
        <v>1.3479025405850185E-2</v>
      </c>
      <c r="BD68" s="59">
        <f t="shared" si="333"/>
        <v>3.9883848639645793E-4</v>
      </c>
      <c r="BE68" s="59">
        <f t="shared" si="298"/>
        <v>3.1449629751692027E-5</v>
      </c>
      <c r="BF68" s="59">
        <f t="shared" si="299"/>
        <v>6.1755636603322511E-4</v>
      </c>
      <c r="BG68" s="59">
        <f t="shared" si="300"/>
        <v>5.6752286415553336E-4</v>
      </c>
      <c r="BH68" s="59">
        <f t="shared" si="301"/>
        <v>4.8618268538865713E-3</v>
      </c>
      <c r="BI68" s="59">
        <f t="shared" si="302"/>
        <v>4.9204375275147243E-3</v>
      </c>
      <c r="BJ68" s="59">
        <f t="shared" si="303"/>
        <v>7.6336828579107001E-4</v>
      </c>
      <c r="BK68" s="59">
        <f t="shared" si="304"/>
        <v>9.7207946505229885E-5</v>
      </c>
      <c r="BL68" s="59">
        <f t="shared" si="305"/>
        <v>1.8669643843504445E-3</v>
      </c>
      <c r="BM68" s="59">
        <f t="shared" si="306"/>
        <v>2.0013400751076742E-5</v>
      </c>
      <c r="BN68" s="59">
        <f t="shared" si="307"/>
        <v>1.6310921612127545E-3</v>
      </c>
      <c r="BO68" s="59">
        <f t="shared" si="348"/>
        <v>1.3923608808249104E-3</v>
      </c>
      <c r="BP68" s="59">
        <f t="shared" si="309"/>
        <v>1.0006700375538371E-5</v>
      </c>
      <c r="BQ68" s="59">
        <f t="shared" si="310"/>
        <v>2.5445609526369002E-4</v>
      </c>
      <c r="BR68" s="60">
        <f t="shared" si="349"/>
        <v>1.0305580591901146E-2</v>
      </c>
      <c r="BS68" s="60">
        <f t="shared" si="334"/>
        <v>4.8216123935880642E-4</v>
      </c>
      <c r="BT68" s="60">
        <f t="shared" si="335"/>
        <v>3.2378710964241012E-5</v>
      </c>
      <c r="BU68" s="60">
        <f t="shared" si="336"/>
        <v>4.0684554211589799E-4</v>
      </c>
      <c r="BV68" s="60">
        <f t="shared" si="337"/>
        <v>5.0398167500862096E-4</v>
      </c>
      <c r="BW68" s="60">
        <f t="shared" si="338"/>
        <v>4.7413695011984235E-3</v>
      </c>
      <c r="BX68" s="60">
        <f t="shared" si="339"/>
        <v>3.6756875794623171E-3</v>
      </c>
      <c r="BY68" s="60">
        <f t="shared" si="340"/>
        <v>6.4335090915904969E-4</v>
      </c>
      <c r="BZ68" s="60">
        <f t="shared" si="341"/>
        <v>1.3584980904561992E-4</v>
      </c>
      <c r="CA68" s="60">
        <f t="shared" si="342"/>
        <v>1.8645914205277054E-3</v>
      </c>
      <c r="CB68" s="60">
        <f t="shared" si="343"/>
        <v>9.8543902934646572E-6</v>
      </c>
      <c r="CC68" s="60">
        <f t="shared" si="344"/>
        <v>1.208570580991344E-3</v>
      </c>
      <c r="CD68" s="60">
        <f t="shared" si="345"/>
        <v>8.4466202515411342E-4</v>
      </c>
      <c r="CE68" s="60">
        <f t="shared" si="346"/>
        <v>8.4466202515411342E-6</v>
      </c>
      <c r="CF68" s="13">
        <f t="shared" si="347"/>
        <v>2.3861702210603705E-4</v>
      </c>
    </row>
    <row r="69" spans="1:85" hidden="1" x14ac:dyDescent="0.25">
      <c r="C69" s="4"/>
    </row>
    <row r="70" spans="1:85" hidden="1" x14ac:dyDescent="0.25">
      <c r="C70" s="4"/>
    </row>
    <row r="71" spans="1:85" hidden="1" x14ac:dyDescent="0.25">
      <c r="A71" s="4" t="s">
        <v>23</v>
      </c>
      <c r="B71" s="61">
        <v>1996</v>
      </c>
    </row>
    <row r="72" spans="1:85" hidden="1" x14ac:dyDescent="0.25"/>
    <row r="73" spans="1:85" s="21" customFormat="1" ht="23.25" hidden="1" customHeight="1" x14ac:dyDescent="0.25">
      <c r="A73" s="62" t="s">
        <v>46</v>
      </c>
      <c r="B73" s="62"/>
      <c r="C73" s="4" t="s">
        <v>35</v>
      </c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</row>
    <row r="74" spans="1:85" s="37" customFormat="1" ht="33" hidden="1" customHeight="1" x14ac:dyDescent="0.25">
      <c r="A74" s="63" t="s">
        <v>22</v>
      </c>
      <c r="B74" s="64" t="s">
        <v>24</v>
      </c>
      <c r="C74" s="64">
        <v>1</v>
      </c>
      <c r="D74" s="64">
        <v>10</v>
      </c>
      <c r="E74" s="64">
        <v>11</v>
      </c>
      <c r="F74" s="64">
        <v>12</v>
      </c>
      <c r="G74" s="64">
        <v>13</v>
      </c>
      <c r="H74" s="64">
        <v>2</v>
      </c>
      <c r="I74" s="64">
        <v>3</v>
      </c>
      <c r="J74" s="64">
        <v>4</v>
      </c>
      <c r="K74" s="64">
        <v>5</v>
      </c>
      <c r="L74" s="64">
        <v>6</v>
      </c>
      <c r="M74" s="64">
        <v>7</v>
      </c>
      <c r="N74" s="64">
        <v>8</v>
      </c>
      <c r="O74" s="64">
        <v>9</v>
      </c>
      <c r="P74" s="64">
        <v>14</v>
      </c>
      <c r="Q74" s="64">
        <v>15</v>
      </c>
      <c r="R74" s="64"/>
      <c r="S74" s="65" t="s">
        <v>23</v>
      </c>
      <c r="T74" s="65" t="s">
        <v>22</v>
      </c>
      <c r="U74" s="65" t="s">
        <v>181</v>
      </c>
      <c r="V74" s="66" t="str">
        <f>+CONCATENATE("dx","(",C74,")")</f>
        <v>dx(1)</v>
      </c>
      <c r="W74" s="66" t="str">
        <f t="shared" ref="W74" si="350">+CONCATENATE("dx","(",D74,")")</f>
        <v>dx(10)</v>
      </c>
      <c r="X74" s="66" t="str">
        <f t="shared" ref="X74" si="351">+CONCATENATE("dx","(",E74,")")</f>
        <v>dx(11)</v>
      </c>
      <c r="Y74" s="66" t="str">
        <f t="shared" ref="Y74" si="352">+CONCATENATE("dx","(",F74,")")</f>
        <v>dx(12)</v>
      </c>
      <c r="Z74" s="66" t="str">
        <f t="shared" ref="Z74" si="353">+CONCATENATE("dx","(",G74,")")</f>
        <v>dx(13)</v>
      </c>
      <c r="AA74" s="66" t="str">
        <f t="shared" ref="AA74" si="354">+CONCATENATE("dx","(",H74,")")</f>
        <v>dx(2)</v>
      </c>
      <c r="AB74" s="66" t="str">
        <f t="shared" ref="AB74" si="355">+CONCATENATE("dx","(",I74,")")</f>
        <v>dx(3)</v>
      </c>
      <c r="AC74" s="66" t="str">
        <f t="shared" ref="AC74" si="356">+CONCATENATE("dx","(",J74,")")</f>
        <v>dx(4)</v>
      </c>
      <c r="AD74" s="66" t="str">
        <f t="shared" ref="AD74" si="357">+CONCATENATE("dx","(",K74,")")</f>
        <v>dx(5)</v>
      </c>
      <c r="AE74" s="66" t="str">
        <f t="shared" ref="AE74" si="358">+CONCATENATE("dx","(",L74,")")</f>
        <v>dx(6)</v>
      </c>
      <c r="AF74" s="66" t="str">
        <f t="shared" ref="AF74" si="359">+CONCATENATE("dx","(",M74,")")</f>
        <v>dx(7)</v>
      </c>
      <c r="AG74" s="66" t="str">
        <f t="shared" ref="AG74" si="360">+CONCATENATE("dx","(",N74,")")</f>
        <v>dx(8)</v>
      </c>
      <c r="AH74" s="66" t="str">
        <f t="shared" ref="AH74" si="361">+CONCATENATE("dx","(",O74,")")</f>
        <v>dx(9)</v>
      </c>
      <c r="AI74" s="66" t="str">
        <f t="shared" ref="AI74" si="362">+CONCATENATE("dx","(",P74,")")</f>
        <v>dx(14)</v>
      </c>
      <c r="AJ74" s="66" t="str">
        <f t="shared" ref="AJ74" si="363">+CONCATENATE("dx","(",Q74,")")</f>
        <v>dx(15)</v>
      </c>
      <c r="AK74" s="66" t="s">
        <v>182</v>
      </c>
      <c r="AL74" s="66" t="str">
        <f t="shared" ref="AL74:AZ74" si="364">+CONCATENATE("qx","(",C74,")")</f>
        <v>qx(1)</v>
      </c>
      <c r="AM74" s="66" t="str">
        <f t="shared" si="364"/>
        <v>qx(10)</v>
      </c>
      <c r="AN74" s="66" t="str">
        <f t="shared" si="364"/>
        <v>qx(11)</v>
      </c>
      <c r="AO74" s="66" t="str">
        <f t="shared" si="364"/>
        <v>qx(12)</v>
      </c>
      <c r="AP74" s="66" t="str">
        <f t="shared" si="364"/>
        <v>qx(13)</v>
      </c>
      <c r="AQ74" s="66" t="str">
        <f t="shared" si="364"/>
        <v>qx(2)</v>
      </c>
      <c r="AR74" s="66" t="str">
        <f t="shared" si="364"/>
        <v>qx(3)</v>
      </c>
      <c r="AS74" s="66" t="str">
        <f t="shared" si="364"/>
        <v>qx(4)</v>
      </c>
      <c r="AT74" s="66" t="str">
        <f t="shared" si="364"/>
        <v>qx(5)</v>
      </c>
      <c r="AU74" s="66" t="str">
        <f t="shared" si="364"/>
        <v>qx(6)</v>
      </c>
      <c r="AV74" s="66" t="str">
        <f t="shared" si="364"/>
        <v>qx(7)</v>
      </c>
      <c r="AW74" s="66" t="str">
        <f t="shared" si="364"/>
        <v>qx(8)</v>
      </c>
      <c r="AX74" s="66" t="str">
        <f t="shared" si="364"/>
        <v>qx(9)</v>
      </c>
      <c r="AY74" s="66" t="str">
        <f t="shared" si="364"/>
        <v>qx(14)</v>
      </c>
      <c r="AZ74" s="66" t="str">
        <f t="shared" si="364"/>
        <v>qx(15)</v>
      </c>
      <c r="BA74" s="66" t="str">
        <f>+CONCATENATE("qx","(T)")</f>
        <v>qx(T)</v>
      </c>
      <c r="BB74" s="65" t="s">
        <v>184</v>
      </c>
      <c r="BC74" s="66" t="str">
        <f t="shared" ref="BC74:BQ74" si="365">+CONCATENATE("mx","(",C74,")")</f>
        <v>mx(1)</v>
      </c>
      <c r="BD74" s="66" t="str">
        <f t="shared" si="365"/>
        <v>mx(10)</v>
      </c>
      <c r="BE74" s="66" t="str">
        <f t="shared" si="365"/>
        <v>mx(11)</v>
      </c>
      <c r="BF74" s="66" t="str">
        <f t="shared" si="365"/>
        <v>mx(12)</v>
      </c>
      <c r="BG74" s="66" t="str">
        <f t="shared" si="365"/>
        <v>mx(13)</v>
      </c>
      <c r="BH74" s="66" t="str">
        <f t="shared" si="365"/>
        <v>mx(2)</v>
      </c>
      <c r="BI74" s="66" t="str">
        <f t="shared" si="365"/>
        <v>mx(3)</v>
      </c>
      <c r="BJ74" s="66" t="str">
        <f t="shared" si="365"/>
        <v>mx(4)</v>
      </c>
      <c r="BK74" s="66" t="str">
        <f t="shared" si="365"/>
        <v>mx(5)</v>
      </c>
      <c r="BL74" s="66" t="str">
        <f t="shared" si="365"/>
        <v>mx(6)</v>
      </c>
      <c r="BM74" s="66" t="str">
        <f t="shared" si="365"/>
        <v>mx(7)</v>
      </c>
      <c r="BN74" s="66" t="str">
        <f t="shared" si="365"/>
        <v>mx(8)</v>
      </c>
      <c r="BO74" s="66" t="str">
        <f t="shared" si="365"/>
        <v>mx(9)</v>
      </c>
      <c r="BP74" s="66" t="str">
        <f t="shared" si="365"/>
        <v>mx(14)</v>
      </c>
      <c r="BQ74" s="66" t="str">
        <f t="shared" si="365"/>
        <v>mx(15)</v>
      </c>
      <c r="BR74" s="66" t="str">
        <f>+CONCATENATE("µ(X)",C74)</f>
        <v>µ(X)1</v>
      </c>
      <c r="BS74" s="66" t="str">
        <f t="shared" ref="BS74" si="366">+CONCATENATE("µ(X)",D74)</f>
        <v>µ(X)10</v>
      </c>
      <c r="BT74" s="66" t="str">
        <f t="shared" ref="BT74" si="367">+CONCATENATE("µ(X)",E74)</f>
        <v>µ(X)11</v>
      </c>
      <c r="BU74" s="66" t="str">
        <f t="shared" ref="BU74" si="368">+CONCATENATE("µ(X)",F74)</f>
        <v>µ(X)12</v>
      </c>
      <c r="BV74" s="66" t="str">
        <f t="shared" ref="BV74" si="369">+CONCATENATE("µ(X)",G74)</f>
        <v>µ(X)13</v>
      </c>
      <c r="BW74" s="66" t="str">
        <f t="shared" ref="BW74" si="370">+CONCATENATE("µ(X)",H74)</f>
        <v>µ(X)2</v>
      </c>
      <c r="BX74" s="66" t="str">
        <f t="shared" ref="BX74" si="371">+CONCATENATE("µ(X)",I74)</f>
        <v>µ(X)3</v>
      </c>
      <c r="BY74" s="66" t="str">
        <f t="shared" ref="BY74" si="372">+CONCATENATE("µ(X)",J74)</f>
        <v>µ(X)4</v>
      </c>
      <c r="BZ74" s="66" t="str">
        <f t="shared" ref="BZ74" si="373">+CONCATENATE("µ(X)",K74)</f>
        <v>µ(X)5</v>
      </c>
      <c r="CA74" s="66" t="str">
        <f t="shared" ref="CA74" si="374">+CONCATENATE("µ(X)",L74)</f>
        <v>µ(X)6</v>
      </c>
      <c r="CB74" s="66" t="str">
        <f t="shared" ref="CB74" si="375">+CONCATENATE("µ(X)",M74)</f>
        <v>µ(X)7</v>
      </c>
      <c r="CC74" s="66" t="str">
        <f t="shared" ref="CC74" si="376">+CONCATENATE("µ(X)",N74)</f>
        <v>µ(X)8</v>
      </c>
      <c r="CD74" s="66" t="str">
        <f t="shared" ref="CD74" si="377">+CONCATENATE("µ(X)",O74)</f>
        <v>µ(X)9</v>
      </c>
      <c r="CE74" s="66" t="str">
        <f t="shared" ref="CE74" si="378">+CONCATENATE("µ(X)",P74)</f>
        <v>µ(X)14</v>
      </c>
      <c r="CF74" s="42" t="str">
        <f t="shared" ref="CF74" si="379">+CONCATENATE("µ(X)",Q74)</f>
        <v>µ(X)15</v>
      </c>
      <c r="CG74" s="36"/>
    </row>
    <row r="75" spans="1:85" hidden="1" x14ac:dyDescent="0.25">
      <c r="A75" s="4" t="s">
        <v>6</v>
      </c>
      <c r="B75" s="56">
        <v>2669011.0638103201</v>
      </c>
      <c r="C75" s="57">
        <v>82</v>
      </c>
      <c r="D75" s="57">
        <v>35</v>
      </c>
      <c r="E75" s="57">
        <v>1552</v>
      </c>
      <c r="F75" s="57">
        <v>2468</v>
      </c>
      <c r="G75" s="57">
        <v>37</v>
      </c>
      <c r="H75" s="57">
        <v>159</v>
      </c>
      <c r="I75" s="57">
        <v>14</v>
      </c>
      <c r="J75" s="57">
        <v>786</v>
      </c>
      <c r="K75" s="57">
        <v>32</v>
      </c>
      <c r="L75" s="57">
        <v>12</v>
      </c>
      <c r="M75" s="57">
        <v>5626</v>
      </c>
      <c r="N75" s="57">
        <v>114</v>
      </c>
      <c r="O75" s="57">
        <v>877</v>
      </c>
      <c r="P75" s="57">
        <v>21</v>
      </c>
      <c r="Q75" s="57">
        <v>29</v>
      </c>
      <c r="S75" s="4">
        <f>+$B$71</f>
        <v>1996</v>
      </c>
      <c r="T75" s="4" t="str">
        <f>+A75</f>
        <v>0-4</v>
      </c>
      <c r="U75" s="56">
        <f>+B75</f>
        <v>2669011.0638103201</v>
      </c>
      <c r="V75" s="4">
        <f>+C75</f>
        <v>82</v>
      </c>
      <c r="W75" s="4">
        <f t="shared" ref="W75:W81" si="380">+D75</f>
        <v>35</v>
      </c>
      <c r="X75" s="4">
        <f t="shared" ref="X75:X81" si="381">+E75</f>
        <v>1552</v>
      </c>
      <c r="Y75" s="4">
        <f t="shared" ref="Y75:Y81" si="382">+F75</f>
        <v>2468</v>
      </c>
      <c r="Z75" s="4">
        <f t="shared" ref="Z75:Z81" si="383">+G75</f>
        <v>37</v>
      </c>
      <c r="AA75" s="4">
        <f t="shared" ref="AA75:AA81" si="384">+H75</f>
        <v>159</v>
      </c>
      <c r="AB75" s="4">
        <f t="shared" ref="AB75:AB81" si="385">+I75</f>
        <v>14</v>
      </c>
      <c r="AC75" s="4">
        <f t="shared" ref="AC75:AC81" si="386">+J75</f>
        <v>786</v>
      </c>
      <c r="AD75" s="4">
        <f t="shared" ref="AD75:AD81" si="387">+K75</f>
        <v>32</v>
      </c>
      <c r="AE75" s="4">
        <f t="shared" ref="AE75:AE81" si="388">+L75</f>
        <v>12</v>
      </c>
      <c r="AF75" s="4">
        <f t="shared" ref="AF75:AF81" si="389">+M75</f>
        <v>5626</v>
      </c>
      <c r="AG75" s="4">
        <f t="shared" ref="AG75:AG81" si="390">+N75</f>
        <v>114</v>
      </c>
      <c r="AH75" s="4">
        <f t="shared" ref="AH75:AH81" si="391">+O75</f>
        <v>877</v>
      </c>
      <c r="AI75" s="4">
        <f t="shared" ref="AI75:AI81" si="392">+P75</f>
        <v>21</v>
      </c>
      <c r="AJ75" s="4">
        <f t="shared" ref="AJ75:AJ81" si="393">+Q75</f>
        <v>29</v>
      </c>
      <c r="AK75" s="4">
        <f>+SUM(V75:AJ75)</f>
        <v>11844</v>
      </c>
      <c r="AL75" s="58">
        <f>+V75/$U75</f>
        <v>3.072298991632338E-5</v>
      </c>
      <c r="AM75" s="58">
        <f t="shared" ref="AM75:AM81" si="394">+W75/$U75</f>
        <v>1.3113471305747784E-5</v>
      </c>
      <c r="AN75" s="58">
        <f t="shared" ref="AN75:AN81" si="395">+X75/$U75</f>
        <v>5.8148878475773028E-4</v>
      </c>
      <c r="AO75" s="58">
        <f t="shared" ref="AO75:AO81" si="396">+Y75/$U75</f>
        <v>9.2468706235958656E-4</v>
      </c>
      <c r="AP75" s="58">
        <f t="shared" ref="AP75:AP81" si="397">+Z75/$U75</f>
        <v>1.3862812523219085E-5</v>
      </c>
      <c r="AQ75" s="58">
        <f t="shared" ref="AQ75:AQ81" si="398">+AA75/$U75</f>
        <v>5.9572626788968504E-5</v>
      </c>
      <c r="AR75" s="58">
        <f t="shared" ref="AR75:AR81" si="399">+AB75/$U75</f>
        <v>5.2453885222991139E-6</v>
      </c>
      <c r="AS75" s="58">
        <f t="shared" ref="AS75:AS81" si="400">+AC75/$U75</f>
        <v>2.9449109846622164E-4</v>
      </c>
      <c r="AT75" s="58">
        <f t="shared" ref="AT75:AT81" si="401">+AD75/$U75</f>
        <v>1.1989459479540831E-5</v>
      </c>
      <c r="AU75" s="58">
        <f t="shared" ref="AU75:AU81" si="402">+AE75/$U75</f>
        <v>4.4960473048278115E-6</v>
      </c>
      <c r="AV75" s="58">
        <f t="shared" ref="AV75:AV81" si="403">+AF75/$U75</f>
        <v>2.1078968447467723E-3</v>
      </c>
      <c r="AW75" s="58">
        <f t="shared" ref="AW75:AW81" si="404">+AG75/$U75</f>
        <v>4.2712449395864211E-5</v>
      </c>
      <c r="AX75" s="58">
        <f t="shared" ref="AX75:AX81" si="405">+AH75/$U75</f>
        <v>3.2858612386116591E-4</v>
      </c>
      <c r="AY75" s="58">
        <f t="shared" ref="AY75:AY81" si="406">+AI75/$U75</f>
        <v>7.86808278344867E-6</v>
      </c>
      <c r="AZ75" s="58">
        <f t="shared" ref="AZ75:AZ81" si="407">+AJ75/$U75</f>
        <v>1.0865447653333878E-5</v>
      </c>
      <c r="BA75" s="58">
        <f>+AK75/U75</f>
        <v>4.4375986898650497E-3</v>
      </c>
      <c r="BB75" s="4">
        <f>+U75-(0.5*AK75)</f>
        <v>2663089.0638103201</v>
      </c>
      <c r="BC75" s="59">
        <f t="shared" ref="BC75:BC81" si="408">+AL75/(1-(0.5*$BA75))</f>
        <v>3.0791309654013318E-5</v>
      </c>
      <c r="BD75" s="59">
        <f>+AM75/(1-(0.5*$BA75))</f>
        <v>1.3142632169395928E-5</v>
      </c>
      <c r="BE75" s="59">
        <f t="shared" ref="BE75:BE81" si="409">+AN75/(1-(0.5*$BA75))</f>
        <v>5.8278186076864233E-4</v>
      </c>
      <c r="BF75" s="59">
        <f t="shared" ref="BF75:BF81" si="410">+AO75/(1-(0.5*$BA75))</f>
        <v>9.2674331983054719E-4</v>
      </c>
      <c r="BG75" s="59">
        <f t="shared" ref="BG75:BG81" si="411">+AP75/(1-(0.5*$BA75))</f>
        <v>1.3893639721932839E-5</v>
      </c>
      <c r="BH75" s="59">
        <f t="shared" ref="BH75:BH81" si="412">+AQ75/(1-(0.5*$BA75))</f>
        <v>5.9705100426684362E-5</v>
      </c>
      <c r="BI75" s="59">
        <f t="shared" ref="BI75:BI81" si="413">+AR75/(1-(0.5*$BA75))</f>
        <v>5.2570528677583717E-6</v>
      </c>
      <c r="BJ75" s="59">
        <f t="shared" ref="BJ75:BJ81" si="414">+AS75/(1-(0.5*$BA75))</f>
        <v>2.9514596814700567E-4</v>
      </c>
      <c r="BK75" s="59">
        <f t="shared" ref="BK75:BK81" si="415">+AT75/(1-(0.5*$BA75))</f>
        <v>1.2016120840590563E-5</v>
      </c>
      <c r="BL75" s="59">
        <f t="shared" ref="BL75:BL81" si="416">+AU75/(1-(0.5*$BA75))</f>
        <v>4.5060453152214609E-6</v>
      </c>
      <c r="BM75" s="59">
        <f t="shared" ref="BM75:BM81" si="417">+AV75/(1-(0.5*$BA75))</f>
        <v>2.1125842452863284E-3</v>
      </c>
      <c r="BN75" s="59">
        <f t="shared" ref="BN75:BN81" si="418">+AW75/(1-(0.5*$BA75))</f>
        <v>4.2807430494603885E-5</v>
      </c>
      <c r="BO75" s="59">
        <f t="shared" ref="BO75" si="419">+AX75/(1-(0.5*$BA75))</f>
        <v>3.2931681178743514E-4</v>
      </c>
      <c r="BP75" s="59">
        <f t="shared" ref="BP75:BP81" si="420">+AY75/(1-(0.5*$BA75))</f>
        <v>7.8855793016375572E-6</v>
      </c>
      <c r="BQ75" s="59">
        <f t="shared" ref="BQ75:BQ81" si="421">+AZ75/(1-(0.5*$BA75))</f>
        <v>1.0889609511785197E-5</v>
      </c>
      <c r="BR75" s="60">
        <f>+V75/(2*$U75)</f>
        <v>1.536149495816169E-5</v>
      </c>
      <c r="BS75" s="60">
        <f t="shared" ref="BS75" si="422">+W75/(2*$U75)</f>
        <v>6.5567356528738919E-6</v>
      </c>
      <c r="BT75" s="60">
        <f t="shared" ref="BT75" si="423">+X75/(2*$U75)</f>
        <v>2.9074439237886514E-4</v>
      </c>
      <c r="BU75" s="60">
        <f t="shared" ref="BU75" si="424">+Y75/(2*$U75)</f>
        <v>4.6234353117979328E-4</v>
      </c>
      <c r="BV75" s="60">
        <f t="shared" ref="BV75" si="425">+Z75/(2*$U75)</f>
        <v>6.9314062616095427E-6</v>
      </c>
      <c r="BW75" s="60">
        <f t="shared" ref="BW75" si="426">+AA75/(2*$U75)</f>
        <v>2.9786313394484252E-5</v>
      </c>
      <c r="BX75" s="60">
        <f t="shared" ref="BX75" si="427">+AB75/(2*$U75)</f>
        <v>2.6226942611495569E-6</v>
      </c>
      <c r="BY75" s="60">
        <f t="shared" ref="BY75" si="428">+AC75/(2*$U75)</f>
        <v>1.4724554923311082E-4</v>
      </c>
      <c r="BZ75" s="60">
        <f t="shared" ref="BZ75" si="429">+AD75/(2*$U75)</f>
        <v>5.9947297397704154E-6</v>
      </c>
      <c r="CA75" s="60">
        <f t="shared" ref="CA75" si="430">+AE75/(2*$U75)</f>
        <v>2.2480236524139058E-6</v>
      </c>
      <c r="CB75" s="60">
        <f t="shared" ref="CB75" si="431">+AF75/(2*$U75)</f>
        <v>1.0539484223733861E-3</v>
      </c>
      <c r="CC75" s="60">
        <f t="shared" ref="CC75" si="432">+AG75/(2*$U75)</f>
        <v>2.1356224697932105E-5</v>
      </c>
      <c r="CD75" s="60">
        <f t="shared" ref="CD75" si="433">+AH75/(2*$U75)</f>
        <v>1.6429306193058296E-4</v>
      </c>
      <c r="CE75" s="60">
        <f t="shared" ref="CE75" si="434">+AI75/(2*$U75)</f>
        <v>3.934041391724335E-6</v>
      </c>
      <c r="CF75" s="13">
        <f t="shared" ref="CF75" si="435">+AJ75/(2*$U75)</f>
        <v>5.4327238266669388E-6</v>
      </c>
    </row>
    <row r="76" spans="1:85" hidden="1" x14ac:dyDescent="0.25">
      <c r="A76" s="4" t="s">
        <v>5</v>
      </c>
      <c r="B76" s="56">
        <v>5336689.2615659405</v>
      </c>
      <c r="C76" s="57">
        <v>50</v>
      </c>
      <c r="D76" s="57">
        <v>18</v>
      </c>
      <c r="E76" s="57">
        <v>121</v>
      </c>
      <c r="F76" s="57">
        <v>79</v>
      </c>
      <c r="G76" s="57">
        <v>18</v>
      </c>
      <c r="H76" s="57">
        <v>266</v>
      </c>
      <c r="I76" s="57">
        <v>18</v>
      </c>
      <c r="J76" s="57">
        <v>659</v>
      </c>
      <c r="K76" s="57">
        <v>105</v>
      </c>
      <c r="L76" s="57">
        <v>16</v>
      </c>
      <c r="M76" s="57">
        <v>2</v>
      </c>
      <c r="N76" s="57">
        <v>15</v>
      </c>
      <c r="O76" s="57">
        <v>82</v>
      </c>
      <c r="P76" s="57">
        <v>2</v>
      </c>
      <c r="Q76" s="57">
        <v>34</v>
      </c>
      <c r="S76" s="4">
        <f t="shared" ref="S76:S81" si="436">+$B$71</f>
        <v>1996</v>
      </c>
      <c r="T76" s="4" t="str">
        <f t="shared" ref="T76:T81" si="437">+A76</f>
        <v>5-14</v>
      </c>
      <c r="U76" s="56">
        <f t="shared" ref="U76:U81" si="438">+B76</f>
        <v>5336689.2615659405</v>
      </c>
      <c r="V76" s="4">
        <f t="shared" ref="V76:V81" si="439">+C76</f>
        <v>50</v>
      </c>
      <c r="W76" s="4">
        <f t="shared" si="380"/>
        <v>18</v>
      </c>
      <c r="X76" s="4">
        <f t="shared" si="381"/>
        <v>121</v>
      </c>
      <c r="Y76" s="4">
        <f t="shared" si="382"/>
        <v>79</v>
      </c>
      <c r="Z76" s="4">
        <f t="shared" si="383"/>
        <v>18</v>
      </c>
      <c r="AA76" s="4">
        <f t="shared" si="384"/>
        <v>266</v>
      </c>
      <c r="AB76" s="4">
        <f t="shared" si="385"/>
        <v>18</v>
      </c>
      <c r="AC76" s="4">
        <f t="shared" si="386"/>
        <v>659</v>
      </c>
      <c r="AD76" s="4">
        <f t="shared" si="387"/>
        <v>105</v>
      </c>
      <c r="AE76" s="4">
        <f t="shared" si="388"/>
        <v>16</v>
      </c>
      <c r="AF76" s="4">
        <f t="shared" si="389"/>
        <v>2</v>
      </c>
      <c r="AG76" s="4">
        <f t="shared" si="390"/>
        <v>15</v>
      </c>
      <c r="AH76" s="4">
        <f t="shared" si="391"/>
        <v>82</v>
      </c>
      <c r="AI76" s="4">
        <f t="shared" si="392"/>
        <v>2</v>
      </c>
      <c r="AJ76" s="4">
        <f t="shared" si="393"/>
        <v>34</v>
      </c>
      <c r="AK76" s="4">
        <f t="shared" ref="AK76:AK81" si="440">+SUM(V76:AJ76)</f>
        <v>1485</v>
      </c>
      <c r="AL76" s="58">
        <f t="shared" ref="AL76:AL81" si="441">+V76/$U76</f>
        <v>9.3691046169940461E-6</v>
      </c>
      <c r="AM76" s="58">
        <f t="shared" si="394"/>
        <v>3.3728776621178566E-6</v>
      </c>
      <c r="AN76" s="58">
        <f t="shared" si="395"/>
        <v>2.2673233173125591E-5</v>
      </c>
      <c r="AO76" s="58">
        <f t="shared" si="396"/>
        <v>1.4803185294850593E-5</v>
      </c>
      <c r="AP76" s="58">
        <f t="shared" si="397"/>
        <v>3.3728776621178566E-6</v>
      </c>
      <c r="AQ76" s="58">
        <f t="shared" si="398"/>
        <v>4.9843636562408325E-5</v>
      </c>
      <c r="AR76" s="58">
        <f t="shared" si="399"/>
        <v>3.3728776621178566E-6</v>
      </c>
      <c r="AS76" s="58">
        <f t="shared" si="400"/>
        <v>1.2348479885198154E-4</v>
      </c>
      <c r="AT76" s="58">
        <f t="shared" si="401"/>
        <v>1.9675119695687498E-5</v>
      </c>
      <c r="AU76" s="58">
        <f t="shared" si="402"/>
        <v>2.998113477438095E-6</v>
      </c>
      <c r="AV76" s="58">
        <f t="shared" si="403"/>
        <v>3.7476418467976187E-7</v>
      </c>
      <c r="AW76" s="58">
        <f t="shared" si="404"/>
        <v>2.8107313850982138E-6</v>
      </c>
      <c r="AX76" s="58">
        <f t="shared" si="405"/>
        <v>1.5365331571870237E-5</v>
      </c>
      <c r="AY76" s="58">
        <f t="shared" si="406"/>
        <v>3.7476418467976187E-7</v>
      </c>
      <c r="AZ76" s="58">
        <f t="shared" si="407"/>
        <v>6.3709911395559516E-6</v>
      </c>
      <c r="BA76" s="58">
        <f t="shared" ref="BA76:BA81" si="442">+AK76/U76</f>
        <v>2.7826240712472319E-4</v>
      </c>
      <c r="BB76" s="4">
        <f t="shared" ref="BB76:BB81" si="443">+U76-(0.5*AK76)</f>
        <v>5335946.7615659405</v>
      </c>
      <c r="BC76" s="59">
        <f t="shared" si="408"/>
        <v>9.3704083331833129E-6</v>
      </c>
      <c r="BD76" s="59">
        <f t="shared" ref="BD76:BD81" si="444">+AM76/(1-(0.5*$BA76))</f>
        <v>3.3733469999459925E-6</v>
      </c>
      <c r="BE76" s="59">
        <f t="shared" si="409"/>
        <v>2.2676388166303615E-5</v>
      </c>
      <c r="BF76" s="59">
        <f t="shared" si="410"/>
        <v>1.4805245166429634E-5</v>
      </c>
      <c r="BG76" s="59">
        <f t="shared" si="411"/>
        <v>3.3733469999459925E-6</v>
      </c>
      <c r="BH76" s="59">
        <f t="shared" si="412"/>
        <v>4.9850572332535225E-5</v>
      </c>
      <c r="BI76" s="59">
        <f t="shared" si="413"/>
        <v>3.3733469999459925E-6</v>
      </c>
      <c r="BJ76" s="59">
        <f t="shared" si="414"/>
        <v>1.2350198183135608E-4</v>
      </c>
      <c r="BK76" s="59">
        <f t="shared" si="415"/>
        <v>1.9677857499684958E-5</v>
      </c>
      <c r="BL76" s="59">
        <f t="shared" si="416"/>
        <v>2.9985306666186604E-6</v>
      </c>
      <c r="BM76" s="59">
        <f t="shared" si="417"/>
        <v>3.7481633332733255E-7</v>
      </c>
      <c r="BN76" s="59">
        <f t="shared" si="418"/>
        <v>2.8111224999549937E-6</v>
      </c>
      <c r="BO76" s="59">
        <f>+AX76/(1-(0.5*$BA76))</f>
        <v>1.5367469666420634E-5</v>
      </c>
      <c r="BP76" s="59">
        <f t="shared" si="420"/>
        <v>3.7481633332733255E-7</v>
      </c>
      <c r="BQ76" s="59">
        <f t="shared" si="421"/>
        <v>6.3718776665646525E-6</v>
      </c>
      <c r="BR76" s="60">
        <f>+(V75+V76)/(2*$U76)</f>
        <v>1.2367218094432141E-5</v>
      </c>
      <c r="BS76" s="60">
        <f t="shared" ref="BS76:BS81" si="445">+(W75+W76)/(2*$U76)</f>
        <v>4.9656254470068449E-6</v>
      </c>
      <c r="BT76" s="60">
        <f t="shared" ref="BT76:BT81" si="446">+(X75+X76)/(2*$U76)</f>
        <v>1.567451202423104E-4</v>
      </c>
      <c r="BU76" s="60">
        <f t="shared" ref="BU76:BU81" si="447">+(Y75+Y76)/(2*$U76)</f>
        <v>2.3863109459483836E-4</v>
      </c>
      <c r="BV76" s="60">
        <f t="shared" ref="BV76:BV81" si="448">+(Z75+Z76)/(2*$U76)</f>
        <v>5.1530075393467253E-6</v>
      </c>
      <c r="BW76" s="60">
        <f t="shared" ref="BW76:BW81" si="449">+(AA75+AA76)/(2*$U76)</f>
        <v>3.98186946222247E-5</v>
      </c>
      <c r="BX76" s="60">
        <f t="shared" ref="BX76:BX81" si="450">+(AB75+AB76)/(2*$U76)</f>
        <v>2.998113477438095E-6</v>
      </c>
      <c r="BY76" s="60">
        <f t="shared" ref="BY76:BY81" si="451">+(AC75+AC76)/(2*$U76)</f>
        <v>1.3538356171556397E-4</v>
      </c>
      <c r="BZ76" s="60">
        <f t="shared" ref="BZ76:BZ81" si="452">+(AD75+AD76)/(2*$U76)</f>
        <v>1.2835673325281844E-5</v>
      </c>
      <c r="CA76" s="60">
        <f t="shared" ref="CA76:CA81" si="453">+(AE75+AE76)/(2*$U76)</f>
        <v>2.6233492927583329E-6</v>
      </c>
      <c r="CB76" s="60">
        <f t="shared" ref="CB76:CB81" si="454">+(AF75+AF76)/(2*$U76)</f>
        <v>5.2729320784442491E-4</v>
      </c>
      <c r="CC76" s="60">
        <f t="shared" ref="CC76:CC81" si="455">+(AG75+AG76)/(2*$U76)</f>
        <v>1.2086144955922319E-5</v>
      </c>
      <c r="CD76" s="60">
        <f t="shared" ref="CD76:CD81" si="456">+(AH75+AH76)/(2*$U76)</f>
        <v>8.9849713276972899E-5</v>
      </c>
      <c r="CE76" s="60">
        <f t="shared" ref="CE76:CE81" si="457">+(AI75+AI76)/(2*$U76)</f>
        <v>2.1548940619086307E-6</v>
      </c>
      <c r="CF76" s="13">
        <f t="shared" ref="CF76:CF81" si="458">+(AJ75+AJ76)/(2*$U76)</f>
        <v>5.9025359087062493E-6</v>
      </c>
    </row>
    <row r="77" spans="1:85" hidden="1" x14ac:dyDescent="0.25">
      <c r="A77" s="4" t="s">
        <v>4</v>
      </c>
      <c r="B77" s="56">
        <v>4328734.7335640304</v>
      </c>
      <c r="C77" s="57">
        <v>101</v>
      </c>
      <c r="D77" s="57">
        <v>34</v>
      </c>
      <c r="E77" s="57">
        <v>66</v>
      </c>
      <c r="F77" s="57">
        <v>36</v>
      </c>
      <c r="G77" s="57">
        <v>71</v>
      </c>
      <c r="H77" s="57">
        <v>301</v>
      </c>
      <c r="I77" s="57">
        <v>64</v>
      </c>
      <c r="J77" s="57">
        <v>1352</v>
      </c>
      <c r="K77" s="57">
        <v>1694</v>
      </c>
      <c r="L77" s="57">
        <v>51</v>
      </c>
      <c r="M77" s="57">
        <v>0</v>
      </c>
      <c r="N77" s="57">
        <v>33</v>
      </c>
      <c r="O77" s="57">
        <v>90</v>
      </c>
      <c r="P77" s="57">
        <v>47</v>
      </c>
      <c r="Q77" s="57">
        <v>27</v>
      </c>
      <c r="S77" s="4">
        <f t="shared" si="436"/>
        <v>1996</v>
      </c>
      <c r="T77" s="4" t="str">
        <f t="shared" si="437"/>
        <v>15-24</v>
      </c>
      <c r="U77" s="56">
        <f t="shared" si="438"/>
        <v>4328734.7335640304</v>
      </c>
      <c r="V77" s="4">
        <f t="shared" si="439"/>
        <v>101</v>
      </c>
      <c r="W77" s="4">
        <f t="shared" si="380"/>
        <v>34</v>
      </c>
      <c r="X77" s="4">
        <f t="shared" si="381"/>
        <v>66</v>
      </c>
      <c r="Y77" s="4">
        <f t="shared" si="382"/>
        <v>36</v>
      </c>
      <c r="Z77" s="4">
        <f t="shared" si="383"/>
        <v>71</v>
      </c>
      <c r="AA77" s="4">
        <f t="shared" si="384"/>
        <v>301</v>
      </c>
      <c r="AB77" s="4">
        <f t="shared" si="385"/>
        <v>64</v>
      </c>
      <c r="AC77" s="4">
        <f t="shared" si="386"/>
        <v>1352</v>
      </c>
      <c r="AD77" s="4">
        <f t="shared" si="387"/>
        <v>1694</v>
      </c>
      <c r="AE77" s="4">
        <f t="shared" si="388"/>
        <v>51</v>
      </c>
      <c r="AF77" s="4">
        <f t="shared" si="389"/>
        <v>0</v>
      </c>
      <c r="AG77" s="4">
        <f t="shared" si="390"/>
        <v>33</v>
      </c>
      <c r="AH77" s="4">
        <f t="shared" si="391"/>
        <v>90</v>
      </c>
      <c r="AI77" s="4">
        <f t="shared" si="392"/>
        <v>47</v>
      </c>
      <c r="AJ77" s="4">
        <f t="shared" si="393"/>
        <v>27</v>
      </c>
      <c r="AK77" s="4">
        <f t="shared" si="440"/>
        <v>3967</v>
      </c>
      <c r="AL77" s="58">
        <f t="shared" si="441"/>
        <v>2.3332453064603114E-5</v>
      </c>
      <c r="AM77" s="58">
        <f t="shared" si="394"/>
        <v>7.8544891504604536E-6</v>
      </c>
      <c r="AN77" s="58">
        <f t="shared" si="395"/>
        <v>1.5246949527364411E-5</v>
      </c>
      <c r="AO77" s="58">
        <f t="shared" si="396"/>
        <v>8.3165179240169518E-6</v>
      </c>
      <c r="AP77" s="58">
        <f t="shared" si="397"/>
        <v>1.6402021461255655E-5</v>
      </c>
      <c r="AQ77" s="58">
        <f t="shared" si="398"/>
        <v>6.9535330420252836E-5</v>
      </c>
      <c r="AR77" s="58">
        <f t="shared" si="399"/>
        <v>1.4784920753807913E-5</v>
      </c>
      <c r="AS77" s="58">
        <f t="shared" si="400"/>
        <v>3.1233145092419214E-4</v>
      </c>
      <c r="AT77" s="58">
        <f t="shared" si="401"/>
        <v>3.9133837120235322E-4</v>
      </c>
      <c r="AU77" s="58">
        <f t="shared" si="402"/>
        <v>1.1781733725690681E-5</v>
      </c>
      <c r="AV77" s="58">
        <f t="shared" si="403"/>
        <v>0</v>
      </c>
      <c r="AW77" s="58">
        <f t="shared" si="404"/>
        <v>7.6234747636822054E-6</v>
      </c>
      <c r="AX77" s="58">
        <f t="shared" si="405"/>
        <v>2.0791294810042377E-5</v>
      </c>
      <c r="AY77" s="58">
        <f t="shared" si="406"/>
        <v>1.0857676178577687E-5</v>
      </c>
      <c r="AZ77" s="58">
        <f t="shared" si="407"/>
        <v>6.2373884430127134E-6</v>
      </c>
      <c r="BA77" s="58">
        <f t="shared" si="442"/>
        <v>9.1643407234931235E-4</v>
      </c>
      <c r="BB77" s="4">
        <f t="shared" si="443"/>
        <v>4326751.2335640304</v>
      </c>
      <c r="BC77" s="59">
        <f t="shared" si="408"/>
        <v>2.3343149293287266E-5</v>
      </c>
      <c r="BD77" s="59">
        <f t="shared" si="444"/>
        <v>7.8580898611066048E-6</v>
      </c>
      <c r="BE77" s="59">
        <f t="shared" si="409"/>
        <v>1.5253939142148115E-5</v>
      </c>
      <c r="BF77" s="59">
        <f t="shared" si="410"/>
        <v>8.3203304411716991E-6</v>
      </c>
      <c r="BG77" s="59">
        <f t="shared" si="411"/>
        <v>1.640954059231085E-5</v>
      </c>
      <c r="BH77" s="59">
        <f t="shared" si="412"/>
        <v>6.9567207299796693E-5</v>
      </c>
      <c r="BI77" s="59">
        <f t="shared" si="413"/>
        <v>1.4791698562083019E-5</v>
      </c>
      <c r="BJ77" s="59">
        <f t="shared" si="414"/>
        <v>3.1247463212400378E-4</v>
      </c>
      <c r="BK77" s="59">
        <f t="shared" si="415"/>
        <v>3.9151777131513494E-4</v>
      </c>
      <c r="BL77" s="59">
        <f t="shared" si="416"/>
        <v>1.1787134791659907E-5</v>
      </c>
      <c r="BM77" s="59">
        <f t="shared" si="417"/>
        <v>0</v>
      </c>
      <c r="BN77" s="59">
        <f t="shared" si="418"/>
        <v>7.6269695710740576E-6</v>
      </c>
      <c r="BO77" s="59">
        <f t="shared" ref="BO77:BO81" si="459">+AX77/(1-(0.5*$BA77))</f>
        <v>2.0800826102929245E-5</v>
      </c>
      <c r="BP77" s="59">
        <f t="shared" si="420"/>
        <v>1.0862653631529719E-5</v>
      </c>
      <c r="BQ77" s="59">
        <f t="shared" si="421"/>
        <v>6.2402478308787739E-6</v>
      </c>
      <c r="BR77" s="60">
        <f t="shared" ref="BR77:BR81" si="460">+(V76+V77)/(2*$U77)</f>
        <v>1.7441586201757774E-5</v>
      </c>
      <c r="BS77" s="60">
        <f t="shared" si="445"/>
        <v>6.0063740562344643E-6</v>
      </c>
      <c r="BT77" s="60">
        <f t="shared" si="446"/>
        <v>2.1599845163766247E-5</v>
      </c>
      <c r="BU77" s="60">
        <f t="shared" si="447"/>
        <v>1.3283327239749297E-5</v>
      </c>
      <c r="BV77" s="60">
        <f t="shared" si="448"/>
        <v>1.0280140211632064E-5</v>
      </c>
      <c r="BW77" s="60">
        <f t="shared" si="449"/>
        <v>6.5492578651633488E-5</v>
      </c>
      <c r="BX77" s="60">
        <f t="shared" si="450"/>
        <v>9.4715898579081938E-6</v>
      </c>
      <c r="BY77" s="60">
        <f t="shared" si="451"/>
        <v>2.3228496590552901E-4</v>
      </c>
      <c r="BZ77" s="60">
        <f t="shared" si="452"/>
        <v>2.0779744090703467E-4</v>
      </c>
      <c r="CA77" s="60">
        <f t="shared" si="453"/>
        <v>7.7389819570713291E-6</v>
      </c>
      <c r="CB77" s="60">
        <f t="shared" si="454"/>
        <v>2.3101438677824863E-7</v>
      </c>
      <c r="CC77" s="60">
        <f t="shared" si="455"/>
        <v>5.544345282677967E-6</v>
      </c>
      <c r="CD77" s="60">
        <f t="shared" si="456"/>
        <v>1.9867237262929384E-5</v>
      </c>
      <c r="CE77" s="60">
        <f t="shared" si="457"/>
        <v>5.6598524760670916E-6</v>
      </c>
      <c r="CF77" s="13">
        <f t="shared" si="458"/>
        <v>7.0459387967365835E-6</v>
      </c>
    </row>
    <row r="78" spans="1:85" hidden="1" x14ac:dyDescent="0.25">
      <c r="A78" s="4" t="s">
        <v>3</v>
      </c>
      <c r="B78" s="56">
        <v>6500086.9398599695</v>
      </c>
      <c r="C78" s="57">
        <v>1265</v>
      </c>
      <c r="D78" s="57">
        <v>267</v>
      </c>
      <c r="E78" s="57">
        <v>94</v>
      </c>
      <c r="F78" s="57">
        <v>65</v>
      </c>
      <c r="G78" s="57">
        <v>232</v>
      </c>
      <c r="H78" s="57">
        <v>1734</v>
      </c>
      <c r="I78" s="57">
        <v>517</v>
      </c>
      <c r="J78" s="57">
        <v>2393</v>
      </c>
      <c r="K78" s="57">
        <v>1811</v>
      </c>
      <c r="L78" s="57">
        <v>272</v>
      </c>
      <c r="M78" s="57">
        <v>1</v>
      </c>
      <c r="N78" s="57">
        <v>99</v>
      </c>
      <c r="O78" s="57">
        <v>191</v>
      </c>
      <c r="P78" s="57">
        <v>719</v>
      </c>
      <c r="Q78" s="57">
        <v>111</v>
      </c>
      <c r="S78" s="4">
        <f t="shared" si="436"/>
        <v>1996</v>
      </c>
      <c r="T78" s="4" t="str">
        <f t="shared" si="437"/>
        <v>25-44</v>
      </c>
      <c r="U78" s="56">
        <f t="shared" si="438"/>
        <v>6500086.9398599695</v>
      </c>
      <c r="V78" s="4">
        <f t="shared" si="439"/>
        <v>1265</v>
      </c>
      <c r="W78" s="4">
        <f t="shared" si="380"/>
        <v>267</v>
      </c>
      <c r="X78" s="4">
        <f t="shared" si="381"/>
        <v>94</v>
      </c>
      <c r="Y78" s="4">
        <f t="shared" si="382"/>
        <v>65</v>
      </c>
      <c r="Z78" s="4">
        <f t="shared" si="383"/>
        <v>232</v>
      </c>
      <c r="AA78" s="4">
        <f t="shared" si="384"/>
        <v>1734</v>
      </c>
      <c r="AB78" s="4">
        <f t="shared" si="385"/>
        <v>517</v>
      </c>
      <c r="AC78" s="4">
        <f t="shared" si="386"/>
        <v>2393</v>
      </c>
      <c r="AD78" s="4">
        <f t="shared" si="387"/>
        <v>1811</v>
      </c>
      <c r="AE78" s="4">
        <f t="shared" si="388"/>
        <v>272</v>
      </c>
      <c r="AF78" s="4">
        <f t="shared" si="389"/>
        <v>1</v>
      </c>
      <c r="AG78" s="4">
        <f t="shared" si="390"/>
        <v>99</v>
      </c>
      <c r="AH78" s="4">
        <f t="shared" si="391"/>
        <v>191</v>
      </c>
      <c r="AI78" s="4">
        <f t="shared" si="392"/>
        <v>719</v>
      </c>
      <c r="AJ78" s="4">
        <f t="shared" si="393"/>
        <v>111</v>
      </c>
      <c r="AK78" s="4">
        <f t="shared" si="440"/>
        <v>9771</v>
      </c>
      <c r="AL78" s="58">
        <f t="shared" si="441"/>
        <v>1.9461278159877223E-4</v>
      </c>
      <c r="AM78" s="58">
        <f t="shared" si="394"/>
        <v>4.107637366551161E-5</v>
      </c>
      <c r="AN78" s="58">
        <f t="shared" si="395"/>
        <v>1.4461345035798096E-5</v>
      </c>
      <c r="AO78" s="58">
        <f t="shared" si="396"/>
        <v>9.9998662481582572E-6</v>
      </c>
      <c r="AP78" s="58">
        <f t="shared" si="397"/>
        <v>3.56918303011187E-5</v>
      </c>
      <c r="AQ78" s="58">
        <f t="shared" si="398"/>
        <v>2.6676566268163718E-4</v>
      </c>
      <c r="AR78" s="58">
        <f t="shared" si="399"/>
        <v>7.953739769688952E-5</v>
      </c>
      <c r="AS78" s="58">
        <f t="shared" si="400"/>
        <v>3.6814892202834939E-4</v>
      </c>
      <c r="AT78" s="58">
        <f t="shared" si="401"/>
        <v>2.7861165808330162E-4</v>
      </c>
      <c r="AU78" s="58">
        <f t="shared" si="402"/>
        <v>4.1845594146139165E-5</v>
      </c>
      <c r="AV78" s="58">
        <f t="shared" si="403"/>
        <v>1.5384409612551164E-7</v>
      </c>
      <c r="AW78" s="58">
        <f t="shared" si="404"/>
        <v>1.5230565516425653E-5</v>
      </c>
      <c r="AX78" s="58">
        <f t="shared" si="405"/>
        <v>2.9384222359972725E-5</v>
      </c>
      <c r="AY78" s="58">
        <f t="shared" si="406"/>
        <v>1.1061390511424288E-4</v>
      </c>
      <c r="AZ78" s="58">
        <f t="shared" si="407"/>
        <v>1.7076694669931794E-5</v>
      </c>
      <c r="BA78" s="58">
        <f t="shared" si="442"/>
        <v>1.5032106632423743E-3</v>
      </c>
      <c r="BB78" s="4">
        <f t="shared" si="443"/>
        <v>6495201.4398599695</v>
      </c>
      <c r="BC78" s="59">
        <f t="shared" si="408"/>
        <v>1.9475916362453452E-4</v>
      </c>
      <c r="BD78" s="59">
        <f t="shared" si="444"/>
        <v>4.1107270108893847E-5</v>
      </c>
      <c r="BE78" s="59">
        <f t="shared" si="409"/>
        <v>1.4472222435340906E-5</v>
      </c>
      <c r="BF78" s="59">
        <f t="shared" si="410"/>
        <v>1.0007387854225095E-5</v>
      </c>
      <c r="BG78" s="59">
        <f t="shared" si="411"/>
        <v>3.5718676648926485E-5</v>
      </c>
      <c r="BH78" s="59">
        <f t="shared" si="412"/>
        <v>2.6696631598809712E-4</v>
      </c>
      <c r="BI78" s="59">
        <f t="shared" si="413"/>
        <v>7.9597223394374983E-5</v>
      </c>
      <c r="BJ78" s="59">
        <f t="shared" si="414"/>
        <v>3.6842583284862543E-4</v>
      </c>
      <c r="BK78" s="59">
        <f t="shared" si="415"/>
        <v>2.7882122160002534E-4</v>
      </c>
      <c r="BL78" s="59">
        <f t="shared" si="416"/>
        <v>4.187706917460347E-5</v>
      </c>
      <c r="BM78" s="59">
        <f t="shared" si="417"/>
        <v>1.5395981314192452E-7</v>
      </c>
      <c r="BN78" s="59">
        <f t="shared" si="418"/>
        <v>1.5242021501050527E-5</v>
      </c>
      <c r="BO78" s="59">
        <f t="shared" si="459"/>
        <v>2.9406324310107584E-5</v>
      </c>
      <c r="BP78" s="59">
        <f t="shared" si="420"/>
        <v>1.1069710564904374E-4</v>
      </c>
      <c r="BQ78" s="59">
        <f t="shared" si="421"/>
        <v>1.7089539258753623E-5</v>
      </c>
      <c r="BR78" s="60">
        <f t="shared" si="460"/>
        <v>1.0507551765372446E-4</v>
      </c>
      <c r="BS78" s="60">
        <f t="shared" si="445"/>
        <v>2.3153536466889503E-5</v>
      </c>
      <c r="BT78" s="60">
        <f t="shared" si="446"/>
        <v>1.2307527690040933E-5</v>
      </c>
      <c r="BU78" s="60">
        <f t="shared" si="447"/>
        <v>7.7691268543383381E-6</v>
      </c>
      <c r="BV78" s="60">
        <f t="shared" si="448"/>
        <v>2.3307380563015016E-5</v>
      </c>
      <c r="BW78" s="60">
        <f t="shared" si="449"/>
        <v>1.565363678077081E-4</v>
      </c>
      <c r="BX78" s="60">
        <f t="shared" si="450"/>
        <v>4.4691709924461133E-5</v>
      </c>
      <c r="BY78" s="60">
        <f t="shared" si="451"/>
        <v>2.8807306999502054E-4</v>
      </c>
      <c r="BZ78" s="60">
        <f t="shared" si="452"/>
        <v>2.6961177845995915E-4</v>
      </c>
      <c r="CA78" s="60">
        <f t="shared" si="453"/>
        <v>2.4845821524270131E-5</v>
      </c>
      <c r="CB78" s="60">
        <f t="shared" si="454"/>
        <v>7.6922048062755818E-8</v>
      </c>
      <c r="CC78" s="60">
        <f t="shared" si="455"/>
        <v>1.0153710344283768E-5</v>
      </c>
      <c r="CD78" s="60">
        <f t="shared" si="456"/>
        <v>2.1615095505634385E-5</v>
      </c>
      <c r="CE78" s="60">
        <f t="shared" si="457"/>
        <v>5.8922288816070963E-5</v>
      </c>
      <c r="CF78" s="13">
        <f t="shared" si="458"/>
        <v>1.0615242632660304E-5</v>
      </c>
    </row>
    <row r="79" spans="1:85" hidden="1" x14ac:dyDescent="0.25">
      <c r="A79" s="4" t="s">
        <v>2</v>
      </c>
      <c r="B79" s="56">
        <v>2862216.4853526298</v>
      </c>
      <c r="C79" s="57">
        <v>5170</v>
      </c>
      <c r="D79" s="57">
        <v>791</v>
      </c>
      <c r="E79" s="57">
        <v>38</v>
      </c>
      <c r="F79" s="57">
        <v>151</v>
      </c>
      <c r="G79" s="57">
        <v>387</v>
      </c>
      <c r="H79" s="57">
        <v>4424</v>
      </c>
      <c r="I79" s="57">
        <v>1783</v>
      </c>
      <c r="J79" s="57">
        <v>1078</v>
      </c>
      <c r="K79" s="57">
        <v>502</v>
      </c>
      <c r="L79" s="57">
        <v>1450</v>
      </c>
      <c r="M79" s="57">
        <v>0</v>
      </c>
      <c r="N79" s="57">
        <v>427</v>
      </c>
      <c r="O79" s="57">
        <v>247</v>
      </c>
      <c r="P79" s="57">
        <v>130</v>
      </c>
      <c r="Q79" s="57">
        <v>206</v>
      </c>
      <c r="S79" s="4">
        <f t="shared" si="436"/>
        <v>1996</v>
      </c>
      <c r="T79" s="4" t="str">
        <f t="shared" si="437"/>
        <v>45-64</v>
      </c>
      <c r="U79" s="56">
        <f t="shared" si="438"/>
        <v>2862216.4853526298</v>
      </c>
      <c r="V79" s="4">
        <f t="shared" si="439"/>
        <v>5170</v>
      </c>
      <c r="W79" s="4">
        <f t="shared" si="380"/>
        <v>791</v>
      </c>
      <c r="X79" s="4">
        <f t="shared" si="381"/>
        <v>38</v>
      </c>
      <c r="Y79" s="4">
        <f t="shared" si="382"/>
        <v>151</v>
      </c>
      <c r="Z79" s="4">
        <f t="shared" si="383"/>
        <v>387</v>
      </c>
      <c r="AA79" s="4">
        <f t="shared" si="384"/>
        <v>4424</v>
      </c>
      <c r="AB79" s="4">
        <f t="shared" si="385"/>
        <v>1783</v>
      </c>
      <c r="AC79" s="4">
        <f t="shared" si="386"/>
        <v>1078</v>
      </c>
      <c r="AD79" s="4">
        <f t="shared" si="387"/>
        <v>502</v>
      </c>
      <c r="AE79" s="4">
        <f t="shared" si="388"/>
        <v>1450</v>
      </c>
      <c r="AF79" s="4">
        <f t="shared" si="389"/>
        <v>0</v>
      </c>
      <c r="AG79" s="4">
        <f t="shared" si="390"/>
        <v>427</v>
      </c>
      <c r="AH79" s="4">
        <f t="shared" si="391"/>
        <v>247</v>
      </c>
      <c r="AI79" s="4">
        <f t="shared" si="392"/>
        <v>130</v>
      </c>
      <c r="AJ79" s="4">
        <f t="shared" si="393"/>
        <v>206</v>
      </c>
      <c r="AK79" s="4">
        <f t="shared" si="440"/>
        <v>16784</v>
      </c>
      <c r="AL79" s="58">
        <f t="shared" si="441"/>
        <v>1.8062924403019248E-3</v>
      </c>
      <c r="AM79" s="58">
        <f t="shared" si="394"/>
        <v>2.7635924957037186E-4</v>
      </c>
      <c r="AN79" s="58">
        <f t="shared" si="395"/>
        <v>1.3276424126010279E-5</v>
      </c>
      <c r="AO79" s="58">
        <f t="shared" si="396"/>
        <v>5.2756316921777688E-5</v>
      </c>
      <c r="AP79" s="58">
        <f t="shared" si="397"/>
        <v>1.3520989833594679E-4</v>
      </c>
      <c r="AQ79" s="58">
        <f t="shared" si="398"/>
        <v>1.5456552719334072E-3</v>
      </c>
      <c r="AR79" s="58">
        <f t="shared" si="399"/>
        <v>6.229437951756928E-4</v>
      </c>
      <c r="AS79" s="58">
        <f t="shared" si="400"/>
        <v>3.7663118967997582E-4</v>
      </c>
      <c r="AT79" s="58">
        <f t="shared" si="401"/>
        <v>1.7538855029624104E-4</v>
      </c>
      <c r="AU79" s="58">
        <f t="shared" si="402"/>
        <v>5.0660039428197118E-4</v>
      </c>
      <c r="AV79" s="58">
        <f t="shared" si="403"/>
        <v>0</v>
      </c>
      <c r="AW79" s="58">
        <f t="shared" si="404"/>
        <v>1.4918508162648392E-4</v>
      </c>
      <c r="AX79" s="58">
        <f t="shared" si="405"/>
        <v>8.6296756819066809E-5</v>
      </c>
      <c r="AY79" s="58">
        <f t="shared" si="406"/>
        <v>4.541934569424569E-5</v>
      </c>
      <c r="AZ79" s="58">
        <f t="shared" si="407"/>
        <v>7.1972193946266255E-5</v>
      </c>
      <c r="BA79" s="58">
        <f t="shared" si="442"/>
        <v>5.8639869087093819E-3</v>
      </c>
      <c r="BB79" s="4">
        <f t="shared" si="443"/>
        <v>2853824.4853526298</v>
      </c>
      <c r="BC79" s="59">
        <f t="shared" si="408"/>
        <v>1.8116040515228724E-3</v>
      </c>
      <c r="BD79" s="59">
        <f t="shared" si="444"/>
        <v>2.7717191581326728E-4</v>
      </c>
      <c r="BE79" s="59">
        <f t="shared" si="409"/>
        <v>1.3315464982179718E-5</v>
      </c>
      <c r="BF79" s="59">
        <f t="shared" si="410"/>
        <v>5.2911452955503619E-5</v>
      </c>
      <c r="BG79" s="59">
        <f t="shared" si="411"/>
        <v>1.3560749863430398E-4</v>
      </c>
      <c r="BH79" s="59">
        <f t="shared" si="412"/>
        <v>1.5502004495042915E-3</v>
      </c>
      <c r="BI79" s="59">
        <f t="shared" si="413"/>
        <v>6.2477563324280102E-4</v>
      </c>
      <c r="BJ79" s="59">
        <f t="shared" si="414"/>
        <v>3.7773871712604574E-4</v>
      </c>
      <c r="BK79" s="59">
        <f t="shared" si="415"/>
        <v>1.7590430055405837E-4</v>
      </c>
      <c r="BL79" s="59">
        <f t="shared" si="416"/>
        <v>5.0809011116212085E-4</v>
      </c>
      <c r="BM79" s="59">
        <f t="shared" si="417"/>
        <v>0</v>
      </c>
      <c r="BN79" s="59">
        <f t="shared" si="418"/>
        <v>1.4962377756291422E-4</v>
      </c>
      <c r="BO79" s="59">
        <f t="shared" si="459"/>
        <v>8.6550522384168166E-5</v>
      </c>
      <c r="BP79" s="59">
        <f t="shared" si="420"/>
        <v>4.5552906517983245E-5</v>
      </c>
      <c r="BQ79" s="59">
        <f t="shared" si="421"/>
        <v>7.2183836482342698E-5</v>
      </c>
      <c r="BR79" s="60">
        <f t="shared" si="460"/>
        <v>1.1241288059325809E-3</v>
      </c>
      <c r="BS79" s="60">
        <f t="shared" si="445"/>
        <v>1.8482179901735361E-4</v>
      </c>
      <c r="BT79" s="60">
        <f t="shared" si="446"/>
        <v>2.3059052429386273E-5</v>
      </c>
      <c r="BU79" s="60">
        <f t="shared" si="447"/>
        <v>3.7732994884450265E-5</v>
      </c>
      <c r="BV79" s="60">
        <f t="shared" si="448"/>
        <v>1.0813298071053108E-4</v>
      </c>
      <c r="BW79" s="60">
        <f t="shared" si="449"/>
        <v>1.0757397337890959E-3</v>
      </c>
      <c r="BX79" s="60">
        <f t="shared" si="450"/>
        <v>4.0178651960294265E-4</v>
      </c>
      <c r="BY79" s="60">
        <f t="shared" si="451"/>
        <v>6.0634826501817997E-4</v>
      </c>
      <c r="BZ79" s="60">
        <f t="shared" si="452"/>
        <v>4.0405748688765491E-4</v>
      </c>
      <c r="CA79" s="60">
        <f t="shared" si="453"/>
        <v>3.0081582032881184E-4</v>
      </c>
      <c r="CB79" s="60">
        <f t="shared" si="454"/>
        <v>1.746897911317142E-7</v>
      </c>
      <c r="CC79" s="60">
        <f t="shared" si="455"/>
        <v>9.1886830135281663E-5</v>
      </c>
      <c r="CD79" s="60">
        <f t="shared" si="456"/>
        <v>7.6514128515690812E-5</v>
      </c>
      <c r="CE79" s="60">
        <f t="shared" si="457"/>
        <v>1.4831163267082535E-4</v>
      </c>
      <c r="CF79" s="13">
        <f t="shared" si="458"/>
        <v>5.5376663788753401E-5</v>
      </c>
    </row>
    <row r="80" spans="1:85" hidden="1" x14ac:dyDescent="0.25">
      <c r="A80" s="4" t="s">
        <v>1</v>
      </c>
      <c r="B80" s="56">
        <v>710343.28776711202</v>
      </c>
      <c r="C80" s="57">
        <v>5212</v>
      </c>
      <c r="D80" s="57">
        <v>406</v>
      </c>
      <c r="E80" s="57">
        <v>24</v>
      </c>
      <c r="F80" s="57">
        <v>146</v>
      </c>
      <c r="G80" s="57">
        <v>319</v>
      </c>
      <c r="H80" s="57">
        <v>3335</v>
      </c>
      <c r="I80" s="57">
        <v>1780</v>
      </c>
      <c r="J80" s="57">
        <v>380</v>
      </c>
      <c r="K80" s="57">
        <v>125</v>
      </c>
      <c r="L80" s="57">
        <v>1343</v>
      </c>
      <c r="M80" s="57">
        <v>0</v>
      </c>
      <c r="N80" s="57">
        <v>576</v>
      </c>
      <c r="O80" s="57">
        <v>226</v>
      </c>
      <c r="P80" s="57">
        <v>5</v>
      </c>
      <c r="Q80" s="57">
        <v>161</v>
      </c>
      <c r="S80" s="4">
        <f t="shared" si="436"/>
        <v>1996</v>
      </c>
      <c r="T80" s="4" t="str">
        <f t="shared" si="437"/>
        <v>65-74</v>
      </c>
      <c r="U80" s="56">
        <f t="shared" si="438"/>
        <v>710343.28776711202</v>
      </c>
      <c r="V80" s="4">
        <f t="shared" si="439"/>
        <v>5212</v>
      </c>
      <c r="W80" s="4">
        <f t="shared" si="380"/>
        <v>406</v>
      </c>
      <c r="X80" s="4">
        <f t="shared" si="381"/>
        <v>24</v>
      </c>
      <c r="Y80" s="4">
        <f t="shared" si="382"/>
        <v>146</v>
      </c>
      <c r="Z80" s="4">
        <f t="shared" si="383"/>
        <v>319</v>
      </c>
      <c r="AA80" s="4">
        <f t="shared" si="384"/>
        <v>3335</v>
      </c>
      <c r="AB80" s="4">
        <f t="shared" si="385"/>
        <v>1780</v>
      </c>
      <c r="AC80" s="4">
        <f t="shared" si="386"/>
        <v>380</v>
      </c>
      <c r="AD80" s="4">
        <f t="shared" si="387"/>
        <v>125</v>
      </c>
      <c r="AE80" s="4">
        <f t="shared" si="388"/>
        <v>1343</v>
      </c>
      <c r="AF80" s="4">
        <f t="shared" si="389"/>
        <v>0</v>
      </c>
      <c r="AG80" s="4">
        <f t="shared" si="390"/>
        <v>576</v>
      </c>
      <c r="AH80" s="4">
        <f t="shared" si="391"/>
        <v>226</v>
      </c>
      <c r="AI80" s="4">
        <f t="shared" si="392"/>
        <v>5</v>
      </c>
      <c r="AJ80" s="4">
        <f t="shared" si="393"/>
        <v>161</v>
      </c>
      <c r="AK80" s="4">
        <f t="shared" si="440"/>
        <v>14038</v>
      </c>
      <c r="AL80" s="58">
        <f t="shared" si="441"/>
        <v>7.3372974585053981E-3</v>
      </c>
      <c r="AM80" s="58">
        <f t="shared" si="394"/>
        <v>5.7155463702095004E-4</v>
      </c>
      <c r="AN80" s="58">
        <f t="shared" si="395"/>
        <v>3.3786481006164537E-5</v>
      </c>
      <c r="AO80" s="58">
        <f t="shared" si="396"/>
        <v>2.0553442612083426E-4</v>
      </c>
      <c r="AP80" s="58">
        <f t="shared" si="397"/>
        <v>4.4907864337360363E-4</v>
      </c>
      <c r="AQ80" s="58">
        <f t="shared" si="398"/>
        <v>4.6949130898149474E-3</v>
      </c>
      <c r="AR80" s="58">
        <f t="shared" si="399"/>
        <v>2.5058306746238699E-3</v>
      </c>
      <c r="AS80" s="58">
        <f t="shared" si="400"/>
        <v>5.3495261593093852E-4</v>
      </c>
      <c r="AT80" s="58">
        <f t="shared" si="401"/>
        <v>1.759712552404403E-4</v>
      </c>
      <c r="AU80" s="58">
        <f t="shared" si="402"/>
        <v>1.8906351663032905E-3</v>
      </c>
      <c r="AV80" s="58">
        <f t="shared" si="403"/>
        <v>0</v>
      </c>
      <c r="AW80" s="58">
        <f t="shared" si="404"/>
        <v>8.1087554414794889E-4</v>
      </c>
      <c r="AX80" s="58">
        <f t="shared" si="405"/>
        <v>3.1815602947471606E-4</v>
      </c>
      <c r="AY80" s="58">
        <f t="shared" si="406"/>
        <v>7.0388502096176121E-6</v>
      </c>
      <c r="AZ80" s="58">
        <f t="shared" si="407"/>
        <v>2.2665097674968711E-4</v>
      </c>
      <c r="BA80" s="58">
        <f t="shared" si="442"/>
        <v>1.9762275848522408E-2</v>
      </c>
      <c r="BB80" s="4">
        <f t="shared" si="443"/>
        <v>703324.28776711202</v>
      </c>
      <c r="BC80" s="59">
        <f t="shared" si="408"/>
        <v>7.4105218469660197E-3</v>
      </c>
      <c r="BD80" s="59">
        <f t="shared" si="444"/>
        <v>5.772586089539916E-4</v>
      </c>
      <c r="BE80" s="59">
        <f t="shared" si="409"/>
        <v>3.4123661613043836E-5</v>
      </c>
      <c r="BF80" s="59">
        <f t="shared" si="410"/>
        <v>2.0758560814601668E-4</v>
      </c>
      <c r="BG80" s="59">
        <f t="shared" si="411"/>
        <v>4.5356033560670767E-4</v>
      </c>
      <c r="BH80" s="59">
        <f t="shared" si="412"/>
        <v>4.741767144979217E-3</v>
      </c>
      <c r="BI80" s="59">
        <f t="shared" si="413"/>
        <v>2.5308382363007516E-3</v>
      </c>
      <c r="BJ80" s="59">
        <f t="shared" si="414"/>
        <v>5.4029130887319409E-4</v>
      </c>
      <c r="BK80" s="59">
        <f t="shared" si="415"/>
        <v>1.7772740423460334E-4</v>
      </c>
      <c r="BL80" s="59">
        <f t="shared" si="416"/>
        <v>1.909503231096578E-3</v>
      </c>
      <c r="BM80" s="59">
        <f t="shared" si="417"/>
        <v>0</v>
      </c>
      <c r="BN80" s="59">
        <f t="shared" si="418"/>
        <v>8.1896787871305217E-4</v>
      </c>
      <c r="BO80" s="59">
        <f t="shared" si="459"/>
        <v>3.2133114685616281E-4</v>
      </c>
      <c r="BP80" s="59">
        <f t="shared" si="420"/>
        <v>7.1090961693841331E-6</v>
      </c>
      <c r="BQ80" s="59">
        <f t="shared" si="421"/>
        <v>2.2891289665416908E-4</v>
      </c>
      <c r="BR80" s="60">
        <f t="shared" si="460"/>
        <v>7.3077342876250043E-3</v>
      </c>
      <c r="BS80" s="60">
        <f t="shared" si="445"/>
        <v>8.4255037009122813E-4</v>
      </c>
      <c r="BT80" s="60">
        <f t="shared" si="446"/>
        <v>4.3640871299629196E-5</v>
      </c>
      <c r="BU80" s="60">
        <f t="shared" si="447"/>
        <v>2.0905385122564307E-4</v>
      </c>
      <c r="BV80" s="60">
        <f t="shared" si="448"/>
        <v>4.969428247990034E-4</v>
      </c>
      <c r="BW80" s="60">
        <f t="shared" si="449"/>
        <v>5.461443877642305E-3</v>
      </c>
      <c r="BX80" s="60">
        <f t="shared" si="450"/>
        <v>2.5079423296867549E-3</v>
      </c>
      <c r="BY80" s="60">
        <f t="shared" si="451"/>
        <v>1.0262643605622478E-3</v>
      </c>
      <c r="BZ80" s="60">
        <f t="shared" si="452"/>
        <v>4.4133590814302427E-4</v>
      </c>
      <c r="CA80" s="60">
        <f t="shared" si="453"/>
        <v>1.9659508635461991E-3</v>
      </c>
      <c r="CB80" s="60">
        <f t="shared" si="454"/>
        <v>0</v>
      </c>
      <c r="CC80" s="60">
        <f t="shared" si="455"/>
        <v>7.0599667602464649E-4</v>
      </c>
      <c r="CD80" s="60">
        <f t="shared" si="456"/>
        <v>3.3293761491491304E-4</v>
      </c>
      <c r="CE80" s="60">
        <f t="shared" si="457"/>
        <v>9.5024477829837753E-5</v>
      </c>
      <c r="CF80" s="13">
        <f t="shared" si="458"/>
        <v>2.5832580269296635E-4</v>
      </c>
    </row>
    <row r="81" spans="1:85" hidden="1" x14ac:dyDescent="0.25">
      <c r="A81" s="4" t="s">
        <v>0</v>
      </c>
      <c r="B81" s="56">
        <v>710343.28776711202</v>
      </c>
      <c r="C81" s="57">
        <v>9429</v>
      </c>
      <c r="D81" s="57">
        <v>279</v>
      </c>
      <c r="E81" s="57">
        <v>22</v>
      </c>
      <c r="F81" s="57">
        <v>432</v>
      </c>
      <c r="G81" s="57">
        <v>397</v>
      </c>
      <c r="H81" s="57">
        <v>3401</v>
      </c>
      <c r="I81" s="57">
        <v>3442</v>
      </c>
      <c r="J81" s="57">
        <v>534</v>
      </c>
      <c r="K81" s="57">
        <v>68</v>
      </c>
      <c r="L81" s="57">
        <v>1306</v>
      </c>
      <c r="M81" s="57">
        <v>14</v>
      </c>
      <c r="N81" s="57">
        <v>1141</v>
      </c>
      <c r="O81" s="57">
        <v>974</v>
      </c>
      <c r="P81" s="57">
        <v>7</v>
      </c>
      <c r="Q81" s="57">
        <v>178</v>
      </c>
      <c r="S81" s="4">
        <f t="shared" si="436"/>
        <v>1996</v>
      </c>
      <c r="T81" s="4" t="str">
        <f t="shared" si="437"/>
        <v>75+</v>
      </c>
      <c r="U81" s="56">
        <f t="shared" si="438"/>
        <v>710343.28776711202</v>
      </c>
      <c r="V81" s="4">
        <f t="shared" si="439"/>
        <v>9429</v>
      </c>
      <c r="W81" s="4">
        <f t="shared" si="380"/>
        <v>279</v>
      </c>
      <c r="X81" s="4">
        <f t="shared" si="381"/>
        <v>22</v>
      </c>
      <c r="Y81" s="4">
        <f t="shared" si="382"/>
        <v>432</v>
      </c>
      <c r="Z81" s="4">
        <f t="shared" si="383"/>
        <v>397</v>
      </c>
      <c r="AA81" s="4">
        <f t="shared" si="384"/>
        <v>3401</v>
      </c>
      <c r="AB81" s="4">
        <f t="shared" si="385"/>
        <v>3442</v>
      </c>
      <c r="AC81" s="4">
        <f t="shared" si="386"/>
        <v>534</v>
      </c>
      <c r="AD81" s="4">
        <f t="shared" si="387"/>
        <v>68</v>
      </c>
      <c r="AE81" s="4">
        <f t="shared" si="388"/>
        <v>1306</v>
      </c>
      <c r="AF81" s="4">
        <f t="shared" si="389"/>
        <v>14</v>
      </c>
      <c r="AG81" s="4">
        <f t="shared" si="390"/>
        <v>1141</v>
      </c>
      <c r="AH81" s="4">
        <f t="shared" si="391"/>
        <v>974</v>
      </c>
      <c r="AI81" s="4">
        <f t="shared" si="392"/>
        <v>7</v>
      </c>
      <c r="AJ81" s="4">
        <f t="shared" si="393"/>
        <v>178</v>
      </c>
      <c r="AK81" s="4">
        <f t="shared" si="440"/>
        <v>21624</v>
      </c>
      <c r="AL81" s="58">
        <f t="shared" si="441"/>
        <v>1.3273863725296892E-2</v>
      </c>
      <c r="AM81" s="58">
        <f t="shared" si="394"/>
        <v>3.9276784169666276E-4</v>
      </c>
      <c r="AN81" s="58">
        <f t="shared" si="395"/>
        <v>3.0970940922317494E-5</v>
      </c>
      <c r="AO81" s="58">
        <f t="shared" si="396"/>
        <v>6.0815665811096166E-4</v>
      </c>
      <c r="AP81" s="58">
        <f t="shared" si="397"/>
        <v>5.588847066436384E-4</v>
      </c>
      <c r="AQ81" s="58">
        <f t="shared" si="398"/>
        <v>4.7878259125818997E-3</v>
      </c>
      <c r="AR81" s="58">
        <f t="shared" si="399"/>
        <v>4.8455444843007638E-3</v>
      </c>
      <c r="AS81" s="58">
        <f t="shared" si="400"/>
        <v>7.5174920238716097E-4</v>
      </c>
      <c r="AT81" s="58">
        <f t="shared" si="401"/>
        <v>9.5728362850799526E-5</v>
      </c>
      <c r="AU81" s="58">
        <f t="shared" si="402"/>
        <v>1.8385476747521201E-3</v>
      </c>
      <c r="AV81" s="58">
        <f t="shared" si="403"/>
        <v>1.9708780586929314E-5</v>
      </c>
      <c r="AW81" s="58">
        <f t="shared" si="404"/>
        <v>1.606265617834739E-3</v>
      </c>
      <c r="AX81" s="58">
        <f t="shared" si="405"/>
        <v>1.3711680208335108E-3</v>
      </c>
      <c r="AY81" s="58">
        <f t="shared" si="406"/>
        <v>9.8543902934646572E-6</v>
      </c>
      <c r="AZ81" s="58">
        <f t="shared" si="407"/>
        <v>2.5058306746238699E-4</v>
      </c>
      <c r="BA81" s="58">
        <f t="shared" si="442"/>
        <v>3.0441619386554247E-2</v>
      </c>
      <c r="BB81" s="4">
        <f t="shared" si="443"/>
        <v>699531.28776711202</v>
      </c>
      <c r="BC81" s="59">
        <f t="shared" si="408"/>
        <v>1.3479025405850185E-2</v>
      </c>
      <c r="BD81" s="59">
        <f t="shared" si="444"/>
        <v>3.9883848639645793E-4</v>
      </c>
      <c r="BE81" s="59">
        <f t="shared" si="409"/>
        <v>3.1449629751692027E-5</v>
      </c>
      <c r="BF81" s="59">
        <f t="shared" si="410"/>
        <v>6.1755636603322511E-4</v>
      </c>
      <c r="BG81" s="59">
        <f t="shared" si="411"/>
        <v>5.6752286415553336E-4</v>
      </c>
      <c r="BH81" s="59">
        <f t="shared" si="412"/>
        <v>4.8618268538865713E-3</v>
      </c>
      <c r="BI81" s="59">
        <f t="shared" si="413"/>
        <v>4.9204375275147243E-3</v>
      </c>
      <c r="BJ81" s="59">
        <f t="shared" si="414"/>
        <v>7.6336828579107001E-4</v>
      </c>
      <c r="BK81" s="59">
        <f t="shared" si="415"/>
        <v>9.7207946505229885E-5</v>
      </c>
      <c r="BL81" s="59">
        <f t="shared" si="416"/>
        <v>1.8669643843504445E-3</v>
      </c>
      <c r="BM81" s="59">
        <f t="shared" si="417"/>
        <v>2.0013400751076742E-5</v>
      </c>
      <c r="BN81" s="59">
        <f t="shared" si="418"/>
        <v>1.6310921612127545E-3</v>
      </c>
      <c r="BO81" s="59">
        <f t="shared" si="459"/>
        <v>1.3923608808249104E-3</v>
      </c>
      <c r="BP81" s="59">
        <f t="shared" si="420"/>
        <v>1.0006700375538371E-5</v>
      </c>
      <c r="BQ81" s="59">
        <f t="shared" si="421"/>
        <v>2.5445609526369002E-4</v>
      </c>
      <c r="BR81" s="60">
        <f t="shared" si="460"/>
        <v>1.0305580591901146E-2</v>
      </c>
      <c r="BS81" s="60">
        <f t="shared" si="445"/>
        <v>4.8216123935880642E-4</v>
      </c>
      <c r="BT81" s="60">
        <f t="shared" si="446"/>
        <v>3.2378710964241012E-5</v>
      </c>
      <c r="BU81" s="60">
        <f t="shared" si="447"/>
        <v>4.0684554211589799E-4</v>
      </c>
      <c r="BV81" s="60">
        <f t="shared" si="448"/>
        <v>5.0398167500862096E-4</v>
      </c>
      <c r="BW81" s="60">
        <f t="shared" si="449"/>
        <v>4.7413695011984235E-3</v>
      </c>
      <c r="BX81" s="60">
        <f t="shared" si="450"/>
        <v>3.6756875794623171E-3</v>
      </c>
      <c r="BY81" s="60">
        <f t="shared" si="451"/>
        <v>6.4335090915904969E-4</v>
      </c>
      <c r="BZ81" s="60">
        <f t="shared" si="452"/>
        <v>1.3584980904561992E-4</v>
      </c>
      <c r="CA81" s="60">
        <f t="shared" si="453"/>
        <v>1.8645914205277054E-3</v>
      </c>
      <c r="CB81" s="60">
        <f t="shared" si="454"/>
        <v>9.8543902934646572E-6</v>
      </c>
      <c r="CC81" s="60">
        <f t="shared" si="455"/>
        <v>1.208570580991344E-3</v>
      </c>
      <c r="CD81" s="60">
        <f t="shared" si="456"/>
        <v>8.4466202515411342E-4</v>
      </c>
      <c r="CE81" s="60">
        <f t="shared" si="457"/>
        <v>8.4466202515411342E-6</v>
      </c>
      <c r="CF81" s="13">
        <f t="shared" si="458"/>
        <v>2.3861702210603705E-4</v>
      </c>
    </row>
    <row r="82" spans="1:85" hidden="1" x14ac:dyDescent="0.25">
      <c r="C82" s="4"/>
    </row>
    <row r="83" spans="1:85" hidden="1" x14ac:dyDescent="0.25">
      <c r="C83" s="4"/>
    </row>
    <row r="84" spans="1:85" hidden="1" x14ac:dyDescent="0.25">
      <c r="A84" s="4" t="s">
        <v>23</v>
      </c>
      <c r="B84" s="61">
        <v>1996</v>
      </c>
    </row>
    <row r="85" spans="1:85" hidden="1" x14ac:dyDescent="0.25"/>
    <row r="86" spans="1:85" s="21" customFormat="1" ht="23.25" hidden="1" customHeight="1" x14ac:dyDescent="0.25">
      <c r="A86" s="62" t="s">
        <v>46</v>
      </c>
      <c r="B86" s="62"/>
      <c r="C86" s="4" t="s">
        <v>35</v>
      </c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</row>
    <row r="87" spans="1:85" s="37" customFormat="1" ht="33" hidden="1" customHeight="1" x14ac:dyDescent="0.25">
      <c r="A87" s="63" t="s">
        <v>22</v>
      </c>
      <c r="B87" s="64" t="s">
        <v>24</v>
      </c>
      <c r="C87" s="64">
        <v>1</v>
      </c>
      <c r="D87" s="64">
        <v>10</v>
      </c>
      <c r="E87" s="64">
        <v>11</v>
      </c>
      <c r="F87" s="64">
        <v>12</v>
      </c>
      <c r="G87" s="64">
        <v>13</v>
      </c>
      <c r="H87" s="64">
        <v>2</v>
      </c>
      <c r="I87" s="64">
        <v>3</v>
      </c>
      <c r="J87" s="64">
        <v>4</v>
      </c>
      <c r="K87" s="64">
        <v>5</v>
      </c>
      <c r="L87" s="64">
        <v>6</v>
      </c>
      <c r="M87" s="64">
        <v>7</v>
      </c>
      <c r="N87" s="64">
        <v>8</v>
      </c>
      <c r="O87" s="64">
        <v>9</v>
      </c>
      <c r="P87" s="64">
        <v>14</v>
      </c>
      <c r="Q87" s="64">
        <v>15</v>
      </c>
      <c r="R87" s="64"/>
      <c r="S87" s="65" t="s">
        <v>23</v>
      </c>
      <c r="T87" s="65" t="s">
        <v>22</v>
      </c>
      <c r="U87" s="65" t="s">
        <v>181</v>
      </c>
      <c r="V87" s="66" t="str">
        <f>+CONCATENATE("dx","(",C87,")")</f>
        <v>dx(1)</v>
      </c>
      <c r="W87" s="66" t="str">
        <f t="shared" ref="W87" si="461">+CONCATENATE("dx","(",D87,")")</f>
        <v>dx(10)</v>
      </c>
      <c r="X87" s="66" t="str">
        <f t="shared" ref="X87" si="462">+CONCATENATE("dx","(",E87,")")</f>
        <v>dx(11)</v>
      </c>
      <c r="Y87" s="66" t="str">
        <f t="shared" ref="Y87" si="463">+CONCATENATE("dx","(",F87,")")</f>
        <v>dx(12)</v>
      </c>
      <c r="Z87" s="66" t="str">
        <f t="shared" ref="Z87" si="464">+CONCATENATE("dx","(",G87,")")</f>
        <v>dx(13)</v>
      </c>
      <c r="AA87" s="66" t="str">
        <f t="shared" ref="AA87" si="465">+CONCATENATE("dx","(",H87,")")</f>
        <v>dx(2)</v>
      </c>
      <c r="AB87" s="66" t="str">
        <f t="shared" ref="AB87" si="466">+CONCATENATE("dx","(",I87,")")</f>
        <v>dx(3)</v>
      </c>
      <c r="AC87" s="66" t="str">
        <f t="shared" ref="AC87" si="467">+CONCATENATE("dx","(",J87,")")</f>
        <v>dx(4)</v>
      </c>
      <c r="AD87" s="66" t="str">
        <f t="shared" ref="AD87" si="468">+CONCATENATE("dx","(",K87,")")</f>
        <v>dx(5)</v>
      </c>
      <c r="AE87" s="66" t="str">
        <f t="shared" ref="AE87" si="469">+CONCATENATE("dx","(",L87,")")</f>
        <v>dx(6)</v>
      </c>
      <c r="AF87" s="66" t="str">
        <f t="shared" ref="AF87" si="470">+CONCATENATE("dx","(",M87,")")</f>
        <v>dx(7)</v>
      </c>
      <c r="AG87" s="66" t="str">
        <f t="shared" ref="AG87" si="471">+CONCATENATE("dx","(",N87,")")</f>
        <v>dx(8)</v>
      </c>
      <c r="AH87" s="66" t="str">
        <f t="shared" ref="AH87" si="472">+CONCATENATE("dx","(",O87,")")</f>
        <v>dx(9)</v>
      </c>
      <c r="AI87" s="66" t="str">
        <f t="shared" ref="AI87" si="473">+CONCATENATE("dx","(",P87,")")</f>
        <v>dx(14)</v>
      </c>
      <c r="AJ87" s="66" t="str">
        <f t="shared" ref="AJ87" si="474">+CONCATENATE("dx","(",Q87,")")</f>
        <v>dx(15)</v>
      </c>
      <c r="AK87" s="66" t="s">
        <v>182</v>
      </c>
      <c r="AL87" s="66" t="str">
        <f t="shared" ref="AL87:AZ87" si="475">+CONCATENATE("qx","(",C87,")")</f>
        <v>qx(1)</v>
      </c>
      <c r="AM87" s="66" t="str">
        <f t="shared" si="475"/>
        <v>qx(10)</v>
      </c>
      <c r="AN87" s="66" t="str">
        <f t="shared" si="475"/>
        <v>qx(11)</v>
      </c>
      <c r="AO87" s="66" t="str">
        <f t="shared" si="475"/>
        <v>qx(12)</v>
      </c>
      <c r="AP87" s="66" t="str">
        <f t="shared" si="475"/>
        <v>qx(13)</v>
      </c>
      <c r="AQ87" s="66" t="str">
        <f t="shared" si="475"/>
        <v>qx(2)</v>
      </c>
      <c r="AR87" s="66" t="str">
        <f t="shared" si="475"/>
        <v>qx(3)</v>
      </c>
      <c r="AS87" s="66" t="str">
        <f t="shared" si="475"/>
        <v>qx(4)</v>
      </c>
      <c r="AT87" s="66" t="str">
        <f t="shared" si="475"/>
        <v>qx(5)</v>
      </c>
      <c r="AU87" s="66" t="str">
        <f t="shared" si="475"/>
        <v>qx(6)</v>
      </c>
      <c r="AV87" s="66" t="str">
        <f t="shared" si="475"/>
        <v>qx(7)</v>
      </c>
      <c r="AW87" s="66" t="str">
        <f t="shared" si="475"/>
        <v>qx(8)</v>
      </c>
      <c r="AX87" s="66" t="str">
        <f t="shared" si="475"/>
        <v>qx(9)</v>
      </c>
      <c r="AY87" s="66" t="str">
        <f t="shared" si="475"/>
        <v>qx(14)</v>
      </c>
      <c r="AZ87" s="66" t="str">
        <f t="shared" si="475"/>
        <v>qx(15)</v>
      </c>
      <c r="BA87" s="66" t="str">
        <f>+CONCATENATE("qx","(T)")</f>
        <v>qx(T)</v>
      </c>
      <c r="BB87" s="65" t="s">
        <v>184</v>
      </c>
      <c r="BC87" s="66" t="str">
        <f t="shared" ref="BC87:BQ87" si="476">+CONCATENATE("mx","(",C87,")")</f>
        <v>mx(1)</v>
      </c>
      <c r="BD87" s="66" t="str">
        <f t="shared" si="476"/>
        <v>mx(10)</v>
      </c>
      <c r="BE87" s="66" t="str">
        <f t="shared" si="476"/>
        <v>mx(11)</v>
      </c>
      <c r="BF87" s="66" t="str">
        <f t="shared" si="476"/>
        <v>mx(12)</v>
      </c>
      <c r="BG87" s="66" t="str">
        <f t="shared" si="476"/>
        <v>mx(13)</v>
      </c>
      <c r="BH87" s="66" t="str">
        <f t="shared" si="476"/>
        <v>mx(2)</v>
      </c>
      <c r="BI87" s="66" t="str">
        <f t="shared" si="476"/>
        <v>mx(3)</v>
      </c>
      <c r="BJ87" s="66" t="str">
        <f t="shared" si="476"/>
        <v>mx(4)</v>
      </c>
      <c r="BK87" s="66" t="str">
        <f t="shared" si="476"/>
        <v>mx(5)</v>
      </c>
      <c r="BL87" s="66" t="str">
        <f t="shared" si="476"/>
        <v>mx(6)</v>
      </c>
      <c r="BM87" s="66" t="str">
        <f t="shared" si="476"/>
        <v>mx(7)</v>
      </c>
      <c r="BN87" s="66" t="str">
        <f t="shared" si="476"/>
        <v>mx(8)</v>
      </c>
      <c r="BO87" s="66" t="str">
        <f t="shared" si="476"/>
        <v>mx(9)</v>
      </c>
      <c r="BP87" s="66" t="str">
        <f t="shared" si="476"/>
        <v>mx(14)</v>
      </c>
      <c r="BQ87" s="66" t="str">
        <f t="shared" si="476"/>
        <v>mx(15)</v>
      </c>
      <c r="BR87" s="66" t="str">
        <f>+CONCATENATE("µ(X)",C87)</f>
        <v>µ(X)1</v>
      </c>
      <c r="BS87" s="66" t="str">
        <f t="shared" ref="BS87" si="477">+CONCATENATE("µ(X)",D87)</f>
        <v>µ(X)10</v>
      </c>
      <c r="BT87" s="66" t="str">
        <f t="shared" ref="BT87" si="478">+CONCATENATE("µ(X)",E87)</f>
        <v>µ(X)11</v>
      </c>
      <c r="BU87" s="66" t="str">
        <f t="shared" ref="BU87" si="479">+CONCATENATE("µ(X)",F87)</f>
        <v>µ(X)12</v>
      </c>
      <c r="BV87" s="66" t="str">
        <f t="shared" ref="BV87" si="480">+CONCATENATE("µ(X)",G87)</f>
        <v>µ(X)13</v>
      </c>
      <c r="BW87" s="66" t="str">
        <f t="shared" ref="BW87" si="481">+CONCATENATE("µ(X)",H87)</f>
        <v>µ(X)2</v>
      </c>
      <c r="BX87" s="66" t="str">
        <f t="shared" ref="BX87" si="482">+CONCATENATE("µ(X)",I87)</f>
        <v>µ(X)3</v>
      </c>
      <c r="BY87" s="66" t="str">
        <f t="shared" ref="BY87" si="483">+CONCATENATE("µ(X)",J87)</f>
        <v>µ(X)4</v>
      </c>
      <c r="BZ87" s="66" t="str">
        <f t="shared" ref="BZ87" si="484">+CONCATENATE("µ(X)",K87)</f>
        <v>µ(X)5</v>
      </c>
      <c r="CA87" s="66" t="str">
        <f t="shared" ref="CA87" si="485">+CONCATENATE("µ(X)",L87)</f>
        <v>µ(X)6</v>
      </c>
      <c r="CB87" s="66" t="str">
        <f t="shared" ref="CB87" si="486">+CONCATENATE("µ(X)",M87)</f>
        <v>µ(X)7</v>
      </c>
      <c r="CC87" s="66" t="str">
        <f t="shared" ref="CC87" si="487">+CONCATENATE("µ(X)",N87)</f>
        <v>µ(X)8</v>
      </c>
      <c r="CD87" s="66" t="str">
        <f t="shared" ref="CD87" si="488">+CONCATENATE("µ(X)",O87)</f>
        <v>µ(X)9</v>
      </c>
      <c r="CE87" s="66" t="str">
        <f t="shared" ref="CE87" si="489">+CONCATENATE("µ(X)",P87)</f>
        <v>µ(X)14</v>
      </c>
      <c r="CF87" s="42" t="str">
        <f t="shared" ref="CF87" si="490">+CONCATENATE("µ(X)",Q87)</f>
        <v>µ(X)15</v>
      </c>
      <c r="CG87" s="36"/>
    </row>
    <row r="88" spans="1:85" hidden="1" x14ac:dyDescent="0.25">
      <c r="A88" s="4" t="s">
        <v>6</v>
      </c>
      <c r="B88" s="56">
        <v>2669011.0638103201</v>
      </c>
      <c r="C88" s="57">
        <v>82</v>
      </c>
      <c r="D88" s="57">
        <v>35</v>
      </c>
      <c r="E88" s="57">
        <v>1552</v>
      </c>
      <c r="F88" s="57">
        <v>2468</v>
      </c>
      <c r="G88" s="57">
        <v>37</v>
      </c>
      <c r="H88" s="57">
        <v>159</v>
      </c>
      <c r="I88" s="57">
        <v>14</v>
      </c>
      <c r="J88" s="57">
        <v>786</v>
      </c>
      <c r="K88" s="57">
        <v>32</v>
      </c>
      <c r="L88" s="57">
        <v>12</v>
      </c>
      <c r="M88" s="57">
        <v>5626</v>
      </c>
      <c r="N88" s="57">
        <v>114</v>
      </c>
      <c r="O88" s="57">
        <v>877</v>
      </c>
      <c r="P88" s="57">
        <v>21</v>
      </c>
      <c r="Q88" s="57">
        <v>29</v>
      </c>
      <c r="S88" s="4">
        <f>+$B$84</f>
        <v>1996</v>
      </c>
      <c r="T88" s="4" t="str">
        <f>+A88</f>
        <v>0-4</v>
      </c>
      <c r="U88" s="56">
        <f>+B88</f>
        <v>2669011.0638103201</v>
      </c>
      <c r="V88" s="4">
        <f>+C88</f>
        <v>82</v>
      </c>
      <c r="W88" s="4">
        <f t="shared" ref="W88:W94" si="491">+D88</f>
        <v>35</v>
      </c>
      <c r="X88" s="4">
        <f t="shared" ref="X88:X94" si="492">+E88</f>
        <v>1552</v>
      </c>
      <c r="Y88" s="4">
        <f t="shared" ref="Y88:Y94" si="493">+F88</f>
        <v>2468</v>
      </c>
      <c r="Z88" s="4">
        <f t="shared" ref="Z88:Z94" si="494">+G88</f>
        <v>37</v>
      </c>
      <c r="AA88" s="4">
        <f t="shared" ref="AA88:AA94" si="495">+H88</f>
        <v>159</v>
      </c>
      <c r="AB88" s="4">
        <f t="shared" ref="AB88:AB94" si="496">+I88</f>
        <v>14</v>
      </c>
      <c r="AC88" s="4">
        <f t="shared" ref="AC88:AC94" si="497">+J88</f>
        <v>786</v>
      </c>
      <c r="AD88" s="4">
        <f t="shared" ref="AD88:AD94" si="498">+K88</f>
        <v>32</v>
      </c>
      <c r="AE88" s="4">
        <f t="shared" ref="AE88:AE94" si="499">+L88</f>
        <v>12</v>
      </c>
      <c r="AF88" s="4">
        <f t="shared" ref="AF88:AF94" si="500">+M88</f>
        <v>5626</v>
      </c>
      <c r="AG88" s="4">
        <f t="shared" ref="AG88:AG94" si="501">+N88</f>
        <v>114</v>
      </c>
      <c r="AH88" s="4">
        <f t="shared" ref="AH88:AH94" si="502">+O88</f>
        <v>877</v>
      </c>
      <c r="AI88" s="4">
        <f t="shared" ref="AI88:AI94" si="503">+P88</f>
        <v>21</v>
      </c>
      <c r="AJ88" s="4">
        <f t="shared" ref="AJ88:AJ94" si="504">+Q88</f>
        <v>29</v>
      </c>
      <c r="AK88" s="4">
        <f>+SUM(V88:AJ88)</f>
        <v>11844</v>
      </c>
      <c r="AL88" s="58">
        <f>+V88/$U88</f>
        <v>3.072298991632338E-5</v>
      </c>
      <c r="AM88" s="58">
        <f t="shared" ref="AM88:AM94" si="505">+W88/$U88</f>
        <v>1.3113471305747784E-5</v>
      </c>
      <c r="AN88" s="58">
        <f t="shared" ref="AN88:AN94" si="506">+X88/$U88</f>
        <v>5.8148878475773028E-4</v>
      </c>
      <c r="AO88" s="58">
        <f t="shared" ref="AO88:AO94" si="507">+Y88/$U88</f>
        <v>9.2468706235958656E-4</v>
      </c>
      <c r="AP88" s="58">
        <f t="shared" ref="AP88:AP94" si="508">+Z88/$U88</f>
        <v>1.3862812523219085E-5</v>
      </c>
      <c r="AQ88" s="58">
        <f t="shared" ref="AQ88:AQ94" si="509">+AA88/$U88</f>
        <v>5.9572626788968504E-5</v>
      </c>
      <c r="AR88" s="58">
        <f t="shared" ref="AR88:AR94" si="510">+AB88/$U88</f>
        <v>5.2453885222991139E-6</v>
      </c>
      <c r="AS88" s="58">
        <f t="shared" ref="AS88:AS94" si="511">+AC88/$U88</f>
        <v>2.9449109846622164E-4</v>
      </c>
      <c r="AT88" s="58">
        <f t="shared" ref="AT88:AT94" si="512">+AD88/$U88</f>
        <v>1.1989459479540831E-5</v>
      </c>
      <c r="AU88" s="58">
        <f t="shared" ref="AU88:AU94" si="513">+AE88/$U88</f>
        <v>4.4960473048278115E-6</v>
      </c>
      <c r="AV88" s="58">
        <f t="shared" ref="AV88:AV94" si="514">+AF88/$U88</f>
        <v>2.1078968447467723E-3</v>
      </c>
      <c r="AW88" s="58">
        <f t="shared" ref="AW88:AW94" si="515">+AG88/$U88</f>
        <v>4.2712449395864211E-5</v>
      </c>
      <c r="AX88" s="58">
        <f t="shared" ref="AX88:AX94" si="516">+AH88/$U88</f>
        <v>3.2858612386116591E-4</v>
      </c>
      <c r="AY88" s="58">
        <f t="shared" ref="AY88:AY94" si="517">+AI88/$U88</f>
        <v>7.86808278344867E-6</v>
      </c>
      <c r="AZ88" s="58">
        <f t="shared" ref="AZ88:AZ94" si="518">+AJ88/$U88</f>
        <v>1.0865447653333878E-5</v>
      </c>
      <c r="BA88" s="58">
        <f>+AK88/U88</f>
        <v>4.4375986898650497E-3</v>
      </c>
      <c r="BB88" s="4">
        <f>+U88-(0.5*AK88)</f>
        <v>2663089.0638103201</v>
      </c>
      <c r="BC88" s="59">
        <f t="shared" ref="BC88:BC94" si="519">+AL88/(1-(0.5*$BA88))</f>
        <v>3.0791309654013318E-5</v>
      </c>
      <c r="BD88" s="59">
        <f>+AM88/(1-(0.5*$BA88))</f>
        <v>1.3142632169395928E-5</v>
      </c>
      <c r="BE88" s="59">
        <f t="shared" ref="BE88:BE94" si="520">+AN88/(1-(0.5*$BA88))</f>
        <v>5.8278186076864233E-4</v>
      </c>
      <c r="BF88" s="59">
        <f t="shared" ref="BF88:BF94" si="521">+AO88/(1-(0.5*$BA88))</f>
        <v>9.2674331983054719E-4</v>
      </c>
      <c r="BG88" s="59">
        <f t="shared" ref="BG88:BG94" si="522">+AP88/(1-(0.5*$BA88))</f>
        <v>1.3893639721932839E-5</v>
      </c>
      <c r="BH88" s="59">
        <f t="shared" ref="BH88:BH94" si="523">+AQ88/(1-(0.5*$BA88))</f>
        <v>5.9705100426684362E-5</v>
      </c>
      <c r="BI88" s="59">
        <f t="shared" ref="BI88:BI94" si="524">+AR88/(1-(0.5*$BA88))</f>
        <v>5.2570528677583717E-6</v>
      </c>
      <c r="BJ88" s="59">
        <f t="shared" ref="BJ88:BJ94" si="525">+AS88/(1-(0.5*$BA88))</f>
        <v>2.9514596814700567E-4</v>
      </c>
      <c r="BK88" s="59">
        <f t="shared" ref="BK88:BK94" si="526">+AT88/(1-(0.5*$BA88))</f>
        <v>1.2016120840590563E-5</v>
      </c>
      <c r="BL88" s="59">
        <f t="shared" ref="BL88:BL94" si="527">+AU88/(1-(0.5*$BA88))</f>
        <v>4.5060453152214609E-6</v>
      </c>
      <c r="BM88" s="59">
        <f t="shared" ref="BM88:BM94" si="528">+AV88/(1-(0.5*$BA88))</f>
        <v>2.1125842452863284E-3</v>
      </c>
      <c r="BN88" s="59">
        <f t="shared" ref="BN88:BN94" si="529">+AW88/(1-(0.5*$BA88))</f>
        <v>4.2807430494603885E-5</v>
      </c>
      <c r="BO88" s="59">
        <f t="shared" ref="BO88" si="530">+AX88/(1-(0.5*$BA88))</f>
        <v>3.2931681178743514E-4</v>
      </c>
      <c r="BP88" s="59">
        <f t="shared" ref="BP88:BP94" si="531">+AY88/(1-(0.5*$BA88))</f>
        <v>7.8855793016375572E-6</v>
      </c>
      <c r="BQ88" s="59">
        <f t="shared" ref="BQ88:BQ94" si="532">+AZ88/(1-(0.5*$BA88))</f>
        <v>1.0889609511785197E-5</v>
      </c>
      <c r="BR88" s="60">
        <f>+V88/(2*$U88)</f>
        <v>1.536149495816169E-5</v>
      </c>
      <c r="BS88" s="60">
        <f t="shared" ref="BS88" si="533">+W88/(2*$U88)</f>
        <v>6.5567356528738919E-6</v>
      </c>
      <c r="BT88" s="60">
        <f t="shared" ref="BT88" si="534">+X88/(2*$U88)</f>
        <v>2.9074439237886514E-4</v>
      </c>
      <c r="BU88" s="60">
        <f t="shared" ref="BU88" si="535">+Y88/(2*$U88)</f>
        <v>4.6234353117979328E-4</v>
      </c>
      <c r="BV88" s="60">
        <f t="shared" ref="BV88" si="536">+Z88/(2*$U88)</f>
        <v>6.9314062616095427E-6</v>
      </c>
      <c r="BW88" s="60">
        <f t="shared" ref="BW88" si="537">+AA88/(2*$U88)</f>
        <v>2.9786313394484252E-5</v>
      </c>
      <c r="BX88" s="60">
        <f t="shared" ref="BX88" si="538">+AB88/(2*$U88)</f>
        <v>2.6226942611495569E-6</v>
      </c>
      <c r="BY88" s="60">
        <f t="shared" ref="BY88" si="539">+AC88/(2*$U88)</f>
        <v>1.4724554923311082E-4</v>
      </c>
      <c r="BZ88" s="60">
        <f t="shared" ref="BZ88" si="540">+AD88/(2*$U88)</f>
        <v>5.9947297397704154E-6</v>
      </c>
      <c r="CA88" s="60">
        <f t="shared" ref="CA88" si="541">+AE88/(2*$U88)</f>
        <v>2.2480236524139058E-6</v>
      </c>
      <c r="CB88" s="60">
        <f t="shared" ref="CB88" si="542">+AF88/(2*$U88)</f>
        <v>1.0539484223733861E-3</v>
      </c>
      <c r="CC88" s="60">
        <f t="shared" ref="CC88" si="543">+AG88/(2*$U88)</f>
        <v>2.1356224697932105E-5</v>
      </c>
      <c r="CD88" s="60">
        <f t="shared" ref="CD88" si="544">+AH88/(2*$U88)</f>
        <v>1.6429306193058296E-4</v>
      </c>
      <c r="CE88" s="60">
        <f t="shared" ref="CE88" si="545">+AI88/(2*$U88)</f>
        <v>3.934041391724335E-6</v>
      </c>
      <c r="CF88" s="13">
        <f t="shared" ref="CF88" si="546">+AJ88/(2*$U88)</f>
        <v>5.4327238266669388E-6</v>
      </c>
    </row>
    <row r="89" spans="1:85" hidden="1" x14ac:dyDescent="0.25">
      <c r="A89" s="4" t="s">
        <v>5</v>
      </c>
      <c r="B89" s="56">
        <v>5336689.2615659405</v>
      </c>
      <c r="C89" s="57">
        <v>50</v>
      </c>
      <c r="D89" s="57">
        <v>18</v>
      </c>
      <c r="E89" s="57">
        <v>121</v>
      </c>
      <c r="F89" s="57">
        <v>79</v>
      </c>
      <c r="G89" s="57">
        <v>18</v>
      </c>
      <c r="H89" s="57">
        <v>266</v>
      </c>
      <c r="I89" s="57">
        <v>18</v>
      </c>
      <c r="J89" s="57">
        <v>659</v>
      </c>
      <c r="K89" s="57">
        <v>105</v>
      </c>
      <c r="L89" s="57">
        <v>16</v>
      </c>
      <c r="M89" s="57">
        <v>2</v>
      </c>
      <c r="N89" s="57">
        <v>15</v>
      </c>
      <c r="O89" s="57">
        <v>82</v>
      </c>
      <c r="P89" s="57">
        <v>2</v>
      </c>
      <c r="Q89" s="57">
        <v>34</v>
      </c>
      <c r="S89" s="4">
        <f t="shared" ref="S89:S94" si="547">+$B$84</f>
        <v>1996</v>
      </c>
      <c r="T89" s="4" t="str">
        <f t="shared" ref="T89:T94" si="548">+A89</f>
        <v>5-14</v>
      </c>
      <c r="U89" s="56">
        <f t="shared" ref="U89:U94" si="549">+B89</f>
        <v>5336689.2615659405</v>
      </c>
      <c r="V89" s="4">
        <f t="shared" ref="V89:V94" si="550">+C89</f>
        <v>50</v>
      </c>
      <c r="W89" s="4">
        <f t="shared" si="491"/>
        <v>18</v>
      </c>
      <c r="X89" s="4">
        <f t="shared" si="492"/>
        <v>121</v>
      </c>
      <c r="Y89" s="4">
        <f t="shared" si="493"/>
        <v>79</v>
      </c>
      <c r="Z89" s="4">
        <f t="shared" si="494"/>
        <v>18</v>
      </c>
      <c r="AA89" s="4">
        <f t="shared" si="495"/>
        <v>266</v>
      </c>
      <c r="AB89" s="4">
        <f t="shared" si="496"/>
        <v>18</v>
      </c>
      <c r="AC89" s="4">
        <f t="shared" si="497"/>
        <v>659</v>
      </c>
      <c r="AD89" s="4">
        <f t="shared" si="498"/>
        <v>105</v>
      </c>
      <c r="AE89" s="4">
        <f t="shared" si="499"/>
        <v>16</v>
      </c>
      <c r="AF89" s="4">
        <f t="shared" si="500"/>
        <v>2</v>
      </c>
      <c r="AG89" s="4">
        <f t="shared" si="501"/>
        <v>15</v>
      </c>
      <c r="AH89" s="4">
        <f t="shared" si="502"/>
        <v>82</v>
      </c>
      <c r="AI89" s="4">
        <f t="shared" si="503"/>
        <v>2</v>
      </c>
      <c r="AJ89" s="4">
        <f t="shared" si="504"/>
        <v>34</v>
      </c>
      <c r="AK89" s="4">
        <f t="shared" ref="AK89:AK94" si="551">+SUM(V89:AJ89)</f>
        <v>1485</v>
      </c>
      <c r="AL89" s="58">
        <f t="shared" ref="AL89:AL94" si="552">+V89/$U89</f>
        <v>9.3691046169940461E-6</v>
      </c>
      <c r="AM89" s="58">
        <f t="shared" si="505"/>
        <v>3.3728776621178566E-6</v>
      </c>
      <c r="AN89" s="58">
        <f t="shared" si="506"/>
        <v>2.2673233173125591E-5</v>
      </c>
      <c r="AO89" s="58">
        <f t="shared" si="507"/>
        <v>1.4803185294850593E-5</v>
      </c>
      <c r="AP89" s="58">
        <f t="shared" si="508"/>
        <v>3.3728776621178566E-6</v>
      </c>
      <c r="AQ89" s="58">
        <f t="shared" si="509"/>
        <v>4.9843636562408325E-5</v>
      </c>
      <c r="AR89" s="58">
        <f t="shared" si="510"/>
        <v>3.3728776621178566E-6</v>
      </c>
      <c r="AS89" s="58">
        <f t="shared" si="511"/>
        <v>1.2348479885198154E-4</v>
      </c>
      <c r="AT89" s="58">
        <f t="shared" si="512"/>
        <v>1.9675119695687498E-5</v>
      </c>
      <c r="AU89" s="58">
        <f t="shared" si="513"/>
        <v>2.998113477438095E-6</v>
      </c>
      <c r="AV89" s="58">
        <f t="shared" si="514"/>
        <v>3.7476418467976187E-7</v>
      </c>
      <c r="AW89" s="58">
        <f t="shared" si="515"/>
        <v>2.8107313850982138E-6</v>
      </c>
      <c r="AX89" s="58">
        <f t="shared" si="516"/>
        <v>1.5365331571870237E-5</v>
      </c>
      <c r="AY89" s="58">
        <f t="shared" si="517"/>
        <v>3.7476418467976187E-7</v>
      </c>
      <c r="AZ89" s="58">
        <f t="shared" si="518"/>
        <v>6.3709911395559516E-6</v>
      </c>
      <c r="BA89" s="58">
        <f t="shared" ref="BA89:BA94" si="553">+AK89/U89</f>
        <v>2.7826240712472319E-4</v>
      </c>
      <c r="BB89" s="4">
        <f t="shared" ref="BB89:BB94" si="554">+U89-(0.5*AK89)</f>
        <v>5335946.7615659405</v>
      </c>
      <c r="BC89" s="59">
        <f t="shared" si="519"/>
        <v>9.3704083331833129E-6</v>
      </c>
      <c r="BD89" s="59">
        <f t="shared" ref="BD89:BD94" si="555">+AM89/(1-(0.5*$BA89))</f>
        <v>3.3733469999459925E-6</v>
      </c>
      <c r="BE89" s="59">
        <f t="shared" si="520"/>
        <v>2.2676388166303615E-5</v>
      </c>
      <c r="BF89" s="59">
        <f t="shared" si="521"/>
        <v>1.4805245166429634E-5</v>
      </c>
      <c r="BG89" s="59">
        <f t="shared" si="522"/>
        <v>3.3733469999459925E-6</v>
      </c>
      <c r="BH89" s="59">
        <f t="shared" si="523"/>
        <v>4.9850572332535225E-5</v>
      </c>
      <c r="BI89" s="59">
        <f t="shared" si="524"/>
        <v>3.3733469999459925E-6</v>
      </c>
      <c r="BJ89" s="59">
        <f t="shared" si="525"/>
        <v>1.2350198183135608E-4</v>
      </c>
      <c r="BK89" s="59">
        <f t="shared" si="526"/>
        <v>1.9677857499684958E-5</v>
      </c>
      <c r="BL89" s="59">
        <f t="shared" si="527"/>
        <v>2.9985306666186604E-6</v>
      </c>
      <c r="BM89" s="59">
        <f t="shared" si="528"/>
        <v>3.7481633332733255E-7</v>
      </c>
      <c r="BN89" s="59">
        <f t="shared" si="529"/>
        <v>2.8111224999549937E-6</v>
      </c>
      <c r="BO89" s="59">
        <f>+AX89/(1-(0.5*$BA89))</f>
        <v>1.5367469666420634E-5</v>
      </c>
      <c r="BP89" s="59">
        <f t="shared" si="531"/>
        <v>3.7481633332733255E-7</v>
      </c>
      <c r="BQ89" s="59">
        <f t="shared" si="532"/>
        <v>6.3718776665646525E-6</v>
      </c>
      <c r="BR89" s="60">
        <f>+(V88+V89)/(2*$U89)</f>
        <v>1.2367218094432141E-5</v>
      </c>
      <c r="BS89" s="60">
        <f t="shared" ref="BS89:BS94" si="556">+(W88+W89)/(2*$U89)</f>
        <v>4.9656254470068449E-6</v>
      </c>
      <c r="BT89" s="60">
        <f t="shared" ref="BT89:BT94" si="557">+(X88+X89)/(2*$U89)</f>
        <v>1.567451202423104E-4</v>
      </c>
      <c r="BU89" s="60">
        <f t="shared" ref="BU89:BU94" si="558">+(Y88+Y89)/(2*$U89)</f>
        <v>2.3863109459483836E-4</v>
      </c>
      <c r="BV89" s="60">
        <f t="shared" ref="BV89:BV94" si="559">+(Z88+Z89)/(2*$U89)</f>
        <v>5.1530075393467253E-6</v>
      </c>
      <c r="BW89" s="60">
        <f t="shared" ref="BW89:BW94" si="560">+(AA88+AA89)/(2*$U89)</f>
        <v>3.98186946222247E-5</v>
      </c>
      <c r="BX89" s="60">
        <f t="shared" ref="BX89:BX94" si="561">+(AB88+AB89)/(2*$U89)</f>
        <v>2.998113477438095E-6</v>
      </c>
      <c r="BY89" s="60">
        <f t="shared" ref="BY89:BY94" si="562">+(AC88+AC89)/(2*$U89)</f>
        <v>1.3538356171556397E-4</v>
      </c>
      <c r="BZ89" s="60">
        <f t="shared" ref="BZ89:BZ94" si="563">+(AD88+AD89)/(2*$U89)</f>
        <v>1.2835673325281844E-5</v>
      </c>
      <c r="CA89" s="60">
        <f t="shared" ref="CA89:CA94" si="564">+(AE88+AE89)/(2*$U89)</f>
        <v>2.6233492927583329E-6</v>
      </c>
      <c r="CB89" s="60">
        <f t="shared" ref="CB89:CB94" si="565">+(AF88+AF89)/(2*$U89)</f>
        <v>5.2729320784442491E-4</v>
      </c>
      <c r="CC89" s="60">
        <f t="shared" ref="CC89:CC94" si="566">+(AG88+AG89)/(2*$U89)</f>
        <v>1.2086144955922319E-5</v>
      </c>
      <c r="CD89" s="60">
        <f t="shared" ref="CD89:CD94" si="567">+(AH88+AH89)/(2*$U89)</f>
        <v>8.9849713276972899E-5</v>
      </c>
      <c r="CE89" s="60">
        <f t="shared" ref="CE89:CE94" si="568">+(AI88+AI89)/(2*$U89)</f>
        <v>2.1548940619086307E-6</v>
      </c>
      <c r="CF89" s="13">
        <f t="shared" ref="CF89:CF94" si="569">+(AJ88+AJ89)/(2*$U89)</f>
        <v>5.9025359087062493E-6</v>
      </c>
    </row>
    <row r="90" spans="1:85" hidden="1" x14ac:dyDescent="0.25">
      <c r="A90" s="4" t="s">
        <v>4</v>
      </c>
      <c r="B90" s="56">
        <v>4328734.7335640304</v>
      </c>
      <c r="C90" s="57">
        <v>101</v>
      </c>
      <c r="D90" s="57">
        <v>34</v>
      </c>
      <c r="E90" s="57">
        <v>66</v>
      </c>
      <c r="F90" s="57">
        <v>36</v>
      </c>
      <c r="G90" s="57">
        <v>71</v>
      </c>
      <c r="H90" s="57">
        <v>301</v>
      </c>
      <c r="I90" s="57">
        <v>64</v>
      </c>
      <c r="J90" s="57">
        <v>1352</v>
      </c>
      <c r="K90" s="57">
        <v>1694</v>
      </c>
      <c r="L90" s="57">
        <v>51</v>
      </c>
      <c r="M90" s="57">
        <v>0</v>
      </c>
      <c r="N90" s="57">
        <v>33</v>
      </c>
      <c r="O90" s="57">
        <v>90</v>
      </c>
      <c r="P90" s="57">
        <v>47</v>
      </c>
      <c r="Q90" s="57">
        <v>27</v>
      </c>
      <c r="S90" s="4">
        <f t="shared" si="547"/>
        <v>1996</v>
      </c>
      <c r="T90" s="4" t="str">
        <f t="shared" si="548"/>
        <v>15-24</v>
      </c>
      <c r="U90" s="56">
        <f t="shared" si="549"/>
        <v>4328734.7335640304</v>
      </c>
      <c r="V90" s="4">
        <f t="shared" si="550"/>
        <v>101</v>
      </c>
      <c r="W90" s="4">
        <f t="shared" si="491"/>
        <v>34</v>
      </c>
      <c r="X90" s="4">
        <f t="shared" si="492"/>
        <v>66</v>
      </c>
      <c r="Y90" s="4">
        <f t="shared" si="493"/>
        <v>36</v>
      </c>
      <c r="Z90" s="4">
        <f t="shared" si="494"/>
        <v>71</v>
      </c>
      <c r="AA90" s="4">
        <f t="shared" si="495"/>
        <v>301</v>
      </c>
      <c r="AB90" s="4">
        <f t="shared" si="496"/>
        <v>64</v>
      </c>
      <c r="AC90" s="4">
        <f t="shared" si="497"/>
        <v>1352</v>
      </c>
      <c r="AD90" s="4">
        <f t="shared" si="498"/>
        <v>1694</v>
      </c>
      <c r="AE90" s="4">
        <f t="shared" si="499"/>
        <v>51</v>
      </c>
      <c r="AF90" s="4">
        <f t="shared" si="500"/>
        <v>0</v>
      </c>
      <c r="AG90" s="4">
        <f t="shared" si="501"/>
        <v>33</v>
      </c>
      <c r="AH90" s="4">
        <f t="shared" si="502"/>
        <v>90</v>
      </c>
      <c r="AI90" s="4">
        <f t="shared" si="503"/>
        <v>47</v>
      </c>
      <c r="AJ90" s="4">
        <f t="shared" si="504"/>
        <v>27</v>
      </c>
      <c r="AK90" s="4">
        <f t="shared" si="551"/>
        <v>3967</v>
      </c>
      <c r="AL90" s="58">
        <f t="shared" si="552"/>
        <v>2.3332453064603114E-5</v>
      </c>
      <c r="AM90" s="58">
        <f t="shared" si="505"/>
        <v>7.8544891504604536E-6</v>
      </c>
      <c r="AN90" s="58">
        <f t="shared" si="506"/>
        <v>1.5246949527364411E-5</v>
      </c>
      <c r="AO90" s="58">
        <f t="shared" si="507"/>
        <v>8.3165179240169518E-6</v>
      </c>
      <c r="AP90" s="58">
        <f t="shared" si="508"/>
        <v>1.6402021461255655E-5</v>
      </c>
      <c r="AQ90" s="58">
        <f t="shared" si="509"/>
        <v>6.9535330420252836E-5</v>
      </c>
      <c r="AR90" s="58">
        <f t="shared" si="510"/>
        <v>1.4784920753807913E-5</v>
      </c>
      <c r="AS90" s="58">
        <f t="shared" si="511"/>
        <v>3.1233145092419214E-4</v>
      </c>
      <c r="AT90" s="58">
        <f t="shared" si="512"/>
        <v>3.9133837120235322E-4</v>
      </c>
      <c r="AU90" s="58">
        <f t="shared" si="513"/>
        <v>1.1781733725690681E-5</v>
      </c>
      <c r="AV90" s="58">
        <f t="shared" si="514"/>
        <v>0</v>
      </c>
      <c r="AW90" s="58">
        <f t="shared" si="515"/>
        <v>7.6234747636822054E-6</v>
      </c>
      <c r="AX90" s="58">
        <f t="shared" si="516"/>
        <v>2.0791294810042377E-5</v>
      </c>
      <c r="AY90" s="58">
        <f t="shared" si="517"/>
        <v>1.0857676178577687E-5</v>
      </c>
      <c r="AZ90" s="58">
        <f t="shared" si="518"/>
        <v>6.2373884430127134E-6</v>
      </c>
      <c r="BA90" s="58">
        <f t="shared" si="553"/>
        <v>9.1643407234931235E-4</v>
      </c>
      <c r="BB90" s="4">
        <f t="shared" si="554"/>
        <v>4326751.2335640304</v>
      </c>
      <c r="BC90" s="59">
        <f t="shared" si="519"/>
        <v>2.3343149293287266E-5</v>
      </c>
      <c r="BD90" s="59">
        <f t="shared" si="555"/>
        <v>7.8580898611066048E-6</v>
      </c>
      <c r="BE90" s="59">
        <f t="shared" si="520"/>
        <v>1.5253939142148115E-5</v>
      </c>
      <c r="BF90" s="59">
        <f t="shared" si="521"/>
        <v>8.3203304411716991E-6</v>
      </c>
      <c r="BG90" s="59">
        <f t="shared" si="522"/>
        <v>1.640954059231085E-5</v>
      </c>
      <c r="BH90" s="59">
        <f t="shared" si="523"/>
        <v>6.9567207299796693E-5</v>
      </c>
      <c r="BI90" s="59">
        <f t="shared" si="524"/>
        <v>1.4791698562083019E-5</v>
      </c>
      <c r="BJ90" s="59">
        <f t="shared" si="525"/>
        <v>3.1247463212400378E-4</v>
      </c>
      <c r="BK90" s="59">
        <f t="shared" si="526"/>
        <v>3.9151777131513494E-4</v>
      </c>
      <c r="BL90" s="59">
        <f t="shared" si="527"/>
        <v>1.1787134791659907E-5</v>
      </c>
      <c r="BM90" s="59">
        <f t="shared" si="528"/>
        <v>0</v>
      </c>
      <c r="BN90" s="59">
        <f t="shared" si="529"/>
        <v>7.6269695710740576E-6</v>
      </c>
      <c r="BO90" s="59">
        <f t="shared" ref="BO90:BO94" si="570">+AX90/(1-(0.5*$BA90))</f>
        <v>2.0800826102929245E-5</v>
      </c>
      <c r="BP90" s="59">
        <f t="shared" si="531"/>
        <v>1.0862653631529719E-5</v>
      </c>
      <c r="BQ90" s="59">
        <f t="shared" si="532"/>
        <v>6.2402478308787739E-6</v>
      </c>
      <c r="BR90" s="60">
        <f t="shared" ref="BR90:BR94" si="571">+(V89+V90)/(2*$U90)</f>
        <v>1.7441586201757774E-5</v>
      </c>
      <c r="BS90" s="60">
        <f t="shared" si="556"/>
        <v>6.0063740562344643E-6</v>
      </c>
      <c r="BT90" s="60">
        <f t="shared" si="557"/>
        <v>2.1599845163766247E-5</v>
      </c>
      <c r="BU90" s="60">
        <f t="shared" si="558"/>
        <v>1.3283327239749297E-5</v>
      </c>
      <c r="BV90" s="60">
        <f t="shared" si="559"/>
        <v>1.0280140211632064E-5</v>
      </c>
      <c r="BW90" s="60">
        <f t="shared" si="560"/>
        <v>6.5492578651633488E-5</v>
      </c>
      <c r="BX90" s="60">
        <f t="shared" si="561"/>
        <v>9.4715898579081938E-6</v>
      </c>
      <c r="BY90" s="60">
        <f t="shared" si="562"/>
        <v>2.3228496590552901E-4</v>
      </c>
      <c r="BZ90" s="60">
        <f t="shared" si="563"/>
        <v>2.0779744090703467E-4</v>
      </c>
      <c r="CA90" s="60">
        <f t="shared" si="564"/>
        <v>7.7389819570713291E-6</v>
      </c>
      <c r="CB90" s="60">
        <f t="shared" si="565"/>
        <v>2.3101438677824863E-7</v>
      </c>
      <c r="CC90" s="60">
        <f t="shared" si="566"/>
        <v>5.544345282677967E-6</v>
      </c>
      <c r="CD90" s="60">
        <f t="shared" si="567"/>
        <v>1.9867237262929384E-5</v>
      </c>
      <c r="CE90" s="60">
        <f t="shared" si="568"/>
        <v>5.6598524760670916E-6</v>
      </c>
      <c r="CF90" s="13">
        <f t="shared" si="569"/>
        <v>7.0459387967365835E-6</v>
      </c>
    </row>
    <row r="91" spans="1:85" hidden="1" x14ac:dyDescent="0.25">
      <c r="A91" s="4" t="s">
        <v>3</v>
      </c>
      <c r="B91" s="56">
        <v>6500086.9398599695</v>
      </c>
      <c r="C91" s="57">
        <v>1265</v>
      </c>
      <c r="D91" s="57">
        <v>267</v>
      </c>
      <c r="E91" s="57">
        <v>94</v>
      </c>
      <c r="F91" s="57">
        <v>65</v>
      </c>
      <c r="G91" s="57">
        <v>232</v>
      </c>
      <c r="H91" s="57">
        <v>1734</v>
      </c>
      <c r="I91" s="57">
        <v>517</v>
      </c>
      <c r="J91" s="57">
        <v>2393</v>
      </c>
      <c r="K91" s="57">
        <v>1811</v>
      </c>
      <c r="L91" s="57">
        <v>272</v>
      </c>
      <c r="M91" s="57">
        <v>1</v>
      </c>
      <c r="N91" s="57">
        <v>99</v>
      </c>
      <c r="O91" s="57">
        <v>191</v>
      </c>
      <c r="P91" s="57">
        <v>719</v>
      </c>
      <c r="Q91" s="57">
        <v>111</v>
      </c>
      <c r="S91" s="4">
        <f t="shared" si="547"/>
        <v>1996</v>
      </c>
      <c r="T91" s="4" t="str">
        <f t="shared" si="548"/>
        <v>25-44</v>
      </c>
      <c r="U91" s="56">
        <f t="shared" si="549"/>
        <v>6500086.9398599695</v>
      </c>
      <c r="V91" s="4">
        <f t="shared" si="550"/>
        <v>1265</v>
      </c>
      <c r="W91" s="4">
        <f t="shared" si="491"/>
        <v>267</v>
      </c>
      <c r="X91" s="4">
        <f t="shared" si="492"/>
        <v>94</v>
      </c>
      <c r="Y91" s="4">
        <f t="shared" si="493"/>
        <v>65</v>
      </c>
      <c r="Z91" s="4">
        <f t="shared" si="494"/>
        <v>232</v>
      </c>
      <c r="AA91" s="4">
        <f t="shared" si="495"/>
        <v>1734</v>
      </c>
      <c r="AB91" s="4">
        <f t="shared" si="496"/>
        <v>517</v>
      </c>
      <c r="AC91" s="4">
        <f t="shared" si="497"/>
        <v>2393</v>
      </c>
      <c r="AD91" s="4">
        <f t="shared" si="498"/>
        <v>1811</v>
      </c>
      <c r="AE91" s="4">
        <f t="shared" si="499"/>
        <v>272</v>
      </c>
      <c r="AF91" s="4">
        <f t="shared" si="500"/>
        <v>1</v>
      </c>
      <c r="AG91" s="4">
        <f t="shared" si="501"/>
        <v>99</v>
      </c>
      <c r="AH91" s="4">
        <f t="shared" si="502"/>
        <v>191</v>
      </c>
      <c r="AI91" s="4">
        <f t="shared" si="503"/>
        <v>719</v>
      </c>
      <c r="AJ91" s="4">
        <f t="shared" si="504"/>
        <v>111</v>
      </c>
      <c r="AK91" s="4">
        <f t="shared" si="551"/>
        <v>9771</v>
      </c>
      <c r="AL91" s="58">
        <f t="shared" si="552"/>
        <v>1.9461278159877223E-4</v>
      </c>
      <c r="AM91" s="58">
        <f t="shared" si="505"/>
        <v>4.107637366551161E-5</v>
      </c>
      <c r="AN91" s="58">
        <f t="shared" si="506"/>
        <v>1.4461345035798096E-5</v>
      </c>
      <c r="AO91" s="58">
        <f t="shared" si="507"/>
        <v>9.9998662481582572E-6</v>
      </c>
      <c r="AP91" s="58">
        <f t="shared" si="508"/>
        <v>3.56918303011187E-5</v>
      </c>
      <c r="AQ91" s="58">
        <f t="shared" si="509"/>
        <v>2.6676566268163718E-4</v>
      </c>
      <c r="AR91" s="58">
        <f t="shared" si="510"/>
        <v>7.953739769688952E-5</v>
      </c>
      <c r="AS91" s="58">
        <f t="shared" si="511"/>
        <v>3.6814892202834939E-4</v>
      </c>
      <c r="AT91" s="58">
        <f t="shared" si="512"/>
        <v>2.7861165808330162E-4</v>
      </c>
      <c r="AU91" s="58">
        <f t="shared" si="513"/>
        <v>4.1845594146139165E-5</v>
      </c>
      <c r="AV91" s="58">
        <f t="shared" si="514"/>
        <v>1.5384409612551164E-7</v>
      </c>
      <c r="AW91" s="58">
        <f t="shared" si="515"/>
        <v>1.5230565516425653E-5</v>
      </c>
      <c r="AX91" s="58">
        <f t="shared" si="516"/>
        <v>2.9384222359972725E-5</v>
      </c>
      <c r="AY91" s="58">
        <f t="shared" si="517"/>
        <v>1.1061390511424288E-4</v>
      </c>
      <c r="AZ91" s="58">
        <f t="shared" si="518"/>
        <v>1.7076694669931794E-5</v>
      </c>
      <c r="BA91" s="58">
        <f t="shared" si="553"/>
        <v>1.5032106632423743E-3</v>
      </c>
      <c r="BB91" s="4">
        <f t="shared" si="554"/>
        <v>6495201.4398599695</v>
      </c>
      <c r="BC91" s="59">
        <f t="shared" si="519"/>
        <v>1.9475916362453452E-4</v>
      </c>
      <c r="BD91" s="59">
        <f t="shared" si="555"/>
        <v>4.1107270108893847E-5</v>
      </c>
      <c r="BE91" s="59">
        <f t="shared" si="520"/>
        <v>1.4472222435340906E-5</v>
      </c>
      <c r="BF91" s="59">
        <f t="shared" si="521"/>
        <v>1.0007387854225095E-5</v>
      </c>
      <c r="BG91" s="59">
        <f t="shared" si="522"/>
        <v>3.5718676648926485E-5</v>
      </c>
      <c r="BH91" s="59">
        <f t="shared" si="523"/>
        <v>2.6696631598809712E-4</v>
      </c>
      <c r="BI91" s="59">
        <f t="shared" si="524"/>
        <v>7.9597223394374983E-5</v>
      </c>
      <c r="BJ91" s="59">
        <f t="shared" si="525"/>
        <v>3.6842583284862543E-4</v>
      </c>
      <c r="BK91" s="59">
        <f t="shared" si="526"/>
        <v>2.7882122160002534E-4</v>
      </c>
      <c r="BL91" s="59">
        <f t="shared" si="527"/>
        <v>4.187706917460347E-5</v>
      </c>
      <c r="BM91" s="59">
        <f t="shared" si="528"/>
        <v>1.5395981314192452E-7</v>
      </c>
      <c r="BN91" s="59">
        <f t="shared" si="529"/>
        <v>1.5242021501050527E-5</v>
      </c>
      <c r="BO91" s="59">
        <f t="shared" si="570"/>
        <v>2.9406324310107584E-5</v>
      </c>
      <c r="BP91" s="59">
        <f t="shared" si="531"/>
        <v>1.1069710564904374E-4</v>
      </c>
      <c r="BQ91" s="59">
        <f t="shared" si="532"/>
        <v>1.7089539258753623E-5</v>
      </c>
      <c r="BR91" s="60">
        <f t="shared" si="571"/>
        <v>1.0507551765372446E-4</v>
      </c>
      <c r="BS91" s="60">
        <f t="shared" si="556"/>
        <v>2.3153536466889503E-5</v>
      </c>
      <c r="BT91" s="60">
        <f t="shared" si="557"/>
        <v>1.2307527690040933E-5</v>
      </c>
      <c r="BU91" s="60">
        <f t="shared" si="558"/>
        <v>7.7691268543383381E-6</v>
      </c>
      <c r="BV91" s="60">
        <f t="shared" si="559"/>
        <v>2.3307380563015016E-5</v>
      </c>
      <c r="BW91" s="60">
        <f t="shared" si="560"/>
        <v>1.565363678077081E-4</v>
      </c>
      <c r="BX91" s="60">
        <f t="shared" si="561"/>
        <v>4.4691709924461133E-5</v>
      </c>
      <c r="BY91" s="60">
        <f t="shared" si="562"/>
        <v>2.8807306999502054E-4</v>
      </c>
      <c r="BZ91" s="60">
        <f t="shared" si="563"/>
        <v>2.6961177845995915E-4</v>
      </c>
      <c r="CA91" s="60">
        <f t="shared" si="564"/>
        <v>2.4845821524270131E-5</v>
      </c>
      <c r="CB91" s="60">
        <f t="shared" si="565"/>
        <v>7.6922048062755818E-8</v>
      </c>
      <c r="CC91" s="60">
        <f t="shared" si="566"/>
        <v>1.0153710344283768E-5</v>
      </c>
      <c r="CD91" s="60">
        <f t="shared" si="567"/>
        <v>2.1615095505634385E-5</v>
      </c>
      <c r="CE91" s="60">
        <f t="shared" si="568"/>
        <v>5.8922288816070963E-5</v>
      </c>
      <c r="CF91" s="13">
        <f t="shared" si="569"/>
        <v>1.0615242632660304E-5</v>
      </c>
    </row>
    <row r="92" spans="1:85" hidden="1" x14ac:dyDescent="0.25">
      <c r="A92" s="4" t="s">
        <v>2</v>
      </c>
      <c r="B92" s="56">
        <v>2862216.4853526298</v>
      </c>
      <c r="C92" s="57">
        <v>5170</v>
      </c>
      <c r="D92" s="57">
        <v>791</v>
      </c>
      <c r="E92" s="57">
        <v>38</v>
      </c>
      <c r="F92" s="57">
        <v>151</v>
      </c>
      <c r="G92" s="57">
        <v>387</v>
      </c>
      <c r="H92" s="57">
        <v>4424</v>
      </c>
      <c r="I92" s="57">
        <v>1783</v>
      </c>
      <c r="J92" s="57">
        <v>1078</v>
      </c>
      <c r="K92" s="57">
        <v>502</v>
      </c>
      <c r="L92" s="57">
        <v>1450</v>
      </c>
      <c r="M92" s="57">
        <v>0</v>
      </c>
      <c r="N92" s="57">
        <v>427</v>
      </c>
      <c r="O92" s="57">
        <v>247</v>
      </c>
      <c r="P92" s="57">
        <v>130</v>
      </c>
      <c r="Q92" s="57">
        <v>206</v>
      </c>
      <c r="S92" s="4">
        <f t="shared" si="547"/>
        <v>1996</v>
      </c>
      <c r="T92" s="4" t="str">
        <f t="shared" si="548"/>
        <v>45-64</v>
      </c>
      <c r="U92" s="56">
        <f t="shared" si="549"/>
        <v>2862216.4853526298</v>
      </c>
      <c r="V92" s="4">
        <f t="shared" si="550"/>
        <v>5170</v>
      </c>
      <c r="W92" s="4">
        <f t="shared" si="491"/>
        <v>791</v>
      </c>
      <c r="X92" s="4">
        <f t="shared" si="492"/>
        <v>38</v>
      </c>
      <c r="Y92" s="4">
        <f t="shared" si="493"/>
        <v>151</v>
      </c>
      <c r="Z92" s="4">
        <f t="shared" si="494"/>
        <v>387</v>
      </c>
      <c r="AA92" s="4">
        <f t="shared" si="495"/>
        <v>4424</v>
      </c>
      <c r="AB92" s="4">
        <f t="shared" si="496"/>
        <v>1783</v>
      </c>
      <c r="AC92" s="4">
        <f t="shared" si="497"/>
        <v>1078</v>
      </c>
      <c r="AD92" s="4">
        <f t="shared" si="498"/>
        <v>502</v>
      </c>
      <c r="AE92" s="4">
        <f t="shared" si="499"/>
        <v>1450</v>
      </c>
      <c r="AF92" s="4">
        <f t="shared" si="500"/>
        <v>0</v>
      </c>
      <c r="AG92" s="4">
        <f t="shared" si="501"/>
        <v>427</v>
      </c>
      <c r="AH92" s="4">
        <f t="shared" si="502"/>
        <v>247</v>
      </c>
      <c r="AI92" s="4">
        <f t="shared" si="503"/>
        <v>130</v>
      </c>
      <c r="AJ92" s="4">
        <f t="shared" si="504"/>
        <v>206</v>
      </c>
      <c r="AK92" s="4">
        <f t="shared" si="551"/>
        <v>16784</v>
      </c>
      <c r="AL92" s="58">
        <f t="shared" si="552"/>
        <v>1.8062924403019248E-3</v>
      </c>
      <c r="AM92" s="58">
        <f t="shared" si="505"/>
        <v>2.7635924957037186E-4</v>
      </c>
      <c r="AN92" s="58">
        <f t="shared" si="506"/>
        <v>1.3276424126010279E-5</v>
      </c>
      <c r="AO92" s="58">
        <f t="shared" si="507"/>
        <v>5.2756316921777688E-5</v>
      </c>
      <c r="AP92" s="58">
        <f t="shared" si="508"/>
        <v>1.3520989833594679E-4</v>
      </c>
      <c r="AQ92" s="58">
        <f t="shared" si="509"/>
        <v>1.5456552719334072E-3</v>
      </c>
      <c r="AR92" s="58">
        <f t="shared" si="510"/>
        <v>6.229437951756928E-4</v>
      </c>
      <c r="AS92" s="58">
        <f t="shared" si="511"/>
        <v>3.7663118967997582E-4</v>
      </c>
      <c r="AT92" s="58">
        <f t="shared" si="512"/>
        <v>1.7538855029624104E-4</v>
      </c>
      <c r="AU92" s="58">
        <f t="shared" si="513"/>
        <v>5.0660039428197118E-4</v>
      </c>
      <c r="AV92" s="58">
        <f t="shared" si="514"/>
        <v>0</v>
      </c>
      <c r="AW92" s="58">
        <f t="shared" si="515"/>
        <v>1.4918508162648392E-4</v>
      </c>
      <c r="AX92" s="58">
        <f t="shared" si="516"/>
        <v>8.6296756819066809E-5</v>
      </c>
      <c r="AY92" s="58">
        <f t="shared" si="517"/>
        <v>4.541934569424569E-5</v>
      </c>
      <c r="AZ92" s="58">
        <f t="shared" si="518"/>
        <v>7.1972193946266255E-5</v>
      </c>
      <c r="BA92" s="58">
        <f t="shared" si="553"/>
        <v>5.8639869087093819E-3</v>
      </c>
      <c r="BB92" s="4">
        <f t="shared" si="554"/>
        <v>2853824.4853526298</v>
      </c>
      <c r="BC92" s="59">
        <f t="shared" si="519"/>
        <v>1.8116040515228724E-3</v>
      </c>
      <c r="BD92" s="59">
        <f t="shared" si="555"/>
        <v>2.7717191581326728E-4</v>
      </c>
      <c r="BE92" s="59">
        <f t="shared" si="520"/>
        <v>1.3315464982179718E-5</v>
      </c>
      <c r="BF92" s="59">
        <f t="shared" si="521"/>
        <v>5.2911452955503619E-5</v>
      </c>
      <c r="BG92" s="59">
        <f t="shared" si="522"/>
        <v>1.3560749863430398E-4</v>
      </c>
      <c r="BH92" s="59">
        <f t="shared" si="523"/>
        <v>1.5502004495042915E-3</v>
      </c>
      <c r="BI92" s="59">
        <f t="shared" si="524"/>
        <v>6.2477563324280102E-4</v>
      </c>
      <c r="BJ92" s="59">
        <f t="shared" si="525"/>
        <v>3.7773871712604574E-4</v>
      </c>
      <c r="BK92" s="59">
        <f t="shared" si="526"/>
        <v>1.7590430055405837E-4</v>
      </c>
      <c r="BL92" s="59">
        <f t="shared" si="527"/>
        <v>5.0809011116212085E-4</v>
      </c>
      <c r="BM92" s="59">
        <f t="shared" si="528"/>
        <v>0</v>
      </c>
      <c r="BN92" s="59">
        <f t="shared" si="529"/>
        <v>1.4962377756291422E-4</v>
      </c>
      <c r="BO92" s="59">
        <f t="shared" si="570"/>
        <v>8.6550522384168166E-5</v>
      </c>
      <c r="BP92" s="59">
        <f t="shared" si="531"/>
        <v>4.5552906517983245E-5</v>
      </c>
      <c r="BQ92" s="59">
        <f t="shared" si="532"/>
        <v>7.2183836482342698E-5</v>
      </c>
      <c r="BR92" s="60">
        <f t="shared" si="571"/>
        <v>1.1241288059325809E-3</v>
      </c>
      <c r="BS92" s="60">
        <f t="shared" si="556"/>
        <v>1.8482179901735361E-4</v>
      </c>
      <c r="BT92" s="60">
        <f t="shared" si="557"/>
        <v>2.3059052429386273E-5</v>
      </c>
      <c r="BU92" s="60">
        <f t="shared" si="558"/>
        <v>3.7732994884450265E-5</v>
      </c>
      <c r="BV92" s="60">
        <f t="shared" si="559"/>
        <v>1.0813298071053108E-4</v>
      </c>
      <c r="BW92" s="60">
        <f t="shared" si="560"/>
        <v>1.0757397337890959E-3</v>
      </c>
      <c r="BX92" s="60">
        <f t="shared" si="561"/>
        <v>4.0178651960294265E-4</v>
      </c>
      <c r="BY92" s="60">
        <f t="shared" si="562"/>
        <v>6.0634826501817997E-4</v>
      </c>
      <c r="BZ92" s="60">
        <f t="shared" si="563"/>
        <v>4.0405748688765491E-4</v>
      </c>
      <c r="CA92" s="60">
        <f t="shared" si="564"/>
        <v>3.0081582032881184E-4</v>
      </c>
      <c r="CB92" s="60">
        <f t="shared" si="565"/>
        <v>1.746897911317142E-7</v>
      </c>
      <c r="CC92" s="60">
        <f t="shared" si="566"/>
        <v>9.1886830135281663E-5</v>
      </c>
      <c r="CD92" s="60">
        <f t="shared" si="567"/>
        <v>7.6514128515690812E-5</v>
      </c>
      <c r="CE92" s="60">
        <f t="shared" si="568"/>
        <v>1.4831163267082535E-4</v>
      </c>
      <c r="CF92" s="13">
        <f t="shared" si="569"/>
        <v>5.5376663788753401E-5</v>
      </c>
    </row>
    <row r="93" spans="1:85" hidden="1" x14ac:dyDescent="0.25">
      <c r="A93" s="4" t="s">
        <v>1</v>
      </c>
      <c r="B93" s="56">
        <v>710343.28776711202</v>
      </c>
      <c r="C93" s="57">
        <v>5212</v>
      </c>
      <c r="D93" s="57">
        <v>406</v>
      </c>
      <c r="E93" s="57">
        <v>24</v>
      </c>
      <c r="F93" s="57">
        <v>146</v>
      </c>
      <c r="G93" s="57">
        <v>319</v>
      </c>
      <c r="H93" s="57">
        <v>3335</v>
      </c>
      <c r="I93" s="57">
        <v>1780</v>
      </c>
      <c r="J93" s="57">
        <v>380</v>
      </c>
      <c r="K93" s="57">
        <v>125</v>
      </c>
      <c r="L93" s="57">
        <v>1343</v>
      </c>
      <c r="M93" s="57">
        <v>0</v>
      </c>
      <c r="N93" s="57">
        <v>576</v>
      </c>
      <c r="O93" s="57">
        <v>226</v>
      </c>
      <c r="P93" s="57">
        <v>5</v>
      </c>
      <c r="Q93" s="57">
        <v>161</v>
      </c>
      <c r="S93" s="4">
        <f t="shared" si="547"/>
        <v>1996</v>
      </c>
      <c r="T93" s="4" t="str">
        <f t="shared" si="548"/>
        <v>65-74</v>
      </c>
      <c r="U93" s="56">
        <f t="shared" si="549"/>
        <v>710343.28776711202</v>
      </c>
      <c r="V93" s="4">
        <f t="shared" si="550"/>
        <v>5212</v>
      </c>
      <c r="W93" s="4">
        <f t="shared" si="491"/>
        <v>406</v>
      </c>
      <c r="X93" s="4">
        <f t="shared" si="492"/>
        <v>24</v>
      </c>
      <c r="Y93" s="4">
        <f t="shared" si="493"/>
        <v>146</v>
      </c>
      <c r="Z93" s="4">
        <f t="shared" si="494"/>
        <v>319</v>
      </c>
      <c r="AA93" s="4">
        <f t="shared" si="495"/>
        <v>3335</v>
      </c>
      <c r="AB93" s="4">
        <f t="shared" si="496"/>
        <v>1780</v>
      </c>
      <c r="AC93" s="4">
        <f t="shared" si="497"/>
        <v>380</v>
      </c>
      <c r="AD93" s="4">
        <f t="shared" si="498"/>
        <v>125</v>
      </c>
      <c r="AE93" s="4">
        <f t="shared" si="499"/>
        <v>1343</v>
      </c>
      <c r="AF93" s="4">
        <f t="shared" si="500"/>
        <v>0</v>
      </c>
      <c r="AG93" s="4">
        <f t="shared" si="501"/>
        <v>576</v>
      </c>
      <c r="AH93" s="4">
        <f t="shared" si="502"/>
        <v>226</v>
      </c>
      <c r="AI93" s="4">
        <f t="shared" si="503"/>
        <v>5</v>
      </c>
      <c r="AJ93" s="4">
        <f t="shared" si="504"/>
        <v>161</v>
      </c>
      <c r="AK93" s="4">
        <f t="shared" si="551"/>
        <v>14038</v>
      </c>
      <c r="AL93" s="58">
        <f t="shared" si="552"/>
        <v>7.3372974585053981E-3</v>
      </c>
      <c r="AM93" s="58">
        <f t="shared" si="505"/>
        <v>5.7155463702095004E-4</v>
      </c>
      <c r="AN93" s="58">
        <f t="shared" si="506"/>
        <v>3.3786481006164537E-5</v>
      </c>
      <c r="AO93" s="58">
        <f t="shared" si="507"/>
        <v>2.0553442612083426E-4</v>
      </c>
      <c r="AP93" s="58">
        <f t="shared" si="508"/>
        <v>4.4907864337360363E-4</v>
      </c>
      <c r="AQ93" s="58">
        <f t="shared" si="509"/>
        <v>4.6949130898149474E-3</v>
      </c>
      <c r="AR93" s="58">
        <f t="shared" si="510"/>
        <v>2.5058306746238699E-3</v>
      </c>
      <c r="AS93" s="58">
        <f t="shared" si="511"/>
        <v>5.3495261593093852E-4</v>
      </c>
      <c r="AT93" s="58">
        <f t="shared" si="512"/>
        <v>1.759712552404403E-4</v>
      </c>
      <c r="AU93" s="58">
        <f t="shared" si="513"/>
        <v>1.8906351663032905E-3</v>
      </c>
      <c r="AV93" s="58">
        <f t="shared" si="514"/>
        <v>0</v>
      </c>
      <c r="AW93" s="58">
        <f t="shared" si="515"/>
        <v>8.1087554414794889E-4</v>
      </c>
      <c r="AX93" s="58">
        <f t="shared" si="516"/>
        <v>3.1815602947471606E-4</v>
      </c>
      <c r="AY93" s="58">
        <f t="shared" si="517"/>
        <v>7.0388502096176121E-6</v>
      </c>
      <c r="AZ93" s="58">
        <f t="shared" si="518"/>
        <v>2.2665097674968711E-4</v>
      </c>
      <c r="BA93" s="58">
        <f t="shared" si="553"/>
        <v>1.9762275848522408E-2</v>
      </c>
      <c r="BB93" s="4">
        <f t="shared" si="554"/>
        <v>703324.28776711202</v>
      </c>
      <c r="BC93" s="59">
        <f t="shared" si="519"/>
        <v>7.4105218469660197E-3</v>
      </c>
      <c r="BD93" s="59">
        <f t="shared" si="555"/>
        <v>5.772586089539916E-4</v>
      </c>
      <c r="BE93" s="59">
        <f t="shared" si="520"/>
        <v>3.4123661613043836E-5</v>
      </c>
      <c r="BF93" s="59">
        <f t="shared" si="521"/>
        <v>2.0758560814601668E-4</v>
      </c>
      <c r="BG93" s="59">
        <f t="shared" si="522"/>
        <v>4.5356033560670767E-4</v>
      </c>
      <c r="BH93" s="59">
        <f t="shared" si="523"/>
        <v>4.741767144979217E-3</v>
      </c>
      <c r="BI93" s="59">
        <f t="shared" si="524"/>
        <v>2.5308382363007516E-3</v>
      </c>
      <c r="BJ93" s="59">
        <f t="shared" si="525"/>
        <v>5.4029130887319409E-4</v>
      </c>
      <c r="BK93" s="59">
        <f t="shared" si="526"/>
        <v>1.7772740423460334E-4</v>
      </c>
      <c r="BL93" s="59">
        <f t="shared" si="527"/>
        <v>1.909503231096578E-3</v>
      </c>
      <c r="BM93" s="59">
        <f t="shared" si="528"/>
        <v>0</v>
      </c>
      <c r="BN93" s="59">
        <f t="shared" si="529"/>
        <v>8.1896787871305217E-4</v>
      </c>
      <c r="BO93" s="59">
        <f t="shared" si="570"/>
        <v>3.2133114685616281E-4</v>
      </c>
      <c r="BP93" s="59">
        <f t="shared" si="531"/>
        <v>7.1090961693841331E-6</v>
      </c>
      <c r="BQ93" s="59">
        <f t="shared" si="532"/>
        <v>2.2891289665416908E-4</v>
      </c>
      <c r="BR93" s="60">
        <f t="shared" si="571"/>
        <v>7.3077342876250043E-3</v>
      </c>
      <c r="BS93" s="60">
        <f t="shared" si="556"/>
        <v>8.4255037009122813E-4</v>
      </c>
      <c r="BT93" s="60">
        <f t="shared" si="557"/>
        <v>4.3640871299629196E-5</v>
      </c>
      <c r="BU93" s="60">
        <f t="shared" si="558"/>
        <v>2.0905385122564307E-4</v>
      </c>
      <c r="BV93" s="60">
        <f t="shared" si="559"/>
        <v>4.969428247990034E-4</v>
      </c>
      <c r="BW93" s="60">
        <f t="shared" si="560"/>
        <v>5.461443877642305E-3</v>
      </c>
      <c r="BX93" s="60">
        <f t="shared" si="561"/>
        <v>2.5079423296867549E-3</v>
      </c>
      <c r="BY93" s="60">
        <f t="shared" si="562"/>
        <v>1.0262643605622478E-3</v>
      </c>
      <c r="BZ93" s="60">
        <f t="shared" si="563"/>
        <v>4.4133590814302427E-4</v>
      </c>
      <c r="CA93" s="60">
        <f t="shared" si="564"/>
        <v>1.9659508635461991E-3</v>
      </c>
      <c r="CB93" s="60">
        <f t="shared" si="565"/>
        <v>0</v>
      </c>
      <c r="CC93" s="60">
        <f t="shared" si="566"/>
        <v>7.0599667602464649E-4</v>
      </c>
      <c r="CD93" s="60">
        <f t="shared" si="567"/>
        <v>3.3293761491491304E-4</v>
      </c>
      <c r="CE93" s="60">
        <f t="shared" si="568"/>
        <v>9.5024477829837753E-5</v>
      </c>
      <c r="CF93" s="13">
        <f t="shared" si="569"/>
        <v>2.5832580269296635E-4</v>
      </c>
    </row>
    <row r="94" spans="1:85" hidden="1" x14ac:dyDescent="0.25">
      <c r="A94" s="4" t="s">
        <v>0</v>
      </c>
      <c r="B94" s="56">
        <v>710343.28776711202</v>
      </c>
      <c r="C94" s="57">
        <v>9429</v>
      </c>
      <c r="D94" s="57">
        <v>279</v>
      </c>
      <c r="E94" s="57">
        <v>22</v>
      </c>
      <c r="F94" s="57">
        <v>432</v>
      </c>
      <c r="G94" s="57">
        <v>397</v>
      </c>
      <c r="H94" s="57">
        <v>3401</v>
      </c>
      <c r="I94" s="57">
        <v>3442</v>
      </c>
      <c r="J94" s="57">
        <v>534</v>
      </c>
      <c r="K94" s="57">
        <v>68</v>
      </c>
      <c r="L94" s="57">
        <v>1306</v>
      </c>
      <c r="M94" s="57">
        <v>14</v>
      </c>
      <c r="N94" s="57">
        <v>1141</v>
      </c>
      <c r="O94" s="57">
        <v>974</v>
      </c>
      <c r="P94" s="57">
        <v>7</v>
      </c>
      <c r="Q94" s="57">
        <v>178</v>
      </c>
      <c r="S94" s="4">
        <f t="shared" si="547"/>
        <v>1996</v>
      </c>
      <c r="T94" s="4" t="str">
        <f t="shared" si="548"/>
        <v>75+</v>
      </c>
      <c r="U94" s="56">
        <f t="shared" si="549"/>
        <v>710343.28776711202</v>
      </c>
      <c r="V94" s="4">
        <f t="shared" si="550"/>
        <v>9429</v>
      </c>
      <c r="W94" s="4">
        <f t="shared" si="491"/>
        <v>279</v>
      </c>
      <c r="X94" s="4">
        <f t="shared" si="492"/>
        <v>22</v>
      </c>
      <c r="Y94" s="4">
        <f t="shared" si="493"/>
        <v>432</v>
      </c>
      <c r="Z94" s="4">
        <f t="shared" si="494"/>
        <v>397</v>
      </c>
      <c r="AA94" s="4">
        <f t="shared" si="495"/>
        <v>3401</v>
      </c>
      <c r="AB94" s="4">
        <f t="shared" si="496"/>
        <v>3442</v>
      </c>
      <c r="AC94" s="4">
        <f t="shared" si="497"/>
        <v>534</v>
      </c>
      <c r="AD94" s="4">
        <f t="shared" si="498"/>
        <v>68</v>
      </c>
      <c r="AE94" s="4">
        <f t="shared" si="499"/>
        <v>1306</v>
      </c>
      <c r="AF94" s="4">
        <f t="shared" si="500"/>
        <v>14</v>
      </c>
      <c r="AG94" s="4">
        <f t="shared" si="501"/>
        <v>1141</v>
      </c>
      <c r="AH94" s="4">
        <f t="shared" si="502"/>
        <v>974</v>
      </c>
      <c r="AI94" s="4">
        <f t="shared" si="503"/>
        <v>7</v>
      </c>
      <c r="AJ94" s="4">
        <f t="shared" si="504"/>
        <v>178</v>
      </c>
      <c r="AK94" s="4">
        <f t="shared" si="551"/>
        <v>21624</v>
      </c>
      <c r="AL94" s="58">
        <f t="shared" si="552"/>
        <v>1.3273863725296892E-2</v>
      </c>
      <c r="AM94" s="58">
        <f t="shared" si="505"/>
        <v>3.9276784169666276E-4</v>
      </c>
      <c r="AN94" s="58">
        <f t="shared" si="506"/>
        <v>3.0970940922317494E-5</v>
      </c>
      <c r="AO94" s="58">
        <f t="shared" si="507"/>
        <v>6.0815665811096166E-4</v>
      </c>
      <c r="AP94" s="58">
        <f t="shared" si="508"/>
        <v>5.588847066436384E-4</v>
      </c>
      <c r="AQ94" s="58">
        <f t="shared" si="509"/>
        <v>4.7878259125818997E-3</v>
      </c>
      <c r="AR94" s="58">
        <f t="shared" si="510"/>
        <v>4.8455444843007638E-3</v>
      </c>
      <c r="AS94" s="58">
        <f t="shared" si="511"/>
        <v>7.5174920238716097E-4</v>
      </c>
      <c r="AT94" s="58">
        <f t="shared" si="512"/>
        <v>9.5728362850799526E-5</v>
      </c>
      <c r="AU94" s="58">
        <f t="shared" si="513"/>
        <v>1.8385476747521201E-3</v>
      </c>
      <c r="AV94" s="58">
        <f t="shared" si="514"/>
        <v>1.9708780586929314E-5</v>
      </c>
      <c r="AW94" s="58">
        <f t="shared" si="515"/>
        <v>1.606265617834739E-3</v>
      </c>
      <c r="AX94" s="58">
        <f t="shared" si="516"/>
        <v>1.3711680208335108E-3</v>
      </c>
      <c r="AY94" s="58">
        <f t="shared" si="517"/>
        <v>9.8543902934646572E-6</v>
      </c>
      <c r="AZ94" s="58">
        <f t="shared" si="518"/>
        <v>2.5058306746238699E-4</v>
      </c>
      <c r="BA94" s="58">
        <f t="shared" si="553"/>
        <v>3.0441619386554247E-2</v>
      </c>
      <c r="BB94" s="4">
        <f t="shared" si="554"/>
        <v>699531.28776711202</v>
      </c>
      <c r="BC94" s="59">
        <f t="shared" si="519"/>
        <v>1.3479025405850185E-2</v>
      </c>
      <c r="BD94" s="59">
        <f t="shared" si="555"/>
        <v>3.9883848639645793E-4</v>
      </c>
      <c r="BE94" s="59">
        <f t="shared" si="520"/>
        <v>3.1449629751692027E-5</v>
      </c>
      <c r="BF94" s="59">
        <f t="shared" si="521"/>
        <v>6.1755636603322511E-4</v>
      </c>
      <c r="BG94" s="59">
        <f t="shared" si="522"/>
        <v>5.6752286415553336E-4</v>
      </c>
      <c r="BH94" s="59">
        <f t="shared" si="523"/>
        <v>4.8618268538865713E-3</v>
      </c>
      <c r="BI94" s="59">
        <f t="shared" si="524"/>
        <v>4.9204375275147243E-3</v>
      </c>
      <c r="BJ94" s="59">
        <f t="shared" si="525"/>
        <v>7.6336828579107001E-4</v>
      </c>
      <c r="BK94" s="59">
        <f t="shared" si="526"/>
        <v>9.7207946505229885E-5</v>
      </c>
      <c r="BL94" s="59">
        <f t="shared" si="527"/>
        <v>1.8669643843504445E-3</v>
      </c>
      <c r="BM94" s="59">
        <f t="shared" si="528"/>
        <v>2.0013400751076742E-5</v>
      </c>
      <c r="BN94" s="59">
        <f t="shared" si="529"/>
        <v>1.6310921612127545E-3</v>
      </c>
      <c r="BO94" s="59">
        <f t="shared" si="570"/>
        <v>1.3923608808249104E-3</v>
      </c>
      <c r="BP94" s="59">
        <f t="shared" si="531"/>
        <v>1.0006700375538371E-5</v>
      </c>
      <c r="BQ94" s="59">
        <f t="shared" si="532"/>
        <v>2.5445609526369002E-4</v>
      </c>
      <c r="BR94" s="60">
        <f t="shared" si="571"/>
        <v>1.0305580591901146E-2</v>
      </c>
      <c r="BS94" s="60">
        <f t="shared" si="556"/>
        <v>4.8216123935880642E-4</v>
      </c>
      <c r="BT94" s="60">
        <f t="shared" si="557"/>
        <v>3.2378710964241012E-5</v>
      </c>
      <c r="BU94" s="60">
        <f t="shared" si="558"/>
        <v>4.0684554211589799E-4</v>
      </c>
      <c r="BV94" s="60">
        <f t="shared" si="559"/>
        <v>5.0398167500862096E-4</v>
      </c>
      <c r="BW94" s="60">
        <f t="shared" si="560"/>
        <v>4.7413695011984235E-3</v>
      </c>
      <c r="BX94" s="60">
        <f t="shared" si="561"/>
        <v>3.6756875794623171E-3</v>
      </c>
      <c r="BY94" s="60">
        <f t="shared" si="562"/>
        <v>6.4335090915904969E-4</v>
      </c>
      <c r="BZ94" s="60">
        <f t="shared" si="563"/>
        <v>1.3584980904561992E-4</v>
      </c>
      <c r="CA94" s="60">
        <f t="shared" si="564"/>
        <v>1.8645914205277054E-3</v>
      </c>
      <c r="CB94" s="60">
        <f t="shared" si="565"/>
        <v>9.8543902934646572E-6</v>
      </c>
      <c r="CC94" s="60">
        <f t="shared" si="566"/>
        <v>1.208570580991344E-3</v>
      </c>
      <c r="CD94" s="60">
        <f t="shared" si="567"/>
        <v>8.4466202515411342E-4</v>
      </c>
      <c r="CE94" s="60">
        <f t="shared" si="568"/>
        <v>8.4466202515411342E-6</v>
      </c>
      <c r="CF94" s="13">
        <f t="shared" si="569"/>
        <v>2.3861702210603705E-4</v>
      </c>
    </row>
    <row r="95" spans="1:85" hidden="1" x14ac:dyDescent="0.25">
      <c r="C95" s="4"/>
    </row>
    <row r="96" spans="1:85" hidden="1" x14ac:dyDescent="0.25">
      <c r="C96" s="4"/>
    </row>
    <row r="97" spans="1:85" hidden="1" x14ac:dyDescent="0.25">
      <c r="A97" s="4" t="s">
        <v>23</v>
      </c>
      <c r="B97" s="61">
        <v>1996</v>
      </c>
    </row>
    <row r="98" spans="1:85" hidden="1" x14ac:dyDescent="0.25"/>
    <row r="99" spans="1:85" s="21" customFormat="1" ht="23.25" hidden="1" customHeight="1" x14ac:dyDescent="0.25">
      <c r="A99" s="62" t="s">
        <v>46</v>
      </c>
      <c r="B99" s="62"/>
      <c r="C99" s="4" t="s">
        <v>35</v>
      </c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  <c r="CC99" s="62"/>
      <c r="CD99" s="62"/>
      <c r="CE99" s="62"/>
    </row>
    <row r="100" spans="1:85" s="37" customFormat="1" ht="33" hidden="1" customHeight="1" x14ac:dyDescent="0.25">
      <c r="A100" s="63" t="s">
        <v>22</v>
      </c>
      <c r="B100" s="64" t="s">
        <v>24</v>
      </c>
      <c r="C100" s="64">
        <v>1</v>
      </c>
      <c r="D100" s="64">
        <v>10</v>
      </c>
      <c r="E100" s="64">
        <v>11</v>
      </c>
      <c r="F100" s="64">
        <v>12</v>
      </c>
      <c r="G100" s="64">
        <v>13</v>
      </c>
      <c r="H100" s="64">
        <v>2</v>
      </c>
      <c r="I100" s="64">
        <v>3</v>
      </c>
      <c r="J100" s="64">
        <v>4</v>
      </c>
      <c r="K100" s="64">
        <v>5</v>
      </c>
      <c r="L100" s="64">
        <v>6</v>
      </c>
      <c r="M100" s="64">
        <v>7</v>
      </c>
      <c r="N100" s="64">
        <v>8</v>
      </c>
      <c r="O100" s="64">
        <v>9</v>
      </c>
      <c r="P100" s="64">
        <v>14</v>
      </c>
      <c r="Q100" s="64">
        <v>15</v>
      </c>
      <c r="R100" s="64"/>
      <c r="S100" s="65" t="s">
        <v>23</v>
      </c>
      <c r="T100" s="65" t="s">
        <v>22</v>
      </c>
      <c r="U100" s="65" t="s">
        <v>181</v>
      </c>
      <c r="V100" s="66" t="str">
        <f>+CONCATENATE("dx","(",C100,")")</f>
        <v>dx(1)</v>
      </c>
      <c r="W100" s="66" t="str">
        <f t="shared" ref="W100" si="572">+CONCATENATE("dx","(",D100,")")</f>
        <v>dx(10)</v>
      </c>
      <c r="X100" s="66" t="str">
        <f t="shared" ref="X100" si="573">+CONCATENATE("dx","(",E100,")")</f>
        <v>dx(11)</v>
      </c>
      <c r="Y100" s="66" t="str">
        <f t="shared" ref="Y100" si="574">+CONCATENATE("dx","(",F100,")")</f>
        <v>dx(12)</v>
      </c>
      <c r="Z100" s="66" t="str">
        <f t="shared" ref="Z100" si="575">+CONCATENATE("dx","(",G100,")")</f>
        <v>dx(13)</v>
      </c>
      <c r="AA100" s="66" t="str">
        <f t="shared" ref="AA100" si="576">+CONCATENATE("dx","(",H100,")")</f>
        <v>dx(2)</v>
      </c>
      <c r="AB100" s="66" t="str">
        <f t="shared" ref="AB100" si="577">+CONCATENATE("dx","(",I100,")")</f>
        <v>dx(3)</v>
      </c>
      <c r="AC100" s="66" t="str">
        <f t="shared" ref="AC100" si="578">+CONCATENATE("dx","(",J100,")")</f>
        <v>dx(4)</v>
      </c>
      <c r="AD100" s="66" t="str">
        <f t="shared" ref="AD100" si="579">+CONCATENATE("dx","(",K100,")")</f>
        <v>dx(5)</v>
      </c>
      <c r="AE100" s="66" t="str">
        <f t="shared" ref="AE100" si="580">+CONCATENATE("dx","(",L100,")")</f>
        <v>dx(6)</v>
      </c>
      <c r="AF100" s="66" t="str">
        <f t="shared" ref="AF100" si="581">+CONCATENATE("dx","(",M100,")")</f>
        <v>dx(7)</v>
      </c>
      <c r="AG100" s="66" t="str">
        <f t="shared" ref="AG100" si="582">+CONCATENATE("dx","(",N100,")")</f>
        <v>dx(8)</v>
      </c>
      <c r="AH100" s="66" t="str">
        <f t="shared" ref="AH100" si="583">+CONCATENATE("dx","(",O100,")")</f>
        <v>dx(9)</v>
      </c>
      <c r="AI100" s="66" t="str">
        <f t="shared" ref="AI100" si="584">+CONCATENATE("dx","(",P100,")")</f>
        <v>dx(14)</v>
      </c>
      <c r="AJ100" s="66" t="str">
        <f t="shared" ref="AJ100" si="585">+CONCATENATE("dx","(",Q100,")")</f>
        <v>dx(15)</v>
      </c>
      <c r="AK100" s="66" t="s">
        <v>182</v>
      </c>
      <c r="AL100" s="66" t="str">
        <f t="shared" ref="AL100:AZ100" si="586">+CONCATENATE("qx","(",C100,")")</f>
        <v>qx(1)</v>
      </c>
      <c r="AM100" s="66" t="str">
        <f t="shared" si="586"/>
        <v>qx(10)</v>
      </c>
      <c r="AN100" s="66" t="str">
        <f t="shared" si="586"/>
        <v>qx(11)</v>
      </c>
      <c r="AO100" s="66" t="str">
        <f t="shared" si="586"/>
        <v>qx(12)</v>
      </c>
      <c r="AP100" s="66" t="str">
        <f t="shared" si="586"/>
        <v>qx(13)</v>
      </c>
      <c r="AQ100" s="66" t="str">
        <f t="shared" si="586"/>
        <v>qx(2)</v>
      </c>
      <c r="AR100" s="66" t="str">
        <f t="shared" si="586"/>
        <v>qx(3)</v>
      </c>
      <c r="AS100" s="66" t="str">
        <f t="shared" si="586"/>
        <v>qx(4)</v>
      </c>
      <c r="AT100" s="66" t="str">
        <f t="shared" si="586"/>
        <v>qx(5)</v>
      </c>
      <c r="AU100" s="66" t="str">
        <f t="shared" si="586"/>
        <v>qx(6)</v>
      </c>
      <c r="AV100" s="66" t="str">
        <f t="shared" si="586"/>
        <v>qx(7)</v>
      </c>
      <c r="AW100" s="66" t="str">
        <f t="shared" si="586"/>
        <v>qx(8)</v>
      </c>
      <c r="AX100" s="66" t="str">
        <f t="shared" si="586"/>
        <v>qx(9)</v>
      </c>
      <c r="AY100" s="66" t="str">
        <f t="shared" si="586"/>
        <v>qx(14)</v>
      </c>
      <c r="AZ100" s="66" t="str">
        <f t="shared" si="586"/>
        <v>qx(15)</v>
      </c>
      <c r="BA100" s="66" t="str">
        <f>+CONCATENATE("qx","(T)")</f>
        <v>qx(T)</v>
      </c>
      <c r="BB100" s="65" t="s">
        <v>184</v>
      </c>
      <c r="BC100" s="66" t="str">
        <f t="shared" ref="BC100:BQ100" si="587">+CONCATENATE("mx","(",C100,")")</f>
        <v>mx(1)</v>
      </c>
      <c r="BD100" s="66" t="str">
        <f t="shared" si="587"/>
        <v>mx(10)</v>
      </c>
      <c r="BE100" s="66" t="str">
        <f t="shared" si="587"/>
        <v>mx(11)</v>
      </c>
      <c r="BF100" s="66" t="str">
        <f t="shared" si="587"/>
        <v>mx(12)</v>
      </c>
      <c r="BG100" s="66" t="str">
        <f t="shared" si="587"/>
        <v>mx(13)</v>
      </c>
      <c r="BH100" s="66" t="str">
        <f t="shared" si="587"/>
        <v>mx(2)</v>
      </c>
      <c r="BI100" s="66" t="str">
        <f t="shared" si="587"/>
        <v>mx(3)</v>
      </c>
      <c r="BJ100" s="66" t="str">
        <f t="shared" si="587"/>
        <v>mx(4)</v>
      </c>
      <c r="BK100" s="66" t="str">
        <f t="shared" si="587"/>
        <v>mx(5)</v>
      </c>
      <c r="BL100" s="66" t="str">
        <f t="shared" si="587"/>
        <v>mx(6)</v>
      </c>
      <c r="BM100" s="66" t="str">
        <f t="shared" si="587"/>
        <v>mx(7)</v>
      </c>
      <c r="BN100" s="66" t="str">
        <f t="shared" si="587"/>
        <v>mx(8)</v>
      </c>
      <c r="BO100" s="66" t="str">
        <f t="shared" si="587"/>
        <v>mx(9)</v>
      </c>
      <c r="BP100" s="66" t="str">
        <f t="shared" si="587"/>
        <v>mx(14)</v>
      </c>
      <c r="BQ100" s="66" t="str">
        <f t="shared" si="587"/>
        <v>mx(15)</v>
      </c>
      <c r="BR100" s="66" t="str">
        <f>+CONCATENATE("µ(X)",C100)</f>
        <v>µ(X)1</v>
      </c>
      <c r="BS100" s="66" t="str">
        <f t="shared" ref="BS100" si="588">+CONCATENATE("µ(X)",D100)</f>
        <v>µ(X)10</v>
      </c>
      <c r="BT100" s="66" t="str">
        <f t="shared" ref="BT100" si="589">+CONCATENATE("µ(X)",E100)</f>
        <v>µ(X)11</v>
      </c>
      <c r="BU100" s="66" t="str">
        <f t="shared" ref="BU100" si="590">+CONCATENATE("µ(X)",F100)</f>
        <v>µ(X)12</v>
      </c>
      <c r="BV100" s="66" t="str">
        <f t="shared" ref="BV100" si="591">+CONCATENATE("µ(X)",G100)</f>
        <v>µ(X)13</v>
      </c>
      <c r="BW100" s="66" t="str">
        <f t="shared" ref="BW100" si="592">+CONCATENATE("µ(X)",H100)</f>
        <v>µ(X)2</v>
      </c>
      <c r="BX100" s="66" t="str">
        <f t="shared" ref="BX100" si="593">+CONCATENATE("µ(X)",I100)</f>
        <v>µ(X)3</v>
      </c>
      <c r="BY100" s="66" t="str">
        <f t="shared" ref="BY100" si="594">+CONCATENATE("µ(X)",J100)</f>
        <v>µ(X)4</v>
      </c>
      <c r="BZ100" s="66" t="str">
        <f t="shared" ref="BZ100" si="595">+CONCATENATE("µ(X)",K100)</f>
        <v>µ(X)5</v>
      </c>
      <c r="CA100" s="66" t="str">
        <f t="shared" ref="CA100" si="596">+CONCATENATE("µ(X)",L100)</f>
        <v>µ(X)6</v>
      </c>
      <c r="CB100" s="66" t="str">
        <f t="shared" ref="CB100" si="597">+CONCATENATE("µ(X)",M100)</f>
        <v>µ(X)7</v>
      </c>
      <c r="CC100" s="66" t="str">
        <f t="shared" ref="CC100" si="598">+CONCATENATE("µ(X)",N100)</f>
        <v>µ(X)8</v>
      </c>
      <c r="CD100" s="66" t="str">
        <f t="shared" ref="CD100" si="599">+CONCATENATE("µ(X)",O100)</f>
        <v>µ(X)9</v>
      </c>
      <c r="CE100" s="66" t="str">
        <f t="shared" ref="CE100" si="600">+CONCATENATE("µ(X)",P100)</f>
        <v>µ(X)14</v>
      </c>
      <c r="CF100" s="42" t="str">
        <f t="shared" ref="CF100" si="601">+CONCATENATE("µ(X)",Q100)</f>
        <v>µ(X)15</v>
      </c>
      <c r="CG100" s="36"/>
    </row>
    <row r="101" spans="1:85" hidden="1" x14ac:dyDescent="0.25">
      <c r="A101" s="4" t="s">
        <v>6</v>
      </c>
      <c r="B101" s="56">
        <v>2669011.0638103201</v>
      </c>
      <c r="C101" s="57">
        <v>82</v>
      </c>
      <c r="D101" s="57">
        <v>35</v>
      </c>
      <c r="E101" s="57">
        <v>1552</v>
      </c>
      <c r="F101" s="57">
        <v>2468</v>
      </c>
      <c r="G101" s="57">
        <v>37</v>
      </c>
      <c r="H101" s="57">
        <v>159</v>
      </c>
      <c r="I101" s="57">
        <v>14</v>
      </c>
      <c r="J101" s="57">
        <v>786</v>
      </c>
      <c r="K101" s="57">
        <v>32</v>
      </c>
      <c r="L101" s="57">
        <v>12</v>
      </c>
      <c r="M101" s="57">
        <v>5626</v>
      </c>
      <c r="N101" s="57">
        <v>114</v>
      </c>
      <c r="O101" s="57">
        <v>877</v>
      </c>
      <c r="P101" s="57">
        <v>21</v>
      </c>
      <c r="Q101" s="57">
        <v>29</v>
      </c>
      <c r="S101" s="4">
        <f>+$B$97</f>
        <v>1996</v>
      </c>
      <c r="T101" s="4" t="str">
        <f>+A101</f>
        <v>0-4</v>
      </c>
      <c r="U101" s="56">
        <f>+B101</f>
        <v>2669011.0638103201</v>
      </c>
      <c r="V101" s="4">
        <f>+C101</f>
        <v>82</v>
      </c>
      <c r="W101" s="4">
        <f t="shared" ref="W101:W107" si="602">+D101</f>
        <v>35</v>
      </c>
      <c r="X101" s="4">
        <f t="shared" ref="X101:X107" si="603">+E101</f>
        <v>1552</v>
      </c>
      <c r="Y101" s="4">
        <f t="shared" ref="Y101:Y107" si="604">+F101</f>
        <v>2468</v>
      </c>
      <c r="Z101" s="4">
        <f t="shared" ref="Z101:Z107" si="605">+G101</f>
        <v>37</v>
      </c>
      <c r="AA101" s="4">
        <f t="shared" ref="AA101:AA107" si="606">+H101</f>
        <v>159</v>
      </c>
      <c r="AB101" s="4">
        <f t="shared" ref="AB101:AB107" si="607">+I101</f>
        <v>14</v>
      </c>
      <c r="AC101" s="4">
        <f t="shared" ref="AC101:AC107" si="608">+J101</f>
        <v>786</v>
      </c>
      <c r="AD101" s="4">
        <f t="shared" ref="AD101:AD107" si="609">+K101</f>
        <v>32</v>
      </c>
      <c r="AE101" s="4">
        <f t="shared" ref="AE101:AE107" si="610">+L101</f>
        <v>12</v>
      </c>
      <c r="AF101" s="4">
        <f t="shared" ref="AF101:AF107" si="611">+M101</f>
        <v>5626</v>
      </c>
      <c r="AG101" s="4">
        <f t="shared" ref="AG101:AG107" si="612">+N101</f>
        <v>114</v>
      </c>
      <c r="AH101" s="4">
        <f t="shared" ref="AH101:AH107" si="613">+O101</f>
        <v>877</v>
      </c>
      <c r="AI101" s="4">
        <f t="shared" ref="AI101:AI107" si="614">+P101</f>
        <v>21</v>
      </c>
      <c r="AJ101" s="4">
        <f t="shared" ref="AJ101:AJ107" si="615">+Q101</f>
        <v>29</v>
      </c>
      <c r="AK101" s="4">
        <f>+SUM(V101:AJ101)</f>
        <v>11844</v>
      </c>
      <c r="AL101" s="58">
        <f>+V101/$U101</f>
        <v>3.072298991632338E-5</v>
      </c>
      <c r="AM101" s="58">
        <f t="shared" ref="AM101:AM107" si="616">+W101/$U101</f>
        <v>1.3113471305747784E-5</v>
      </c>
      <c r="AN101" s="58">
        <f t="shared" ref="AN101:AN107" si="617">+X101/$U101</f>
        <v>5.8148878475773028E-4</v>
      </c>
      <c r="AO101" s="58">
        <f t="shared" ref="AO101:AO107" si="618">+Y101/$U101</f>
        <v>9.2468706235958656E-4</v>
      </c>
      <c r="AP101" s="58">
        <f t="shared" ref="AP101:AP107" si="619">+Z101/$U101</f>
        <v>1.3862812523219085E-5</v>
      </c>
      <c r="AQ101" s="58">
        <f t="shared" ref="AQ101:AQ107" si="620">+AA101/$U101</f>
        <v>5.9572626788968504E-5</v>
      </c>
      <c r="AR101" s="58">
        <f t="shared" ref="AR101:AR107" si="621">+AB101/$U101</f>
        <v>5.2453885222991139E-6</v>
      </c>
      <c r="AS101" s="58">
        <f t="shared" ref="AS101:AS107" si="622">+AC101/$U101</f>
        <v>2.9449109846622164E-4</v>
      </c>
      <c r="AT101" s="58">
        <f t="shared" ref="AT101:AT107" si="623">+AD101/$U101</f>
        <v>1.1989459479540831E-5</v>
      </c>
      <c r="AU101" s="58">
        <f t="shared" ref="AU101:AU107" si="624">+AE101/$U101</f>
        <v>4.4960473048278115E-6</v>
      </c>
      <c r="AV101" s="58">
        <f t="shared" ref="AV101:AV107" si="625">+AF101/$U101</f>
        <v>2.1078968447467723E-3</v>
      </c>
      <c r="AW101" s="58">
        <f t="shared" ref="AW101:AW107" si="626">+AG101/$U101</f>
        <v>4.2712449395864211E-5</v>
      </c>
      <c r="AX101" s="58">
        <f t="shared" ref="AX101:AX107" si="627">+AH101/$U101</f>
        <v>3.2858612386116591E-4</v>
      </c>
      <c r="AY101" s="58">
        <f t="shared" ref="AY101:AY107" si="628">+AI101/$U101</f>
        <v>7.86808278344867E-6</v>
      </c>
      <c r="AZ101" s="58">
        <f t="shared" ref="AZ101:AZ107" si="629">+AJ101/$U101</f>
        <v>1.0865447653333878E-5</v>
      </c>
      <c r="BA101" s="58">
        <f>+AK101/U101</f>
        <v>4.4375986898650497E-3</v>
      </c>
      <c r="BB101" s="4">
        <f>+U101-(0.5*AK101)</f>
        <v>2663089.0638103201</v>
      </c>
      <c r="BC101" s="59">
        <f t="shared" ref="BC101:BC107" si="630">+AL101/(1-(0.5*$BA101))</f>
        <v>3.0791309654013318E-5</v>
      </c>
      <c r="BD101" s="59">
        <f>+AM101/(1-(0.5*$BA101))</f>
        <v>1.3142632169395928E-5</v>
      </c>
      <c r="BE101" s="59">
        <f t="shared" ref="BE101:BE107" si="631">+AN101/(1-(0.5*$BA101))</f>
        <v>5.8278186076864233E-4</v>
      </c>
      <c r="BF101" s="59">
        <f t="shared" ref="BF101:BF107" si="632">+AO101/(1-(0.5*$BA101))</f>
        <v>9.2674331983054719E-4</v>
      </c>
      <c r="BG101" s="59">
        <f t="shared" ref="BG101:BG107" si="633">+AP101/(1-(0.5*$BA101))</f>
        <v>1.3893639721932839E-5</v>
      </c>
      <c r="BH101" s="59">
        <f t="shared" ref="BH101:BH107" si="634">+AQ101/(1-(0.5*$BA101))</f>
        <v>5.9705100426684362E-5</v>
      </c>
      <c r="BI101" s="59">
        <f t="shared" ref="BI101:BI107" si="635">+AR101/(1-(0.5*$BA101))</f>
        <v>5.2570528677583717E-6</v>
      </c>
      <c r="BJ101" s="59">
        <f t="shared" ref="BJ101:BJ107" si="636">+AS101/(1-(0.5*$BA101))</f>
        <v>2.9514596814700567E-4</v>
      </c>
      <c r="BK101" s="59">
        <f t="shared" ref="BK101:BK107" si="637">+AT101/(1-(0.5*$BA101))</f>
        <v>1.2016120840590563E-5</v>
      </c>
      <c r="BL101" s="59">
        <f t="shared" ref="BL101:BL107" si="638">+AU101/(1-(0.5*$BA101))</f>
        <v>4.5060453152214609E-6</v>
      </c>
      <c r="BM101" s="59">
        <f t="shared" ref="BM101:BM107" si="639">+AV101/(1-(0.5*$BA101))</f>
        <v>2.1125842452863284E-3</v>
      </c>
      <c r="BN101" s="59">
        <f t="shared" ref="BN101:BN107" si="640">+AW101/(1-(0.5*$BA101))</f>
        <v>4.2807430494603885E-5</v>
      </c>
      <c r="BO101" s="59">
        <f t="shared" ref="BO101" si="641">+AX101/(1-(0.5*$BA101))</f>
        <v>3.2931681178743514E-4</v>
      </c>
      <c r="BP101" s="59">
        <f t="shared" ref="BP101:BP107" si="642">+AY101/(1-(0.5*$BA101))</f>
        <v>7.8855793016375572E-6</v>
      </c>
      <c r="BQ101" s="59">
        <f t="shared" ref="BQ101:BQ107" si="643">+AZ101/(1-(0.5*$BA101))</f>
        <v>1.0889609511785197E-5</v>
      </c>
      <c r="BR101" s="60">
        <f>+V101/(2*$U101)</f>
        <v>1.536149495816169E-5</v>
      </c>
      <c r="BS101" s="60">
        <f t="shared" ref="BS101" si="644">+W101/(2*$U101)</f>
        <v>6.5567356528738919E-6</v>
      </c>
      <c r="BT101" s="60">
        <f t="shared" ref="BT101" si="645">+X101/(2*$U101)</f>
        <v>2.9074439237886514E-4</v>
      </c>
      <c r="BU101" s="60">
        <f t="shared" ref="BU101" si="646">+Y101/(2*$U101)</f>
        <v>4.6234353117979328E-4</v>
      </c>
      <c r="BV101" s="60">
        <f t="shared" ref="BV101" si="647">+Z101/(2*$U101)</f>
        <v>6.9314062616095427E-6</v>
      </c>
      <c r="BW101" s="60">
        <f t="shared" ref="BW101" si="648">+AA101/(2*$U101)</f>
        <v>2.9786313394484252E-5</v>
      </c>
      <c r="BX101" s="60">
        <f t="shared" ref="BX101" si="649">+AB101/(2*$U101)</f>
        <v>2.6226942611495569E-6</v>
      </c>
      <c r="BY101" s="60">
        <f t="shared" ref="BY101" si="650">+AC101/(2*$U101)</f>
        <v>1.4724554923311082E-4</v>
      </c>
      <c r="BZ101" s="60">
        <f t="shared" ref="BZ101" si="651">+AD101/(2*$U101)</f>
        <v>5.9947297397704154E-6</v>
      </c>
      <c r="CA101" s="60">
        <f t="shared" ref="CA101" si="652">+AE101/(2*$U101)</f>
        <v>2.2480236524139058E-6</v>
      </c>
      <c r="CB101" s="60">
        <f t="shared" ref="CB101" si="653">+AF101/(2*$U101)</f>
        <v>1.0539484223733861E-3</v>
      </c>
      <c r="CC101" s="60">
        <f t="shared" ref="CC101" si="654">+AG101/(2*$U101)</f>
        <v>2.1356224697932105E-5</v>
      </c>
      <c r="CD101" s="60">
        <f t="shared" ref="CD101" si="655">+AH101/(2*$U101)</f>
        <v>1.6429306193058296E-4</v>
      </c>
      <c r="CE101" s="60">
        <f t="shared" ref="CE101" si="656">+AI101/(2*$U101)</f>
        <v>3.934041391724335E-6</v>
      </c>
      <c r="CF101" s="13">
        <f t="shared" ref="CF101" si="657">+AJ101/(2*$U101)</f>
        <v>5.4327238266669388E-6</v>
      </c>
    </row>
    <row r="102" spans="1:85" hidden="1" x14ac:dyDescent="0.25">
      <c r="A102" s="4" t="s">
        <v>5</v>
      </c>
      <c r="B102" s="56">
        <v>5336689.2615659405</v>
      </c>
      <c r="C102" s="57">
        <v>50</v>
      </c>
      <c r="D102" s="57">
        <v>18</v>
      </c>
      <c r="E102" s="57">
        <v>121</v>
      </c>
      <c r="F102" s="57">
        <v>79</v>
      </c>
      <c r="G102" s="57">
        <v>18</v>
      </c>
      <c r="H102" s="57">
        <v>266</v>
      </c>
      <c r="I102" s="57">
        <v>18</v>
      </c>
      <c r="J102" s="57">
        <v>659</v>
      </c>
      <c r="K102" s="57">
        <v>105</v>
      </c>
      <c r="L102" s="57">
        <v>16</v>
      </c>
      <c r="M102" s="57">
        <v>2</v>
      </c>
      <c r="N102" s="57">
        <v>15</v>
      </c>
      <c r="O102" s="57">
        <v>82</v>
      </c>
      <c r="P102" s="57">
        <v>2</v>
      </c>
      <c r="Q102" s="57">
        <v>34</v>
      </c>
      <c r="S102" s="4">
        <f t="shared" ref="S102:S107" si="658">+$B$97</f>
        <v>1996</v>
      </c>
      <c r="T102" s="4" t="str">
        <f t="shared" ref="T102:T107" si="659">+A102</f>
        <v>5-14</v>
      </c>
      <c r="U102" s="56">
        <f t="shared" ref="U102:U107" si="660">+B102</f>
        <v>5336689.2615659405</v>
      </c>
      <c r="V102" s="4">
        <f t="shared" ref="V102:V107" si="661">+C102</f>
        <v>50</v>
      </c>
      <c r="W102" s="4">
        <f t="shared" si="602"/>
        <v>18</v>
      </c>
      <c r="X102" s="4">
        <f t="shared" si="603"/>
        <v>121</v>
      </c>
      <c r="Y102" s="4">
        <f t="shared" si="604"/>
        <v>79</v>
      </c>
      <c r="Z102" s="4">
        <f t="shared" si="605"/>
        <v>18</v>
      </c>
      <c r="AA102" s="4">
        <f t="shared" si="606"/>
        <v>266</v>
      </c>
      <c r="AB102" s="4">
        <f t="shared" si="607"/>
        <v>18</v>
      </c>
      <c r="AC102" s="4">
        <f t="shared" si="608"/>
        <v>659</v>
      </c>
      <c r="AD102" s="4">
        <f t="shared" si="609"/>
        <v>105</v>
      </c>
      <c r="AE102" s="4">
        <f t="shared" si="610"/>
        <v>16</v>
      </c>
      <c r="AF102" s="4">
        <f t="shared" si="611"/>
        <v>2</v>
      </c>
      <c r="AG102" s="4">
        <f t="shared" si="612"/>
        <v>15</v>
      </c>
      <c r="AH102" s="4">
        <f t="shared" si="613"/>
        <v>82</v>
      </c>
      <c r="AI102" s="4">
        <f t="shared" si="614"/>
        <v>2</v>
      </c>
      <c r="AJ102" s="4">
        <f t="shared" si="615"/>
        <v>34</v>
      </c>
      <c r="AK102" s="4">
        <f t="shared" ref="AK102:AK107" si="662">+SUM(V102:AJ102)</f>
        <v>1485</v>
      </c>
      <c r="AL102" s="58">
        <f t="shared" ref="AL102:AL107" si="663">+V102/$U102</f>
        <v>9.3691046169940461E-6</v>
      </c>
      <c r="AM102" s="58">
        <f t="shared" si="616"/>
        <v>3.3728776621178566E-6</v>
      </c>
      <c r="AN102" s="58">
        <f t="shared" si="617"/>
        <v>2.2673233173125591E-5</v>
      </c>
      <c r="AO102" s="58">
        <f t="shared" si="618"/>
        <v>1.4803185294850593E-5</v>
      </c>
      <c r="AP102" s="58">
        <f t="shared" si="619"/>
        <v>3.3728776621178566E-6</v>
      </c>
      <c r="AQ102" s="58">
        <f t="shared" si="620"/>
        <v>4.9843636562408325E-5</v>
      </c>
      <c r="AR102" s="58">
        <f t="shared" si="621"/>
        <v>3.3728776621178566E-6</v>
      </c>
      <c r="AS102" s="58">
        <f t="shared" si="622"/>
        <v>1.2348479885198154E-4</v>
      </c>
      <c r="AT102" s="58">
        <f t="shared" si="623"/>
        <v>1.9675119695687498E-5</v>
      </c>
      <c r="AU102" s="58">
        <f t="shared" si="624"/>
        <v>2.998113477438095E-6</v>
      </c>
      <c r="AV102" s="58">
        <f t="shared" si="625"/>
        <v>3.7476418467976187E-7</v>
      </c>
      <c r="AW102" s="58">
        <f t="shared" si="626"/>
        <v>2.8107313850982138E-6</v>
      </c>
      <c r="AX102" s="58">
        <f t="shared" si="627"/>
        <v>1.5365331571870237E-5</v>
      </c>
      <c r="AY102" s="58">
        <f t="shared" si="628"/>
        <v>3.7476418467976187E-7</v>
      </c>
      <c r="AZ102" s="58">
        <f t="shared" si="629"/>
        <v>6.3709911395559516E-6</v>
      </c>
      <c r="BA102" s="58">
        <f t="shared" ref="BA102:BA107" si="664">+AK102/U102</f>
        <v>2.7826240712472319E-4</v>
      </c>
      <c r="BB102" s="4">
        <f t="shared" ref="BB102:BB107" si="665">+U102-(0.5*AK102)</f>
        <v>5335946.7615659405</v>
      </c>
      <c r="BC102" s="59">
        <f t="shared" si="630"/>
        <v>9.3704083331833129E-6</v>
      </c>
      <c r="BD102" s="59">
        <f t="shared" ref="BD102:BD107" si="666">+AM102/(1-(0.5*$BA102))</f>
        <v>3.3733469999459925E-6</v>
      </c>
      <c r="BE102" s="59">
        <f t="shared" si="631"/>
        <v>2.2676388166303615E-5</v>
      </c>
      <c r="BF102" s="59">
        <f t="shared" si="632"/>
        <v>1.4805245166429634E-5</v>
      </c>
      <c r="BG102" s="59">
        <f t="shared" si="633"/>
        <v>3.3733469999459925E-6</v>
      </c>
      <c r="BH102" s="59">
        <f t="shared" si="634"/>
        <v>4.9850572332535225E-5</v>
      </c>
      <c r="BI102" s="59">
        <f t="shared" si="635"/>
        <v>3.3733469999459925E-6</v>
      </c>
      <c r="BJ102" s="59">
        <f t="shared" si="636"/>
        <v>1.2350198183135608E-4</v>
      </c>
      <c r="BK102" s="59">
        <f t="shared" si="637"/>
        <v>1.9677857499684958E-5</v>
      </c>
      <c r="BL102" s="59">
        <f t="shared" si="638"/>
        <v>2.9985306666186604E-6</v>
      </c>
      <c r="BM102" s="59">
        <f t="shared" si="639"/>
        <v>3.7481633332733255E-7</v>
      </c>
      <c r="BN102" s="59">
        <f t="shared" si="640"/>
        <v>2.8111224999549937E-6</v>
      </c>
      <c r="BO102" s="59">
        <f>+AX102/(1-(0.5*$BA102))</f>
        <v>1.5367469666420634E-5</v>
      </c>
      <c r="BP102" s="59">
        <f t="shared" si="642"/>
        <v>3.7481633332733255E-7</v>
      </c>
      <c r="BQ102" s="59">
        <f t="shared" si="643"/>
        <v>6.3718776665646525E-6</v>
      </c>
      <c r="BR102" s="60">
        <f>+(V101+V102)/(2*$U102)</f>
        <v>1.2367218094432141E-5</v>
      </c>
      <c r="BS102" s="60">
        <f t="shared" ref="BS102:BS107" si="667">+(W101+W102)/(2*$U102)</f>
        <v>4.9656254470068449E-6</v>
      </c>
      <c r="BT102" s="60">
        <f t="shared" ref="BT102:BT107" si="668">+(X101+X102)/(2*$U102)</f>
        <v>1.567451202423104E-4</v>
      </c>
      <c r="BU102" s="60">
        <f t="shared" ref="BU102:BU107" si="669">+(Y101+Y102)/(2*$U102)</f>
        <v>2.3863109459483836E-4</v>
      </c>
      <c r="BV102" s="60">
        <f t="shared" ref="BV102:BV107" si="670">+(Z101+Z102)/(2*$U102)</f>
        <v>5.1530075393467253E-6</v>
      </c>
      <c r="BW102" s="60">
        <f t="shared" ref="BW102:BW107" si="671">+(AA101+AA102)/(2*$U102)</f>
        <v>3.98186946222247E-5</v>
      </c>
      <c r="BX102" s="60">
        <f t="shared" ref="BX102:BX107" si="672">+(AB101+AB102)/(2*$U102)</f>
        <v>2.998113477438095E-6</v>
      </c>
      <c r="BY102" s="60">
        <f t="shared" ref="BY102:BY107" si="673">+(AC101+AC102)/(2*$U102)</f>
        <v>1.3538356171556397E-4</v>
      </c>
      <c r="BZ102" s="60">
        <f t="shared" ref="BZ102:BZ107" si="674">+(AD101+AD102)/(2*$U102)</f>
        <v>1.2835673325281844E-5</v>
      </c>
      <c r="CA102" s="60">
        <f t="shared" ref="CA102:CA107" si="675">+(AE101+AE102)/(2*$U102)</f>
        <v>2.6233492927583329E-6</v>
      </c>
      <c r="CB102" s="60">
        <f t="shared" ref="CB102:CB107" si="676">+(AF101+AF102)/(2*$U102)</f>
        <v>5.2729320784442491E-4</v>
      </c>
      <c r="CC102" s="60">
        <f t="shared" ref="CC102:CC107" si="677">+(AG101+AG102)/(2*$U102)</f>
        <v>1.2086144955922319E-5</v>
      </c>
      <c r="CD102" s="60">
        <f t="shared" ref="CD102:CD107" si="678">+(AH101+AH102)/(2*$U102)</f>
        <v>8.9849713276972899E-5</v>
      </c>
      <c r="CE102" s="60">
        <f t="shared" ref="CE102:CE107" si="679">+(AI101+AI102)/(2*$U102)</f>
        <v>2.1548940619086307E-6</v>
      </c>
      <c r="CF102" s="13">
        <f t="shared" ref="CF102:CF107" si="680">+(AJ101+AJ102)/(2*$U102)</f>
        <v>5.9025359087062493E-6</v>
      </c>
    </row>
    <row r="103" spans="1:85" hidden="1" x14ac:dyDescent="0.25">
      <c r="A103" s="4" t="s">
        <v>4</v>
      </c>
      <c r="B103" s="56">
        <v>4328734.7335640304</v>
      </c>
      <c r="C103" s="57">
        <v>101</v>
      </c>
      <c r="D103" s="57">
        <v>34</v>
      </c>
      <c r="E103" s="57">
        <v>66</v>
      </c>
      <c r="F103" s="57">
        <v>36</v>
      </c>
      <c r="G103" s="57">
        <v>71</v>
      </c>
      <c r="H103" s="57">
        <v>301</v>
      </c>
      <c r="I103" s="57">
        <v>64</v>
      </c>
      <c r="J103" s="57">
        <v>1352</v>
      </c>
      <c r="K103" s="57">
        <v>1694</v>
      </c>
      <c r="L103" s="57">
        <v>51</v>
      </c>
      <c r="M103" s="57">
        <v>0</v>
      </c>
      <c r="N103" s="57">
        <v>33</v>
      </c>
      <c r="O103" s="57">
        <v>90</v>
      </c>
      <c r="P103" s="57">
        <v>47</v>
      </c>
      <c r="Q103" s="57">
        <v>27</v>
      </c>
      <c r="S103" s="4">
        <f t="shared" si="658"/>
        <v>1996</v>
      </c>
      <c r="T103" s="4" t="str">
        <f t="shared" si="659"/>
        <v>15-24</v>
      </c>
      <c r="U103" s="56">
        <f t="shared" si="660"/>
        <v>4328734.7335640304</v>
      </c>
      <c r="V103" s="4">
        <f t="shared" si="661"/>
        <v>101</v>
      </c>
      <c r="W103" s="4">
        <f t="shared" si="602"/>
        <v>34</v>
      </c>
      <c r="X103" s="4">
        <f t="shared" si="603"/>
        <v>66</v>
      </c>
      <c r="Y103" s="4">
        <f t="shared" si="604"/>
        <v>36</v>
      </c>
      <c r="Z103" s="4">
        <f t="shared" si="605"/>
        <v>71</v>
      </c>
      <c r="AA103" s="4">
        <f t="shared" si="606"/>
        <v>301</v>
      </c>
      <c r="AB103" s="4">
        <f t="shared" si="607"/>
        <v>64</v>
      </c>
      <c r="AC103" s="4">
        <f t="shared" si="608"/>
        <v>1352</v>
      </c>
      <c r="AD103" s="4">
        <f t="shared" si="609"/>
        <v>1694</v>
      </c>
      <c r="AE103" s="4">
        <f t="shared" si="610"/>
        <v>51</v>
      </c>
      <c r="AF103" s="4">
        <f t="shared" si="611"/>
        <v>0</v>
      </c>
      <c r="AG103" s="4">
        <f t="shared" si="612"/>
        <v>33</v>
      </c>
      <c r="AH103" s="4">
        <f t="shared" si="613"/>
        <v>90</v>
      </c>
      <c r="AI103" s="4">
        <f t="shared" si="614"/>
        <v>47</v>
      </c>
      <c r="AJ103" s="4">
        <f t="shared" si="615"/>
        <v>27</v>
      </c>
      <c r="AK103" s="4">
        <f t="shared" si="662"/>
        <v>3967</v>
      </c>
      <c r="AL103" s="58">
        <f t="shared" si="663"/>
        <v>2.3332453064603114E-5</v>
      </c>
      <c r="AM103" s="58">
        <f t="shared" si="616"/>
        <v>7.8544891504604536E-6</v>
      </c>
      <c r="AN103" s="58">
        <f t="shared" si="617"/>
        <v>1.5246949527364411E-5</v>
      </c>
      <c r="AO103" s="58">
        <f t="shared" si="618"/>
        <v>8.3165179240169518E-6</v>
      </c>
      <c r="AP103" s="58">
        <f t="shared" si="619"/>
        <v>1.6402021461255655E-5</v>
      </c>
      <c r="AQ103" s="58">
        <f t="shared" si="620"/>
        <v>6.9535330420252836E-5</v>
      </c>
      <c r="AR103" s="58">
        <f t="shared" si="621"/>
        <v>1.4784920753807913E-5</v>
      </c>
      <c r="AS103" s="58">
        <f t="shared" si="622"/>
        <v>3.1233145092419214E-4</v>
      </c>
      <c r="AT103" s="58">
        <f t="shared" si="623"/>
        <v>3.9133837120235322E-4</v>
      </c>
      <c r="AU103" s="58">
        <f t="shared" si="624"/>
        <v>1.1781733725690681E-5</v>
      </c>
      <c r="AV103" s="58">
        <f t="shared" si="625"/>
        <v>0</v>
      </c>
      <c r="AW103" s="58">
        <f t="shared" si="626"/>
        <v>7.6234747636822054E-6</v>
      </c>
      <c r="AX103" s="58">
        <f t="shared" si="627"/>
        <v>2.0791294810042377E-5</v>
      </c>
      <c r="AY103" s="58">
        <f t="shared" si="628"/>
        <v>1.0857676178577687E-5</v>
      </c>
      <c r="AZ103" s="58">
        <f t="shared" si="629"/>
        <v>6.2373884430127134E-6</v>
      </c>
      <c r="BA103" s="58">
        <f t="shared" si="664"/>
        <v>9.1643407234931235E-4</v>
      </c>
      <c r="BB103" s="4">
        <f t="shared" si="665"/>
        <v>4326751.2335640304</v>
      </c>
      <c r="BC103" s="59">
        <f t="shared" si="630"/>
        <v>2.3343149293287266E-5</v>
      </c>
      <c r="BD103" s="59">
        <f t="shared" si="666"/>
        <v>7.8580898611066048E-6</v>
      </c>
      <c r="BE103" s="59">
        <f t="shared" si="631"/>
        <v>1.5253939142148115E-5</v>
      </c>
      <c r="BF103" s="59">
        <f t="shared" si="632"/>
        <v>8.3203304411716991E-6</v>
      </c>
      <c r="BG103" s="59">
        <f t="shared" si="633"/>
        <v>1.640954059231085E-5</v>
      </c>
      <c r="BH103" s="59">
        <f t="shared" si="634"/>
        <v>6.9567207299796693E-5</v>
      </c>
      <c r="BI103" s="59">
        <f t="shared" si="635"/>
        <v>1.4791698562083019E-5</v>
      </c>
      <c r="BJ103" s="59">
        <f t="shared" si="636"/>
        <v>3.1247463212400378E-4</v>
      </c>
      <c r="BK103" s="59">
        <f t="shared" si="637"/>
        <v>3.9151777131513494E-4</v>
      </c>
      <c r="BL103" s="59">
        <f t="shared" si="638"/>
        <v>1.1787134791659907E-5</v>
      </c>
      <c r="BM103" s="59">
        <f t="shared" si="639"/>
        <v>0</v>
      </c>
      <c r="BN103" s="59">
        <f t="shared" si="640"/>
        <v>7.6269695710740576E-6</v>
      </c>
      <c r="BO103" s="59">
        <f t="shared" ref="BO103:BO107" si="681">+AX103/(1-(0.5*$BA103))</f>
        <v>2.0800826102929245E-5</v>
      </c>
      <c r="BP103" s="59">
        <f t="shared" si="642"/>
        <v>1.0862653631529719E-5</v>
      </c>
      <c r="BQ103" s="59">
        <f t="shared" si="643"/>
        <v>6.2402478308787739E-6</v>
      </c>
      <c r="BR103" s="60">
        <f t="shared" ref="BR103:BR107" si="682">+(V102+V103)/(2*$U103)</f>
        <v>1.7441586201757774E-5</v>
      </c>
      <c r="BS103" s="60">
        <f t="shared" si="667"/>
        <v>6.0063740562344643E-6</v>
      </c>
      <c r="BT103" s="60">
        <f t="shared" si="668"/>
        <v>2.1599845163766247E-5</v>
      </c>
      <c r="BU103" s="60">
        <f t="shared" si="669"/>
        <v>1.3283327239749297E-5</v>
      </c>
      <c r="BV103" s="60">
        <f t="shared" si="670"/>
        <v>1.0280140211632064E-5</v>
      </c>
      <c r="BW103" s="60">
        <f t="shared" si="671"/>
        <v>6.5492578651633488E-5</v>
      </c>
      <c r="BX103" s="60">
        <f t="shared" si="672"/>
        <v>9.4715898579081938E-6</v>
      </c>
      <c r="BY103" s="60">
        <f t="shared" si="673"/>
        <v>2.3228496590552901E-4</v>
      </c>
      <c r="BZ103" s="60">
        <f t="shared" si="674"/>
        <v>2.0779744090703467E-4</v>
      </c>
      <c r="CA103" s="60">
        <f t="shared" si="675"/>
        <v>7.7389819570713291E-6</v>
      </c>
      <c r="CB103" s="60">
        <f t="shared" si="676"/>
        <v>2.3101438677824863E-7</v>
      </c>
      <c r="CC103" s="60">
        <f t="shared" si="677"/>
        <v>5.544345282677967E-6</v>
      </c>
      <c r="CD103" s="60">
        <f t="shared" si="678"/>
        <v>1.9867237262929384E-5</v>
      </c>
      <c r="CE103" s="60">
        <f t="shared" si="679"/>
        <v>5.6598524760670916E-6</v>
      </c>
      <c r="CF103" s="13">
        <f t="shared" si="680"/>
        <v>7.0459387967365835E-6</v>
      </c>
    </row>
    <row r="104" spans="1:85" hidden="1" x14ac:dyDescent="0.25">
      <c r="A104" s="4" t="s">
        <v>3</v>
      </c>
      <c r="B104" s="56">
        <v>6500086.9398599695</v>
      </c>
      <c r="C104" s="57">
        <v>1265</v>
      </c>
      <c r="D104" s="57">
        <v>267</v>
      </c>
      <c r="E104" s="57">
        <v>94</v>
      </c>
      <c r="F104" s="57">
        <v>65</v>
      </c>
      <c r="G104" s="57">
        <v>232</v>
      </c>
      <c r="H104" s="57">
        <v>1734</v>
      </c>
      <c r="I104" s="57">
        <v>517</v>
      </c>
      <c r="J104" s="57">
        <v>2393</v>
      </c>
      <c r="K104" s="57">
        <v>1811</v>
      </c>
      <c r="L104" s="57">
        <v>272</v>
      </c>
      <c r="M104" s="57">
        <v>1</v>
      </c>
      <c r="N104" s="57">
        <v>99</v>
      </c>
      <c r="O104" s="57">
        <v>191</v>
      </c>
      <c r="P104" s="57">
        <v>719</v>
      </c>
      <c r="Q104" s="57">
        <v>111</v>
      </c>
      <c r="S104" s="4">
        <f t="shared" si="658"/>
        <v>1996</v>
      </c>
      <c r="T104" s="4" t="str">
        <f t="shared" si="659"/>
        <v>25-44</v>
      </c>
      <c r="U104" s="56">
        <f t="shared" si="660"/>
        <v>6500086.9398599695</v>
      </c>
      <c r="V104" s="4">
        <f t="shared" si="661"/>
        <v>1265</v>
      </c>
      <c r="W104" s="4">
        <f t="shared" si="602"/>
        <v>267</v>
      </c>
      <c r="X104" s="4">
        <f t="shared" si="603"/>
        <v>94</v>
      </c>
      <c r="Y104" s="4">
        <f t="shared" si="604"/>
        <v>65</v>
      </c>
      <c r="Z104" s="4">
        <f t="shared" si="605"/>
        <v>232</v>
      </c>
      <c r="AA104" s="4">
        <f t="shared" si="606"/>
        <v>1734</v>
      </c>
      <c r="AB104" s="4">
        <f t="shared" si="607"/>
        <v>517</v>
      </c>
      <c r="AC104" s="4">
        <f t="shared" si="608"/>
        <v>2393</v>
      </c>
      <c r="AD104" s="4">
        <f t="shared" si="609"/>
        <v>1811</v>
      </c>
      <c r="AE104" s="4">
        <f t="shared" si="610"/>
        <v>272</v>
      </c>
      <c r="AF104" s="4">
        <f t="shared" si="611"/>
        <v>1</v>
      </c>
      <c r="AG104" s="4">
        <f t="shared" si="612"/>
        <v>99</v>
      </c>
      <c r="AH104" s="4">
        <f t="shared" si="613"/>
        <v>191</v>
      </c>
      <c r="AI104" s="4">
        <f t="shared" si="614"/>
        <v>719</v>
      </c>
      <c r="AJ104" s="4">
        <f t="shared" si="615"/>
        <v>111</v>
      </c>
      <c r="AK104" s="4">
        <f t="shared" si="662"/>
        <v>9771</v>
      </c>
      <c r="AL104" s="58">
        <f t="shared" si="663"/>
        <v>1.9461278159877223E-4</v>
      </c>
      <c r="AM104" s="58">
        <f t="shared" si="616"/>
        <v>4.107637366551161E-5</v>
      </c>
      <c r="AN104" s="58">
        <f t="shared" si="617"/>
        <v>1.4461345035798096E-5</v>
      </c>
      <c r="AO104" s="58">
        <f t="shared" si="618"/>
        <v>9.9998662481582572E-6</v>
      </c>
      <c r="AP104" s="58">
        <f t="shared" si="619"/>
        <v>3.56918303011187E-5</v>
      </c>
      <c r="AQ104" s="58">
        <f t="shared" si="620"/>
        <v>2.6676566268163718E-4</v>
      </c>
      <c r="AR104" s="58">
        <f t="shared" si="621"/>
        <v>7.953739769688952E-5</v>
      </c>
      <c r="AS104" s="58">
        <f t="shared" si="622"/>
        <v>3.6814892202834939E-4</v>
      </c>
      <c r="AT104" s="58">
        <f t="shared" si="623"/>
        <v>2.7861165808330162E-4</v>
      </c>
      <c r="AU104" s="58">
        <f t="shared" si="624"/>
        <v>4.1845594146139165E-5</v>
      </c>
      <c r="AV104" s="58">
        <f t="shared" si="625"/>
        <v>1.5384409612551164E-7</v>
      </c>
      <c r="AW104" s="58">
        <f t="shared" si="626"/>
        <v>1.5230565516425653E-5</v>
      </c>
      <c r="AX104" s="58">
        <f t="shared" si="627"/>
        <v>2.9384222359972725E-5</v>
      </c>
      <c r="AY104" s="58">
        <f t="shared" si="628"/>
        <v>1.1061390511424288E-4</v>
      </c>
      <c r="AZ104" s="58">
        <f t="shared" si="629"/>
        <v>1.7076694669931794E-5</v>
      </c>
      <c r="BA104" s="58">
        <f t="shared" si="664"/>
        <v>1.5032106632423743E-3</v>
      </c>
      <c r="BB104" s="4">
        <f t="shared" si="665"/>
        <v>6495201.4398599695</v>
      </c>
      <c r="BC104" s="59">
        <f t="shared" si="630"/>
        <v>1.9475916362453452E-4</v>
      </c>
      <c r="BD104" s="59">
        <f t="shared" si="666"/>
        <v>4.1107270108893847E-5</v>
      </c>
      <c r="BE104" s="59">
        <f t="shared" si="631"/>
        <v>1.4472222435340906E-5</v>
      </c>
      <c r="BF104" s="59">
        <f t="shared" si="632"/>
        <v>1.0007387854225095E-5</v>
      </c>
      <c r="BG104" s="59">
        <f t="shared" si="633"/>
        <v>3.5718676648926485E-5</v>
      </c>
      <c r="BH104" s="59">
        <f t="shared" si="634"/>
        <v>2.6696631598809712E-4</v>
      </c>
      <c r="BI104" s="59">
        <f t="shared" si="635"/>
        <v>7.9597223394374983E-5</v>
      </c>
      <c r="BJ104" s="59">
        <f t="shared" si="636"/>
        <v>3.6842583284862543E-4</v>
      </c>
      <c r="BK104" s="59">
        <f t="shared" si="637"/>
        <v>2.7882122160002534E-4</v>
      </c>
      <c r="BL104" s="59">
        <f t="shared" si="638"/>
        <v>4.187706917460347E-5</v>
      </c>
      <c r="BM104" s="59">
        <f t="shared" si="639"/>
        <v>1.5395981314192452E-7</v>
      </c>
      <c r="BN104" s="59">
        <f t="shared" si="640"/>
        <v>1.5242021501050527E-5</v>
      </c>
      <c r="BO104" s="59">
        <f t="shared" si="681"/>
        <v>2.9406324310107584E-5</v>
      </c>
      <c r="BP104" s="59">
        <f t="shared" si="642"/>
        <v>1.1069710564904374E-4</v>
      </c>
      <c r="BQ104" s="59">
        <f t="shared" si="643"/>
        <v>1.7089539258753623E-5</v>
      </c>
      <c r="BR104" s="60">
        <f t="shared" si="682"/>
        <v>1.0507551765372446E-4</v>
      </c>
      <c r="BS104" s="60">
        <f t="shared" si="667"/>
        <v>2.3153536466889503E-5</v>
      </c>
      <c r="BT104" s="60">
        <f t="shared" si="668"/>
        <v>1.2307527690040933E-5</v>
      </c>
      <c r="BU104" s="60">
        <f t="shared" si="669"/>
        <v>7.7691268543383381E-6</v>
      </c>
      <c r="BV104" s="60">
        <f t="shared" si="670"/>
        <v>2.3307380563015016E-5</v>
      </c>
      <c r="BW104" s="60">
        <f t="shared" si="671"/>
        <v>1.565363678077081E-4</v>
      </c>
      <c r="BX104" s="60">
        <f t="shared" si="672"/>
        <v>4.4691709924461133E-5</v>
      </c>
      <c r="BY104" s="60">
        <f t="shared" si="673"/>
        <v>2.8807306999502054E-4</v>
      </c>
      <c r="BZ104" s="60">
        <f t="shared" si="674"/>
        <v>2.6961177845995915E-4</v>
      </c>
      <c r="CA104" s="60">
        <f t="shared" si="675"/>
        <v>2.4845821524270131E-5</v>
      </c>
      <c r="CB104" s="60">
        <f t="shared" si="676"/>
        <v>7.6922048062755818E-8</v>
      </c>
      <c r="CC104" s="60">
        <f t="shared" si="677"/>
        <v>1.0153710344283768E-5</v>
      </c>
      <c r="CD104" s="60">
        <f t="shared" si="678"/>
        <v>2.1615095505634385E-5</v>
      </c>
      <c r="CE104" s="60">
        <f t="shared" si="679"/>
        <v>5.8922288816070963E-5</v>
      </c>
      <c r="CF104" s="13">
        <f t="shared" si="680"/>
        <v>1.0615242632660304E-5</v>
      </c>
    </row>
    <row r="105" spans="1:85" hidden="1" x14ac:dyDescent="0.25">
      <c r="A105" s="4" t="s">
        <v>2</v>
      </c>
      <c r="B105" s="56">
        <v>2862216.4853526298</v>
      </c>
      <c r="C105" s="57">
        <v>5170</v>
      </c>
      <c r="D105" s="57">
        <v>791</v>
      </c>
      <c r="E105" s="57">
        <v>38</v>
      </c>
      <c r="F105" s="57">
        <v>151</v>
      </c>
      <c r="G105" s="57">
        <v>387</v>
      </c>
      <c r="H105" s="57">
        <v>4424</v>
      </c>
      <c r="I105" s="57">
        <v>1783</v>
      </c>
      <c r="J105" s="57">
        <v>1078</v>
      </c>
      <c r="K105" s="57">
        <v>502</v>
      </c>
      <c r="L105" s="57">
        <v>1450</v>
      </c>
      <c r="M105" s="57">
        <v>0</v>
      </c>
      <c r="N105" s="57">
        <v>427</v>
      </c>
      <c r="O105" s="57">
        <v>247</v>
      </c>
      <c r="P105" s="57">
        <v>130</v>
      </c>
      <c r="Q105" s="57">
        <v>206</v>
      </c>
      <c r="S105" s="4">
        <f t="shared" si="658"/>
        <v>1996</v>
      </c>
      <c r="T105" s="4" t="str">
        <f t="shared" si="659"/>
        <v>45-64</v>
      </c>
      <c r="U105" s="56">
        <f t="shared" si="660"/>
        <v>2862216.4853526298</v>
      </c>
      <c r="V105" s="4">
        <f t="shared" si="661"/>
        <v>5170</v>
      </c>
      <c r="W105" s="4">
        <f t="shared" si="602"/>
        <v>791</v>
      </c>
      <c r="X105" s="4">
        <f t="shared" si="603"/>
        <v>38</v>
      </c>
      <c r="Y105" s="4">
        <f t="shared" si="604"/>
        <v>151</v>
      </c>
      <c r="Z105" s="4">
        <f t="shared" si="605"/>
        <v>387</v>
      </c>
      <c r="AA105" s="4">
        <f t="shared" si="606"/>
        <v>4424</v>
      </c>
      <c r="AB105" s="4">
        <f t="shared" si="607"/>
        <v>1783</v>
      </c>
      <c r="AC105" s="4">
        <f t="shared" si="608"/>
        <v>1078</v>
      </c>
      <c r="AD105" s="4">
        <f t="shared" si="609"/>
        <v>502</v>
      </c>
      <c r="AE105" s="4">
        <f t="shared" si="610"/>
        <v>1450</v>
      </c>
      <c r="AF105" s="4">
        <f t="shared" si="611"/>
        <v>0</v>
      </c>
      <c r="AG105" s="4">
        <f t="shared" si="612"/>
        <v>427</v>
      </c>
      <c r="AH105" s="4">
        <f t="shared" si="613"/>
        <v>247</v>
      </c>
      <c r="AI105" s="4">
        <f t="shared" si="614"/>
        <v>130</v>
      </c>
      <c r="AJ105" s="4">
        <f t="shared" si="615"/>
        <v>206</v>
      </c>
      <c r="AK105" s="4">
        <f t="shared" si="662"/>
        <v>16784</v>
      </c>
      <c r="AL105" s="58">
        <f t="shared" si="663"/>
        <v>1.8062924403019248E-3</v>
      </c>
      <c r="AM105" s="58">
        <f t="shared" si="616"/>
        <v>2.7635924957037186E-4</v>
      </c>
      <c r="AN105" s="58">
        <f t="shared" si="617"/>
        <v>1.3276424126010279E-5</v>
      </c>
      <c r="AO105" s="58">
        <f t="shared" si="618"/>
        <v>5.2756316921777688E-5</v>
      </c>
      <c r="AP105" s="58">
        <f t="shared" si="619"/>
        <v>1.3520989833594679E-4</v>
      </c>
      <c r="AQ105" s="58">
        <f t="shared" si="620"/>
        <v>1.5456552719334072E-3</v>
      </c>
      <c r="AR105" s="58">
        <f t="shared" si="621"/>
        <v>6.229437951756928E-4</v>
      </c>
      <c r="AS105" s="58">
        <f t="shared" si="622"/>
        <v>3.7663118967997582E-4</v>
      </c>
      <c r="AT105" s="58">
        <f t="shared" si="623"/>
        <v>1.7538855029624104E-4</v>
      </c>
      <c r="AU105" s="58">
        <f t="shared" si="624"/>
        <v>5.0660039428197118E-4</v>
      </c>
      <c r="AV105" s="58">
        <f t="shared" si="625"/>
        <v>0</v>
      </c>
      <c r="AW105" s="58">
        <f t="shared" si="626"/>
        <v>1.4918508162648392E-4</v>
      </c>
      <c r="AX105" s="58">
        <f t="shared" si="627"/>
        <v>8.6296756819066809E-5</v>
      </c>
      <c r="AY105" s="58">
        <f t="shared" si="628"/>
        <v>4.541934569424569E-5</v>
      </c>
      <c r="AZ105" s="58">
        <f t="shared" si="629"/>
        <v>7.1972193946266255E-5</v>
      </c>
      <c r="BA105" s="58">
        <f t="shared" si="664"/>
        <v>5.8639869087093819E-3</v>
      </c>
      <c r="BB105" s="4">
        <f t="shared" si="665"/>
        <v>2853824.4853526298</v>
      </c>
      <c r="BC105" s="59">
        <f t="shared" si="630"/>
        <v>1.8116040515228724E-3</v>
      </c>
      <c r="BD105" s="59">
        <f t="shared" si="666"/>
        <v>2.7717191581326728E-4</v>
      </c>
      <c r="BE105" s="59">
        <f t="shared" si="631"/>
        <v>1.3315464982179718E-5</v>
      </c>
      <c r="BF105" s="59">
        <f t="shared" si="632"/>
        <v>5.2911452955503619E-5</v>
      </c>
      <c r="BG105" s="59">
        <f t="shared" si="633"/>
        <v>1.3560749863430398E-4</v>
      </c>
      <c r="BH105" s="59">
        <f t="shared" si="634"/>
        <v>1.5502004495042915E-3</v>
      </c>
      <c r="BI105" s="59">
        <f t="shared" si="635"/>
        <v>6.2477563324280102E-4</v>
      </c>
      <c r="BJ105" s="59">
        <f t="shared" si="636"/>
        <v>3.7773871712604574E-4</v>
      </c>
      <c r="BK105" s="59">
        <f t="shared" si="637"/>
        <v>1.7590430055405837E-4</v>
      </c>
      <c r="BL105" s="59">
        <f t="shared" si="638"/>
        <v>5.0809011116212085E-4</v>
      </c>
      <c r="BM105" s="59">
        <f t="shared" si="639"/>
        <v>0</v>
      </c>
      <c r="BN105" s="59">
        <f t="shared" si="640"/>
        <v>1.4962377756291422E-4</v>
      </c>
      <c r="BO105" s="59">
        <f t="shared" si="681"/>
        <v>8.6550522384168166E-5</v>
      </c>
      <c r="BP105" s="59">
        <f t="shared" si="642"/>
        <v>4.5552906517983245E-5</v>
      </c>
      <c r="BQ105" s="59">
        <f t="shared" si="643"/>
        <v>7.2183836482342698E-5</v>
      </c>
      <c r="BR105" s="60">
        <f t="shared" si="682"/>
        <v>1.1241288059325809E-3</v>
      </c>
      <c r="BS105" s="60">
        <f t="shared" si="667"/>
        <v>1.8482179901735361E-4</v>
      </c>
      <c r="BT105" s="60">
        <f t="shared" si="668"/>
        <v>2.3059052429386273E-5</v>
      </c>
      <c r="BU105" s="60">
        <f t="shared" si="669"/>
        <v>3.7732994884450265E-5</v>
      </c>
      <c r="BV105" s="60">
        <f t="shared" si="670"/>
        <v>1.0813298071053108E-4</v>
      </c>
      <c r="BW105" s="60">
        <f t="shared" si="671"/>
        <v>1.0757397337890959E-3</v>
      </c>
      <c r="BX105" s="60">
        <f t="shared" si="672"/>
        <v>4.0178651960294265E-4</v>
      </c>
      <c r="BY105" s="60">
        <f t="shared" si="673"/>
        <v>6.0634826501817997E-4</v>
      </c>
      <c r="BZ105" s="60">
        <f t="shared" si="674"/>
        <v>4.0405748688765491E-4</v>
      </c>
      <c r="CA105" s="60">
        <f t="shared" si="675"/>
        <v>3.0081582032881184E-4</v>
      </c>
      <c r="CB105" s="60">
        <f t="shared" si="676"/>
        <v>1.746897911317142E-7</v>
      </c>
      <c r="CC105" s="60">
        <f t="shared" si="677"/>
        <v>9.1886830135281663E-5</v>
      </c>
      <c r="CD105" s="60">
        <f t="shared" si="678"/>
        <v>7.6514128515690812E-5</v>
      </c>
      <c r="CE105" s="60">
        <f t="shared" si="679"/>
        <v>1.4831163267082535E-4</v>
      </c>
      <c r="CF105" s="13">
        <f t="shared" si="680"/>
        <v>5.5376663788753401E-5</v>
      </c>
    </row>
    <row r="106" spans="1:85" hidden="1" x14ac:dyDescent="0.25">
      <c r="A106" s="4" t="s">
        <v>1</v>
      </c>
      <c r="B106" s="56">
        <v>710343.28776711202</v>
      </c>
      <c r="C106" s="57">
        <v>5212</v>
      </c>
      <c r="D106" s="57">
        <v>406</v>
      </c>
      <c r="E106" s="57">
        <v>24</v>
      </c>
      <c r="F106" s="57">
        <v>146</v>
      </c>
      <c r="G106" s="57">
        <v>319</v>
      </c>
      <c r="H106" s="57">
        <v>3335</v>
      </c>
      <c r="I106" s="57">
        <v>1780</v>
      </c>
      <c r="J106" s="57">
        <v>380</v>
      </c>
      <c r="K106" s="57">
        <v>125</v>
      </c>
      <c r="L106" s="57">
        <v>1343</v>
      </c>
      <c r="M106" s="57">
        <v>0</v>
      </c>
      <c r="N106" s="57">
        <v>576</v>
      </c>
      <c r="O106" s="57">
        <v>226</v>
      </c>
      <c r="P106" s="57">
        <v>5</v>
      </c>
      <c r="Q106" s="57">
        <v>161</v>
      </c>
      <c r="S106" s="4">
        <f t="shared" si="658"/>
        <v>1996</v>
      </c>
      <c r="T106" s="4" t="str">
        <f t="shared" si="659"/>
        <v>65-74</v>
      </c>
      <c r="U106" s="56">
        <f t="shared" si="660"/>
        <v>710343.28776711202</v>
      </c>
      <c r="V106" s="4">
        <f t="shared" si="661"/>
        <v>5212</v>
      </c>
      <c r="W106" s="4">
        <f t="shared" si="602"/>
        <v>406</v>
      </c>
      <c r="X106" s="4">
        <f t="shared" si="603"/>
        <v>24</v>
      </c>
      <c r="Y106" s="4">
        <f t="shared" si="604"/>
        <v>146</v>
      </c>
      <c r="Z106" s="4">
        <f t="shared" si="605"/>
        <v>319</v>
      </c>
      <c r="AA106" s="4">
        <f t="shared" si="606"/>
        <v>3335</v>
      </c>
      <c r="AB106" s="4">
        <f t="shared" si="607"/>
        <v>1780</v>
      </c>
      <c r="AC106" s="4">
        <f t="shared" si="608"/>
        <v>380</v>
      </c>
      <c r="AD106" s="4">
        <f t="shared" si="609"/>
        <v>125</v>
      </c>
      <c r="AE106" s="4">
        <f t="shared" si="610"/>
        <v>1343</v>
      </c>
      <c r="AF106" s="4">
        <f t="shared" si="611"/>
        <v>0</v>
      </c>
      <c r="AG106" s="4">
        <f t="shared" si="612"/>
        <v>576</v>
      </c>
      <c r="AH106" s="4">
        <f t="shared" si="613"/>
        <v>226</v>
      </c>
      <c r="AI106" s="4">
        <f t="shared" si="614"/>
        <v>5</v>
      </c>
      <c r="AJ106" s="4">
        <f t="shared" si="615"/>
        <v>161</v>
      </c>
      <c r="AK106" s="4">
        <f t="shared" si="662"/>
        <v>14038</v>
      </c>
      <c r="AL106" s="58">
        <f t="shared" si="663"/>
        <v>7.3372974585053981E-3</v>
      </c>
      <c r="AM106" s="58">
        <f t="shared" si="616"/>
        <v>5.7155463702095004E-4</v>
      </c>
      <c r="AN106" s="58">
        <f t="shared" si="617"/>
        <v>3.3786481006164537E-5</v>
      </c>
      <c r="AO106" s="58">
        <f t="shared" si="618"/>
        <v>2.0553442612083426E-4</v>
      </c>
      <c r="AP106" s="58">
        <f t="shared" si="619"/>
        <v>4.4907864337360363E-4</v>
      </c>
      <c r="AQ106" s="58">
        <f t="shared" si="620"/>
        <v>4.6949130898149474E-3</v>
      </c>
      <c r="AR106" s="58">
        <f t="shared" si="621"/>
        <v>2.5058306746238699E-3</v>
      </c>
      <c r="AS106" s="58">
        <f t="shared" si="622"/>
        <v>5.3495261593093852E-4</v>
      </c>
      <c r="AT106" s="58">
        <f t="shared" si="623"/>
        <v>1.759712552404403E-4</v>
      </c>
      <c r="AU106" s="58">
        <f t="shared" si="624"/>
        <v>1.8906351663032905E-3</v>
      </c>
      <c r="AV106" s="58">
        <f t="shared" si="625"/>
        <v>0</v>
      </c>
      <c r="AW106" s="58">
        <f t="shared" si="626"/>
        <v>8.1087554414794889E-4</v>
      </c>
      <c r="AX106" s="58">
        <f t="shared" si="627"/>
        <v>3.1815602947471606E-4</v>
      </c>
      <c r="AY106" s="58">
        <f t="shared" si="628"/>
        <v>7.0388502096176121E-6</v>
      </c>
      <c r="AZ106" s="58">
        <f t="shared" si="629"/>
        <v>2.2665097674968711E-4</v>
      </c>
      <c r="BA106" s="58">
        <f t="shared" si="664"/>
        <v>1.9762275848522408E-2</v>
      </c>
      <c r="BB106" s="4">
        <f t="shared" si="665"/>
        <v>703324.28776711202</v>
      </c>
      <c r="BC106" s="59">
        <f t="shared" si="630"/>
        <v>7.4105218469660197E-3</v>
      </c>
      <c r="BD106" s="59">
        <f t="shared" si="666"/>
        <v>5.772586089539916E-4</v>
      </c>
      <c r="BE106" s="59">
        <f t="shared" si="631"/>
        <v>3.4123661613043836E-5</v>
      </c>
      <c r="BF106" s="59">
        <f t="shared" si="632"/>
        <v>2.0758560814601668E-4</v>
      </c>
      <c r="BG106" s="59">
        <f t="shared" si="633"/>
        <v>4.5356033560670767E-4</v>
      </c>
      <c r="BH106" s="59">
        <f t="shared" si="634"/>
        <v>4.741767144979217E-3</v>
      </c>
      <c r="BI106" s="59">
        <f t="shared" si="635"/>
        <v>2.5308382363007516E-3</v>
      </c>
      <c r="BJ106" s="59">
        <f t="shared" si="636"/>
        <v>5.4029130887319409E-4</v>
      </c>
      <c r="BK106" s="59">
        <f t="shared" si="637"/>
        <v>1.7772740423460334E-4</v>
      </c>
      <c r="BL106" s="59">
        <f t="shared" si="638"/>
        <v>1.909503231096578E-3</v>
      </c>
      <c r="BM106" s="59">
        <f t="shared" si="639"/>
        <v>0</v>
      </c>
      <c r="BN106" s="59">
        <f t="shared" si="640"/>
        <v>8.1896787871305217E-4</v>
      </c>
      <c r="BO106" s="59">
        <f t="shared" si="681"/>
        <v>3.2133114685616281E-4</v>
      </c>
      <c r="BP106" s="59">
        <f t="shared" si="642"/>
        <v>7.1090961693841331E-6</v>
      </c>
      <c r="BQ106" s="59">
        <f t="shared" si="643"/>
        <v>2.2891289665416908E-4</v>
      </c>
      <c r="BR106" s="60">
        <f t="shared" si="682"/>
        <v>7.3077342876250043E-3</v>
      </c>
      <c r="BS106" s="60">
        <f t="shared" si="667"/>
        <v>8.4255037009122813E-4</v>
      </c>
      <c r="BT106" s="60">
        <f t="shared" si="668"/>
        <v>4.3640871299629196E-5</v>
      </c>
      <c r="BU106" s="60">
        <f t="shared" si="669"/>
        <v>2.0905385122564307E-4</v>
      </c>
      <c r="BV106" s="60">
        <f t="shared" si="670"/>
        <v>4.969428247990034E-4</v>
      </c>
      <c r="BW106" s="60">
        <f t="shared" si="671"/>
        <v>5.461443877642305E-3</v>
      </c>
      <c r="BX106" s="60">
        <f t="shared" si="672"/>
        <v>2.5079423296867549E-3</v>
      </c>
      <c r="BY106" s="60">
        <f t="shared" si="673"/>
        <v>1.0262643605622478E-3</v>
      </c>
      <c r="BZ106" s="60">
        <f t="shared" si="674"/>
        <v>4.4133590814302427E-4</v>
      </c>
      <c r="CA106" s="60">
        <f t="shared" si="675"/>
        <v>1.9659508635461991E-3</v>
      </c>
      <c r="CB106" s="60">
        <f t="shared" si="676"/>
        <v>0</v>
      </c>
      <c r="CC106" s="60">
        <f t="shared" si="677"/>
        <v>7.0599667602464649E-4</v>
      </c>
      <c r="CD106" s="60">
        <f t="shared" si="678"/>
        <v>3.3293761491491304E-4</v>
      </c>
      <c r="CE106" s="60">
        <f t="shared" si="679"/>
        <v>9.5024477829837753E-5</v>
      </c>
      <c r="CF106" s="13">
        <f t="shared" si="680"/>
        <v>2.5832580269296635E-4</v>
      </c>
    </row>
    <row r="107" spans="1:85" hidden="1" x14ac:dyDescent="0.25">
      <c r="A107" s="4" t="s">
        <v>0</v>
      </c>
      <c r="B107" s="56">
        <v>710343.28776711202</v>
      </c>
      <c r="C107" s="57">
        <v>9429</v>
      </c>
      <c r="D107" s="57">
        <v>279</v>
      </c>
      <c r="E107" s="57">
        <v>22</v>
      </c>
      <c r="F107" s="57">
        <v>432</v>
      </c>
      <c r="G107" s="57">
        <v>397</v>
      </c>
      <c r="H107" s="57">
        <v>3401</v>
      </c>
      <c r="I107" s="57">
        <v>3442</v>
      </c>
      <c r="J107" s="57">
        <v>534</v>
      </c>
      <c r="K107" s="57">
        <v>68</v>
      </c>
      <c r="L107" s="57">
        <v>1306</v>
      </c>
      <c r="M107" s="57">
        <v>14</v>
      </c>
      <c r="N107" s="57">
        <v>1141</v>
      </c>
      <c r="O107" s="57">
        <v>974</v>
      </c>
      <c r="P107" s="57">
        <v>7</v>
      </c>
      <c r="Q107" s="57">
        <v>178</v>
      </c>
      <c r="S107" s="4">
        <f t="shared" si="658"/>
        <v>1996</v>
      </c>
      <c r="T107" s="4" t="str">
        <f t="shared" si="659"/>
        <v>75+</v>
      </c>
      <c r="U107" s="56">
        <f t="shared" si="660"/>
        <v>710343.28776711202</v>
      </c>
      <c r="V107" s="4">
        <f t="shared" si="661"/>
        <v>9429</v>
      </c>
      <c r="W107" s="4">
        <f t="shared" si="602"/>
        <v>279</v>
      </c>
      <c r="X107" s="4">
        <f t="shared" si="603"/>
        <v>22</v>
      </c>
      <c r="Y107" s="4">
        <f t="shared" si="604"/>
        <v>432</v>
      </c>
      <c r="Z107" s="4">
        <f t="shared" si="605"/>
        <v>397</v>
      </c>
      <c r="AA107" s="4">
        <f t="shared" si="606"/>
        <v>3401</v>
      </c>
      <c r="AB107" s="4">
        <f t="shared" si="607"/>
        <v>3442</v>
      </c>
      <c r="AC107" s="4">
        <f t="shared" si="608"/>
        <v>534</v>
      </c>
      <c r="AD107" s="4">
        <f t="shared" si="609"/>
        <v>68</v>
      </c>
      <c r="AE107" s="4">
        <f t="shared" si="610"/>
        <v>1306</v>
      </c>
      <c r="AF107" s="4">
        <f t="shared" si="611"/>
        <v>14</v>
      </c>
      <c r="AG107" s="4">
        <f t="shared" si="612"/>
        <v>1141</v>
      </c>
      <c r="AH107" s="4">
        <f t="shared" si="613"/>
        <v>974</v>
      </c>
      <c r="AI107" s="4">
        <f t="shared" si="614"/>
        <v>7</v>
      </c>
      <c r="AJ107" s="4">
        <f t="shared" si="615"/>
        <v>178</v>
      </c>
      <c r="AK107" s="4">
        <f t="shared" si="662"/>
        <v>21624</v>
      </c>
      <c r="AL107" s="58">
        <f t="shared" si="663"/>
        <v>1.3273863725296892E-2</v>
      </c>
      <c r="AM107" s="58">
        <f t="shared" si="616"/>
        <v>3.9276784169666276E-4</v>
      </c>
      <c r="AN107" s="58">
        <f t="shared" si="617"/>
        <v>3.0970940922317494E-5</v>
      </c>
      <c r="AO107" s="58">
        <f t="shared" si="618"/>
        <v>6.0815665811096166E-4</v>
      </c>
      <c r="AP107" s="58">
        <f t="shared" si="619"/>
        <v>5.588847066436384E-4</v>
      </c>
      <c r="AQ107" s="58">
        <f t="shared" si="620"/>
        <v>4.7878259125818997E-3</v>
      </c>
      <c r="AR107" s="58">
        <f t="shared" si="621"/>
        <v>4.8455444843007638E-3</v>
      </c>
      <c r="AS107" s="58">
        <f t="shared" si="622"/>
        <v>7.5174920238716097E-4</v>
      </c>
      <c r="AT107" s="58">
        <f t="shared" si="623"/>
        <v>9.5728362850799526E-5</v>
      </c>
      <c r="AU107" s="58">
        <f t="shared" si="624"/>
        <v>1.8385476747521201E-3</v>
      </c>
      <c r="AV107" s="58">
        <f t="shared" si="625"/>
        <v>1.9708780586929314E-5</v>
      </c>
      <c r="AW107" s="58">
        <f t="shared" si="626"/>
        <v>1.606265617834739E-3</v>
      </c>
      <c r="AX107" s="58">
        <f t="shared" si="627"/>
        <v>1.3711680208335108E-3</v>
      </c>
      <c r="AY107" s="58">
        <f t="shared" si="628"/>
        <v>9.8543902934646572E-6</v>
      </c>
      <c r="AZ107" s="58">
        <f t="shared" si="629"/>
        <v>2.5058306746238699E-4</v>
      </c>
      <c r="BA107" s="58">
        <f t="shared" si="664"/>
        <v>3.0441619386554247E-2</v>
      </c>
      <c r="BB107" s="4">
        <f t="shared" si="665"/>
        <v>699531.28776711202</v>
      </c>
      <c r="BC107" s="59">
        <f t="shared" si="630"/>
        <v>1.3479025405850185E-2</v>
      </c>
      <c r="BD107" s="59">
        <f t="shared" si="666"/>
        <v>3.9883848639645793E-4</v>
      </c>
      <c r="BE107" s="59">
        <f t="shared" si="631"/>
        <v>3.1449629751692027E-5</v>
      </c>
      <c r="BF107" s="59">
        <f t="shared" si="632"/>
        <v>6.1755636603322511E-4</v>
      </c>
      <c r="BG107" s="59">
        <f t="shared" si="633"/>
        <v>5.6752286415553336E-4</v>
      </c>
      <c r="BH107" s="59">
        <f t="shared" si="634"/>
        <v>4.8618268538865713E-3</v>
      </c>
      <c r="BI107" s="59">
        <f t="shared" si="635"/>
        <v>4.9204375275147243E-3</v>
      </c>
      <c r="BJ107" s="59">
        <f t="shared" si="636"/>
        <v>7.6336828579107001E-4</v>
      </c>
      <c r="BK107" s="59">
        <f t="shared" si="637"/>
        <v>9.7207946505229885E-5</v>
      </c>
      <c r="BL107" s="59">
        <f t="shared" si="638"/>
        <v>1.8669643843504445E-3</v>
      </c>
      <c r="BM107" s="59">
        <f t="shared" si="639"/>
        <v>2.0013400751076742E-5</v>
      </c>
      <c r="BN107" s="59">
        <f t="shared" si="640"/>
        <v>1.6310921612127545E-3</v>
      </c>
      <c r="BO107" s="59">
        <f t="shared" si="681"/>
        <v>1.3923608808249104E-3</v>
      </c>
      <c r="BP107" s="59">
        <f t="shared" si="642"/>
        <v>1.0006700375538371E-5</v>
      </c>
      <c r="BQ107" s="59">
        <f t="shared" si="643"/>
        <v>2.5445609526369002E-4</v>
      </c>
      <c r="BR107" s="60">
        <f t="shared" si="682"/>
        <v>1.0305580591901146E-2</v>
      </c>
      <c r="BS107" s="60">
        <f t="shared" si="667"/>
        <v>4.8216123935880642E-4</v>
      </c>
      <c r="BT107" s="60">
        <f t="shared" si="668"/>
        <v>3.2378710964241012E-5</v>
      </c>
      <c r="BU107" s="60">
        <f t="shared" si="669"/>
        <v>4.0684554211589799E-4</v>
      </c>
      <c r="BV107" s="60">
        <f t="shared" si="670"/>
        <v>5.0398167500862096E-4</v>
      </c>
      <c r="BW107" s="60">
        <f t="shared" si="671"/>
        <v>4.7413695011984235E-3</v>
      </c>
      <c r="BX107" s="60">
        <f t="shared" si="672"/>
        <v>3.6756875794623171E-3</v>
      </c>
      <c r="BY107" s="60">
        <f t="shared" si="673"/>
        <v>6.4335090915904969E-4</v>
      </c>
      <c r="BZ107" s="60">
        <f t="shared" si="674"/>
        <v>1.3584980904561992E-4</v>
      </c>
      <c r="CA107" s="60">
        <f t="shared" si="675"/>
        <v>1.8645914205277054E-3</v>
      </c>
      <c r="CB107" s="60">
        <f t="shared" si="676"/>
        <v>9.8543902934646572E-6</v>
      </c>
      <c r="CC107" s="60">
        <f t="shared" si="677"/>
        <v>1.208570580991344E-3</v>
      </c>
      <c r="CD107" s="60">
        <f t="shared" si="678"/>
        <v>8.4466202515411342E-4</v>
      </c>
      <c r="CE107" s="60">
        <f t="shared" si="679"/>
        <v>8.4466202515411342E-6</v>
      </c>
      <c r="CF107" s="13">
        <f t="shared" si="680"/>
        <v>2.3861702210603705E-4</v>
      </c>
    </row>
    <row r="108" spans="1:85" hidden="1" x14ac:dyDescent="0.25">
      <c r="C108" s="4"/>
    </row>
    <row r="109" spans="1:85" hidden="1" x14ac:dyDescent="0.25">
      <c r="C109" s="4"/>
    </row>
    <row r="110" spans="1:85" hidden="1" x14ac:dyDescent="0.25">
      <c r="A110" s="4" t="s">
        <v>23</v>
      </c>
      <c r="B110" s="61">
        <v>1996</v>
      </c>
    </row>
    <row r="111" spans="1:85" hidden="1" x14ac:dyDescent="0.25"/>
    <row r="112" spans="1:85" s="21" customFormat="1" ht="23.25" hidden="1" customHeight="1" x14ac:dyDescent="0.25">
      <c r="A112" s="62" t="s">
        <v>46</v>
      </c>
      <c r="B112" s="62"/>
      <c r="C112" s="4" t="s">
        <v>35</v>
      </c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</row>
    <row r="113" spans="1:85" s="37" customFormat="1" ht="33" hidden="1" customHeight="1" x14ac:dyDescent="0.25">
      <c r="A113" s="63" t="s">
        <v>22</v>
      </c>
      <c r="B113" s="64" t="s">
        <v>24</v>
      </c>
      <c r="C113" s="64">
        <v>1</v>
      </c>
      <c r="D113" s="64">
        <v>10</v>
      </c>
      <c r="E113" s="64">
        <v>11</v>
      </c>
      <c r="F113" s="64">
        <v>12</v>
      </c>
      <c r="G113" s="64">
        <v>13</v>
      </c>
      <c r="H113" s="64">
        <v>2</v>
      </c>
      <c r="I113" s="64">
        <v>3</v>
      </c>
      <c r="J113" s="64">
        <v>4</v>
      </c>
      <c r="K113" s="64">
        <v>5</v>
      </c>
      <c r="L113" s="64">
        <v>6</v>
      </c>
      <c r="M113" s="64">
        <v>7</v>
      </c>
      <c r="N113" s="64">
        <v>8</v>
      </c>
      <c r="O113" s="64">
        <v>9</v>
      </c>
      <c r="P113" s="64">
        <v>14</v>
      </c>
      <c r="Q113" s="64">
        <v>15</v>
      </c>
      <c r="R113" s="64"/>
      <c r="S113" s="65" t="s">
        <v>23</v>
      </c>
      <c r="T113" s="65" t="s">
        <v>22</v>
      </c>
      <c r="U113" s="65" t="s">
        <v>181</v>
      </c>
      <c r="V113" s="66" t="str">
        <f>+CONCATENATE("dx","(",C113,")")</f>
        <v>dx(1)</v>
      </c>
      <c r="W113" s="66" t="str">
        <f t="shared" ref="W113" si="683">+CONCATENATE("dx","(",D113,")")</f>
        <v>dx(10)</v>
      </c>
      <c r="X113" s="66" t="str">
        <f t="shared" ref="X113" si="684">+CONCATENATE("dx","(",E113,")")</f>
        <v>dx(11)</v>
      </c>
      <c r="Y113" s="66" t="str">
        <f t="shared" ref="Y113" si="685">+CONCATENATE("dx","(",F113,")")</f>
        <v>dx(12)</v>
      </c>
      <c r="Z113" s="66" t="str">
        <f t="shared" ref="Z113" si="686">+CONCATENATE("dx","(",G113,")")</f>
        <v>dx(13)</v>
      </c>
      <c r="AA113" s="66" t="str">
        <f t="shared" ref="AA113" si="687">+CONCATENATE("dx","(",H113,")")</f>
        <v>dx(2)</v>
      </c>
      <c r="AB113" s="66" t="str">
        <f t="shared" ref="AB113" si="688">+CONCATENATE("dx","(",I113,")")</f>
        <v>dx(3)</v>
      </c>
      <c r="AC113" s="66" t="str">
        <f t="shared" ref="AC113" si="689">+CONCATENATE("dx","(",J113,")")</f>
        <v>dx(4)</v>
      </c>
      <c r="AD113" s="66" t="str">
        <f t="shared" ref="AD113" si="690">+CONCATENATE("dx","(",K113,")")</f>
        <v>dx(5)</v>
      </c>
      <c r="AE113" s="66" t="str">
        <f t="shared" ref="AE113" si="691">+CONCATENATE("dx","(",L113,")")</f>
        <v>dx(6)</v>
      </c>
      <c r="AF113" s="66" t="str">
        <f t="shared" ref="AF113" si="692">+CONCATENATE("dx","(",M113,")")</f>
        <v>dx(7)</v>
      </c>
      <c r="AG113" s="66" t="str">
        <f t="shared" ref="AG113" si="693">+CONCATENATE("dx","(",N113,")")</f>
        <v>dx(8)</v>
      </c>
      <c r="AH113" s="66" t="str">
        <f t="shared" ref="AH113" si="694">+CONCATENATE("dx","(",O113,")")</f>
        <v>dx(9)</v>
      </c>
      <c r="AI113" s="66" t="str">
        <f t="shared" ref="AI113" si="695">+CONCATENATE("dx","(",P113,")")</f>
        <v>dx(14)</v>
      </c>
      <c r="AJ113" s="66" t="str">
        <f t="shared" ref="AJ113" si="696">+CONCATENATE("dx","(",Q113,")")</f>
        <v>dx(15)</v>
      </c>
      <c r="AK113" s="66" t="s">
        <v>182</v>
      </c>
      <c r="AL113" s="66" t="str">
        <f t="shared" ref="AL113:AZ113" si="697">+CONCATENATE("qx","(",C113,")")</f>
        <v>qx(1)</v>
      </c>
      <c r="AM113" s="66" t="str">
        <f t="shared" si="697"/>
        <v>qx(10)</v>
      </c>
      <c r="AN113" s="66" t="str">
        <f t="shared" si="697"/>
        <v>qx(11)</v>
      </c>
      <c r="AO113" s="66" t="str">
        <f t="shared" si="697"/>
        <v>qx(12)</v>
      </c>
      <c r="AP113" s="66" t="str">
        <f t="shared" si="697"/>
        <v>qx(13)</v>
      </c>
      <c r="AQ113" s="66" t="str">
        <f t="shared" si="697"/>
        <v>qx(2)</v>
      </c>
      <c r="AR113" s="66" t="str">
        <f t="shared" si="697"/>
        <v>qx(3)</v>
      </c>
      <c r="AS113" s="66" t="str">
        <f t="shared" si="697"/>
        <v>qx(4)</v>
      </c>
      <c r="AT113" s="66" t="str">
        <f t="shared" si="697"/>
        <v>qx(5)</v>
      </c>
      <c r="AU113" s="66" t="str">
        <f t="shared" si="697"/>
        <v>qx(6)</v>
      </c>
      <c r="AV113" s="66" t="str">
        <f t="shared" si="697"/>
        <v>qx(7)</v>
      </c>
      <c r="AW113" s="66" t="str">
        <f t="shared" si="697"/>
        <v>qx(8)</v>
      </c>
      <c r="AX113" s="66" t="str">
        <f t="shared" si="697"/>
        <v>qx(9)</v>
      </c>
      <c r="AY113" s="66" t="str">
        <f t="shared" si="697"/>
        <v>qx(14)</v>
      </c>
      <c r="AZ113" s="66" t="str">
        <f t="shared" si="697"/>
        <v>qx(15)</v>
      </c>
      <c r="BA113" s="66" t="str">
        <f>+CONCATENATE("qx","(T)")</f>
        <v>qx(T)</v>
      </c>
      <c r="BB113" s="65" t="s">
        <v>184</v>
      </c>
      <c r="BC113" s="66" t="str">
        <f t="shared" ref="BC113:BQ113" si="698">+CONCATENATE("mx","(",C113,")")</f>
        <v>mx(1)</v>
      </c>
      <c r="BD113" s="66" t="str">
        <f t="shared" si="698"/>
        <v>mx(10)</v>
      </c>
      <c r="BE113" s="66" t="str">
        <f t="shared" si="698"/>
        <v>mx(11)</v>
      </c>
      <c r="BF113" s="66" t="str">
        <f t="shared" si="698"/>
        <v>mx(12)</v>
      </c>
      <c r="BG113" s="66" t="str">
        <f t="shared" si="698"/>
        <v>mx(13)</v>
      </c>
      <c r="BH113" s="66" t="str">
        <f t="shared" si="698"/>
        <v>mx(2)</v>
      </c>
      <c r="BI113" s="66" t="str">
        <f t="shared" si="698"/>
        <v>mx(3)</v>
      </c>
      <c r="BJ113" s="66" t="str">
        <f t="shared" si="698"/>
        <v>mx(4)</v>
      </c>
      <c r="BK113" s="66" t="str">
        <f t="shared" si="698"/>
        <v>mx(5)</v>
      </c>
      <c r="BL113" s="66" t="str">
        <f t="shared" si="698"/>
        <v>mx(6)</v>
      </c>
      <c r="BM113" s="66" t="str">
        <f t="shared" si="698"/>
        <v>mx(7)</v>
      </c>
      <c r="BN113" s="66" t="str">
        <f t="shared" si="698"/>
        <v>mx(8)</v>
      </c>
      <c r="BO113" s="66" t="str">
        <f t="shared" si="698"/>
        <v>mx(9)</v>
      </c>
      <c r="BP113" s="66" t="str">
        <f t="shared" si="698"/>
        <v>mx(14)</v>
      </c>
      <c r="BQ113" s="66" t="str">
        <f t="shared" si="698"/>
        <v>mx(15)</v>
      </c>
      <c r="BR113" s="66" t="str">
        <f>+CONCATENATE("µ(X)",C113)</f>
        <v>µ(X)1</v>
      </c>
      <c r="BS113" s="66" t="str">
        <f t="shared" ref="BS113" si="699">+CONCATENATE("µ(X)",D113)</f>
        <v>µ(X)10</v>
      </c>
      <c r="BT113" s="66" t="str">
        <f t="shared" ref="BT113" si="700">+CONCATENATE("µ(X)",E113)</f>
        <v>µ(X)11</v>
      </c>
      <c r="BU113" s="66" t="str">
        <f t="shared" ref="BU113" si="701">+CONCATENATE("µ(X)",F113)</f>
        <v>µ(X)12</v>
      </c>
      <c r="BV113" s="66" t="str">
        <f t="shared" ref="BV113" si="702">+CONCATENATE("µ(X)",G113)</f>
        <v>µ(X)13</v>
      </c>
      <c r="BW113" s="66" t="str">
        <f t="shared" ref="BW113" si="703">+CONCATENATE("µ(X)",H113)</f>
        <v>µ(X)2</v>
      </c>
      <c r="BX113" s="66" t="str">
        <f t="shared" ref="BX113" si="704">+CONCATENATE("µ(X)",I113)</f>
        <v>µ(X)3</v>
      </c>
      <c r="BY113" s="66" t="str">
        <f t="shared" ref="BY113" si="705">+CONCATENATE("µ(X)",J113)</f>
        <v>µ(X)4</v>
      </c>
      <c r="BZ113" s="66" t="str">
        <f t="shared" ref="BZ113" si="706">+CONCATENATE("µ(X)",K113)</f>
        <v>µ(X)5</v>
      </c>
      <c r="CA113" s="66" t="str">
        <f t="shared" ref="CA113" si="707">+CONCATENATE("µ(X)",L113)</f>
        <v>µ(X)6</v>
      </c>
      <c r="CB113" s="66" t="str">
        <f t="shared" ref="CB113" si="708">+CONCATENATE("µ(X)",M113)</f>
        <v>µ(X)7</v>
      </c>
      <c r="CC113" s="66" t="str">
        <f t="shared" ref="CC113" si="709">+CONCATENATE("µ(X)",N113)</f>
        <v>µ(X)8</v>
      </c>
      <c r="CD113" s="66" t="str">
        <f t="shared" ref="CD113" si="710">+CONCATENATE("µ(X)",O113)</f>
        <v>µ(X)9</v>
      </c>
      <c r="CE113" s="66" t="str">
        <f t="shared" ref="CE113" si="711">+CONCATENATE("µ(X)",P113)</f>
        <v>µ(X)14</v>
      </c>
      <c r="CF113" s="42" t="str">
        <f t="shared" ref="CF113" si="712">+CONCATENATE("µ(X)",Q113)</f>
        <v>µ(X)15</v>
      </c>
      <c r="CG113" s="36"/>
    </row>
    <row r="114" spans="1:85" hidden="1" x14ac:dyDescent="0.25">
      <c r="A114" s="4" t="s">
        <v>6</v>
      </c>
      <c r="B114" s="56">
        <v>2669011.0638103201</v>
      </c>
      <c r="C114" s="57">
        <v>82</v>
      </c>
      <c r="D114" s="57">
        <v>35</v>
      </c>
      <c r="E114" s="57">
        <v>1552</v>
      </c>
      <c r="F114" s="57">
        <v>2468</v>
      </c>
      <c r="G114" s="57">
        <v>37</v>
      </c>
      <c r="H114" s="57">
        <v>159</v>
      </c>
      <c r="I114" s="57">
        <v>14</v>
      </c>
      <c r="J114" s="57">
        <v>786</v>
      </c>
      <c r="K114" s="57">
        <v>32</v>
      </c>
      <c r="L114" s="57">
        <v>12</v>
      </c>
      <c r="M114" s="57">
        <v>5626</v>
      </c>
      <c r="N114" s="57">
        <v>114</v>
      </c>
      <c r="O114" s="57">
        <v>877</v>
      </c>
      <c r="P114" s="57">
        <v>21</v>
      </c>
      <c r="Q114" s="57">
        <v>29</v>
      </c>
      <c r="S114" s="4">
        <f>+$B$110</f>
        <v>1996</v>
      </c>
      <c r="T114" s="4" t="str">
        <f>+A114</f>
        <v>0-4</v>
      </c>
      <c r="U114" s="56">
        <f>+B114</f>
        <v>2669011.0638103201</v>
      </c>
      <c r="V114" s="4">
        <f>+C114</f>
        <v>82</v>
      </c>
      <c r="W114" s="4">
        <f t="shared" ref="W114:W120" si="713">+D114</f>
        <v>35</v>
      </c>
      <c r="X114" s="4">
        <f t="shared" ref="X114:X120" si="714">+E114</f>
        <v>1552</v>
      </c>
      <c r="Y114" s="4">
        <f t="shared" ref="Y114:Y120" si="715">+F114</f>
        <v>2468</v>
      </c>
      <c r="Z114" s="4">
        <f t="shared" ref="Z114:Z120" si="716">+G114</f>
        <v>37</v>
      </c>
      <c r="AA114" s="4">
        <f t="shared" ref="AA114:AA120" si="717">+H114</f>
        <v>159</v>
      </c>
      <c r="AB114" s="4">
        <f t="shared" ref="AB114:AB120" si="718">+I114</f>
        <v>14</v>
      </c>
      <c r="AC114" s="4">
        <f t="shared" ref="AC114:AC120" si="719">+J114</f>
        <v>786</v>
      </c>
      <c r="AD114" s="4">
        <f t="shared" ref="AD114:AD120" si="720">+K114</f>
        <v>32</v>
      </c>
      <c r="AE114" s="4">
        <f t="shared" ref="AE114:AE120" si="721">+L114</f>
        <v>12</v>
      </c>
      <c r="AF114" s="4">
        <f t="shared" ref="AF114:AF120" si="722">+M114</f>
        <v>5626</v>
      </c>
      <c r="AG114" s="4">
        <f t="shared" ref="AG114:AG120" si="723">+N114</f>
        <v>114</v>
      </c>
      <c r="AH114" s="4">
        <f t="shared" ref="AH114:AH120" si="724">+O114</f>
        <v>877</v>
      </c>
      <c r="AI114" s="4">
        <f t="shared" ref="AI114:AI120" si="725">+P114</f>
        <v>21</v>
      </c>
      <c r="AJ114" s="4">
        <f t="shared" ref="AJ114:AJ120" si="726">+Q114</f>
        <v>29</v>
      </c>
      <c r="AK114" s="4">
        <f>+SUM(V114:AJ114)</f>
        <v>11844</v>
      </c>
      <c r="AL114" s="58">
        <f>+V114/$U114</f>
        <v>3.072298991632338E-5</v>
      </c>
      <c r="AM114" s="58">
        <f t="shared" ref="AM114:AM120" si="727">+W114/$U114</f>
        <v>1.3113471305747784E-5</v>
      </c>
      <c r="AN114" s="58">
        <f t="shared" ref="AN114:AN120" si="728">+X114/$U114</f>
        <v>5.8148878475773028E-4</v>
      </c>
      <c r="AO114" s="58">
        <f t="shared" ref="AO114:AO120" si="729">+Y114/$U114</f>
        <v>9.2468706235958656E-4</v>
      </c>
      <c r="AP114" s="58">
        <f t="shared" ref="AP114:AP120" si="730">+Z114/$U114</f>
        <v>1.3862812523219085E-5</v>
      </c>
      <c r="AQ114" s="58">
        <f t="shared" ref="AQ114:AQ120" si="731">+AA114/$U114</f>
        <v>5.9572626788968504E-5</v>
      </c>
      <c r="AR114" s="58">
        <f t="shared" ref="AR114:AR120" si="732">+AB114/$U114</f>
        <v>5.2453885222991139E-6</v>
      </c>
      <c r="AS114" s="58">
        <f t="shared" ref="AS114:AS120" si="733">+AC114/$U114</f>
        <v>2.9449109846622164E-4</v>
      </c>
      <c r="AT114" s="58">
        <f t="shared" ref="AT114:AT120" si="734">+AD114/$U114</f>
        <v>1.1989459479540831E-5</v>
      </c>
      <c r="AU114" s="58">
        <f t="shared" ref="AU114:AU120" si="735">+AE114/$U114</f>
        <v>4.4960473048278115E-6</v>
      </c>
      <c r="AV114" s="58">
        <f t="shared" ref="AV114:AV120" si="736">+AF114/$U114</f>
        <v>2.1078968447467723E-3</v>
      </c>
      <c r="AW114" s="58">
        <f t="shared" ref="AW114:AW120" si="737">+AG114/$U114</f>
        <v>4.2712449395864211E-5</v>
      </c>
      <c r="AX114" s="58">
        <f t="shared" ref="AX114:AX120" si="738">+AH114/$U114</f>
        <v>3.2858612386116591E-4</v>
      </c>
      <c r="AY114" s="58">
        <f t="shared" ref="AY114:AY120" si="739">+AI114/$U114</f>
        <v>7.86808278344867E-6</v>
      </c>
      <c r="AZ114" s="58">
        <f t="shared" ref="AZ114:AZ120" si="740">+AJ114/$U114</f>
        <v>1.0865447653333878E-5</v>
      </c>
      <c r="BA114" s="58">
        <f>+AK114/U114</f>
        <v>4.4375986898650497E-3</v>
      </c>
      <c r="BB114" s="4">
        <f>+U114-(0.5*AK114)</f>
        <v>2663089.0638103201</v>
      </c>
      <c r="BC114" s="59">
        <f t="shared" ref="BC114:BC120" si="741">+AL114/(1-(0.5*$BA114))</f>
        <v>3.0791309654013318E-5</v>
      </c>
      <c r="BD114" s="59">
        <f>+AM114/(1-(0.5*$BA114))</f>
        <v>1.3142632169395928E-5</v>
      </c>
      <c r="BE114" s="59">
        <f t="shared" ref="BE114:BE120" si="742">+AN114/(1-(0.5*$BA114))</f>
        <v>5.8278186076864233E-4</v>
      </c>
      <c r="BF114" s="59">
        <f t="shared" ref="BF114:BF120" si="743">+AO114/(1-(0.5*$BA114))</f>
        <v>9.2674331983054719E-4</v>
      </c>
      <c r="BG114" s="59">
        <f t="shared" ref="BG114:BG120" si="744">+AP114/(1-(0.5*$BA114))</f>
        <v>1.3893639721932839E-5</v>
      </c>
      <c r="BH114" s="59">
        <f t="shared" ref="BH114:BH120" si="745">+AQ114/(1-(0.5*$BA114))</f>
        <v>5.9705100426684362E-5</v>
      </c>
      <c r="BI114" s="59">
        <f t="shared" ref="BI114:BI120" si="746">+AR114/(1-(0.5*$BA114))</f>
        <v>5.2570528677583717E-6</v>
      </c>
      <c r="BJ114" s="59">
        <f t="shared" ref="BJ114:BJ120" si="747">+AS114/(1-(0.5*$BA114))</f>
        <v>2.9514596814700567E-4</v>
      </c>
      <c r="BK114" s="59">
        <f t="shared" ref="BK114:BK120" si="748">+AT114/(1-(0.5*$BA114))</f>
        <v>1.2016120840590563E-5</v>
      </c>
      <c r="BL114" s="59">
        <f t="shared" ref="BL114:BL120" si="749">+AU114/(1-(0.5*$BA114))</f>
        <v>4.5060453152214609E-6</v>
      </c>
      <c r="BM114" s="59">
        <f t="shared" ref="BM114:BM120" si="750">+AV114/(1-(0.5*$BA114))</f>
        <v>2.1125842452863284E-3</v>
      </c>
      <c r="BN114" s="59">
        <f t="shared" ref="BN114:BN120" si="751">+AW114/(1-(0.5*$BA114))</f>
        <v>4.2807430494603885E-5</v>
      </c>
      <c r="BO114" s="59">
        <f t="shared" ref="BO114" si="752">+AX114/(1-(0.5*$BA114))</f>
        <v>3.2931681178743514E-4</v>
      </c>
      <c r="BP114" s="59">
        <f t="shared" ref="BP114:BP120" si="753">+AY114/(1-(0.5*$BA114))</f>
        <v>7.8855793016375572E-6</v>
      </c>
      <c r="BQ114" s="59">
        <f t="shared" ref="BQ114:BQ120" si="754">+AZ114/(1-(0.5*$BA114))</f>
        <v>1.0889609511785197E-5</v>
      </c>
      <c r="BR114" s="60">
        <f>+V114/(2*$U114)</f>
        <v>1.536149495816169E-5</v>
      </c>
      <c r="BS114" s="60">
        <f t="shared" ref="BS114" si="755">+W114/(2*$U114)</f>
        <v>6.5567356528738919E-6</v>
      </c>
      <c r="BT114" s="60">
        <f t="shared" ref="BT114" si="756">+X114/(2*$U114)</f>
        <v>2.9074439237886514E-4</v>
      </c>
      <c r="BU114" s="60">
        <f t="shared" ref="BU114" si="757">+Y114/(2*$U114)</f>
        <v>4.6234353117979328E-4</v>
      </c>
      <c r="BV114" s="60">
        <f t="shared" ref="BV114" si="758">+Z114/(2*$U114)</f>
        <v>6.9314062616095427E-6</v>
      </c>
      <c r="BW114" s="60">
        <f t="shared" ref="BW114" si="759">+AA114/(2*$U114)</f>
        <v>2.9786313394484252E-5</v>
      </c>
      <c r="BX114" s="60">
        <f t="shared" ref="BX114" si="760">+AB114/(2*$U114)</f>
        <v>2.6226942611495569E-6</v>
      </c>
      <c r="BY114" s="60">
        <f t="shared" ref="BY114" si="761">+AC114/(2*$U114)</f>
        <v>1.4724554923311082E-4</v>
      </c>
      <c r="BZ114" s="60">
        <f t="shared" ref="BZ114" si="762">+AD114/(2*$U114)</f>
        <v>5.9947297397704154E-6</v>
      </c>
      <c r="CA114" s="60">
        <f t="shared" ref="CA114" si="763">+AE114/(2*$U114)</f>
        <v>2.2480236524139058E-6</v>
      </c>
      <c r="CB114" s="60">
        <f t="shared" ref="CB114" si="764">+AF114/(2*$U114)</f>
        <v>1.0539484223733861E-3</v>
      </c>
      <c r="CC114" s="60">
        <f t="shared" ref="CC114" si="765">+AG114/(2*$U114)</f>
        <v>2.1356224697932105E-5</v>
      </c>
      <c r="CD114" s="60">
        <f t="shared" ref="CD114" si="766">+AH114/(2*$U114)</f>
        <v>1.6429306193058296E-4</v>
      </c>
      <c r="CE114" s="60">
        <f t="shared" ref="CE114" si="767">+AI114/(2*$U114)</f>
        <v>3.934041391724335E-6</v>
      </c>
      <c r="CF114" s="13">
        <f t="shared" ref="CF114" si="768">+AJ114/(2*$U114)</f>
        <v>5.4327238266669388E-6</v>
      </c>
    </row>
    <row r="115" spans="1:85" hidden="1" x14ac:dyDescent="0.25">
      <c r="A115" s="4" t="s">
        <v>5</v>
      </c>
      <c r="B115" s="56">
        <v>5336689.2615659405</v>
      </c>
      <c r="C115" s="57">
        <v>50</v>
      </c>
      <c r="D115" s="57">
        <v>18</v>
      </c>
      <c r="E115" s="57">
        <v>121</v>
      </c>
      <c r="F115" s="57">
        <v>79</v>
      </c>
      <c r="G115" s="57">
        <v>18</v>
      </c>
      <c r="H115" s="57">
        <v>266</v>
      </c>
      <c r="I115" s="57">
        <v>18</v>
      </c>
      <c r="J115" s="57">
        <v>659</v>
      </c>
      <c r="K115" s="57">
        <v>105</v>
      </c>
      <c r="L115" s="57">
        <v>16</v>
      </c>
      <c r="M115" s="57">
        <v>2</v>
      </c>
      <c r="N115" s="57">
        <v>15</v>
      </c>
      <c r="O115" s="57">
        <v>82</v>
      </c>
      <c r="P115" s="57">
        <v>2</v>
      </c>
      <c r="Q115" s="57">
        <v>34</v>
      </c>
      <c r="S115" s="4">
        <f t="shared" ref="S115:S120" si="769">+$B$110</f>
        <v>1996</v>
      </c>
      <c r="T115" s="4" t="str">
        <f t="shared" ref="T115:T120" si="770">+A115</f>
        <v>5-14</v>
      </c>
      <c r="U115" s="56">
        <f t="shared" ref="U115:U120" si="771">+B115</f>
        <v>5336689.2615659405</v>
      </c>
      <c r="V115" s="4">
        <f t="shared" ref="V115:V120" si="772">+C115</f>
        <v>50</v>
      </c>
      <c r="W115" s="4">
        <f t="shared" si="713"/>
        <v>18</v>
      </c>
      <c r="X115" s="4">
        <f t="shared" si="714"/>
        <v>121</v>
      </c>
      <c r="Y115" s="4">
        <f t="shared" si="715"/>
        <v>79</v>
      </c>
      <c r="Z115" s="4">
        <f t="shared" si="716"/>
        <v>18</v>
      </c>
      <c r="AA115" s="4">
        <f t="shared" si="717"/>
        <v>266</v>
      </c>
      <c r="AB115" s="4">
        <f t="shared" si="718"/>
        <v>18</v>
      </c>
      <c r="AC115" s="4">
        <f t="shared" si="719"/>
        <v>659</v>
      </c>
      <c r="AD115" s="4">
        <f t="shared" si="720"/>
        <v>105</v>
      </c>
      <c r="AE115" s="4">
        <f t="shared" si="721"/>
        <v>16</v>
      </c>
      <c r="AF115" s="4">
        <f t="shared" si="722"/>
        <v>2</v>
      </c>
      <c r="AG115" s="4">
        <f t="shared" si="723"/>
        <v>15</v>
      </c>
      <c r="AH115" s="4">
        <f t="shared" si="724"/>
        <v>82</v>
      </c>
      <c r="AI115" s="4">
        <f t="shared" si="725"/>
        <v>2</v>
      </c>
      <c r="AJ115" s="4">
        <f t="shared" si="726"/>
        <v>34</v>
      </c>
      <c r="AK115" s="4">
        <f t="shared" ref="AK115:AK120" si="773">+SUM(V115:AJ115)</f>
        <v>1485</v>
      </c>
      <c r="AL115" s="58">
        <f t="shared" ref="AL115:AL120" si="774">+V115/$U115</f>
        <v>9.3691046169940461E-6</v>
      </c>
      <c r="AM115" s="58">
        <f t="shared" si="727"/>
        <v>3.3728776621178566E-6</v>
      </c>
      <c r="AN115" s="58">
        <f t="shared" si="728"/>
        <v>2.2673233173125591E-5</v>
      </c>
      <c r="AO115" s="58">
        <f t="shared" si="729"/>
        <v>1.4803185294850593E-5</v>
      </c>
      <c r="AP115" s="58">
        <f t="shared" si="730"/>
        <v>3.3728776621178566E-6</v>
      </c>
      <c r="AQ115" s="58">
        <f t="shared" si="731"/>
        <v>4.9843636562408325E-5</v>
      </c>
      <c r="AR115" s="58">
        <f t="shared" si="732"/>
        <v>3.3728776621178566E-6</v>
      </c>
      <c r="AS115" s="58">
        <f t="shared" si="733"/>
        <v>1.2348479885198154E-4</v>
      </c>
      <c r="AT115" s="58">
        <f t="shared" si="734"/>
        <v>1.9675119695687498E-5</v>
      </c>
      <c r="AU115" s="58">
        <f t="shared" si="735"/>
        <v>2.998113477438095E-6</v>
      </c>
      <c r="AV115" s="58">
        <f t="shared" si="736"/>
        <v>3.7476418467976187E-7</v>
      </c>
      <c r="AW115" s="58">
        <f t="shared" si="737"/>
        <v>2.8107313850982138E-6</v>
      </c>
      <c r="AX115" s="58">
        <f t="shared" si="738"/>
        <v>1.5365331571870237E-5</v>
      </c>
      <c r="AY115" s="58">
        <f t="shared" si="739"/>
        <v>3.7476418467976187E-7</v>
      </c>
      <c r="AZ115" s="58">
        <f t="shared" si="740"/>
        <v>6.3709911395559516E-6</v>
      </c>
      <c r="BA115" s="58">
        <f t="shared" ref="BA115:BA120" si="775">+AK115/U115</f>
        <v>2.7826240712472319E-4</v>
      </c>
      <c r="BB115" s="4">
        <f t="shared" ref="BB115:BB120" si="776">+U115-(0.5*AK115)</f>
        <v>5335946.7615659405</v>
      </c>
      <c r="BC115" s="59">
        <f t="shared" si="741"/>
        <v>9.3704083331833129E-6</v>
      </c>
      <c r="BD115" s="59">
        <f t="shared" ref="BD115:BD120" si="777">+AM115/(1-(0.5*$BA115))</f>
        <v>3.3733469999459925E-6</v>
      </c>
      <c r="BE115" s="59">
        <f t="shared" si="742"/>
        <v>2.2676388166303615E-5</v>
      </c>
      <c r="BF115" s="59">
        <f t="shared" si="743"/>
        <v>1.4805245166429634E-5</v>
      </c>
      <c r="BG115" s="59">
        <f t="shared" si="744"/>
        <v>3.3733469999459925E-6</v>
      </c>
      <c r="BH115" s="59">
        <f t="shared" si="745"/>
        <v>4.9850572332535225E-5</v>
      </c>
      <c r="BI115" s="59">
        <f t="shared" si="746"/>
        <v>3.3733469999459925E-6</v>
      </c>
      <c r="BJ115" s="59">
        <f t="shared" si="747"/>
        <v>1.2350198183135608E-4</v>
      </c>
      <c r="BK115" s="59">
        <f t="shared" si="748"/>
        <v>1.9677857499684958E-5</v>
      </c>
      <c r="BL115" s="59">
        <f t="shared" si="749"/>
        <v>2.9985306666186604E-6</v>
      </c>
      <c r="BM115" s="59">
        <f t="shared" si="750"/>
        <v>3.7481633332733255E-7</v>
      </c>
      <c r="BN115" s="59">
        <f t="shared" si="751"/>
        <v>2.8111224999549937E-6</v>
      </c>
      <c r="BO115" s="59">
        <f>+AX115/(1-(0.5*$BA115))</f>
        <v>1.5367469666420634E-5</v>
      </c>
      <c r="BP115" s="59">
        <f t="shared" si="753"/>
        <v>3.7481633332733255E-7</v>
      </c>
      <c r="BQ115" s="59">
        <f t="shared" si="754"/>
        <v>6.3718776665646525E-6</v>
      </c>
      <c r="BR115" s="60">
        <f>+(V114+V115)/(2*$U115)</f>
        <v>1.2367218094432141E-5</v>
      </c>
      <c r="BS115" s="60">
        <f t="shared" ref="BS115:BS120" si="778">+(W114+W115)/(2*$U115)</f>
        <v>4.9656254470068449E-6</v>
      </c>
      <c r="BT115" s="60">
        <f t="shared" ref="BT115:BT120" si="779">+(X114+X115)/(2*$U115)</f>
        <v>1.567451202423104E-4</v>
      </c>
      <c r="BU115" s="60">
        <f t="shared" ref="BU115:BU120" si="780">+(Y114+Y115)/(2*$U115)</f>
        <v>2.3863109459483836E-4</v>
      </c>
      <c r="BV115" s="60">
        <f t="shared" ref="BV115:BV120" si="781">+(Z114+Z115)/(2*$U115)</f>
        <v>5.1530075393467253E-6</v>
      </c>
      <c r="BW115" s="60">
        <f t="shared" ref="BW115:BW120" si="782">+(AA114+AA115)/(2*$U115)</f>
        <v>3.98186946222247E-5</v>
      </c>
      <c r="BX115" s="60">
        <f t="shared" ref="BX115:BX120" si="783">+(AB114+AB115)/(2*$U115)</f>
        <v>2.998113477438095E-6</v>
      </c>
      <c r="BY115" s="60">
        <f t="shared" ref="BY115:BY120" si="784">+(AC114+AC115)/(2*$U115)</f>
        <v>1.3538356171556397E-4</v>
      </c>
      <c r="BZ115" s="60">
        <f t="shared" ref="BZ115:BZ120" si="785">+(AD114+AD115)/(2*$U115)</f>
        <v>1.2835673325281844E-5</v>
      </c>
      <c r="CA115" s="60">
        <f t="shared" ref="CA115:CA120" si="786">+(AE114+AE115)/(2*$U115)</f>
        <v>2.6233492927583329E-6</v>
      </c>
      <c r="CB115" s="60">
        <f t="shared" ref="CB115:CB120" si="787">+(AF114+AF115)/(2*$U115)</f>
        <v>5.2729320784442491E-4</v>
      </c>
      <c r="CC115" s="60">
        <f t="shared" ref="CC115:CC120" si="788">+(AG114+AG115)/(2*$U115)</f>
        <v>1.2086144955922319E-5</v>
      </c>
      <c r="CD115" s="60">
        <f t="shared" ref="CD115:CD120" si="789">+(AH114+AH115)/(2*$U115)</f>
        <v>8.9849713276972899E-5</v>
      </c>
      <c r="CE115" s="60">
        <f t="shared" ref="CE115:CE120" si="790">+(AI114+AI115)/(2*$U115)</f>
        <v>2.1548940619086307E-6</v>
      </c>
      <c r="CF115" s="13">
        <f t="shared" ref="CF115:CF120" si="791">+(AJ114+AJ115)/(2*$U115)</f>
        <v>5.9025359087062493E-6</v>
      </c>
    </row>
    <row r="116" spans="1:85" hidden="1" x14ac:dyDescent="0.25">
      <c r="A116" s="4" t="s">
        <v>4</v>
      </c>
      <c r="B116" s="56">
        <v>4328734.7335640304</v>
      </c>
      <c r="C116" s="57">
        <v>101</v>
      </c>
      <c r="D116" s="57">
        <v>34</v>
      </c>
      <c r="E116" s="57">
        <v>66</v>
      </c>
      <c r="F116" s="57">
        <v>36</v>
      </c>
      <c r="G116" s="57">
        <v>71</v>
      </c>
      <c r="H116" s="57">
        <v>301</v>
      </c>
      <c r="I116" s="57">
        <v>64</v>
      </c>
      <c r="J116" s="57">
        <v>1352</v>
      </c>
      <c r="K116" s="57">
        <v>1694</v>
      </c>
      <c r="L116" s="57">
        <v>51</v>
      </c>
      <c r="M116" s="57">
        <v>0</v>
      </c>
      <c r="N116" s="57">
        <v>33</v>
      </c>
      <c r="O116" s="57">
        <v>90</v>
      </c>
      <c r="P116" s="57">
        <v>47</v>
      </c>
      <c r="Q116" s="57">
        <v>27</v>
      </c>
      <c r="S116" s="4">
        <f t="shared" si="769"/>
        <v>1996</v>
      </c>
      <c r="T116" s="4" t="str">
        <f t="shared" si="770"/>
        <v>15-24</v>
      </c>
      <c r="U116" s="56">
        <f t="shared" si="771"/>
        <v>4328734.7335640304</v>
      </c>
      <c r="V116" s="4">
        <f t="shared" si="772"/>
        <v>101</v>
      </c>
      <c r="W116" s="4">
        <f t="shared" si="713"/>
        <v>34</v>
      </c>
      <c r="X116" s="4">
        <f t="shared" si="714"/>
        <v>66</v>
      </c>
      <c r="Y116" s="4">
        <f t="shared" si="715"/>
        <v>36</v>
      </c>
      <c r="Z116" s="4">
        <f t="shared" si="716"/>
        <v>71</v>
      </c>
      <c r="AA116" s="4">
        <f t="shared" si="717"/>
        <v>301</v>
      </c>
      <c r="AB116" s="4">
        <f t="shared" si="718"/>
        <v>64</v>
      </c>
      <c r="AC116" s="4">
        <f t="shared" si="719"/>
        <v>1352</v>
      </c>
      <c r="AD116" s="4">
        <f t="shared" si="720"/>
        <v>1694</v>
      </c>
      <c r="AE116" s="4">
        <f t="shared" si="721"/>
        <v>51</v>
      </c>
      <c r="AF116" s="4">
        <f t="shared" si="722"/>
        <v>0</v>
      </c>
      <c r="AG116" s="4">
        <f t="shared" si="723"/>
        <v>33</v>
      </c>
      <c r="AH116" s="4">
        <f t="shared" si="724"/>
        <v>90</v>
      </c>
      <c r="AI116" s="4">
        <f t="shared" si="725"/>
        <v>47</v>
      </c>
      <c r="AJ116" s="4">
        <f t="shared" si="726"/>
        <v>27</v>
      </c>
      <c r="AK116" s="4">
        <f t="shared" si="773"/>
        <v>3967</v>
      </c>
      <c r="AL116" s="58">
        <f t="shared" si="774"/>
        <v>2.3332453064603114E-5</v>
      </c>
      <c r="AM116" s="58">
        <f t="shared" si="727"/>
        <v>7.8544891504604536E-6</v>
      </c>
      <c r="AN116" s="58">
        <f t="shared" si="728"/>
        <v>1.5246949527364411E-5</v>
      </c>
      <c r="AO116" s="58">
        <f t="shared" si="729"/>
        <v>8.3165179240169518E-6</v>
      </c>
      <c r="AP116" s="58">
        <f t="shared" si="730"/>
        <v>1.6402021461255655E-5</v>
      </c>
      <c r="AQ116" s="58">
        <f t="shared" si="731"/>
        <v>6.9535330420252836E-5</v>
      </c>
      <c r="AR116" s="58">
        <f t="shared" si="732"/>
        <v>1.4784920753807913E-5</v>
      </c>
      <c r="AS116" s="58">
        <f t="shared" si="733"/>
        <v>3.1233145092419214E-4</v>
      </c>
      <c r="AT116" s="58">
        <f t="shared" si="734"/>
        <v>3.9133837120235322E-4</v>
      </c>
      <c r="AU116" s="58">
        <f t="shared" si="735"/>
        <v>1.1781733725690681E-5</v>
      </c>
      <c r="AV116" s="58">
        <f t="shared" si="736"/>
        <v>0</v>
      </c>
      <c r="AW116" s="58">
        <f t="shared" si="737"/>
        <v>7.6234747636822054E-6</v>
      </c>
      <c r="AX116" s="58">
        <f t="shared" si="738"/>
        <v>2.0791294810042377E-5</v>
      </c>
      <c r="AY116" s="58">
        <f t="shared" si="739"/>
        <v>1.0857676178577687E-5</v>
      </c>
      <c r="AZ116" s="58">
        <f t="shared" si="740"/>
        <v>6.2373884430127134E-6</v>
      </c>
      <c r="BA116" s="58">
        <f t="shared" si="775"/>
        <v>9.1643407234931235E-4</v>
      </c>
      <c r="BB116" s="4">
        <f t="shared" si="776"/>
        <v>4326751.2335640304</v>
      </c>
      <c r="BC116" s="59">
        <f t="shared" si="741"/>
        <v>2.3343149293287266E-5</v>
      </c>
      <c r="BD116" s="59">
        <f t="shared" si="777"/>
        <v>7.8580898611066048E-6</v>
      </c>
      <c r="BE116" s="59">
        <f t="shared" si="742"/>
        <v>1.5253939142148115E-5</v>
      </c>
      <c r="BF116" s="59">
        <f t="shared" si="743"/>
        <v>8.3203304411716991E-6</v>
      </c>
      <c r="BG116" s="59">
        <f t="shared" si="744"/>
        <v>1.640954059231085E-5</v>
      </c>
      <c r="BH116" s="59">
        <f t="shared" si="745"/>
        <v>6.9567207299796693E-5</v>
      </c>
      <c r="BI116" s="59">
        <f t="shared" si="746"/>
        <v>1.4791698562083019E-5</v>
      </c>
      <c r="BJ116" s="59">
        <f t="shared" si="747"/>
        <v>3.1247463212400378E-4</v>
      </c>
      <c r="BK116" s="59">
        <f t="shared" si="748"/>
        <v>3.9151777131513494E-4</v>
      </c>
      <c r="BL116" s="59">
        <f t="shared" si="749"/>
        <v>1.1787134791659907E-5</v>
      </c>
      <c r="BM116" s="59">
        <f t="shared" si="750"/>
        <v>0</v>
      </c>
      <c r="BN116" s="59">
        <f t="shared" si="751"/>
        <v>7.6269695710740576E-6</v>
      </c>
      <c r="BO116" s="59">
        <f t="shared" ref="BO116:BO120" si="792">+AX116/(1-(0.5*$BA116))</f>
        <v>2.0800826102929245E-5</v>
      </c>
      <c r="BP116" s="59">
        <f t="shared" si="753"/>
        <v>1.0862653631529719E-5</v>
      </c>
      <c r="BQ116" s="59">
        <f t="shared" si="754"/>
        <v>6.2402478308787739E-6</v>
      </c>
      <c r="BR116" s="60">
        <f t="shared" ref="BR116:BR120" si="793">+(V115+V116)/(2*$U116)</f>
        <v>1.7441586201757774E-5</v>
      </c>
      <c r="BS116" s="60">
        <f t="shared" si="778"/>
        <v>6.0063740562344643E-6</v>
      </c>
      <c r="BT116" s="60">
        <f t="shared" si="779"/>
        <v>2.1599845163766247E-5</v>
      </c>
      <c r="BU116" s="60">
        <f t="shared" si="780"/>
        <v>1.3283327239749297E-5</v>
      </c>
      <c r="BV116" s="60">
        <f t="shared" si="781"/>
        <v>1.0280140211632064E-5</v>
      </c>
      <c r="BW116" s="60">
        <f t="shared" si="782"/>
        <v>6.5492578651633488E-5</v>
      </c>
      <c r="BX116" s="60">
        <f t="shared" si="783"/>
        <v>9.4715898579081938E-6</v>
      </c>
      <c r="BY116" s="60">
        <f t="shared" si="784"/>
        <v>2.3228496590552901E-4</v>
      </c>
      <c r="BZ116" s="60">
        <f t="shared" si="785"/>
        <v>2.0779744090703467E-4</v>
      </c>
      <c r="CA116" s="60">
        <f t="shared" si="786"/>
        <v>7.7389819570713291E-6</v>
      </c>
      <c r="CB116" s="60">
        <f t="shared" si="787"/>
        <v>2.3101438677824863E-7</v>
      </c>
      <c r="CC116" s="60">
        <f t="shared" si="788"/>
        <v>5.544345282677967E-6</v>
      </c>
      <c r="CD116" s="60">
        <f t="shared" si="789"/>
        <v>1.9867237262929384E-5</v>
      </c>
      <c r="CE116" s="60">
        <f t="shared" si="790"/>
        <v>5.6598524760670916E-6</v>
      </c>
      <c r="CF116" s="13">
        <f t="shared" si="791"/>
        <v>7.0459387967365835E-6</v>
      </c>
    </row>
    <row r="117" spans="1:85" hidden="1" x14ac:dyDescent="0.25">
      <c r="A117" s="4" t="s">
        <v>3</v>
      </c>
      <c r="B117" s="56">
        <v>6500086.9398599695</v>
      </c>
      <c r="C117" s="57">
        <v>1265</v>
      </c>
      <c r="D117" s="57">
        <v>267</v>
      </c>
      <c r="E117" s="57">
        <v>94</v>
      </c>
      <c r="F117" s="57">
        <v>65</v>
      </c>
      <c r="G117" s="57">
        <v>232</v>
      </c>
      <c r="H117" s="57">
        <v>1734</v>
      </c>
      <c r="I117" s="57">
        <v>517</v>
      </c>
      <c r="J117" s="57">
        <v>2393</v>
      </c>
      <c r="K117" s="57">
        <v>1811</v>
      </c>
      <c r="L117" s="57">
        <v>272</v>
      </c>
      <c r="M117" s="57">
        <v>1</v>
      </c>
      <c r="N117" s="57">
        <v>99</v>
      </c>
      <c r="O117" s="57">
        <v>191</v>
      </c>
      <c r="P117" s="57">
        <v>719</v>
      </c>
      <c r="Q117" s="57">
        <v>111</v>
      </c>
      <c r="S117" s="4">
        <f t="shared" si="769"/>
        <v>1996</v>
      </c>
      <c r="T117" s="4" t="str">
        <f t="shared" si="770"/>
        <v>25-44</v>
      </c>
      <c r="U117" s="56">
        <f t="shared" si="771"/>
        <v>6500086.9398599695</v>
      </c>
      <c r="V117" s="4">
        <f t="shared" si="772"/>
        <v>1265</v>
      </c>
      <c r="W117" s="4">
        <f t="shared" si="713"/>
        <v>267</v>
      </c>
      <c r="X117" s="4">
        <f t="shared" si="714"/>
        <v>94</v>
      </c>
      <c r="Y117" s="4">
        <f t="shared" si="715"/>
        <v>65</v>
      </c>
      <c r="Z117" s="4">
        <f t="shared" si="716"/>
        <v>232</v>
      </c>
      <c r="AA117" s="4">
        <f t="shared" si="717"/>
        <v>1734</v>
      </c>
      <c r="AB117" s="4">
        <f t="shared" si="718"/>
        <v>517</v>
      </c>
      <c r="AC117" s="4">
        <f t="shared" si="719"/>
        <v>2393</v>
      </c>
      <c r="AD117" s="4">
        <f t="shared" si="720"/>
        <v>1811</v>
      </c>
      <c r="AE117" s="4">
        <f t="shared" si="721"/>
        <v>272</v>
      </c>
      <c r="AF117" s="4">
        <f t="shared" si="722"/>
        <v>1</v>
      </c>
      <c r="AG117" s="4">
        <f t="shared" si="723"/>
        <v>99</v>
      </c>
      <c r="AH117" s="4">
        <f t="shared" si="724"/>
        <v>191</v>
      </c>
      <c r="AI117" s="4">
        <f t="shared" si="725"/>
        <v>719</v>
      </c>
      <c r="AJ117" s="4">
        <f t="shared" si="726"/>
        <v>111</v>
      </c>
      <c r="AK117" s="4">
        <f t="shared" si="773"/>
        <v>9771</v>
      </c>
      <c r="AL117" s="58">
        <f t="shared" si="774"/>
        <v>1.9461278159877223E-4</v>
      </c>
      <c r="AM117" s="58">
        <f t="shared" si="727"/>
        <v>4.107637366551161E-5</v>
      </c>
      <c r="AN117" s="58">
        <f t="shared" si="728"/>
        <v>1.4461345035798096E-5</v>
      </c>
      <c r="AO117" s="58">
        <f t="shared" si="729"/>
        <v>9.9998662481582572E-6</v>
      </c>
      <c r="AP117" s="58">
        <f t="shared" si="730"/>
        <v>3.56918303011187E-5</v>
      </c>
      <c r="AQ117" s="58">
        <f t="shared" si="731"/>
        <v>2.6676566268163718E-4</v>
      </c>
      <c r="AR117" s="58">
        <f t="shared" si="732"/>
        <v>7.953739769688952E-5</v>
      </c>
      <c r="AS117" s="58">
        <f t="shared" si="733"/>
        <v>3.6814892202834939E-4</v>
      </c>
      <c r="AT117" s="58">
        <f t="shared" si="734"/>
        <v>2.7861165808330162E-4</v>
      </c>
      <c r="AU117" s="58">
        <f t="shared" si="735"/>
        <v>4.1845594146139165E-5</v>
      </c>
      <c r="AV117" s="58">
        <f t="shared" si="736"/>
        <v>1.5384409612551164E-7</v>
      </c>
      <c r="AW117" s="58">
        <f t="shared" si="737"/>
        <v>1.5230565516425653E-5</v>
      </c>
      <c r="AX117" s="58">
        <f t="shared" si="738"/>
        <v>2.9384222359972725E-5</v>
      </c>
      <c r="AY117" s="58">
        <f t="shared" si="739"/>
        <v>1.1061390511424288E-4</v>
      </c>
      <c r="AZ117" s="58">
        <f t="shared" si="740"/>
        <v>1.7076694669931794E-5</v>
      </c>
      <c r="BA117" s="58">
        <f t="shared" si="775"/>
        <v>1.5032106632423743E-3</v>
      </c>
      <c r="BB117" s="4">
        <f t="shared" si="776"/>
        <v>6495201.4398599695</v>
      </c>
      <c r="BC117" s="59">
        <f t="shared" si="741"/>
        <v>1.9475916362453452E-4</v>
      </c>
      <c r="BD117" s="59">
        <f t="shared" si="777"/>
        <v>4.1107270108893847E-5</v>
      </c>
      <c r="BE117" s="59">
        <f t="shared" si="742"/>
        <v>1.4472222435340906E-5</v>
      </c>
      <c r="BF117" s="59">
        <f t="shared" si="743"/>
        <v>1.0007387854225095E-5</v>
      </c>
      <c r="BG117" s="59">
        <f t="shared" si="744"/>
        <v>3.5718676648926485E-5</v>
      </c>
      <c r="BH117" s="59">
        <f t="shared" si="745"/>
        <v>2.6696631598809712E-4</v>
      </c>
      <c r="BI117" s="59">
        <f t="shared" si="746"/>
        <v>7.9597223394374983E-5</v>
      </c>
      <c r="BJ117" s="59">
        <f t="shared" si="747"/>
        <v>3.6842583284862543E-4</v>
      </c>
      <c r="BK117" s="59">
        <f t="shared" si="748"/>
        <v>2.7882122160002534E-4</v>
      </c>
      <c r="BL117" s="59">
        <f t="shared" si="749"/>
        <v>4.187706917460347E-5</v>
      </c>
      <c r="BM117" s="59">
        <f t="shared" si="750"/>
        <v>1.5395981314192452E-7</v>
      </c>
      <c r="BN117" s="59">
        <f t="shared" si="751"/>
        <v>1.5242021501050527E-5</v>
      </c>
      <c r="BO117" s="59">
        <f t="shared" si="792"/>
        <v>2.9406324310107584E-5</v>
      </c>
      <c r="BP117" s="59">
        <f t="shared" si="753"/>
        <v>1.1069710564904374E-4</v>
      </c>
      <c r="BQ117" s="59">
        <f t="shared" si="754"/>
        <v>1.7089539258753623E-5</v>
      </c>
      <c r="BR117" s="60">
        <f t="shared" si="793"/>
        <v>1.0507551765372446E-4</v>
      </c>
      <c r="BS117" s="60">
        <f t="shared" si="778"/>
        <v>2.3153536466889503E-5</v>
      </c>
      <c r="BT117" s="60">
        <f t="shared" si="779"/>
        <v>1.2307527690040933E-5</v>
      </c>
      <c r="BU117" s="60">
        <f t="shared" si="780"/>
        <v>7.7691268543383381E-6</v>
      </c>
      <c r="BV117" s="60">
        <f t="shared" si="781"/>
        <v>2.3307380563015016E-5</v>
      </c>
      <c r="BW117" s="60">
        <f t="shared" si="782"/>
        <v>1.565363678077081E-4</v>
      </c>
      <c r="BX117" s="60">
        <f t="shared" si="783"/>
        <v>4.4691709924461133E-5</v>
      </c>
      <c r="BY117" s="60">
        <f t="shared" si="784"/>
        <v>2.8807306999502054E-4</v>
      </c>
      <c r="BZ117" s="60">
        <f t="shared" si="785"/>
        <v>2.6961177845995915E-4</v>
      </c>
      <c r="CA117" s="60">
        <f t="shared" si="786"/>
        <v>2.4845821524270131E-5</v>
      </c>
      <c r="CB117" s="60">
        <f t="shared" si="787"/>
        <v>7.6922048062755818E-8</v>
      </c>
      <c r="CC117" s="60">
        <f t="shared" si="788"/>
        <v>1.0153710344283768E-5</v>
      </c>
      <c r="CD117" s="60">
        <f t="shared" si="789"/>
        <v>2.1615095505634385E-5</v>
      </c>
      <c r="CE117" s="60">
        <f t="shared" si="790"/>
        <v>5.8922288816070963E-5</v>
      </c>
      <c r="CF117" s="13">
        <f t="shared" si="791"/>
        <v>1.0615242632660304E-5</v>
      </c>
    </row>
    <row r="118" spans="1:85" hidden="1" x14ac:dyDescent="0.25">
      <c r="A118" s="4" t="s">
        <v>2</v>
      </c>
      <c r="B118" s="56">
        <v>2862216.4853526298</v>
      </c>
      <c r="C118" s="57">
        <v>5170</v>
      </c>
      <c r="D118" s="57">
        <v>791</v>
      </c>
      <c r="E118" s="57">
        <v>38</v>
      </c>
      <c r="F118" s="57">
        <v>151</v>
      </c>
      <c r="G118" s="57">
        <v>387</v>
      </c>
      <c r="H118" s="57">
        <v>4424</v>
      </c>
      <c r="I118" s="57">
        <v>1783</v>
      </c>
      <c r="J118" s="57">
        <v>1078</v>
      </c>
      <c r="K118" s="57">
        <v>502</v>
      </c>
      <c r="L118" s="57">
        <v>1450</v>
      </c>
      <c r="M118" s="57">
        <v>0</v>
      </c>
      <c r="N118" s="57">
        <v>427</v>
      </c>
      <c r="O118" s="57">
        <v>247</v>
      </c>
      <c r="P118" s="57">
        <v>130</v>
      </c>
      <c r="Q118" s="57">
        <v>206</v>
      </c>
      <c r="S118" s="4">
        <f t="shared" si="769"/>
        <v>1996</v>
      </c>
      <c r="T118" s="4" t="str">
        <f t="shared" si="770"/>
        <v>45-64</v>
      </c>
      <c r="U118" s="56">
        <f t="shared" si="771"/>
        <v>2862216.4853526298</v>
      </c>
      <c r="V118" s="4">
        <f t="shared" si="772"/>
        <v>5170</v>
      </c>
      <c r="W118" s="4">
        <f t="shared" si="713"/>
        <v>791</v>
      </c>
      <c r="X118" s="4">
        <f t="shared" si="714"/>
        <v>38</v>
      </c>
      <c r="Y118" s="4">
        <f t="shared" si="715"/>
        <v>151</v>
      </c>
      <c r="Z118" s="4">
        <f t="shared" si="716"/>
        <v>387</v>
      </c>
      <c r="AA118" s="4">
        <f t="shared" si="717"/>
        <v>4424</v>
      </c>
      <c r="AB118" s="4">
        <f t="shared" si="718"/>
        <v>1783</v>
      </c>
      <c r="AC118" s="4">
        <f t="shared" si="719"/>
        <v>1078</v>
      </c>
      <c r="AD118" s="4">
        <f t="shared" si="720"/>
        <v>502</v>
      </c>
      <c r="AE118" s="4">
        <f t="shared" si="721"/>
        <v>1450</v>
      </c>
      <c r="AF118" s="4">
        <f t="shared" si="722"/>
        <v>0</v>
      </c>
      <c r="AG118" s="4">
        <f t="shared" si="723"/>
        <v>427</v>
      </c>
      <c r="AH118" s="4">
        <f t="shared" si="724"/>
        <v>247</v>
      </c>
      <c r="AI118" s="4">
        <f t="shared" si="725"/>
        <v>130</v>
      </c>
      <c r="AJ118" s="4">
        <f t="shared" si="726"/>
        <v>206</v>
      </c>
      <c r="AK118" s="4">
        <f t="shared" si="773"/>
        <v>16784</v>
      </c>
      <c r="AL118" s="58">
        <f t="shared" si="774"/>
        <v>1.8062924403019248E-3</v>
      </c>
      <c r="AM118" s="58">
        <f t="shared" si="727"/>
        <v>2.7635924957037186E-4</v>
      </c>
      <c r="AN118" s="58">
        <f t="shared" si="728"/>
        <v>1.3276424126010279E-5</v>
      </c>
      <c r="AO118" s="58">
        <f t="shared" si="729"/>
        <v>5.2756316921777688E-5</v>
      </c>
      <c r="AP118" s="58">
        <f t="shared" si="730"/>
        <v>1.3520989833594679E-4</v>
      </c>
      <c r="AQ118" s="58">
        <f t="shared" si="731"/>
        <v>1.5456552719334072E-3</v>
      </c>
      <c r="AR118" s="58">
        <f t="shared" si="732"/>
        <v>6.229437951756928E-4</v>
      </c>
      <c r="AS118" s="58">
        <f t="shared" si="733"/>
        <v>3.7663118967997582E-4</v>
      </c>
      <c r="AT118" s="58">
        <f t="shared" si="734"/>
        <v>1.7538855029624104E-4</v>
      </c>
      <c r="AU118" s="58">
        <f t="shared" si="735"/>
        <v>5.0660039428197118E-4</v>
      </c>
      <c r="AV118" s="58">
        <f t="shared" si="736"/>
        <v>0</v>
      </c>
      <c r="AW118" s="58">
        <f t="shared" si="737"/>
        <v>1.4918508162648392E-4</v>
      </c>
      <c r="AX118" s="58">
        <f t="shared" si="738"/>
        <v>8.6296756819066809E-5</v>
      </c>
      <c r="AY118" s="58">
        <f t="shared" si="739"/>
        <v>4.541934569424569E-5</v>
      </c>
      <c r="AZ118" s="58">
        <f t="shared" si="740"/>
        <v>7.1972193946266255E-5</v>
      </c>
      <c r="BA118" s="58">
        <f t="shared" si="775"/>
        <v>5.8639869087093819E-3</v>
      </c>
      <c r="BB118" s="4">
        <f t="shared" si="776"/>
        <v>2853824.4853526298</v>
      </c>
      <c r="BC118" s="59">
        <f t="shared" si="741"/>
        <v>1.8116040515228724E-3</v>
      </c>
      <c r="BD118" s="59">
        <f t="shared" si="777"/>
        <v>2.7717191581326728E-4</v>
      </c>
      <c r="BE118" s="59">
        <f t="shared" si="742"/>
        <v>1.3315464982179718E-5</v>
      </c>
      <c r="BF118" s="59">
        <f t="shared" si="743"/>
        <v>5.2911452955503619E-5</v>
      </c>
      <c r="BG118" s="59">
        <f t="shared" si="744"/>
        <v>1.3560749863430398E-4</v>
      </c>
      <c r="BH118" s="59">
        <f t="shared" si="745"/>
        <v>1.5502004495042915E-3</v>
      </c>
      <c r="BI118" s="59">
        <f t="shared" si="746"/>
        <v>6.2477563324280102E-4</v>
      </c>
      <c r="BJ118" s="59">
        <f t="shared" si="747"/>
        <v>3.7773871712604574E-4</v>
      </c>
      <c r="BK118" s="59">
        <f t="shared" si="748"/>
        <v>1.7590430055405837E-4</v>
      </c>
      <c r="BL118" s="59">
        <f t="shared" si="749"/>
        <v>5.0809011116212085E-4</v>
      </c>
      <c r="BM118" s="59">
        <f t="shared" si="750"/>
        <v>0</v>
      </c>
      <c r="BN118" s="59">
        <f t="shared" si="751"/>
        <v>1.4962377756291422E-4</v>
      </c>
      <c r="BO118" s="59">
        <f t="shared" si="792"/>
        <v>8.6550522384168166E-5</v>
      </c>
      <c r="BP118" s="59">
        <f t="shared" si="753"/>
        <v>4.5552906517983245E-5</v>
      </c>
      <c r="BQ118" s="59">
        <f t="shared" si="754"/>
        <v>7.2183836482342698E-5</v>
      </c>
      <c r="BR118" s="60">
        <f t="shared" si="793"/>
        <v>1.1241288059325809E-3</v>
      </c>
      <c r="BS118" s="60">
        <f t="shared" si="778"/>
        <v>1.8482179901735361E-4</v>
      </c>
      <c r="BT118" s="60">
        <f t="shared" si="779"/>
        <v>2.3059052429386273E-5</v>
      </c>
      <c r="BU118" s="60">
        <f t="shared" si="780"/>
        <v>3.7732994884450265E-5</v>
      </c>
      <c r="BV118" s="60">
        <f t="shared" si="781"/>
        <v>1.0813298071053108E-4</v>
      </c>
      <c r="BW118" s="60">
        <f t="shared" si="782"/>
        <v>1.0757397337890959E-3</v>
      </c>
      <c r="BX118" s="60">
        <f t="shared" si="783"/>
        <v>4.0178651960294265E-4</v>
      </c>
      <c r="BY118" s="60">
        <f t="shared" si="784"/>
        <v>6.0634826501817997E-4</v>
      </c>
      <c r="BZ118" s="60">
        <f t="shared" si="785"/>
        <v>4.0405748688765491E-4</v>
      </c>
      <c r="CA118" s="60">
        <f t="shared" si="786"/>
        <v>3.0081582032881184E-4</v>
      </c>
      <c r="CB118" s="60">
        <f t="shared" si="787"/>
        <v>1.746897911317142E-7</v>
      </c>
      <c r="CC118" s="60">
        <f t="shared" si="788"/>
        <v>9.1886830135281663E-5</v>
      </c>
      <c r="CD118" s="60">
        <f t="shared" si="789"/>
        <v>7.6514128515690812E-5</v>
      </c>
      <c r="CE118" s="60">
        <f t="shared" si="790"/>
        <v>1.4831163267082535E-4</v>
      </c>
      <c r="CF118" s="13">
        <f t="shared" si="791"/>
        <v>5.5376663788753401E-5</v>
      </c>
    </row>
    <row r="119" spans="1:85" hidden="1" x14ac:dyDescent="0.25">
      <c r="A119" s="4" t="s">
        <v>1</v>
      </c>
      <c r="B119" s="56">
        <v>710343.28776711202</v>
      </c>
      <c r="C119" s="57">
        <v>5212</v>
      </c>
      <c r="D119" s="57">
        <v>406</v>
      </c>
      <c r="E119" s="57">
        <v>24</v>
      </c>
      <c r="F119" s="57">
        <v>146</v>
      </c>
      <c r="G119" s="57">
        <v>319</v>
      </c>
      <c r="H119" s="57">
        <v>3335</v>
      </c>
      <c r="I119" s="57">
        <v>1780</v>
      </c>
      <c r="J119" s="57">
        <v>380</v>
      </c>
      <c r="K119" s="57">
        <v>125</v>
      </c>
      <c r="L119" s="57">
        <v>1343</v>
      </c>
      <c r="M119" s="57">
        <v>0</v>
      </c>
      <c r="N119" s="57">
        <v>576</v>
      </c>
      <c r="O119" s="57">
        <v>226</v>
      </c>
      <c r="P119" s="57">
        <v>5</v>
      </c>
      <c r="Q119" s="57">
        <v>161</v>
      </c>
      <c r="S119" s="4">
        <f t="shared" si="769"/>
        <v>1996</v>
      </c>
      <c r="T119" s="4" t="str">
        <f t="shared" si="770"/>
        <v>65-74</v>
      </c>
      <c r="U119" s="56">
        <f t="shared" si="771"/>
        <v>710343.28776711202</v>
      </c>
      <c r="V119" s="4">
        <f t="shared" si="772"/>
        <v>5212</v>
      </c>
      <c r="W119" s="4">
        <f t="shared" si="713"/>
        <v>406</v>
      </c>
      <c r="X119" s="4">
        <f t="shared" si="714"/>
        <v>24</v>
      </c>
      <c r="Y119" s="4">
        <f t="shared" si="715"/>
        <v>146</v>
      </c>
      <c r="Z119" s="4">
        <f t="shared" si="716"/>
        <v>319</v>
      </c>
      <c r="AA119" s="4">
        <f t="shared" si="717"/>
        <v>3335</v>
      </c>
      <c r="AB119" s="4">
        <f t="shared" si="718"/>
        <v>1780</v>
      </c>
      <c r="AC119" s="4">
        <f t="shared" si="719"/>
        <v>380</v>
      </c>
      <c r="AD119" s="4">
        <f t="shared" si="720"/>
        <v>125</v>
      </c>
      <c r="AE119" s="4">
        <f t="shared" si="721"/>
        <v>1343</v>
      </c>
      <c r="AF119" s="4">
        <f t="shared" si="722"/>
        <v>0</v>
      </c>
      <c r="AG119" s="4">
        <f t="shared" si="723"/>
        <v>576</v>
      </c>
      <c r="AH119" s="4">
        <f t="shared" si="724"/>
        <v>226</v>
      </c>
      <c r="AI119" s="4">
        <f t="shared" si="725"/>
        <v>5</v>
      </c>
      <c r="AJ119" s="4">
        <f t="shared" si="726"/>
        <v>161</v>
      </c>
      <c r="AK119" s="4">
        <f t="shared" si="773"/>
        <v>14038</v>
      </c>
      <c r="AL119" s="58">
        <f t="shared" si="774"/>
        <v>7.3372974585053981E-3</v>
      </c>
      <c r="AM119" s="58">
        <f t="shared" si="727"/>
        <v>5.7155463702095004E-4</v>
      </c>
      <c r="AN119" s="58">
        <f t="shared" si="728"/>
        <v>3.3786481006164537E-5</v>
      </c>
      <c r="AO119" s="58">
        <f t="shared" si="729"/>
        <v>2.0553442612083426E-4</v>
      </c>
      <c r="AP119" s="58">
        <f t="shared" si="730"/>
        <v>4.4907864337360363E-4</v>
      </c>
      <c r="AQ119" s="58">
        <f t="shared" si="731"/>
        <v>4.6949130898149474E-3</v>
      </c>
      <c r="AR119" s="58">
        <f t="shared" si="732"/>
        <v>2.5058306746238699E-3</v>
      </c>
      <c r="AS119" s="58">
        <f t="shared" si="733"/>
        <v>5.3495261593093852E-4</v>
      </c>
      <c r="AT119" s="58">
        <f t="shared" si="734"/>
        <v>1.759712552404403E-4</v>
      </c>
      <c r="AU119" s="58">
        <f t="shared" si="735"/>
        <v>1.8906351663032905E-3</v>
      </c>
      <c r="AV119" s="58">
        <f t="shared" si="736"/>
        <v>0</v>
      </c>
      <c r="AW119" s="58">
        <f t="shared" si="737"/>
        <v>8.1087554414794889E-4</v>
      </c>
      <c r="AX119" s="58">
        <f t="shared" si="738"/>
        <v>3.1815602947471606E-4</v>
      </c>
      <c r="AY119" s="58">
        <f t="shared" si="739"/>
        <v>7.0388502096176121E-6</v>
      </c>
      <c r="AZ119" s="58">
        <f t="shared" si="740"/>
        <v>2.2665097674968711E-4</v>
      </c>
      <c r="BA119" s="58">
        <f t="shared" si="775"/>
        <v>1.9762275848522408E-2</v>
      </c>
      <c r="BB119" s="4">
        <f t="shared" si="776"/>
        <v>703324.28776711202</v>
      </c>
      <c r="BC119" s="59">
        <f t="shared" si="741"/>
        <v>7.4105218469660197E-3</v>
      </c>
      <c r="BD119" s="59">
        <f t="shared" si="777"/>
        <v>5.772586089539916E-4</v>
      </c>
      <c r="BE119" s="59">
        <f t="shared" si="742"/>
        <v>3.4123661613043836E-5</v>
      </c>
      <c r="BF119" s="59">
        <f t="shared" si="743"/>
        <v>2.0758560814601668E-4</v>
      </c>
      <c r="BG119" s="59">
        <f t="shared" si="744"/>
        <v>4.5356033560670767E-4</v>
      </c>
      <c r="BH119" s="59">
        <f t="shared" si="745"/>
        <v>4.741767144979217E-3</v>
      </c>
      <c r="BI119" s="59">
        <f t="shared" si="746"/>
        <v>2.5308382363007516E-3</v>
      </c>
      <c r="BJ119" s="59">
        <f t="shared" si="747"/>
        <v>5.4029130887319409E-4</v>
      </c>
      <c r="BK119" s="59">
        <f t="shared" si="748"/>
        <v>1.7772740423460334E-4</v>
      </c>
      <c r="BL119" s="59">
        <f t="shared" si="749"/>
        <v>1.909503231096578E-3</v>
      </c>
      <c r="BM119" s="59">
        <f t="shared" si="750"/>
        <v>0</v>
      </c>
      <c r="BN119" s="59">
        <f t="shared" si="751"/>
        <v>8.1896787871305217E-4</v>
      </c>
      <c r="BO119" s="59">
        <f t="shared" si="792"/>
        <v>3.2133114685616281E-4</v>
      </c>
      <c r="BP119" s="59">
        <f t="shared" si="753"/>
        <v>7.1090961693841331E-6</v>
      </c>
      <c r="BQ119" s="59">
        <f t="shared" si="754"/>
        <v>2.2891289665416908E-4</v>
      </c>
      <c r="BR119" s="60">
        <f t="shared" si="793"/>
        <v>7.3077342876250043E-3</v>
      </c>
      <c r="BS119" s="60">
        <f t="shared" si="778"/>
        <v>8.4255037009122813E-4</v>
      </c>
      <c r="BT119" s="60">
        <f t="shared" si="779"/>
        <v>4.3640871299629196E-5</v>
      </c>
      <c r="BU119" s="60">
        <f t="shared" si="780"/>
        <v>2.0905385122564307E-4</v>
      </c>
      <c r="BV119" s="60">
        <f t="shared" si="781"/>
        <v>4.969428247990034E-4</v>
      </c>
      <c r="BW119" s="60">
        <f t="shared" si="782"/>
        <v>5.461443877642305E-3</v>
      </c>
      <c r="BX119" s="60">
        <f t="shared" si="783"/>
        <v>2.5079423296867549E-3</v>
      </c>
      <c r="BY119" s="60">
        <f t="shared" si="784"/>
        <v>1.0262643605622478E-3</v>
      </c>
      <c r="BZ119" s="60">
        <f t="shared" si="785"/>
        <v>4.4133590814302427E-4</v>
      </c>
      <c r="CA119" s="60">
        <f t="shared" si="786"/>
        <v>1.9659508635461991E-3</v>
      </c>
      <c r="CB119" s="60">
        <f t="shared" si="787"/>
        <v>0</v>
      </c>
      <c r="CC119" s="60">
        <f t="shared" si="788"/>
        <v>7.0599667602464649E-4</v>
      </c>
      <c r="CD119" s="60">
        <f t="shared" si="789"/>
        <v>3.3293761491491304E-4</v>
      </c>
      <c r="CE119" s="60">
        <f t="shared" si="790"/>
        <v>9.5024477829837753E-5</v>
      </c>
      <c r="CF119" s="13">
        <f t="shared" si="791"/>
        <v>2.5832580269296635E-4</v>
      </c>
    </row>
    <row r="120" spans="1:85" hidden="1" x14ac:dyDescent="0.25">
      <c r="A120" s="4" t="s">
        <v>0</v>
      </c>
      <c r="B120" s="56">
        <v>710343.28776711202</v>
      </c>
      <c r="C120" s="57">
        <v>9429</v>
      </c>
      <c r="D120" s="57">
        <v>279</v>
      </c>
      <c r="E120" s="57">
        <v>22</v>
      </c>
      <c r="F120" s="57">
        <v>432</v>
      </c>
      <c r="G120" s="57">
        <v>397</v>
      </c>
      <c r="H120" s="57">
        <v>3401</v>
      </c>
      <c r="I120" s="57">
        <v>3442</v>
      </c>
      <c r="J120" s="57">
        <v>534</v>
      </c>
      <c r="K120" s="57">
        <v>68</v>
      </c>
      <c r="L120" s="57">
        <v>1306</v>
      </c>
      <c r="M120" s="57">
        <v>14</v>
      </c>
      <c r="N120" s="57">
        <v>1141</v>
      </c>
      <c r="O120" s="57">
        <v>974</v>
      </c>
      <c r="P120" s="57">
        <v>7</v>
      </c>
      <c r="Q120" s="57">
        <v>178</v>
      </c>
      <c r="S120" s="4">
        <f t="shared" si="769"/>
        <v>1996</v>
      </c>
      <c r="T120" s="4" t="str">
        <f t="shared" si="770"/>
        <v>75+</v>
      </c>
      <c r="U120" s="56">
        <f t="shared" si="771"/>
        <v>710343.28776711202</v>
      </c>
      <c r="V120" s="4">
        <f t="shared" si="772"/>
        <v>9429</v>
      </c>
      <c r="W120" s="4">
        <f t="shared" si="713"/>
        <v>279</v>
      </c>
      <c r="X120" s="4">
        <f t="shared" si="714"/>
        <v>22</v>
      </c>
      <c r="Y120" s="4">
        <f t="shared" si="715"/>
        <v>432</v>
      </c>
      <c r="Z120" s="4">
        <f t="shared" si="716"/>
        <v>397</v>
      </c>
      <c r="AA120" s="4">
        <f t="shared" si="717"/>
        <v>3401</v>
      </c>
      <c r="AB120" s="4">
        <f t="shared" si="718"/>
        <v>3442</v>
      </c>
      <c r="AC120" s="4">
        <f t="shared" si="719"/>
        <v>534</v>
      </c>
      <c r="AD120" s="4">
        <f t="shared" si="720"/>
        <v>68</v>
      </c>
      <c r="AE120" s="4">
        <f t="shared" si="721"/>
        <v>1306</v>
      </c>
      <c r="AF120" s="4">
        <f t="shared" si="722"/>
        <v>14</v>
      </c>
      <c r="AG120" s="4">
        <f t="shared" si="723"/>
        <v>1141</v>
      </c>
      <c r="AH120" s="4">
        <f t="shared" si="724"/>
        <v>974</v>
      </c>
      <c r="AI120" s="4">
        <f t="shared" si="725"/>
        <v>7</v>
      </c>
      <c r="AJ120" s="4">
        <f t="shared" si="726"/>
        <v>178</v>
      </c>
      <c r="AK120" s="4">
        <f t="shared" si="773"/>
        <v>21624</v>
      </c>
      <c r="AL120" s="58">
        <f t="shared" si="774"/>
        <v>1.3273863725296892E-2</v>
      </c>
      <c r="AM120" s="58">
        <f t="shared" si="727"/>
        <v>3.9276784169666276E-4</v>
      </c>
      <c r="AN120" s="58">
        <f t="shared" si="728"/>
        <v>3.0970940922317494E-5</v>
      </c>
      <c r="AO120" s="58">
        <f t="shared" si="729"/>
        <v>6.0815665811096166E-4</v>
      </c>
      <c r="AP120" s="58">
        <f t="shared" si="730"/>
        <v>5.588847066436384E-4</v>
      </c>
      <c r="AQ120" s="58">
        <f t="shared" si="731"/>
        <v>4.7878259125818997E-3</v>
      </c>
      <c r="AR120" s="58">
        <f t="shared" si="732"/>
        <v>4.8455444843007638E-3</v>
      </c>
      <c r="AS120" s="58">
        <f t="shared" si="733"/>
        <v>7.5174920238716097E-4</v>
      </c>
      <c r="AT120" s="58">
        <f t="shared" si="734"/>
        <v>9.5728362850799526E-5</v>
      </c>
      <c r="AU120" s="58">
        <f t="shared" si="735"/>
        <v>1.8385476747521201E-3</v>
      </c>
      <c r="AV120" s="58">
        <f t="shared" si="736"/>
        <v>1.9708780586929314E-5</v>
      </c>
      <c r="AW120" s="58">
        <f t="shared" si="737"/>
        <v>1.606265617834739E-3</v>
      </c>
      <c r="AX120" s="58">
        <f t="shared" si="738"/>
        <v>1.3711680208335108E-3</v>
      </c>
      <c r="AY120" s="58">
        <f t="shared" si="739"/>
        <v>9.8543902934646572E-6</v>
      </c>
      <c r="AZ120" s="58">
        <f t="shared" si="740"/>
        <v>2.5058306746238699E-4</v>
      </c>
      <c r="BA120" s="58">
        <f t="shared" si="775"/>
        <v>3.0441619386554247E-2</v>
      </c>
      <c r="BB120" s="4">
        <f t="shared" si="776"/>
        <v>699531.28776711202</v>
      </c>
      <c r="BC120" s="59">
        <f t="shared" si="741"/>
        <v>1.3479025405850185E-2</v>
      </c>
      <c r="BD120" s="59">
        <f t="shared" si="777"/>
        <v>3.9883848639645793E-4</v>
      </c>
      <c r="BE120" s="59">
        <f t="shared" si="742"/>
        <v>3.1449629751692027E-5</v>
      </c>
      <c r="BF120" s="59">
        <f t="shared" si="743"/>
        <v>6.1755636603322511E-4</v>
      </c>
      <c r="BG120" s="59">
        <f t="shared" si="744"/>
        <v>5.6752286415553336E-4</v>
      </c>
      <c r="BH120" s="59">
        <f t="shared" si="745"/>
        <v>4.8618268538865713E-3</v>
      </c>
      <c r="BI120" s="59">
        <f t="shared" si="746"/>
        <v>4.9204375275147243E-3</v>
      </c>
      <c r="BJ120" s="59">
        <f t="shared" si="747"/>
        <v>7.6336828579107001E-4</v>
      </c>
      <c r="BK120" s="59">
        <f t="shared" si="748"/>
        <v>9.7207946505229885E-5</v>
      </c>
      <c r="BL120" s="59">
        <f t="shared" si="749"/>
        <v>1.8669643843504445E-3</v>
      </c>
      <c r="BM120" s="59">
        <f t="shared" si="750"/>
        <v>2.0013400751076742E-5</v>
      </c>
      <c r="BN120" s="59">
        <f t="shared" si="751"/>
        <v>1.6310921612127545E-3</v>
      </c>
      <c r="BO120" s="59">
        <f t="shared" si="792"/>
        <v>1.3923608808249104E-3</v>
      </c>
      <c r="BP120" s="59">
        <f t="shared" si="753"/>
        <v>1.0006700375538371E-5</v>
      </c>
      <c r="BQ120" s="59">
        <f t="shared" si="754"/>
        <v>2.5445609526369002E-4</v>
      </c>
      <c r="BR120" s="60">
        <f t="shared" si="793"/>
        <v>1.0305580591901146E-2</v>
      </c>
      <c r="BS120" s="60">
        <f t="shared" si="778"/>
        <v>4.8216123935880642E-4</v>
      </c>
      <c r="BT120" s="60">
        <f t="shared" si="779"/>
        <v>3.2378710964241012E-5</v>
      </c>
      <c r="BU120" s="60">
        <f t="shared" si="780"/>
        <v>4.0684554211589799E-4</v>
      </c>
      <c r="BV120" s="60">
        <f t="shared" si="781"/>
        <v>5.0398167500862096E-4</v>
      </c>
      <c r="BW120" s="60">
        <f t="shared" si="782"/>
        <v>4.7413695011984235E-3</v>
      </c>
      <c r="BX120" s="60">
        <f t="shared" si="783"/>
        <v>3.6756875794623171E-3</v>
      </c>
      <c r="BY120" s="60">
        <f t="shared" si="784"/>
        <v>6.4335090915904969E-4</v>
      </c>
      <c r="BZ120" s="60">
        <f t="shared" si="785"/>
        <v>1.3584980904561992E-4</v>
      </c>
      <c r="CA120" s="60">
        <f t="shared" si="786"/>
        <v>1.8645914205277054E-3</v>
      </c>
      <c r="CB120" s="60">
        <f t="shared" si="787"/>
        <v>9.8543902934646572E-6</v>
      </c>
      <c r="CC120" s="60">
        <f t="shared" si="788"/>
        <v>1.208570580991344E-3</v>
      </c>
      <c r="CD120" s="60">
        <f t="shared" si="789"/>
        <v>8.4466202515411342E-4</v>
      </c>
      <c r="CE120" s="60">
        <f t="shared" si="790"/>
        <v>8.4466202515411342E-6</v>
      </c>
      <c r="CF120" s="13">
        <f t="shared" si="791"/>
        <v>2.3861702210603705E-4</v>
      </c>
    </row>
    <row r="121" spans="1:85" hidden="1" x14ac:dyDescent="0.25">
      <c r="C121" s="4"/>
    </row>
    <row r="122" spans="1:85" hidden="1" x14ac:dyDescent="0.25">
      <c r="C122" s="4"/>
    </row>
    <row r="123" spans="1:85" hidden="1" x14ac:dyDescent="0.25">
      <c r="A123" s="4" t="s">
        <v>23</v>
      </c>
      <c r="B123" s="61">
        <v>1996</v>
      </c>
    </row>
    <row r="124" spans="1:85" hidden="1" x14ac:dyDescent="0.25"/>
    <row r="125" spans="1:85" s="21" customFormat="1" ht="23.25" hidden="1" customHeight="1" x14ac:dyDescent="0.25">
      <c r="A125" s="62" t="s">
        <v>46</v>
      </c>
      <c r="B125" s="62"/>
      <c r="C125" s="4" t="s">
        <v>35</v>
      </c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</row>
    <row r="126" spans="1:85" s="37" customFormat="1" ht="33" hidden="1" customHeight="1" x14ac:dyDescent="0.25">
      <c r="A126" s="63" t="s">
        <v>22</v>
      </c>
      <c r="B126" s="64" t="s">
        <v>24</v>
      </c>
      <c r="C126" s="64">
        <v>1</v>
      </c>
      <c r="D126" s="64">
        <v>10</v>
      </c>
      <c r="E126" s="64">
        <v>11</v>
      </c>
      <c r="F126" s="64">
        <v>12</v>
      </c>
      <c r="G126" s="64">
        <v>13</v>
      </c>
      <c r="H126" s="64">
        <v>2</v>
      </c>
      <c r="I126" s="64">
        <v>3</v>
      </c>
      <c r="J126" s="64">
        <v>4</v>
      </c>
      <c r="K126" s="64">
        <v>5</v>
      </c>
      <c r="L126" s="64">
        <v>6</v>
      </c>
      <c r="M126" s="64">
        <v>7</v>
      </c>
      <c r="N126" s="64">
        <v>8</v>
      </c>
      <c r="O126" s="64">
        <v>9</v>
      </c>
      <c r="P126" s="64">
        <v>14</v>
      </c>
      <c r="Q126" s="64">
        <v>15</v>
      </c>
      <c r="R126" s="64"/>
      <c r="S126" s="65" t="s">
        <v>23</v>
      </c>
      <c r="T126" s="65" t="s">
        <v>22</v>
      </c>
      <c r="U126" s="65" t="s">
        <v>181</v>
      </c>
      <c r="V126" s="66" t="str">
        <f>+CONCATENATE("dx","(",C126,")")</f>
        <v>dx(1)</v>
      </c>
      <c r="W126" s="66" t="str">
        <f t="shared" ref="W126" si="794">+CONCATENATE("dx","(",D126,")")</f>
        <v>dx(10)</v>
      </c>
      <c r="X126" s="66" t="str">
        <f t="shared" ref="X126" si="795">+CONCATENATE("dx","(",E126,")")</f>
        <v>dx(11)</v>
      </c>
      <c r="Y126" s="66" t="str">
        <f t="shared" ref="Y126" si="796">+CONCATENATE("dx","(",F126,")")</f>
        <v>dx(12)</v>
      </c>
      <c r="Z126" s="66" t="str">
        <f t="shared" ref="Z126" si="797">+CONCATENATE("dx","(",G126,")")</f>
        <v>dx(13)</v>
      </c>
      <c r="AA126" s="66" t="str">
        <f t="shared" ref="AA126" si="798">+CONCATENATE("dx","(",H126,")")</f>
        <v>dx(2)</v>
      </c>
      <c r="AB126" s="66" t="str">
        <f t="shared" ref="AB126" si="799">+CONCATENATE("dx","(",I126,")")</f>
        <v>dx(3)</v>
      </c>
      <c r="AC126" s="66" t="str">
        <f t="shared" ref="AC126" si="800">+CONCATENATE("dx","(",J126,")")</f>
        <v>dx(4)</v>
      </c>
      <c r="AD126" s="66" t="str">
        <f t="shared" ref="AD126" si="801">+CONCATENATE("dx","(",K126,")")</f>
        <v>dx(5)</v>
      </c>
      <c r="AE126" s="66" t="str">
        <f t="shared" ref="AE126" si="802">+CONCATENATE("dx","(",L126,")")</f>
        <v>dx(6)</v>
      </c>
      <c r="AF126" s="66" t="str">
        <f t="shared" ref="AF126" si="803">+CONCATENATE("dx","(",M126,")")</f>
        <v>dx(7)</v>
      </c>
      <c r="AG126" s="66" t="str">
        <f t="shared" ref="AG126" si="804">+CONCATENATE("dx","(",N126,")")</f>
        <v>dx(8)</v>
      </c>
      <c r="AH126" s="66" t="str">
        <f t="shared" ref="AH126" si="805">+CONCATENATE("dx","(",O126,")")</f>
        <v>dx(9)</v>
      </c>
      <c r="AI126" s="66" t="str">
        <f t="shared" ref="AI126" si="806">+CONCATENATE("dx","(",P126,")")</f>
        <v>dx(14)</v>
      </c>
      <c r="AJ126" s="66" t="str">
        <f t="shared" ref="AJ126" si="807">+CONCATENATE("dx","(",Q126,")")</f>
        <v>dx(15)</v>
      </c>
      <c r="AK126" s="66" t="s">
        <v>182</v>
      </c>
      <c r="AL126" s="66" t="str">
        <f t="shared" ref="AL126:AZ126" si="808">+CONCATENATE("qx","(",C126,")")</f>
        <v>qx(1)</v>
      </c>
      <c r="AM126" s="66" t="str">
        <f t="shared" si="808"/>
        <v>qx(10)</v>
      </c>
      <c r="AN126" s="66" t="str">
        <f t="shared" si="808"/>
        <v>qx(11)</v>
      </c>
      <c r="AO126" s="66" t="str">
        <f t="shared" si="808"/>
        <v>qx(12)</v>
      </c>
      <c r="AP126" s="66" t="str">
        <f t="shared" si="808"/>
        <v>qx(13)</v>
      </c>
      <c r="AQ126" s="66" t="str">
        <f t="shared" si="808"/>
        <v>qx(2)</v>
      </c>
      <c r="AR126" s="66" t="str">
        <f t="shared" si="808"/>
        <v>qx(3)</v>
      </c>
      <c r="AS126" s="66" t="str">
        <f t="shared" si="808"/>
        <v>qx(4)</v>
      </c>
      <c r="AT126" s="66" t="str">
        <f t="shared" si="808"/>
        <v>qx(5)</v>
      </c>
      <c r="AU126" s="66" t="str">
        <f t="shared" si="808"/>
        <v>qx(6)</v>
      </c>
      <c r="AV126" s="66" t="str">
        <f t="shared" si="808"/>
        <v>qx(7)</v>
      </c>
      <c r="AW126" s="66" t="str">
        <f t="shared" si="808"/>
        <v>qx(8)</v>
      </c>
      <c r="AX126" s="66" t="str">
        <f t="shared" si="808"/>
        <v>qx(9)</v>
      </c>
      <c r="AY126" s="66" t="str">
        <f t="shared" si="808"/>
        <v>qx(14)</v>
      </c>
      <c r="AZ126" s="66" t="str">
        <f t="shared" si="808"/>
        <v>qx(15)</v>
      </c>
      <c r="BA126" s="66" t="str">
        <f>+CONCATENATE("qx","(T)")</f>
        <v>qx(T)</v>
      </c>
      <c r="BB126" s="65" t="s">
        <v>184</v>
      </c>
      <c r="BC126" s="66" t="str">
        <f t="shared" ref="BC126:BQ126" si="809">+CONCATENATE("mx","(",C126,")")</f>
        <v>mx(1)</v>
      </c>
      <c r="BD126" s="66" t="str">
        <f t="shared" si="809"/>
        <v>mx(10)</v>
      </c>
      <c r="BE126" s="66" t="str">
        <f t="shared" si="809"/>
        <v>mx(11)</v>
      </c>
      <c r="BF126" s="66" t="str">
        <f t="shared" si="809"/>
        <v>mx(12)</v>
      </c>
      <c r="BG126" s="66" t="str">
        <f t="shared" si="809"/>
        <v>mx(13)</v>
      </c>
      <c r="BH126" s="66" t="str">
        <f t="shared" si="809"/>
        <v>mx(2)</v>
      </c>
      <c r="BI126" s="66" t="str">
        <f t="shared" si="809"/>
        <v>mx(3)</v>
      </c>
      <c r="BJ126" s="66" t="str">
        <f t="shared" si="809"/>
        <v>mx(4)</v>
      </c>
      <c r="BK126" s="66" t="str">
        <f t="shared" si="809"/>
        <v>mx(5)</v>
      </c>
      <c r="BL126" s="66" t="str">
        <f t="shared" si="809"/>
        <v>mx(6)</v>
      </c>
      <c r="BM126" s="66" t="str">
        <f t="shared" si="809"/>
        <v>mx(7)</v>
      </c>
      <c r="BN126" s="66" t="str">
        <f t="shared" si="809"/>
        <v>mx(8)</v>
      </c>
      <c r="BO126" s="66" t="str">
        <f t="shared" si="809"/>
        <v>mx(9)</v>
      </c>
      <c r="BP126" s="66" t="str">
        <f t="shared" si="809"/>
        <v>mx(14)</v>
      </c>
      <c r="BQ126" s="66" t="str">
        <f t="shared" si="809"/>
        <v>mx(15)</v>
      </c>
      <c r="BR126" s="66" t="str">
        <f>+CONCATENATE("µ(X)",C126)</f>
        <v>µ(X)1</v>
      </c>
      <c r="BS126" s="66" t="str">
        <f t="shared" ref="BS126" si="810">+CONCATENATE("µ(X)",D126)</f>
        <v>µ(X)10</v>
      </c>
      <c r="BT126" s="66" t="str">
        <f t="shared" ref="BT126" si="811">+CONCATENATE("µ(X)",E126)</f>
        <v>µ(X)11</v>
      </c>
      <c r="BU126" s="66" t="str">
        <f t="shared" ref="BU126" si="812">+CONCATENATE("µ(X)",F126)</f>
        <v>µ(X)12</v>
      </c>
      <c r="BV126" s="66" t="str">
        <f t="shared" ref="BV126" si="813">+CONCATENATE("µ(X)",G126)</f>
        <v>µ(X)13</v>
      </c>
      <c r="BW126" s="66" t="str">
        <f t="shared" ref="BW126" si="814">+CONCATENATE("µ(X)",H126)</f>
        <v>µ(X)2</v>
      </c>
      <c r="BX126" s="66" t="str">
        <f t="shared" ref="BX126" si="815">+CONCATENATE("µ(X)",I126)</f>
        <v>µ(X)3</v>
      </c>
      <c r="BY126" s="66" t="str">
        <f t="shared" ref="BY126" si="816">+CONCATENATE("µ(X)",J126)</f>
        <v>µ(X)4</v>
      </c>
      <c r="BZ126" s="66" t="str">
        <f t="shared" ref="BZ126" si="817">+CONCATENATE("µ(X)",K126)</f>
        <v>µ(X)5</v>
      </c>
      <c r="CA126" s="66" t="str">
        <f t="shared" ref="CA126" si="818">+CONCATENATE("µ(X)",L126)</f>
        <v>µ(X)6</v>
      </c>
      <c r="CB126" s="66" t="str">
        <f t="shared" ref="CB126" si="819">+CONCATENATE("µ(X)",M126)</f>
        <v>µ(X)7</v>
      </c>
      <c r="CC126" s="66" t="str">
        <f t="shared" ref="CC126" si="820">+CONCATENATE("µ(X)",N126)</f>
        <v>µ(X)8</v>
      </c>
      <c r="CD126" s="66" t="str">
        <f t="shared" ref="CD126" si="821">+CONCATENATE("µ(X)",O126)</f>
        <v>µ(X)9</v>
      </c>
      <c r="CE126" s="66" t="str">
        <f t="shared" ref="CE126" si="822">+CONCATENATE("µ(X)",P126)</f>
        <v>µ(X)14</v>
      </c>
      <c r="CF126" s="42" t="str">
        <f t="shared" ref="CF126" si="823">+CONCATENATE("µ(X)",Q126)</f>
        <v>µ(X)15</v>
      </c>
      <c r="CG126" s="36"/>
    </row>
    <row r="127" spans="1:85" hidden="1" x14ac:dyDescent="0.25">
      <c r="A127" s="4" t="s">
        <v>6</v>
      </c>
      <c r="B127" s="56">
        <v>2669011.0638103201</v>
      </c>
      <c r="C127" s="57">
        <v>82</v>
      </c>
      <c r="D127" s="57">
        <v>35</v>
      </c>
      <c r="E127" s="57">
        <v>1552</v>
      </c>
      <c r="F127" s="57">
        <v>2468</v>
      </c>
      <c r="G127" s="57">
        <v>37</v>
      </c>
      <c r="H127" s="57">
        <v>159</v>
      </c>
      <c r="I127" s="57">
        <v>14</v>
      </c>
      <c r="J127" s="57">
        <v>786</v>
      </c>
      <c r="K127" s="57">
        <v>32</v>
      </c>
      <c r="L127" s="57">
        <v>12</v>
      </c>
      <c r="M127" s="57">
        <v>5626</v>
      </c>
      <c r="N127" s="57">
        <v>114</v>
      </c>
      <c r="O127" s="57">
        <v>877</v>
      </c>
      <c r="P127" s="57">
        <v>21</v>
      </c>
      <c r="Q127" s="57">
        <v>29</v>
      </c>
      <c r="S127" s="4">
        <f>+$B$123</f>
        <v>1996</v>
      </c>
      <c r="T127" s="4" t="str">
        <f>+A127</f>
        <v>0-4</v>
      </c>
      <c r="U127" s="56">
        <f>+B127</f>
        <v>2669011.0638103201</v>
      </c>
      <c r="V127" s="4">
        <f>+C127</f>
        <v>82</v>
      </c>
      <c r="W127" s="4">
        <f t="shared" ref="W127:W133" si="824">+D127</f>
        <v>35</v>
      </c>
      <c r="X127" s="4">
        <f t="shared" ref="X127:X133" si="825">+E127</f>
        <v>1552</v>
      </c>
      <c r="Y127" s="4">
        <f t="shared" ref="Y127:Y133" si="826">+F127</f>
        <v>2468</v>
      </c>
      <c r="Z127" s="4">
        <f t="shared" ref="Z127:Z133" si="827">+G127</f>
        <v>37</v>
      </c>
      <c r="AA127" s="4">
        <f t="shared" ref="AA127:AA133" si="828">+H127</f>
        <v>159</v>
      </c>
      <c r="AB127" s="4">
        <f t="shared" ref="AB127:AB133" si="829">+I127</f>
        <v>14</v>
      </c>
      <c r="AC127" s="4">
        <f t="shared" ref="AC127:AC133" si="830">+J127</f>
        <v>786</v>
      </c>
      <c r="AD127" s="4">
        <f t="shared" ref="AD127:AD133" si="831">+K127</f>
        <v>32</v>
      </c>
      <c r="AE127" s="4">
        <f t="shared" ref="AE127:AE133" si="832">+L127</f>
        <v>12</v>
      </c>
      <c r="AF127" s="4">
        <f t="shared" ref="AF127:AF133" si="833">+M127</f>
        <v>5626</v>
      </c>
      <c r="AG127" s="4">
        <f t="shared" ref="AG127:AG133" si="834">+N127</f>
        <v>114</v>
      </c>
      <c r="AH127" s="4">
        <f t="shared" ref="AH127:AH133" si="835">+O127</f>
        <v>877</v>
      </c>
      <c r="AI127" s="4">
        <f t="shared" ref="AI127:AI133" si="836">+P127</f>
        <v>21</v>
      </c>
      <c r="AJ127" s="4">
        <f t="shared" ref="AJ127:AJ133" si="837">+Q127</f>
        <v>29</v>
      </c>
      <c r="AK127" s="4">
        <f>+SUM(V127:AJ127)</f>
        <v>11844</v>
      </c>
      <c r="AL127" s="58">
        <f>+V127/$U127</f>
        <v>3.072298991632338E-5</v>
      </c>
      <c r="AM127" s="58">
        <f t="shared" ref="AM127:AM133" si="838">+W127/$U127</f>
        <v>1.3113471305747784E-5</v>
      </c>
      <c r="AN127" s="58">
        <f t="shared" ref="AN127:AN133" si="839">+X127/$U127</f>
        <v>5.8148878475773028E-4</v>
      </c>
      <c r="AO127" s="58">
        <f t="shared" ref="AO127:AO133" si="840">+Y127/$U127</f>
        <v>9.2468706235958656E-4</v>
      </c>
      <c r="AP127" s="58">
        <f t="shared" ref="AP127:AP133" si="841">+Z127/$U127</f>
        <v>1.3862812523219085E-5</v>
      </c>
      <c r="AQ127" s="58">
        <f t="shared" ref="AQ127:AQ133" si="842">+AA127/$U127</f>
        <v>5.9572626788968504E-5</v>
      </c>
      <c r="AR127" s="58">
        <f t="shared" ref="AR127:AR133" si="843">+AB127/$U127</f>
        <v>5.2453885222991139E-6</v>
      </c>
      <c r="AS127" s="58">
        <f t="shared" ref="AS127:AS133" si="844">+AC127/$U127</f>
        <v>2.9449109846622164E-4</v>
      </c>
      <c r="AT127" s="58">
        <f t="shared" ref="AT127:AT133" si="845">+AD127/$U127</f>
        <v>1.1989459479540831E-5</v>
      </c>
      <c r="AU127" s="58">
        <f t="shared" ref="AU127:AU133" si="846">+AE127/$U127</f>
        <v>4.4960473048278115E-6</v>
      </c>
      <c r="AV127" s="58">
        <f t="shared" ref="AV127:AV133" si="847">+AF127/$U127</f>
        <v>2.1078968447467723E-3</v>
      </c>
      <c r="AW127" s="58">
        <f t="shared" ref="AW127:AW133" si="848">+AG127/$U127</f>
        <v>4.2712449395864211E-5</v>
      </c>
      <c r="AX127" s="58">
        <f t="shared" ref="AX127:AX133" si="849">+AH127/$U127</f>
        <v>3.2858612386116591E-4</v>
      </c>
      <c r="AY127" s="58">
        <f t="shared" ref="AY127:AY133" si="850">+AI127/$U127</f>
        <v>7.86808278344867E-6</v>
      </c>
      <c r="AZ127" s="58">
        <f t="shared" ref="AZ127:AZ133" si="851">+AJ127/$U127</f>
        <v>1.0865447653333878E-5</v>
      </c>
      <c r="BA127" s="58">
        <f>+AK127/U127</f>
        <v>4.4375986898650497E-3</v>
      </c>
      <c r="BB127" s="4">
        <f>+U127-(0.5*AK127)</f>
        <v>2663089.0638103201</v>
      </c>
      <c r="BC127" s="59">
        <f t="shared" ref="BC127:BC133" si="852">+AL127/(1-(0.5*$BA127))</f>
        <v>3.0791309654013318E-5</v>
      </c>
      <c r="BD127" s="59">
        <f>+AM127/(1-(0.5*$BA127))</f>
        <v>1.3142632169395928E-5</v>
      </c>
      <c r="BE127" s="59">
        <f t="shared" ref="BE127:BE133" si="853">+AN127/(1-(0.5*$BA127))</f>
        <v>5.8278186076864233E-4</v>
      </c>
      <c r="BF127" s="59">
        <f t="shared" ref="BF127:BF133" si="854">+AO127/(1-(0.5*$BA127))</f>
        <v>9.2674331983054719E-4</v>
      </c>
      <c r="BG127" s="59">
        <f t="shared" ref="BG127:BG133" si="855">+AP127/(1-(0.5*$BA127))</f>
        <v>1.3893639721932839E-5</v>
      </c>
      <c r="BH127" s="59">
        <f t="shared" ref="BH127:BH133" si="856">+AQ127/(1-(0.5*$BA127))</f>
        <v>5.9705100426684362E-5</v>
      </c>
      <c r="BI127" s="59">
        <f t="shared" ref="BI127:BI133" si="857">+AR127/(1-(0.5*$BA127))</f>
        <v>5.2570528677583717E-6</v>
      </c>
      <c r="BJ127" s="59">
        <f t="shared" ref="BJ127:BJ133" si="858">+AS127/(1-(0.5*$BA127))</f>
        <v>2.9514596814700567E-4</v>
      </c>
      <c r="BK127" s="59">
        <f t="shared" ref="BK127:BK133" si="859">+AT127/(1-(0.5*$BA127))</f>
        <v>1.2016120840590563E-5</v>
      </c>
      <c r="BL127" s="59">
        <f t="shared" ref="BL127:BL133" si="860">+AU127/(1-(0.5*$BA127))</f>
        <v>4.5060453152214609E-6</v>
      </c>
      <c r="BM127" s="59">
        <f t="shared" ref="BM127:BM133" si="861">+AV127/(1-(0.5*$BA127))</f>
        <v>2.1125842452863284E-3</v>
      </c>
      <c r="BN127" s="59">
        <f t="shared" ref="BN127:BN133" si="862">+AW127/(1-(0.5*$BA127))</f>
        <v>4.2807430494603885E-5</v>
      </c>
      <c r="BO127" s="59">
        <f t="shared" ref="BO127" si="863">+AX127/(1-(0.5*$BA127))</f>
        <v>3.2931681178743514E-4</v>
      </c>
      <c r="BP127" s="59">
        <f t="shared" ref="BP127:BP133" si="864">+AY127/(1-(0.5*$BA127))</f>
        <v>7.8855793016375572E-6</v>
      </c>
      <c r="BQ127" s="59">
        <f t="shared" ref="BQ127:BQ133" si="865">+AZ127/(1-(0.5*$BA127))</f>
        <v>1.0889609511785197E-5</v>
      </c>
      <c r="BR127" s="60">
        <f>+V127/(2*$U127)</f>
        <v>1.536149495816169E-5</v>
      </c>
      <c r="BS127" s="60">
        <f t="shared" ref="BS127" si="866">+W127/(2*$U127)</f>
        <v>6.5567356528738919E-6</v>
      </c>
      <c r="BT127" s="60">
        <f t="shared" ref="BT127" si="867">+X127/(2*$U127)</f>
        <v>2.9074439237886514E-4</v>
      </c>
      <c r="BU127" s="60">
        <f t="shared" ref="BU127" si="868">+Y127/(2*$U127)</f>
        <v>4.6234353117979328E-4</v>
      </c>
      <c r="BV127" s="60">
        <f t="shared" ref="BV127" si="869">+Z127/(2*$U127)</f>
        <v>6.9314062616095427E-6</v>
      </c>
      <c r="BW127" s="60">
        <f t="shared" ref="BW127" si="870">+AA127/(2*$U127)</f>
        <v>2.9786313394484252E-5</v>
      </c>
      <c r="BX127" s="60">
        <f t="shared" ref="BX127" si="871">+AB127/(2*$U127)</f>
        <v>2.6226942611495569E-6</v>
      </c>
      <c r="BY127" s="60">
        <f t="shared" ref="BY127" si="872">+AC127/(2*$U127)</f>
        <v>1.4724554923311082E-4</v>
      </c>
      <c r="BZ127" s="60">
        <f t="shared" ref="BZ127" si="873">+AD127/(2*$U127)</f>
        <v>5.9947297397704154E-6</v>
      </c>
      <c r="CA127" s="60">
        <f t="shared" ref="CA127" si="874">+AE127/(2*$U127)</f>
        <v>2.2480236524139058E-6</v>
      </c>
      <c r="CB127" s="60">
        <f t="shared" ref="CB127" si="875">+AF127/(2*$U127)</f>
        <v>1.0539484223733861E-3</v>
      </c>
      <c r="CC127" s="60">
        <f t="shared" ref="CC127" si="876">+AG127/(2*$U127)</f>
        <v>2.1356224697932105E-5</v>
      </c>
      <c r="CD127" s="60">
        <f t="shared" ref="CD127" si="877">+AH127/(2*$U127)</f>
        <v>1.6429306193058296E-4</v>
      </c>
      <c r="CE127" s="60">
        <f t="shared" ref="CE127" si="878">+AI127/(2*$U127)</f>
        <v>3.934041391724335E-6</v>
      </c>
      <c r="CF127" s="13">
        <f t="shared" ref="CF127" si="879">+AJ127/(2*$U127)</f>
        <v>5.4327238266669388E-6</v>
      </c>
    </row>
    <row r="128" spans="1:85" hidden="1" x14ac:dyDescent="0.25">
      <c r="A128" s="4" t="s">
        <v>5</v>
      </c>
      <c r="B128" s="56">
        <v>5336689.2615659405</v>
      </c>
      <c r="C128" s="57">
        <v>50</v>
      </c>
      <c r="D128" s="57">
        <v>18</v>
      </c>
      <c r="E128" s="57">
        <v>121</v>
      </c>
      <c r="F128" s="57">
        <v>79</v>
      </c>
      <c r="G128" s="57">
        <v>18</v>
      </c>
      <c r="H128" s="57">
        <v>266</v>
      </c>
      <c r="I128" s="57">
        <v>18</v>
      </c>
      <c r="J128" s="57">
        <v>659</v>
      </c>
      <c r="K128" s="57">
        <v>105</v>
      </c>
      <c r="L128" s="57">
        <v>16</v>
      </c>
      <c r="M128" s="57">
        <v>2</v>
      </c>
      <c r="N128" s="57">
        <v>15</v>
      </c>
      <c r="O128" s="57">
        <v>82</v>
      </c>
      <c r="P128" s="57">
        <v>2</v>
      </c>
      <c r="Q128" s="57">
        <v>34</v>
      </c>
      <c r="S128" s="4">
        <f t="shared" ref="S128:S133" si="880">+$B$123</f>
        <v>1996</v>
      </c>
      <c r="T128" s="4" t="str">
        <f t="shared" ref="T128:T133" si="881">+A128</f>
        <v>5-14</v>
      </c>
      <c r="U128" s="56">
        <f t="shared" ref="U128:U133" si="882">+B128</f>
        <v>5336689.2615659405</v>
      </c>
      <c r="V128" s="4">
        <f t="shared" ref="V128:V133" si="883">+C128</f>
        <v>50</v>
      </c>
      <c r="W128" s="4">
        <f t="shared" si="824"/>
        <v>18</v>
      </c>
      <c r="X128" s="4">
        <f t="shared" si="825"/>
        <v>121</v>
      </c>
      <c r="Y128" s="4">
        <f t="shared" si="826"/>
        <v>79</v>
      </c>
      <c r="Z128" s="4">
        <f t="shared" si="827"/>
        <v>18</v>
      </c>
      <c r="AA128" s="4">
        <f t="shared" si="828"/>
        <v>266</v>
      </c>
      <c r="AB128" s="4">
        <f t="shared" si="829"/>
        <v>18</v>
      </c>
      <c r="AC128" s="4">
        <f t="shared" si="830"/>
        <v>659</v>
      </c>
      <c r="AD128" s="4">
        <f t="shared" si="831"/>
        <v>105</v>
      </c>
      <c r="AE128" s="4">
        <f t="shared" si="832"/>
        <v>16</v>
      </c>
      <c r="AF128" s="4">
        <f t="shared" si="833"/>
        <v>2</v>
      </c>
      <c r="AG128" s="4">
        <f t="shared" si="834"/>
        <v>15</v>
      </c>
      <c r="AH128" s="4">
        <f t="shared" si="835"/>
        <v>82</v>
      </c>
      <c r="AI128" s="4">
        <f t="shared" si="836"/>
        <v>2</v>
      </c>
      <c r="AJ128" s="4">
        <f t="shared" si="837"/>
        <v>34</v>
      </c>
      <c r="AK128" s="4">
        <f t="shared" ref="AK128:AK133" si="884">+SUM(V128:AJ128)</f>
        <v>1485</v>
      </c>
      <c r="AL128" s="58">
        <f t="shared" ref="AL128:AL133" si="885">+V128/$U128</f>
        <v>9.3691046169940461E-6</v>
      </c>
      <c r="AM128" s="58">
        <f t="shared" si="838"/>
        <v>3.3728776621178566E-6</v>
      </c>
      <c r="AN128" s="58">
        <f t="shared" si="839"/>
        <v>2.2673233173125591E-5</v>
      </c>
      <c r="AO128" s="58">
        <f t="shared" si="840"/>
        <v>1.4803185294850593E-5</v>
      </c>
      <c r="AP128" s="58">
        <f t="shared" si="841"/>
        <v>3.3728776621178566E-6</v>
      </c>
      <c r="AQ128" s="58">
        <f t="shared" si="842"/>
        <v>4.9843636562408325E-5</v>
      </c>
      <c r="AR128" s="58">
        <f t="shared" si="843"/>
        <v>3.3728776621178566E-6</v>
      </c>
      <c r="AS128" s="58">
        <f t="shared" si="844"/>
        <v>1.2348479885198154E-4</v>
      </c>
      <c r="AT128" s="58">
        <f t="shared" si="845"/>
        <v>1.9675119695687498E-5</v>
      </c>
      <c r="AU128" s="58">
        <f t="shared" si="846"/>
        <v>2.998113477438095E-6</v>
      </c>
      <c r="AV128" s="58">
        <f t="shared" si="847"/>
        <v>3.7476418467976187E-7</v>
      </c>
      <c r="AW128" s="58">
        <f t="shared" si="848"/>
        <v>2.8107313850982138E-6</v>
      </c>
      <c r="AX128" s="58">
        <f t="shared" si="849"/>
        <v>1.5365331571870237E-5</v>
      </c>
      <c r="AY128" s="58">
        <f t="shared" si="850"/>
        <v>3.7476418467976187E-7</v>
      </c>
      <c r="AZ128" s="58">
        <f t="shared" si="851"/>
        <v>6.3709911395559516E-6</v>
      </c>
      <c r="BA128" s="58">
        <f t="shared" ref="BA128:BA133" si="886">+AK128/U128</f>
        <v>2.7826240712472319E-4</v>
      </c>
      <c r="BB128" s="4">
        <f t="shared" ref="BB128:BB133" si="887">+U128-(0.5*AK128)</f>
        <v>5335946.7615659405</v>
      </c>
      <c r="BC128" s="59">
        <f t="shared" si="852"/>
        <v>9.3704083331833129E-6</v>
      </c>
      <c r="BD128" s="59">
        <f t="shared" ref="BD128:BD133" si="888">+AM128/(1-(0.5*$BA128))</f>
        <v>3.3733469999459925E-6</v>
      </c>
      <c r="BE128" s="59">
        <f t="shared" si="853"/>
        <v>2.2676388166303615E-5</v>
      </c>
      <c r="BF128" s="59">
        <f t="shared" si="854"/>
        <v>1.4805245166429634E-5</v>
      </c>
      <c r="BG128" s="59">
        <f t="shared" si="855"/>
        <v>3.3733469999459925E-6</v>
      </c>
      <c r="BH128" s="59">
        <f t="shared" si="856"/>
        <v>4.9850572332535225E-5</v>
      </c>
      <c r="BI128" s="59">
        <f t="shared" si="857"/>
        <v>3.3733469999459925E-6</v>
      </c>
      <c r="BJ128" s="59">
        <f t="shared" si="858"/>
        <v>1.2350198183135608E-4</v>
      </c>
      <c r="BK128" s="59">
        <f t="shared" si="859"/>
        <v>1.9677857499684958E-5</v>
      </c>
      <c r="BL128" s="59">
        <f t="shared" si="860"/>
        <v>2.9985306666186604E-6</v>
      </c>
      <c r="BM128" s="59">
        <f t="shared" si="861"/>
        <v>3.7481633332733255E-7</v>
      </c>
      <c r="BN128" s="59">
        <f t="shared" si="862"/>
        <v>2.8111224999549937E-6</v>
      </c>
      <c r="BO128" s="59">
        <f>+AX128/(1-(0.5*$BA128))</f>
        <v>1.5367469666420634E-5</v>
      </c>
      <c r="BP128" s="59">
        <f t="shared" si="864"/>
        <v>3.7481633332733255E-7</v>
      </c>
      <c r="BQ128" s="59">
        <f t="shared" si="865"/>
        <v>6.3718776665646525E-6</v>
      </c>
      <c r="BR128" s="60">
        <f>+(V127+V128)/(2*$U128)</f>
        <v>1.2367218094432141E-5</v>
      </c>
      <c r="BS128" s="60">
        <f t="shared" ref="BS128:BS133" si="889">+(W127+W128)/(2*$U128)</f>
        <v>4.9656254470068449E-6</v>
      </c>
      <c r="BT128" s="60">
        <f t="shared" ref="BT128:BT133" si="890">+(X127+X128)/(2*$U128)</f>
        <v>1.567451202423104E-4</v>
      </c>
      <c r="BU128" s="60">
        <f t="shared" ref="BU128:BU133" si="891">+(Y127+Y128)/(2*$U128)</f>
        <v>2.3863109459483836E-4</v>
      </c>
      <c r="BV128" s="60">
        <f t="shared" ref="BV128:BV133" si="892">+(Z127+Z128)/(2*$U128)</f>
        <v>5.1530075393467253E-6</v>
      </c>
      <c r="BW128" s="60">
        <f t="shared" ref="BW128:BW133" si="893">+(AA127+AA128)/(2*$U128)</f>
        <v>3.98186946222247E-5</v>
      </c>
      <c r="BX128" s="60">
        <f t="shared" ref="BX128:BX133" si="894">+(AB127+AB128)/(2*$U128)</f>
        <v>2.998113477438095E-6</v>
      </c>
      <c r="BY128" s="60">
        <f t="shared" ref="BY128:BY133" si="895">+(AC127+AC128)/(2*$U128)</f>
        <v>1.3538356171556397E-4</v>
      </c>
      <c r="BZ128" s="60">
        <f t="shared" ref="BZ128:BZ133" si="896">+(AD127+AD128)/(2*$U128)</f>
        <v>1.2835673325281844E-5</v>
      </c>
      <c r="CA128" s="60">
        <f t="shared" ref="CA128:CA133" si="897">+(AE127+AE128)/(2*$U128)</f>
        <v>2.6233492927583329E-6</v>
      </c>
      <c r="CB128" s="60">
        <f t="shared" ref="CB128:CB133" si="898">+(AF127+AF128)/(2*$U128)</f>
        <v>5.2729320784442491E-4</v>
      </c>
      <c r="CC128" s="60">
        <f t="shared" ref="CC128:CC133" si="899">+(AG127+AG128)/(2*$U128)</f>
        <v>1.2086144955922319E-5</v>
      </c>
      <c r="CD128" s="60">
        <f t="shared" ref="CD128:CD133" si="900">+(AH127+AH128)/(2*$U128)</f>
        <v>8.9849713276972899E-5</v>
      </c>
      <c r="CE128" s="60">
        <f t="shared" ref="CE128:CE133" si="901">+(AI127+AI128)/(2*$U128)</f>
        <v>2.1548940619086307E-6</v>
      </c>
      <c r="CF128" s="13">
        <f t="shared" ref="CF128:CF133" si="902">+(AJ127+AJ128)/(2*$U128)</f>
        <v>5.9025359087062493E-6</v>
      </c>
    </row>
    <row r="129" spans="1:85" hidden="1" x14ac:dyDescent="0.25">
      <c r="A129" s="4" t="s">
        <v>4</v>
      </c>
      <c r="B129" s="56">
        <v>4328734.7335640304</v>
      </c>
      <c r="C129" s="57">
        <v>101</v>
      </c>
      <c r="D129" s="57">
        <v>34</v>
      </c>
      <c r="E129" s="57">
        <v>66</v>
      </c>
      <c r="F129" s="57">
        <v>36</v>
      </c>
      <c r="G129" s="57">
        <v>71</v>
      </c>
      <c r="H129" s="57">
        <v>301</v>
      </c>
      <c r="I129" s="57">
        <v>64</v>
      </c>
      <c r="J129" s="57">
        <v>1352</v>
      </c>
      <c r="K129" s="57">
        <v>1694</v>
      </c>
      <c r="L129" s="57">
        <v>51</v>
      </c>
      <c r="M129" s="57">
        <v>0</v>
      </c>
      <c r="N129" s="57">
        <v>33</v>
      </c>
      <c r="O129" s="57">
        <v>90</v>
      </c>
      <c r="P129" s="57">
        <v>47</v>
      </c>
      <c r="Q129" s="57">
        <v>27</v>
      </c>
      <c r="S129" s="4">
        <f t="shared" si="880"/>
        <v>1996</v>
      </c>
      <c r="T129" s="4" t="str">
        <f t="shared" si="881"/>
        <v>15-24</v>
      </c>
      <c r="U129" s="56">
        <f t="shared" si="882"/>
        <v>4328734.7335640304</v>
      </c>
      <c r="V129" s="4">
        <f t="shared" si="883"/>
        <v>101</v>
      </c>
      <c r="W129" s="4">
        <f t="shared" si="824"/>
        <v>34</v>
      </c>
      <c r="X129" s="4">
        <f t="shared" si="825"/>
        <v>66</v>
      </c>
      <c r="Y129" s="4">
        <f t="shared" si="826"/>
        <v>36</v>
      </c>
      <c r="Z129" s="4">
        <f t="shared" si="827"/>
        <v>71</v>
      </c>
      <c r="AA129" s="4">
        <f t="shared" si="828"/>
        <v>301</v>
      </c>
      <c r="AB129" s="4">
        <f t="shared" si="829"/>
        <v>64</v>
      </c>
      <c r="AC129" s="4">
        <f t="shared" si="830"/>
        <v>1352</v>
      </c>
      <c r="AD129" s="4">
        <f t="shared" si="831"/>
        <v>1694</v>
      </c>
      <c r="AE129" s="4">
        <f t="shared" si="832"/>
        <v>51</v>
      </c>
      <c r="AF129" s="4">
        <f t="shared" si="833"/>
        <v>0</v>
      </c>
      <c r="AG129" s="4">
        <f t="shared" si="834"/>
        <v>33</v>
      </c>
      <c r="AH129" s="4">
        <f t="shared" si="835"/>
        <v>90</v>
      </c>
      <c r="AI129" s="4">
        <f t="shared" si="836"/>
        <v>47</v>
      </c>
      <c r="AJ129" s="4">
        <f t="shared" si="837"/>
        <v>27</v>
      </c>
      <c r="AK129" s="4">
        <f t="shared" si="884"/>
        <v>3967</v>
      </c>
      <c r="AL129" s="58">
        <f t="shared" si="885"/>
        <v>2.3332453064603114E-5</v>
      </c>
      <c r="AM129" s="58">
        <f t="shared" si="838"/>
        <v>7.8544891504604536E-6</v>
      </c>
      <c r="AN129" s="58">
        <f t="shared" si="839"/>
        <v>1.5246949527364411E-5</v>
      </c>
      <c r="AO129" s="58">
        <f t="shared" si="840"/>
        <v>8.3165179240169518E-6</v>
      </c>
      <c r="AP129" s="58">
        <f t="shared" si="841"/>
        <v>1.6402021461255655E-5</v>
      </c>
      <c r="AQ129" s="58">
        <f t="shared" si="842"/>
        <v>6.9535330420252836E-5</v>
      </c>
      <c r="AR129" s="58">
        <f t="shared" si="843"/>
        <v>1.4784920753807913E-5</v>
      </c>
      <c r="AS129" s="58">
        <f t="shared" si="844"/>
        <v>3.1233145092419214E-4</v>
      </c>
      <c r="AT129" s="58">
        <f t="shared" si="845"/>
        <v>3.9133837120235322E-4</v>
      </c>
      <c r="AU129" s="58">
        <f t="shared" si="846"/>
        <v>1.1781733725690681E-5</v>
      </c>
      <c r="AV129" s="58">
        <f t="shared" si="847"/>
        <v>0</v>
      </c>
      <c r="AW129" s="58">
        <f t="shared" si="848"/>
        <v>7.6234747636822054E-6</v>
      </c>
      <c r="AX129" s="58">
        <f t="shared" si="849"/>
        <v>2.0791294810042377E-5</v>
      </c>
      <c r="AY129" s="58">
        <f t="shared" si="850"/>
        <v>1.0857676178577687E-5</v>
      </c>
      <c r="AZ129" s="58">
        <f t="shared" si="851"/>
        <v>6.2373884430127134E-6</v>
      </c>
      <c r="BA129" s="58">
        <f t="shared" si="886"/>
        <v>9.1643407234931235E-4</v>
      </c>
      <c r="BB129" s="4">
        <f t="shared" si="887"/>
        <v>4326751.2335640304</v>
      </c>
      <c r="BC129" s="59">
        <f t="shared" si="852"/>
        <v>2.3343149293287266E-5</v>
      </c>
      <c r="BD129" s="59">
        <f t="shared" si="888"/>
        <v>7.8580898611066048E-6</v>
      </c>
      <c r="BE129" s="59">
        <f t="shared" si="853"/>
        <v>1.5253939142148115E-5</v>
      </c>
      <c r="BF129" s="59">
        <f t="shared" si="854"/>
        <v>8.3203304411716991E-6</v>
      </c>
      <c r="BG129" s="59">
        <f t="shared" si="855"/>
        <v>1.640954059231085E-5</v>
      </c>
      <c r="BH129" s="59">
        <f t="shared" si="856"/>
        <v>6.9567207299796693E-5</v>
      </c>
      <c r="BI129" s="59">
        <f t="shared" si="857"/>
        <v>1.4791698562083019E-5</v>
      </c>
      <c r="BJ129" s="59">
        <f t="shared" si="858"/>
        <v>3.1247463212400378E-4</v>
      </c>
      <c r="BK129" s="59">
        <f t="shared" si="859"/>
        <v>3.9151777131513494E-4</v>
      </c>
      <c r="BL129" s="59">
        <f t="shared" si="860"/>
        <v>1.1787134791659907E-5</v>
      </c>
      <c r="BM129" s="59">
        <f t="shared" si="861"/>
        <v>0</v>
      </c>
      <c r="BN129" s="59">
        <f t="shared" si="862"/>
        <v>7.6269695710740576E-6</v>
      </c>
      <c r="BO129" s="59">
        <f t="shared" ref="BO129:BO133" si="903">+AX129/(1-(0.5*$BA129))</f>
        <v>2.0800826102929245E-5</v>
      </c>
      <c r="BP129" s="59">
        <f t="shared" si="864"/>
        <v>1.0862653631529719E-5</v>
      </c>
      <c r="BQ129" s="59">
        <f t="shared" si="865"/>
        <v>6.2402478308787739E-6</v>
      </c>
      <c r="BR129" s="60">
        <f t="shared" ref="BR129:BR133" si="904">+(V128+V129)/(2*$U129)</f>
        <v>1.7441586201757774E-5</v>
      </c>
      <c r="BS129" s="60">
        <f t="shared" si="889"/>
        <v>6.0063740562344643E-6</v>
      </c>
      <c r="BT129" s="60">
        <f t="shared" si="890"/>
        <v>2.1599845163766247E-5</v>
      </c>
      <c r="BU129" s="60">
        <f t="shared" si="891"/>
        <v>1.3283327239749297E-5</v>
      </c>
      <c r="BV129" s="60">
        <f t="shared" si="892"/>
        <v>1.0280140211632064E-5</v>
      </c>
      <c r="BW129" s="60">
        <f t="shared" si="893"/>
        <v>6.5492578651633488E-5</v>
      </c>
      <c r="BX129" s="60">
        <f t="shared" si="894"/>
        <v>9.4715898579081938E-6</v>
      </c>
      <c r="BY129" s="60">
        <f t="shared" si="895"/>
        <v>2.3228496590552901E-4</v>
      </c>
      <c r="BZ129" s="60">
        <f t="shared" si="896"/>
        <v>2.0779744090703467E-4</v>
      </c>
      <c r="CA129" s="60">
        <f t="shared" si="897"/>
        <v>7.7389819570713291E-6</v>
      </c>
      <c r="CB129" s="60">
        <f t="shared" si="898"/>
        <v>2.3101438677824863E-7</v>
      </c>
      <c r="CC129" s="60">
        <f t="shared" si="899"/>
        <v>5.544345282677967E-6</v>
      </c>
      <c r="CD129" s="60">
        <f t="shared" si="900"/>
        <v>1.9867237262929384E-5</v>
      </c>
      <c r="CE129" s="60">
        <f t="shared" si="901"/>
        <v>5.6598524760670916E-6</v>
      </c>
      <c r="CF129" s="13">
        <f t="shared" si="902"/>
        <v>7.0459387967365835E-6</v>
      </c>
    </row>
    <row r="130" spans="1:85" hidden="1" x14ac:dyDescent="0.25">
      <c r="A130" s="4" t="s">
        <v>3</v>
      </c>
      <c r="B130" s="56">
        <v>6500086.9398599695</v>
      </c>
      <c r="C130" s="57">
        <v>1265</v>
      </c>
      <c r="D130" s="57">
        <v>267</v>
      </c>
      <c r="E130" s="57">
        <v>94</v>
      </c>
      <c r="F130" s="57">
        <v>65</v>
      </c>
      <c r="G130" s="57">
        <v>232</v>
      </c>
      <c r="H130" s="57">
        <v>1734</v>
      </c>
      <c r="I130" s="57">
        <v>517</v>
      </c>
      <c r="J130" s="57">
        <v>2393</v>
      </c>
      <c r="K130" s="57">
        <v>1811</v>
      </c>
      <c r="L130" s="57">
        <v>272</v>
      </c>
      <c r="M130" s="57">
        <v>1</v>
      </c>
      <c r="N130" s="57">
        <v>99</v>
      </c>
      <c r="O130" s="57">
        <v>191</v>
      </c>
      <c r="P130" s="57">
        <v>719</v>
      </c>
      <c r="Q130" s="57">
        <v>111</v>
      </c>
      <c r="S130" s="4">
        <f t="shared" si="880"/>
        <v>1996</v>
      </c>
      <c r="T130" s="4" t="str">
        <f t="shared" si="881"/>
        <v>25-44</v>
      </c>
      <c r="U130" s="56">
        <f t="shared" si="882"/>
        <v>6500086.9398599695</v>
      </c>
      <c r="V130" s="4">
        <f t="shared" si="883"/>
        <v>1265</v>
      </c>
      <c r="W130" s="4">
        <f t="shared" si="824"/>
        <v>267</v>
      </c>
      <c r="X130" s="4">
        <f t="shared" si="825"/>
        <v>94</v>
      </c>
      <c r="Y130" s="4">
        <f t="shared" si="826"/>
        <v>65</v>
      </c>
      <c r="Z130" s="4">
        <f t="shared" si="827"/>
        <v>232</v>
      </c>
      <c r="AA130" s="4">
        <f t="shared" si="828"/>
        <v>1734</v>
      </c>
      <c r="AB130" s="4">
        <f t="shared" si="829"/>
        <v>517</v>
      </c>
      <c r="AC130" s="4">
        <f t="shared" si="830"/>
        <v>2393</v>
      </c>
      <c r="AD130" s="4">
        <f t="shared" si="831"/>
        <v>1811</v>
      </c>
      <c r="AE130" s="4">
        <f t="shared" si="832"/>
        <v>272</v>
      </c>
      <c r="AF130" s="4">
        <f t="shared" si="833"/>
        <v>1</v>
      </c>
      <c r="AG130" s="4">
        <f t="shared" si="834"/>
        <v>99</v>
      </c>
      <c r="AH130" s="4">
        <f t="shared" si="835"/>
        <v>191</v>
      </c>
      <c r="AI130" s="4">
        <f t="shared" si="836"/>
        <v>719</v>
      </c>
      <c r="AJ130" s="4">
        <f t="shared" si="837"/>
        <v>111</v>
      </c>
      <c r="AK130" s="4">
        <f t="shared" si="884"/>
        <v>9771</v>
      </c>
      <c r="AL130" s="58">
        <f t="shared" si="885"/>
        <v>1.9461278159877223E-4</v>
      </c>
      <c r="AM130" s="58">
        <f t="shared" si="838"/>
        <v>4.107637366551161E-5</v>
      </c>
      <c r="AN130" s="58">
        <f t="shared" si="839"/>
        <v>1.4461345035798096E-5</v>
      </c>
      <c r="AO130" s="58">
        <f t="shared" si="840"/>
        <v>9.9998662481582572E-6</v>
      </c>
      <c r="AP130" s="58">
        <f t="shared" si="841"/>
        <v>3.56918303011187E-5</v>
      </c>
      <c r="AQ130" s="58">
        <f t="shared" si="842"/>
        <v>2.6676566268163718E-4</v>
      </c>
      <c r="AR130" s="58">
        <f t="shared" si="843"/>
        <v>7.953739769688952E-5</v>
      </c>
      <c r="AS130" s="58">
        <f t="shared" si="844"/>
        <v>3.6814892202834939E-4</v>
      </c>
      <c r="AT130" s="58">
        <f t="shared" si="845"/>
        <v>2.7861165808330162E-4</v>
      </c>
      <c r="AU130" s="58">
        <f t="shared" si="846"/>
        <v>4.1845594146139165E-5</v>
      </c>
      <c r="AV130" s="58">
        <f t="shared" si="847"/>
        <v>1.5384409612551164E-7</v>
      </c>
      <c r="AW130" s="58">
        <f t="shared" si="848"/>
        <v>1.5230565516425653E-5</v>
      </c>
      <c r="AX130" s="58">
        <f t="shared" si="849"/>
        <v>2.9384222359972725E-5</v>
      </c>
      <c r="AY130" s="58">
        <f t="shared" si="850"/>
        <v>1.1061390511424288E-4</v>
      </c>
      <c r="AZ130" s="58">
        <f t="shared" si="851"/>
        <v>1.7076694669931794E-5</v>
      </c>
      <c r="BA130" s="58">
        <f t="shared" si="886"/>
        <v>1.5032106632423743E-3</v>
      </c>
      <c r="BB130" s="4">
        <f t="shared" si="887"/>
        <v>6495201.4398599695</v>
      </c>
      <c r="BC130" s="59">
        <f t="shared" si="852"/>
        <v>1.9475916362453452E-4</v>
      </c>
      <c r="BD130" s="59">
        <f t="shared" si="888"/>
        <v>4.1107270108893847E-5</v>
      </c>
      <c r="BE130" s="59">
        <f t="shared" si="853"/>
        <v>1.4472222435340906E-5</v>
      </c>
      <c r="BF130" s="59">
        <f t="shared" si="854"/>
        <v>1.0007387854225095E-5</v>
      </c>
      <c r="BG130" s="59">
        <f t="shared" si="855"/>
        <v>3.5718676648926485E-5</v>
      </c>
      <c r="BH130" s="59">
        <f t="shared" si="856"/>
        <v>2.6696631598809712E-4</v>
      </c>
      <c r="BI130" s="59">
        <f t="shared" si="857"/>
        <v>7.9597223394374983E-5</v>
      </c>
      <c r="BJ130" s="59">
        <f t="shared" si="858"/>
        <v>3.6842583284862543E-4</v>
      </c>
      <c r="BK130" s="59">
        <f t="shared" si="859"/>
        <v>2.7882122160002534E-4</v>
      </c>
      <c r="BL130" s="59">
        <f t="shared" si="860"/>
        <v>4.187706917460347E-5</v>
      </c>
      <c r="BM130" s="59">
        <f t="shared" si="861"/>
        <v>1.5395981314192452E-7</v>
      </c>
      <c r="BN130" s="59">
        <f t="shared" si="862"/>
        <v>1.5242021501050527E-5</v>
      </c>
      <c r="BO130" s="59">
        <f t="shared" si="903"/>
        <v>2.9406324310107584E-5</v>
      </c>
      <c r="BP130" s="59">
        <f t="shared" si="864"/>
        <v>1.1069710564904374E-4</v>
      </c>
      <c r="BQ130" s="59">
        <f t="shared" si="865"/>
        <v>1.7089539258753623E-5</v>
      </c>
      <c r="BR130" s="60">
        <f t="shared" si="904"/>
        <v>1.0507551765372446E-4</v>
      </c>
      <c r="BS130" s="60">
        <f t="shared" si="889"/>
        <v>2.3153536466889503E-5</v>
      </c>
      <c r="BT130" s="60">
        <f t="shared" si="890"/>
        <v>1.2307527690040933E-5</v>
      </c>
      <c r="BU130" s="60">
        <f t="shared" si="891"/>
        <v>7.7691268543383381E-6</v>
      </c>
      <c r="BV130" s="60">
        <f t="shared" si="892"/>
        <v>2.3307380563015016E-5</v>
      </c>
      <c r="BW130" s="60">
        <f t="shared" si="893"/>
        <v>1.565363678077081E-4</v>
      </c>
      <c r="BX130" s="60">
        <f t="shared" si="894"/>
        <v>4.4691709924461133E-5</v>
      </c>
      <c r="BY130" s="60">
        <f t="shared" si="895"/>
        <v>2.8807306999502054E-4</v>
      </c>
      <c r="BZ130" s="60">
        <f t="shared" si="896"/>
        <v>2.6961177845995915E-4</v>
      </c>
      <c r="CA130" s="60">
        <f t="shared" si="897"/>
        <v>2.4845821524270131E-5</v>
      </c>
      <c r="CB130" s="60">
        <f t="shared" si="898"/>
        <v>7.6922048062755818E-8</v>
      </c>
      <c r="CC130" s="60">
        <f t="shared" si="899"/>
        <v>1.0153710344283768E-5</v>
      </c>
      <c r="CD130" s="60">
        <f t="shared" si="900"/>
        <v>2.1615095505634385E-5</v>
      </c>
      <c r="CE130" s="60">
        <f t="shared" si="901"/>
        <v>5.8922288816070963E-5</v>
      </c>
      <c r="CF130" s="13">
        <f t="shared" si="902"/>
        <v>1.0615242632660304E-5</v>
      </c>
    </row>
    <row r="131" spans="1:85" hidden="1" x14ac:dyDescent="0.25">
      <c r="A131" s="4" t="s">
        <v>2</v>
      </c>
      <c r="B131" s="56">
        <v>2862216.4853526298</v>
      </c>
      <c r="C131" s="57">
        <v>5170</v>
      </c>
      <c r="D131" s="57">
        <v>791</v>
      </c>
      <c r="E131" s="57">
        <v>38</v>
      </c>
      <c r="F131" s="57">
        <v>151</v>
      </c>
      <c r="G131" s="57">
        <v>387</v>
      </c>
      <c r="H131" s="57">
        <v>4424</v>
      </c>
      <c r="I131" s="57">
        <v>1783</v>
      </c>
      <c r="J131" s="57">
        <v>1078</v>
      </c>
      <c r="K131" s="57">
        <v>502</v>
      </c>
      <c r="L131" s="57">
        <v>1450</v>
      </c>
      <c r="M131" s="57">
        <v>0</v>
      </c>
      <c r="N131" s="57">
        <v>427</v>
      </c>
      <c r="O131" s="57">
        <v>247</v>
      </c>
      <c r="P131" s="57">
        <v>130</v>
      </c>
      <c r="Q131" s="57">
        <v>206</v>
      </c>
      <c r="S131" s="4">
        <f t="shared" si="880"/>
        <v>1996</v>
      </c>
      <c r="T131" s="4" t="str">
        <f t="shared" si="881"/>
        <v>45-64</v>
      </c>
      <c r="U131" s="56">
        <f t="shared" si="882"/>
        <v>2862216.4853526298</v>
      </c>
      <c r="V131" s="4">
        <f t="shared" si="883"/>
        <v>5170</v>
      </c>
      <c r="W131" s="4">
        <f t="shared" si="824"/>
        <v>791</v>
      </c>
      <c r="X131" s="4">
        <f t="shared" si="825"/>
        <v>38</v>
      </c>
      <c r="Y131" s="4">
        <f t="shared" si="826"/>
        <v>151</v>
      </c>
      <c r="Z131" s="4">
        <f t="shared" si="827"/>
        <v>387</v>
      </c>
      <c r="AA131" s="4">
        <f t="shared" si="828"/>
        <v>4424</v>
      </c>
      <c r="AB131" s="4">
        <f t="shared" si="829"/>
        <v>1783</v>
      </c>
      <c r="AC131" s="4">
        <f t="shared" si="830"/>
        <v>1078</v>
      </c>
      <c r="AD131" s="4">
        <f t="shared" si="831"/>
        <v>502</v>
      </c>
      <c r="AE131" s="4">
        <f t="shared" si="832"/>
        <v>1450</v>
      </c>
      <c r="AF131" s="4">
        <f t="shared" si="833"/>
        <v>0</v>
      </c>
      <c r="AG131" s="4">
        <f t="shared" si="834"/>
        <v>427</v>
      </c>
      <c r="AH131" s="4">
        <f t="shared" si="835"/>
        <v>247</v>
      </c>
      <c r="AI131" s="4">
        <f t="shared" si="836"/>
        <v>130</v>
      </c>
      <c r="AJ131" s="4">
        <f t="shared" si="837"/>
        <v>206</v>
      </c>
      <c r="AK131" s="4">
        <f t="shared" si="884"/>
        <v>16784</v>
      </c>
      <c r="AL131" s="58">
        <f t="shared" si="885"/>
        <v>1.8062924403019248E-3</v>
      </c>
      <c r="AM131" s="58">
        <f t="shared" si="838"/>
        <v>2.7635924957037186E-4</v>
      </c>
      <c r="AN131" s="58">
        <f t="shared" si="839"/>
        <v>1.3276424126010279E-5</v>
      </c>
      <c r="AO131" s="58">
        <f t="shared" si="840"/>
        <v>5.2756316921777688E-5</v>
      </c>
      <c r="AP131" s="58">
        <f t="shared" si="841"/>
        <v>1.3520989833594679E-4</v>
      </c>
      <c r="AQ131" s="58">
        <f t="shared" si="842"/>
        <v>1.5456552719334072E-3</v>
      </c>
      <c r="AR131" s="58">
        <f t="shared" si="843"/>
        <v>6.229437951756928E-4</v>
      </c>
      <c r="AS131" s="58">
        <f t="shared" si="844"/>
        <v>3.7663118967997582E-4</v>
      </c>
      <c r="AT131" s="58">
        <f t="shared" si="845"/>
        <v>1.7538855029624104E-4</v>
      </c>
      <c r="AU131" s="58">
        <f t="shared" si="846"/>
        <v>5.0660039428197118E-4</v>
      </c>
      <c r="AV131" s="58">
        <f t="shared" si="847"/>
        <v>0</v>
      </c>
      <c r="AW131" s="58">
        <f t="shared" si="848"/>
        <v>1.4918508162648392E-4</v>
      </c>
      <c r="AX131" s="58">
        <f t="shared" si="849"/>
        <v>8.6296756819066809E-5</v>
      </c>
      <c r="AY131" s="58">
        <f t="shared" si="850"/>
        <v>4.541934569424569E-5</v>
      </c>
      <c r="AZ131" s="58">
        <f t="shared" si="851"/>
        <v>7.1972193946266255E-5</v>
      </c>
      <c r="BA131" s="58">
        <f t="shared" si="886"/>
        <v>5.8639869087093819E-3</v>
      </c>
      <c r="BB131" s="4">
        <f t="shared" si="887"/>
        <v>2853824.4853526298</v>
      </c>
      <c r="BC131" s="59">
        <f t="shared" si="852"/>
        <v>1.8116040515228724E-3</v>
      </c>
      <c r="BD131" s="59">
        <f t="shared" si="888"/>
        <v>2.7717191581326728E-4</v>
      </c>
      <c r="BE131" s="59">
        <f t="shared" si="853"/>
        <v>1.3315464982179718E-5</v>
      </c>
      <c r="BF131" s="59">
        <f t="shared" si="854"/>
        <v>5.2911452955503619E-5</v>
      </c>
      <c r="BG131" s="59">
        <f t="shared" si="855"/>
        <v>1.3560749863430398E-4</v>
      </c>
      <c r="BH131" s="59">
        <f t="shared" si="856"/>
        <v>1.5502004495042915E-3</v>
      </c>
      <c r="BI131" s="59">
        <f t="shared" si="857"/>
        <v>6.2477563324280102E-4</v>
      </c>
      <c r="BJ131" s="59">
        <f t="shared" si="858"/>
        <v>3.7773871712604574E-4</v>
      </c>
      <c r="BK131" s="59">
        <f t="shared" si="859"/>
        <v>1.7590430055405837E-4</v>
      </c>
      <c r="BL131" s="59">
        <f t="shared" si="860"/>
        <v>5.0809011116212085E-4</v>
      </c>
      <c r="BM131" s="59">
        <f t="shared" si="861"/>
        <v>0</v>
      </c>
      <c r="BN131" s="59">
        <f t="shared" si="862"/>
        <v>1.4962377756291422E-4</v>
      </c>
      <c r="BO131" s="59">
        <f t="shared" si="903"/>
        <v>8.6550522384168166E-5</v>
      </c>
      <c r="BP131" s="59">
        <f t="shared" si="864"/>
        <v>4.5552906517983245E-5</v>
      </c>
      <c r="BQ131" s="59">
        <f t="shared" si="865"/>
        <v>7.2183836482342698E-5</v>
      </c>
      <c r="BR131" s="60">
        <f t="shared" si="904"/>
        <v>1.1241288059325809E-3</v>
      </c>
      <c r="BS131" s="60">
        <f t="shared" si="889"/>
        <v>1.8482179901735361E-4</v>
      </c>
      <c r="BT131" s="60">
        <f t="shared" si="890"/>
        <v>2.3059052429386273E-5</v>
      </c>
      <c r="BU131" s="60">
        <f t="shared" si="891"/>
        <v>3.7732994884450265E-5</v>
      </c>
      <c r="BV131" s="60">
        <f t="shared" si="892"/>
        <v>1.0813298071053108E-4</v>
      </c>
      <c r="BW131" s="60">
        <f t="shared" si="893"/>
        <v>1.0757397337890959E-3</v>
      </c>
      <c r="BX131" s="60">
        <f t="shared" si="894"/>
        <v>4.0178651960294265E-4</v>
      </c>
      <c r="BY131" s="60">
        <f t="shared" si="895"/>
        <v>6.0634826501817997E-4</v>
      </c>
      <c r="BZ131" s="60">
        <f t="shared" si="896"/>
        <v>4.0405748688765491E-4</v>
      </c>
      <c r="CA131" s="60">
        <f t="shared" si="897"/>
        <v>3.0081582032881184E-4</v>
      </c>
      <c r="CB131" s="60">
        <f t="shared" si="898"/>
        <v>1.746897911317142E-7</v>
      </c>
      <c r="CC131" s="60">
        <f t="shared" si="899"/>
        <v>9.1886830135281663E-5</v>
      </c>
      <c r="CD131" s="60">
        <f t="shared" si="900"/>
        <v>7.6514128515690812E-5</v>
      </c>
      <c r="CE131" s="60">
        <f t="shared" si="901"/>
        <v>1.4831163267082535E-4</v>
      </c>
      <c r="CF131" s="13">
        <f t="shared" si="902"/>
        <v>5.5376663788753401E-5</v>
      </c>
    </row>
    <row r="132" spans="1:85" hidden="1" x14ac:dyDescent="0.25">
      <c r="A132" s="4" t="s">
        <v>1</v>
      </c>
      <c r="B132" s="56">
        <v>710343.28776711202</v>
      </c>
      <c r="C132" s="57">
        <v>5212</v>
      </c>
      <c r="D132" s="57">
        <v>406</v>
      </c>
      <c r="E132" s="57">
        <v>24</v>
      </c>
      <c r="F132" s="57">
        <v>146</v>
      </c>
      <c r="G132" s="57">
        <v>319</v>
      </c>
      <c r="H132" s="57">
        <v>3335</v>
      </c>
      <c r="I132" s="57">
        <v>1780</v>
      </c>
      <c r="J132" s="57">
        <v>380</v>
      </c>
      <c r="K132" s="57">
        <v>125</v>
      </c>
      <c r="L132" s="57">
        <v>1343</v>
      </c>
      <c r="M132" s="57">
        <v>0</v>
      </c>
      <c r="N132" s="57">
        <v>576</v>
      </c>
      <c r="O132" s="57">
        <v>226</v>
      </c>
      <c r="P132" s="57">
        <v>5</v>
      </c>
      <c r="Q132" s="57">
        <v>161</v>
      </c>
      <c r="S132" s="4">
        <f t="shared" si="880"/>
        <v>1996</v>
      </c>
      <c r="T132" s="4" t="str">
        <f t="shared" si="881"/>
        <v>65-74</v>
      </c>
      <c r="U132" s="56">
        <f t="shared" si="882"/>
        <v>710343.28776711202</v>
      </c>
      <c r="V132" s="4">
        <f t="shared" si="883"/>
        <v>5212</v>
      </c>
      <c r="W132" s="4">
        <f t="shared" si="824"/>
        <v>406</v>
      </c>
      <c r="X132" s="4">
        <f t="shared" si="825"/>
        <v>24</v>
      </c>
      <c r="Y132" s="4">
        <f t="shared" si="826"/>
        <v>146</v>
      </c>
      <c r="Z132" s="4">
        <f t="shared" si="827"/>
        <v>319</v>
      </c>
      <c r="AA132" s="4">
        <f t="shared" si="828"/>
        <v>3335</v>
      </c>
      <c r="AB132" s="4">
        <f t="shared" si="829"/>
        <v>1780</v>
      </c>
      <c r="AC132" s="4">
        <f t="shared" si="830"/>
        <v>380</v>
      </c>
      <c r="AD132" s="4">
        <f t="shared" si="831"/>
        <v>125</v>
      </c>
      <c r="AE132" s="4">
        <f t="shared" si="832"/>
        <v>1343</v>
      </c>
      <c r="AF132" s="4">
        <f t="shared" si="833"/>
        <v>0</v>
      </c>
      <c r="AG132" s="4">
        <f t="shared" si="834"/>
        <v>576</v>
      </c>
      <c r="AH132" s="4">
        <f t="shared" si="835"/>
        <v>226</v>
      </c>
      <c r="AI132" s="4">
        <f t="shared" si="836"/>
        <v>5</v>
      </c>
      <c r="AJ132" s="4">
        <f t="shared" si="837"/>
        <v>161</v>
      </c>
      <c r="AK132" s="4">
        <f t="shared" si="884"/>
        <v>14038</v>
      </c>
      <c r="AL132" s="58">
        <f t="shared" si="885"/>
        <v>7.3372974585053981E-3</v>
      </c>
      <c r="AM132" s="58">
        <f t="shared" si="838"/>
        <v>5.7155463702095004E-4</v>
      </c>
      <c r="AN132" s="58">
        <f t="shared" si="839"/>
        <v>3.3786481006164537E-5</v>
      </c>
      <c r="AO132" s="58">
        <f t="shared" si="840"/>
        <v>2.0553442612083426E-4</v>
      </c>
      <c r="AP132" s="58">
        <f t="shared" si="841"/>
        <v>4.4907864337360363E-4</v>
      </c>
      <c r="AQ132" s="58">
        <f t="shared" si="842"/>
        <v>4.6949130898149474E-3</v>
      </c>
      <c r="AR132" s="58">
        <f t="shared" si="843"/>
        <v>2.5058306746238699E-3</v>
      </c>
      <c r="AS132" s="58">
        <f t="shared" si="844"/>
        <v>5.3495261593093852E-4</v>
      </c>
      <c r="AT132" s="58">
        <f t="shared" si="845"/>
        <v>1.759712552404403E-4</v>
      </c>
      <c r="AU132" s="58">
        <f t="shared" si="846"/>
        <v>1.8906351663032905E-3</v>
      </c>
      <c r="AV132" s="58">
        <f t="shared" si="847"/>
        <v>0</v>
      </c>
      <c r="AW132" s="58">
        <f t="shared" si="848"/>
        <v>8.1087554414794889E-4</v>
      </c>
      <c r="AX132" s="58">
        <f t="shared" si="849"/>
        <v>3.1815602947471606E-4</v>
      </c>
      <c r="AY132" s="58">
        <f t="shared" si="850"/>
        <v>7.0388502096176121E-6</v>
      </c>
      <c r="AZ132" s="58">
        <f t="shared" si="851"/>
        <v>2.2665097674968711E-4</v>
      </c>
      <c r="BA132" s="58">
        <f t="shared" si="886"/>
        <v>1.9762275848522408E-2</v>
      </c>
      <c r="BB132" s="4">
        <f t="shared" si="887"/>
        <v>703324.28776711202</v>
      </c>
      <c r="BC132" s="59">
        <f t="shared" si="852"/>
        <v>7.4105218469660197E-3</v>
      </c>
      <c r="BD132" s="59">
        <f t="shared" si="888"/>
        <v>5.772586089539916E-4</v>
      </c>
      <c r="BE132" s="59">
        <f t="shared" si="853"/>
        <v>3.4123661613043836E-5</v>
      </c>
      <c r="BF132" s="59">
        <f t="shared" si="854"/>
        <v>2.0758560814601668E-4</v>
      </c>
      <c r="BG132" s="59">
        <f t="shared" si="855"/>
        <v>4.5356033560670767E-4</v>
      </c>
      <c r="BH132" s="59">
        <f t="shared" si="856"/>
        <v>4.741767144979217E-3</v>
      </c>
      <c r="BI132" s="59">
        <f t="shared" si="857"/>
        <v>2.5308382363007516E-3</v>
      </c>
      <c r="BJ132" s="59">
        <f t="shared" si="858"/>
        <v>5.4029130887319409E-4</v>
      </c>
      <c r="BK132" s="59">
        <f t="shared" si="859"/>
        <v>1.7772740423460334E-4</v>
      </c>
      <c r="BL132" s="59">
        <f t="shared" si="860"/>
        <v>1.909503231096578E-3</v>
      </c>
      <c r="BM132" s="59">
        <f t="shared" si="861"/>
        <v>0</v>
      </c>
      <c r="BN132" s="59">
        <f t="shared" si="862"/>
        <v>8.1896787871305217E-4</v>
      </c>
      <c r="BO132" s="59">
        <f t="shared" si="903"/>
        <v>3.2133114685616281E-4</v>
      </c>
      <c r="BP132" s="59">
        <f t="shared" si="864"/>
        <v>7.1090961693841331E-6</v>
      </c>
      <c r="BQ132" s="59">
        <f t="shared" si="865"/>
        <v>2.2891289665416908E-4</v>
      </c>
      <c r="BR132" s="60">
        <f t="shared" si="904"/>
        <v>7.3077342876250043E-3</v>
      </c>
      <c r="BS132" s="60">
        <f t="shared" si="889"/>
        <v>8.4255037009122813E-4</v>
      </c>
      <c r="BT132" s="60">
        <f t="shared" si="890"/>
        <v>4.3640871299629196E-5</v>
      </c>
      <c r="BU132" s="60">
        <f t="shared" si="891"/>
        <v>2.0905385122564307E-4</v>
      </c>
      <c r="BV132" s="60">
        <f t="shared" si="892"/>
        <v>4.969428247990034E-4</v>
      </c>
      <c r="BW132" s="60">
        <f t="shared" si="893"/>
        <v>5.461443877642305E-3</v>
      </c>
      <c r="BX132" s="60">
        <f t="shared" si="894"/>
        <v>2.5079423296867549E-3</v>
      </c>
      <c r="BY132" s="60">
        <f t="shared" si="895"/>
        <v>1.0262643605622478E-3</v>
      </c>
      <c r="BZ132" s="60">
        <f t="shared" si="896"/>
        <v>4.4133590814302427E-4</v>
      </c>
      <c r="CA132" s="60">
        <f t="shared" si="897"/>
        <v>1.9659508635461991E-3</v>
      </c>
      <c r="CB132" s="60">
        <f t="shared" si="898"/>
        <v>0</v>
      </c>
      <c r="CC132" s="60">
        <f t="shared" si="899"/>
        <v>7.0599667602464649E-4</v>
      </c>
      <c r="CD132" s="60">
        <f t="shared" si="900"/>
        <v>3.3293761491491304E-4</v>
      </c>
      <c r="CE132" s="60">
        <f t="shared" si="901"/>
        <v>9.5024477829837753E-5</v>
      </c>
      <c r="CF132" s="13">
        <f t="shared" si="902"/>
        <v>2.5832580269296635E-4</v>
      </c>
    </row>
    <row r="133" spans="1:85" hidden="1" x14ac:dyDescent="0.25">
      <c r="A133" s="4" t="s">
        <v>0</v>
      </c>
      <c r="B133" s="56">
        <v>710343.28776711202</v>
      </c>
      <c r="C133" s="57">
        <v>9429</v>
      </c>
      <c r="D133" s="57">
        <v>279</v>
      </c>
      <c r="E133" s="57">
        <v>22</v>
      </c>
      <c r="F133" s="57">
        <v>432</v>
      </c>
      <c r="G133" s="57">
        <v>397</v>
      </c>
      <c r="H133" s="57">
        <v>3401</v>
      </c>
      <c r="I133" s="57">
        <v>3442</v>
      </c>
      <c r="J133" s="57">
        <v>534</v>
      </c>
      <c r="K133" s="57">
        <v>68</v>
      </c>
      <c r="L133" s="57">
        <v>1306</v>
      </c>
      <c r="M133" s="57">
        <v>14</v>
      </c>
      <c r="N133" s="57">
        <v>1141</v>
      </c>
      <c r="O133" s="57">
        <v>974</v>
      </c>
      <c r="P133" s="57">
        <v>7</v>
      </c>
      <c r="Q133" s="57">
        <v>178</v>
      </c>
      <c r="S133" s="4">
        <f t="shared" si="880"/>
        <v>1996</v>
      </c>
      <c r="T133" s="4" t="str">
        <f t="shared" si="881"/>
        <v>75+</v>
      </c>
      <c r="U133" s="56">
        <f t="shared" si="882"/>
        <v>710343.28776711202</v>
      </c>
      <c r="V133" s="4">
        <f t="shared" si="883"/>
        <v>9429</v>
      </c>
      <c r="W133" s="4">
        <f t="shared" si="824"/>
        <v>279</v>
      </c>
      <c r="X133" s="4">
        <f t="shared" si="825"/>
        <v>22</v>
      </c>
      <c r="Y133" s="4">
        <f t="shared" si="826"/>
        <v>432</v>
      </c>
      <c r="Z133" s="4">
        <f t="shared" si="827"/>
        <v>397</v>
      </c>
      <c r="AA133" s="4">
        <f t="shared" si="828"/>
        <v>3401</v>
      </c>
      <c r="AB133" s="4">
        <f t="shared" si="829"/>
        <v>3442</v>
      </c>
      <c r="AC133" s="4">
        <f t="shared" si="830"/>
        <v>534</v>
      </c>
      <c r="AD133" s="4">
        <f t="shared" si="831"/>
        <v>68</v>
      </c>
      <c r="AE133" s="4">
        <f t="shared" si="832"/>
        <v>1306</v>
      </c>
      <c r="AF133" s="4">
        <f t="shared" si="833"/>
        <v>14</v>
      </c>
      <c r="AG133" s="4">
        <f t="shared" si="834"/>
        <v>1141</v>
      </c>
      <c r="AH133" s="4">
        <f t="shared" si="835"/>
        <v>974</v>
      </c>
      <c r="AI133" s="4">
        <f t="shared" si="836"/>
        <v>7</v>
      </c>
      <c r="AJ133" s="4">
        <f t="shared" si="837"/>
        <v>178</v>
      </c>
      <c r="AK133" s="4">
        <f t="shared" si="884"/>
        <v>21624</v>
      </c>
      <c r="AL133" s="58">
        <f t="shared" si="885"/>
        <v>1.3273863725296892E-2</v>
      </c>
      <c r="AM133" s="58">
        <f t="shared" si="838"/>
        <v>3.9276784169666276E-4</v>
      </c>
      <c r="AN133" s="58">
        <f t="shared" si="839"/>
        <v>3.0970940922317494E-5</v>
      </c>
      <c r="AO133" s="58">
        <f t="shared" si="840"/>
        <v>6.0815665811096166E-4</v>
      </c>
      <c r="AP133" s="58">
        <f t="shared" si="841"/>
        <v>5.588847066436384E-4</v>
      </c>
      <c r="AQ133" s="58">
        <f t="shared" si="842"/>
        <v>4.7878259125818997E-3</v>
      </c>
      <c r="AR133" s="58">
        <f t="shared" si="843"/>
        <v>4.8455444843007638E-3</v>
      </c>
      <c r="AS133" s="58">
        <f t="shared" si="844"/>
        <v>7.5174920238716097E-4</v>
      </c>
      <c r="AT133" s="58">
        <f t="shared" si="845"/>
        <v>9.5728362850799526E-5</v>
      </c>
      <c r="AU133" s="58">
        <f t="shared" si="846"/>
        <v>1.8385476747521201E-3</v>
      </c>
      <c r="AV133" s="58">
        <f t="shared" si="847"/>
        <v>1.9708780586929314E-5</v>
      </c>
      <c r="AW133" s="58">
        <f t="shared" si="848"/>
        <v>1.606265617834739E-3</v>
      </c>
      <c r="AX133" s="58">
        <f t="shared" si="849"/>
        <v>1.3711680208335108E-3</v>
      </c>
      <c r="AY133" s="58">
        <f t="shared" si="850"/>
        <v>9.8543902934646572E-6</v>
      </c>
      <c r="AZ133" s="58">
        <f t="shared" si="851"/>
        <v>2.5058306746238699E-4</v>
      </c>
      <c r="BA133" s="58">
        <f t="shared" si="886"/>
        <v>3.0441619386554247E-2</v>
      </c>
      <c r="BB133" s="4">
        <f t="shared" si="887"/>
        <v>699531.28776711202</v>
      </c>
      <c r="BC133" s="59">
        <f t="shared" si="852"/>
        <v>1.3479025405850185E-2</v>
      </c>
      <c r="BD133" s="59">
        <f t="shared" si="888"/>
        <v>3.9883848639645793E-4</v>
      </c>
      <c r="BE133" s="59">
        <f t="shared" si="853"/>
        <v>3.1449629751692027E-5</v>
      </c>
      <c r="BF133" s="59">
        <f t="shared" si="854"/>
        <v>6.1755636603322511E-4</v>
      </c>
      <c r="BG133" s="59">
        <f t="shared" si="855"/>
        <v>5.6752286415553336E-4</v>
      </c>
      <c r="BH133" s="59">
        <f t="shared" si="856"/>
        <v>4.8618268538865713E-3</v>
      </c>
      <c r="BI133" s="59">
        <f t="shared" si="857"/>
        <v>4.9204375275147243E-3</v>
      </c>
      <c r="BJ133" s="59">
        <f t="shared" si="858"/>
        <v>7.6336828579107001E-4</v>
      </c>
      <c r="BK133" s="59">
        <f t="shared" si="859"/>
        <v>9.7207946505229885E-5</v>
      </c>
      <c r="BL133" s="59">
        <f t="shared" si="860"/>
        <v>1.8669643843504445E-3</v>
      </c>
      <c r="BM133" s="59">
        <f t="shared" si="861"/>
        <v>2.0013400751076742E-5</v>
      </c>
      <c r="BN133" s="59">
        <f t="shared" si="862"/>
        <v>1.6310921612127545E-3</v>
      </c>
      <c r="BO133" s="59">
        <f t="shared" si="903"/>
        <v>1.3923608808249104E-3</v>
      </c>
      <c r="BP133" s="59">
        <f t="shared" si="864"/>
        <v>1.0006700375538371E-5</v>
      </c>
      <c r="BQ133" s="59">
        <f t="shared" si="865"/>
        <v>2.5445609526369002E-4</v>
      </c>
      <c r="BR133" s="60">
        <f t="shared" si="904"/>
        <v>1.0305580591901146E-2</v>
      </c>
      <c r="BS133" s="60">
        <f t="shared" si="889"/>
        <v>4.8216123935880642E-4</v>
      </c>
      <c r="BT133" s="60">
        <f t="shared" si="890"/>
        <v>3.2378710964241012E-5</v>
      </c>
      <c r="BU133" s="60">
        <f t="shared" si="891"/>
        <v>4.0684554211589799E-4</v>
      </c>
      <c r="BV133" s="60">
        <f t="shared" si="892"/>
        <v>5.0398167500862096E-4</v>
      </c>
      <c r="BW133" s="60">
        <f t="shared" si="893"/>
        <v>4.7413695011984235E-3</v>
      </c>
      <c r="BX133" s="60">
        <f t="shared" si="894"/>
        <v>3.6756875794623171E-3</v>
      </c>
      <c r="BY133" s="60">
        <f t="shared" si="895"/>
        <v>6.4335090915904969E-4</v>
      </c>
      <c r="BZ133" s="60">
        <f t="shared" si="896"/>
        <v>1.3584980904561992E-4</v>
      </c>
      <c r="CA133" s="60">
        <f t="shared" si="897"/>
        <v>1.8645914205277054E-3</v>
      </c>
      <c r="CB133" s="60">
        <f t="shared" si="898"/>
        <v>9.8543902934646572E-6</v>
      </c>
      <c r="CC133" s="60">
        <f t="shared" si="899"/>
        <v>1.208570580991344E-3</v>
      </c>
      <c r="CD133" s="60">
        <f t="shared" si="900"/>
        <v>8.4466202515411342E-4</v>
      </c>
      <c r="CE133" s="60">
        <f t="shared" si="901"/>
        <v>8.4466202515411342E-6</v>
      </c>
      <c r="CF133" s="13">
        <f t="shared" si="902"/>
        <v>2.3861702210603705E-4</v>
      </c>
    </row>
    <row r="134" spans="1:85" hidden="1" x14ac:dyDescent="0.25">
      <c r="C134" s="4"/>
    </row>
    <row r="135" spans="1:85" hidden="1" x14ac:dyDescent="0.25">
      <c r="C135" s="4"/>
    </row>
    <row r="136" spans="1:85" hidden="1" x14ac:dyDescent="0.25">
      <c r="A136" s="4" t="s">
        <v>23</v>
      </c>
      <c r="B136" s="61">
        <v>1996</v>
      </c>
    </row>
    <row r="137" spans="1:85" hidden="1" x14ac:dyDescent="0.25"/>
    <row r="138" spans="1:85" s="21" customFormat="1" ht="23.25" hidden="1" customHeight="1" x14ac:dyDescent="0.25">
      <c r="A138" s="62" t="s">
        <v>46</v>
      </c>
      <c r="B138" s="62"/>
      <c r="C138" s="4" t="s">
        <v>35</v>
      </c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</row>
    <row r="139" spans="1:85" s="37" customFormat="1" ht="33" hidden="1" customHeight="1" x14ac:dyDescent="0.25">
      <c r="A139" s="63" t="s">
        <v>22</v>
      </c>
      <c r="B139" s="64" t="s">
        <v>24</v>
      </c>
      <c r="C139" s="64">
        <v>1</v>
      </c>
      <c r="D139" s="64">
        <v>10</v>
      </c>
      <c r="E139" s="64">
        <v>11</v>
      </c>
      <c r="F139" s="64">
        <v>12</v>
      </c>
      <c r="G139" s="64">
        <v>13</v>
      </c>
      <c r="H139" s="64">
        <v>2</v>
      </c>
      <c r="I139" s="64">
        <v>3</v>
      </c>
      <c r="J139" s="64">
        <v>4</v>
      </c>
      <c r="K139" s="64">
        <v>5</v>
      </c>
      <c r="L139" s="64">
        <v>6</v>
      </c>
      <c r="M139" s="64">
        <v>7</v>
      </c>
      <c r="N139" s="64">
        <v>8</v>
      </c>
      <c r="O139" s="64">
        <v>9</v>
      </c>
      <c r="P139" s="64">
        <v>14</v>
      </c>
      <c r="Q139" s="64">
        <v>15</v>
      </c>
      <c r="R139" s="64"/>
      <c r="S139" s="65" t="s">
        <v>23</v>
      </c>
      <c r="T139" s="65" t="s">
        <v>22</v>
      </c>
      <c r="U139" s="65" t="s">
        <v>181</v>
      </c>
      <c r="V139" s="66" t="str">
        <f>+CONCATENATE("dx","(",C139,")")</f>
        <v>dx(1)</v>
      </c>
      <c r="W139" s="66" t="str">
        <f t="shared" ref="W139" si="905">+CONCATENATE("dx","(",D139,")")</f>
        <v>dx(10)</v>
      </c>
      <c r="X139" s="66" t="str">
        <f t="shared" ref="X139" si="906">+CONCATENATE("dx","(",E139,")")</f>
        <v>dx(11)</v>
      </c>
      <c r="Y139" s="66" t="str">
        <f t="shared" ref="Y139" si="907">+CONCATENATE("dx","(",F139,")")</f>
        <v>dx(12)</v>
      </c>
      <c r="Z139" s="66" t="str">
        <f t="shared" ref="Z139" si="908">+CONCATENATE("dx","(",G139,")")</f>
        <v>dx(13)</v>
      </c>
      <c r="AA139" s="66" t="str">
        <f t="shared" ref="AA139" si="909">+CONCATENATE("dx","(",H139,")")</f>
        <v>dx(2)</v>
      </c>
      <c r="AB139" s="66" t="str">
        <f t="shared" ref="AB139" si="910">+CONCATENATE("dx","(",I139,")")</f>
        <v>dx(3)</v>
      </c>
      <c r="AC139" s="66" t="str">
        <f t="shared" ref="AC139" si="911">+CONCATENATE("dx","(",J139,")")</f>
        <v>dx(4)</v>
      </c>
      <c r="AD139" s="66" t="str">
        <f t="shared" ref="AD139" si="912">+CONCATENATE("dx","(",K139,")")</f>
        <v>dx(5)</v>
      </c>
      <c r="AE139" s="66" t="str">
        <f t="shared" ref="AE139" si="913">+CONCATENATE("dx","(",L139,")")</f>
        <v>dx(6)</v>
      </c>
      <c r="AF139" s="66" t="str">
        <f t="shared" ref="AF139" si="914">+CONCATENATE("dx","(",M139,")")</f>
        <v>dx(7)</v>
      </c>
      <c r="AG139" s="66" t="str">
        <f t="shared" ref="AG139" si="915">+CONCATENATE("dx","(",N139,")")</f>
        <v>dx(8)</v>
      </c>
      <c r="AH139" s="66" t="str">
        <f t="shared" ref="AH139" si="916">+CONCATENATE("dx","(",O139,")")</f>
        <v>dx(9)</v>
      </c>
      <c r="AI139" s="66" t="str">
        <f t="shared" ref="AI139" si="917">+CONCATENATE("dx","(",P139,")")</f>
        <v>dx(14)</v>
      </c>
      <c r="AJ139" s="66" t="str">
        <f t="shared" ref="AJ139" si="918">+CONCATENATE("dx","(",Q139,")")</f>
        <v>dx(15)</v>
      </c>
      <c r="AK139" s="66" t="s">
        <v>182</v>
      </c>
      <c r="AL139" s="66" t="str">
        <f t="shared" ref="AL139:AZ139" si="919">+CONCATENATE("qx","(",C139,")")</f>
        <v>qx(1)</v>
      </c>
      <c r="AM139" s="66" t="str">
        <f t="shared" si="919"/>
        <v>qx(10)</v>
      </c>
      <c r="AN139" s="66" t="str">
        <f t="shared" si="919"/>
        <v>qx(11)</v>
      </c>
      <c r="AO139" s="66" t="str">
        <f t="shared" si="919"/>
        <v>qx(12)</v>
      </c>
      <c r="AP139" s="66" t="str">
        <f t="shared" si="919"/>
        <v>qx(13)</v>
      </c>
      <c r="AQ139" s="66" t="str">
        <f t="shared" si="919"/>
        <v>qx(2)</v>
      </c>
      <c r="AR139" s="66" t="str">
        <f t="shared" si="919"/>
        <v>qx(3)</v>
      </c>
      <c r="AS139" s="66" t="str">
        <f t="shared" si="919"/>
        <v>qx(4)</v>
      </c>
      <c r="AT139" s="66" t="str">
        <f t="shared" si="919"/>
        <v>qx(5)</v>
      </c>
      <c r="AU139" s="66" t="str">
        <f t="shared" si="919"/>
        <v>qx(6)</v>
      </c>
      <c r="AV139" s="66" t="str">
        <f t="shared" si="919"/>
        <v>qx(7)</v>
      </c>
      <c r="AW139" s="66" t="str">
        <f t="shared" si="919"/>
        <v>qx(8)</v>
      </c>
      <c r="AX139" s="66" t="str">
        <f t="shared" si="919"/>
        <v>qx(9)</v>
      </c>
      <c r="AY139" s="66" t="str">
        <f t="shared" si="919"/>
        <v>qx(14)</v>
      </c>
      <c r="AZ139" s="66" t="str">
        <f t="shared" si="919"/>
        <v>qx(15)</v>
      </c>
      <c r="BA139" s="66" t="str">
        <f>+CONCATENATE("qx","(T)")</f>
        <v>qx(T)</v>
      </c>
      <c r="BB139" s="65" t="s">
        <v>184</v>
      </c>
      <c r="BC139" s="66" t="str">
        <f t="shared" ref="BC139:BQ139" si="920">+CONCATENATE("mx","(",C139,")")</f>
        <v>mx(1)</v>
      </c>
      <c r="BD139" s="66" t="str">
        <f t="shared" si="920"/>
        <v>mx(10)</v>
      </c>
      <c r="BE139" s="66" t="str">
        <f t="shared" si="920"/>
        <v>mx(11)</v>
      </c>
      <c r="BF139" s="66" t="str">
        <f t="shared" si="920"/>
        <v>mx(12)</v>
      </c>
      <c r="BG139" s="66" t="str">
        <f t="shared" si="920"/>
        <v>mx(13)</v>
      </c>
      <c r="BH139" s="66" t="str">
        <f t="shared" si="920"/>
        <v>mx(2)</v>
      </c>
      <c r="BI139" s="66" t="str">
        <f t="shared" si="920"/>
        <v>mx(3)</v>
      </c>
      <c r="BJ139" s="66" t="str">
        <f t="shared" si="920"/>
        <v>mx(4)</v>
      </c>
      <c r="BK139" s="66" t="str">
        <f t="shared" si="920"/>
        <v>mx(5)</v>
      </c>
      <c r="BL139" s="66" t="str">
        <f t="shared" si="920"/>
        <v>mx(6)</v>
      </c>
      <c r="BM139" s="66" t="str">
        <f t="shared" si="920"/>
        <v>mx(7)</v>
      </c>
      <c r="BN139" s="66" t="str">
        <f t="shared" si="920"/>
        <v>mx(8)</v>
      </c>
      <c r="BO139" s="66" t="str">
        <f t="shared" si="920"/>
        <v>mx(9)</v>
      </c>
      <c r="BP139" s="66" t="str">
        <f t="shared" si="920"/>
        <v>mx(14)</v>
      </c>
      <c r="BQ139" s="66" t="str">
        <f t="shared" si="920"/>
        <v>mx(15)</v>
      </c>
      <c r="BR139" s="66" t="str">
        <f>+CONCATENATE("µ(X)",C139)</f>
        <v>µ(X)1</v>
      </c>
      <c r="BS139" s="66" t="str">
        <f t="shared" ref="BS139" si="921">+CONCATENATE("µ(X)",D139)</f>
        <v>µ(X)10</v>
      </c>
      <c r="BT139" s="66" t="str">
        <f t="shared" ref="BT139" si="922">+CONCATENATE("µ(X)",E139)</f>
        <v>µ(X)11</v>
      </c>
      <c r="BU139" s="66" t="str">
        <f t="shared" ref="BU139" si="923">+CONCATENATE("µ(X)",F139)</f>
        <v>µ(X)12</v>
      </c>
      <c r="BV139" s="66" t="str">
        <f t="shared" ref="BV139" si="924">+CONCATENATE("µ(X)",G139)</f>
        <v>µ(X)13</v>
      </c>
      <c r="BW139" s="66" t="str">
        <f t="shared" ref="BW139" si="925">+CONCATENATE("µ(X)",H139)</f>
        <v>µ(X)2</v>
      </c>
      <c r="BX139" s="66" t="str">
        <f t="shared" ref="BX139" si="926">+CONCATENATE("µ(X)",I139)</f>
        <v>µ(X)3</v>
      </c>
      <c r="BY139" s="66" t="str">
        <f t="shared" ref="BY139" si="927">+CONCATENATE("µ(X)",J139)</f>
        <v>µ(X)4</v>
      </c>
      <c r="BZ139" s="66" t="str">
        <f t="shared" ref="BZ139" si="928">+CONCATENATE("µ(X)",K139)</f>
        <v>µ(X)5</v>
      </c>
      <c r="CA139" s="66" t="str">
        <f t="shared" ref="CA139" si="929">+CONCATENATE("µ(X)",L139)</f>
        <v>µ(X)6</v>
      </c>
      <c r="CB139" s="66" t="str">
        <f t="shared" ref="CB139" si="930">+CONCATENATE("µ(X)",M139)</f>
        <v>µ(X)7</v>
      </c>
      <c r="CC139" s="66" t="str">
        <f t="shared" ref="CC139" si="931">+CONCATENATE("µ(X)",N139)</f>
        <v>µ(X)8</v>
      </c>
      <c r="CD139" s="66" t="str">
        <f t="shared" ref="CD139" si="932">+CONCATENATE("µ(X)",O139)</f>
        <v>µ(X)9</v>
      </c>
      <c r="CE139" s="66" t="str">
        <f t="shared" ref="CE139" si="933">+CONCATENATE("µ(X)",P139)</f>
        <v>µ(X)14</v>
      </c>
      <c r="CF139" s="42" t="str">
        <f t="shared" ref="CF139" si="934">+CONCATENATE("µ(X)",Q139)</f>
        <v>µ(X)15</v>
      </c>
      <c r="CG139" s="36"/>
    </row>
    <row r="140" spans="1:85" hidden="1" x14ac:dyDescent="0.25">
      <c r="A140" s="4" t="s">
        <v>6</v>
      </c>
      <c r="B140" s="56">
        <v>2669011.0638103201</v>
      </c>
      <c r="C140" s="57">
        <v>82</v>
      </c>
      <c r="D140" s="57">
        <v>35</v>
      </c>
      <c r="E140" s="57">
        <v>1552</v>
      </c>
      <c r="F140" s="57">
        <v>2468</v>
      </c>
      <c r="G140" s="57">
        <v>37</v>
      </c>
      <c r="H140" s="57">
        <v>159</v>
      </c>
      <c r="I140" s="57">
        <v>14</v>
      </c>
      <c r="J140" s="57">
        <v>786</v>
      </c>
      <c r="K140" s="57">
        <v>32</v>
      </c>
      <c r="L140" s="57">
        <v>12</v>
      </c>
      <c r="M140" s="57">
        <v>5626</v>
      </c>
      <c r="N140" s="57">
        <v>114</v>
      </c>
      <c r="O140" s="57">
        <v>877</v>
      </c>
      <c r="P140" s="57">
        <v>21</v>
      </c>
      <c r="Q140" s="57">
        <v>29</v>
      </c>
      <c r="S140" s="4">
        <f>+B136</f>
        <v>1996</v>
      </c>
      <c r="T140" s="4" t="str">
        <f>+A140</f>
        <v>0-4</v>
      </c>
      <c r="U140" s="56">
        <f>+B140</f>
        <v>2669011.0638103201</v>
      </c>
      <c r="V140" s="4">
        <f>+C140</f>
        <v>82</v>
      </c>
      <c r="W140" s="4">
        <f t="shared" ref="W140:W146" si="935">+D140</f>
        <v>35</v>
      </c>
      <c r="X140" s="4">
        <f t="shared" ref="X140:X146" si="936">+E140</f>
        <v>1552</v>
      </c>
      <c r="Y140" s="4">
        <f t="shared" ref="Y140:Y146" si="937">+F140</f>
        <v>2468</v>
      </c>
      <c r="Z140" s="4">
        <f t="shared" ref="Z140:Z146" si="938">+G140</f>
        <v>37</v>
      </c>
      <c r="AA140" s="4">
        <f t="shared" ref="AA140:AA146" si="939">+H140</f>
        <v>159</v>
      </c>
      <c r="AB140" s="4">
        <f t="shared" ref="AB140:AB146" si="940">+I140</f>
        <v>14</v>
      </c>
      <c r="AC140" s="4">
        <f t="shared" ref="AC140:AC146" si="941">+J140</f>
        <v>786</v>
      </c>
      <c r="AD140" s="4">
        <f t="shared" ref="AD140:AD146" si="942">+K140</f>
        <v>32</v>
      </c>
      <c r="AE140" s="4">
        <f t="shared" ref="AE140:AE146" si="943">+L140</f>
        <v>12</v>
      </c>
      <c r="AF140" s="4">
        <f t="shared" ref="AF140:AF146" si="944">+M140</f>
        <v>5626</v>
      </c>
      <c r="AG140" s="4">
        <f t="shared" ref="AG140:AG146" si="945">+N140</f>
        <v>114</v>
      </c>
      <c r="AH140" s="4">
        <f t="shared" ref="AH140:AH146" si="946">+O140</f>
        <v>877</v>
      </c>
      <c r="AI140" s="4">
        <f t="shared" ref="AI140:AI146" si="947">+P140</f>
        <v>21</v>
      </c>
      <c r="AJ140" s="4">
        <f t="shared" ref="AJ140:AJ146" si="948">+Q140</f>
        <v>29</v>
      </c>
      <c r="AK140" s="4">
        <f>+SUM(V140:AJ140)</f>
        <v>11844</v>
      </c>
      <c r="AL140" s="58">
        <f>+V140/$U140</f>
        <v>3.072298991632338E-5</v>
      </c>
      <c r="AM140" s="58">
        <f t="shared" ref="AM140:AM146" si="949">+W140/$U140</f>
        <v>1.3113471305747784E-5</v>
      </c>
      <c r="AN140" s="58">
        <f t="shared" ref="AN140:AN146" si="950">+X140/$U140</f>
        <v>5.8148878475773028E-4</v>
      </c>
      <c r="AO140" s="58">
        <f t="shared" ref="AO140:AO146" si="951">+Y140/$U140</f>
        <v>9.2468706235958656E-4</v>
      </c>
      <c r="AP140" s="58">
        <f t="shared" ref="AP140:AP146" si="952">+Z140/$U140</f>
        <v>1.3862812523219085E-5</v>
      </c>
      <c r="AQ140" s="58">
        <f t="shared" ref="AQ140:AQ146" si="953">+AA140/$U140</f>
        <v>5.9572626788968504E-5</v>
      </c>
      <c r="AR140" s="58">
        <f t="shared" ref="AR140:AR146" si="954">+AB140/$U140</f>
        <v>5.2453885222991139E-6</v>
      </c>
      <c r="AS140" s="58">
        <f t="shared" ref="AS140:AS146" si="955">+AC140/$U140</f>
        <v>2.9449109846622164E-4</v>
      </c>
      <c r="AT140" s="58">
        <f t="shared" ref="AT140:AT146" si="956">+AD140/$U140</f>
        <v>1.1989459479540831E-5</v>
      </c>
      <c r="AU140" s="58">
        <f t="shared" ref="AU140:AU146" si="957">+AE140/$U140</f>
        <v>4.4960473048278115E-6</v>
      </c>
      <c r="AV140" s="58">
        <f t="shared" ref="AV140:AV146" si="958">+AF140/$U140</f>
        <v>2.1078968447467723E-3</v>
      </c>
      <c r="AW140" s="58">
        <f t="shared" ref="AW140:AW146" si="959">+AG140/$U140</f>
        <v>4.2712449395864211E-5</v>
      </c>
      <c r="AX140" s="58">
        <f t="shared" ref="AX140:AX146" si="960">+AH140/$U140</f>
        <v>3.2858612386116591E-4</v>
      </c>
      <c r="AY140" s="58">
        <f t="shared" ref="AY140:AY146" si="961">+AI140/$U140</f>
        <v>7.86808278344867E-6</v>
      </c>
      <c r="AZ140" s="58">
        <f t="shared" ref="AZ140:AZ146" si="962">+AJ140/$U140</f>
        <v>1.0865447653333878E-5</v>
      </c>
      <c r="BA140" s="58">
        <f>+AK140/U140</f>
        <v>4.4375986898650497E-3</v>
      </c>
      <c r="BB140" s="4">
        <f>+U140-(0.5*AK140)</f>
        <v>2663089.0638103201</v>
      </c>
      <c r="BC140" s="59">
        <f t="shared" ref="BC140:BC146" si="963">+AL140/(1-(0.5*$BA140))</f>
        <v>3.0791309654013318E-5</v>
      </c>
      <c r="BD140" s="59">
        <f>+AM140/(1-(0.5*$BA140))</f>
        <v>1.3142632169395928E-5</v>
      </c>
      <c r="BE140" s="59">
        <f t="shared" ref="BE140:BE146" si="964">+AN140/(1-(0.5*$BA140))</f>
        <v>5.8278186076864233E-4</v>
      </c>
      <c r="BF140" s="59">
        <f t="shared" ref="BF140:BF146" si="965">+AO140/(1-(0.5*$BA140))</f>
        <v>9.2674331983054719E-4</v>
      </c>
      <c r="BG140" s="59">
        <f t="shared" ref="BG140:BG146" si="966">+AP140/(1-(0.5*$BA140))</f>
        <v>1.3893639721932839E-5</v>
      </c>
      <c r="BH140" s="59">
        <f t="shared" ref="BH140:BH146" si="967">+AQ140/(1-(0.5*$BA140))</f>
        <v>5.9705100426684362E-5</v>
      </c>
      <c r="BI140" s="59">
        <f t="shared" ref="BI140:BI146" si="968">+AR140/(1-(0.5*$BA140))</f>
        <v>5.2570528677583717E-6</v>
      </c>
      <c r="BJ140" s="59">
        <f t="shared" ref="BJ140:BJ146" si="969">+AS140/(1-(0.5*$BA140))</f>
        <v>2.9514596814700567E-4</v>
      </c>
      <c r="BK140" s="59">
        <f t="shared" ref="BK140:BK146" si="970">+AT140/(1-(0.5*$BA140))</f>
        <v>1.2016120840590563E-5</v>
      </c>
      <c r="BL140" s="59">
        <f t="shared" ref="BL140:BL146" si="971">+AU140/(1-(0.5*$BA140))</f>
        <v>4.5060453152214609E-6</v>
      </c>
      <c r="BM140" s="59">
        <f t="shared" ref="BM140:BM146" si="972">+AV140/(1-(0.5*$BA140))</f>
        <v>2.1125842452863284E-3</v>
      </c>
      <c r="BN140" s="59">
        <f t="shared" ref="BN140:BN146" si="973">+AW140/(1-(0.5*$BA140))</f>
        <v>4.2807430494603885E-5</v>
      </c>
      <c r="BO140" s="59">
        <f t="shared" ref="BO140" si="974">+AX140/(1-(0.5*$BA140))</f>
        <v>3.2931681178743514E-4</v>
      </c>
      <c r="BP140" s="59">
        <f t="shared" ref="BP140:BP146" si="975">+AY140/(1-(0.5*$BA140))</f>
        <v>7.8855793016375572E-6</v>
      </c>
      <c r="BQ140" s="59">
        <f t="shared" ref="BQ140:BQ146" si="976">+AZ140/(1-(0.5*$BA140))</f>
        <v>1.0889609511785197E-5</v>
      </c>
      <c r="BR140" s="60">
        <f>+V140/(2*$U140)</f>
        <v>1.536149495816169E-5</v>
      </c>
      <c r="BS140" s="60">
        <f t="shared" ref="BS140" si="977">+W140/(2*$U140)</f>
        <v>6.5567356528738919E-6</v>
      </c>
      <c r="BT140" s="60">
        <f t="shared" ref="BT140" si="978">+X140/(2*$U140)</f>
        <v>2.9074439237886514E-4</v>
      </c>
      <c r="BU140" s="60">
        <f t="shared" ref="BU140" si="979">+Y140/(2*$U140)</f>
        <v>4.6234353117979328E-4</v>
      </c>
      <c r="BV140" s="60">
        <f t="shared" ref="BV140" si="980">+Z140/(2*$U140)</f>
        <v>6.9314062616095427E-6</v>
      </c>
      <c r="BW140" s="60">
        <f t="shared" ref="BW140" si="981">+AA140/(2*$U140)</f>
        <v>2.9786313394484252E-5</v>
      </c>
      <c r="BX140" s="60">
        <f t="shared" ref="BX140" si="982">+AB140/(2*$U140)</f>
        <v>2.6226942611495569E-6</v>
      </c>
      <c r="BY140" s="60">
        <f t="shared" ref="BY140" si="983">+AC140/(2*$U140)</f>
        <v>1.4724554923311082E-4</v>
      </c>
      <c r="BZ140" s="60">
        <f t="shared" ref="BZ140" si="984">+AD140/(2*$U140)</f>
        <v>5.9947297397704154E-6</v>
      </c>
      <c r="CA140" s="60">
        <f t="shared" ref="CA140" si="985">+AE140/(2*$U140)</f>
        <v>2.2480236524139058E-6</v>
      </c>
      <c r="CB140" s="60">
        <f t="shared" ref="CB140" si="986">+AF140/(2*$U140)</f>
        <v>1.0539484223733861E-3</v>
      </c>
      <c r="CC140" s="60">
        <f t="shared" ref="CC140" si="987">+AG140/(2*$U140)</f>
        <v>2.1356224697932105E-5</v>
      </c>
      <c r="CD140" s="60">
        <f t="shared" ref="CD140" si="988">+AH140/(2*$U140)</f>
        <v>1.6429306193058296E-4</v>
      </c>
      <c r="CE140" s="60">
        <f t="shared" ref="CE140" si="989">+AI140/(2*$U140)</f>
        <v>3.934041391724335E-6</v>
      </c>
      <c r="CF140" s="13">
        <f t="shared" ref="CF140" si="990">+AJ140/(2*$U140)</f>
        <v>5.4327238266669388E-6</v>
      </c>
    </row>
    <row r="141" spans="1:85" hidden="1" x14ac:dyDescent="0.25">
      <c r="A141" s="4" t="s">
        <v>5</v>
      </c>
      <c r="B141" s="56">
        <v>5336689.2615659405</v>
      </c>
      <c r="C141" s="57">
        <v>50</v>
      </c>
      <c r="D141" s="57">
        <v>18</v>
      </c>
      <c r="E141" s="57">
        <v>121</v>
      </c>
      <c r="F141" s="57">
        <v>79</v>
      </c>
      <c r="G141" s="57">
        <v>18</v>
      </c>
      <c r="H141" s="57">
        <v>266</v>
      </c>
      <c r="I141" s="57">
        <v>18</v>
      </c>
      <c r="J141" s="57">
        <v>659</v>
      </c>
      <c r="K141" s="57">
        <v>105</v>
      </c>
      <c r="L141" s="57">
        <v>16</v>
      </c>
      <c r="M141" s="57">
        <v>2</v>
      </c>
      <c r="N141" s="57">
        <v>15</v>
      </c>
      <c r="O141" s="57">
        <v>82</v>
      </c>
      <c r="P141" s="57">
        <v>2</v>
      </c>
      <c r="Q141" s="57">
        <v>34</v>
      </c>
      <c r="S141" s="4">
        <f t="shared" ref="S141:S146" si="991">+$B$136</f>
        <v>1996</v>
      </c>
      <c r="T141" s="4" t="str">
        <f t="shared" ref="T141:T146" si="992">+A141</f>
        <v>5-14</v>
      </c>
      <c r="U141" s="56">
        <f t="shared" ref="U141:U146" si="993">+B141</f>
        <v>5336689.2615659405</v>
      </c>
      <c r="V141" s="4">
        <f t="shared" ref="V141:V146" si="994">+C141</f>
        <v>50</v>
      </c>
      <c r="W141" s="4">
        <f t="shared" si="935"/>
        <v>18</v>
      </c>
      <c r="X141" s="4">
        <f t="shared" si="936"/>
        <v>121</v>
      </c>
      <c r="Y141" s="4">
        <f t="shared" si="937"/>
        <v>79</v>
      </c>
      <c r="Z141" s="4">
        <f t="shared" si="938"/>
        <v>18</v>
      </c>
      <c r="AA141" s="4">
        <f t="shared" si="939"/>
        <v>266</v>
      </c>
      <c r="AB141" s="4">
        <f t="shared" si="940"/>
        <v>18</v>
      </c>
      <c r="AC141" s="4">
        <f t="shared" si="941"/>
        <v>659</v>
      </c>
      <c r="AD141" s="4">
        <f t="shared" si="942"/>
        <v>105</v>
      </c>
      <c r="AE141" s="4">
        <f t="shared" si="943"/>
        <v>16</v>
      </c>
      <c r="AF141" s="4">
        <f t="shared" si="944"/>
        <v>2</v>
      </c>
      <c r="AG141" s="4">
        <f t="shared" si="945"/>
        <v>15</v>
      </c>
      <c r="AH141" s="4">
        <f t="shared" si="946"/>
        <v>82</v>
      </c>
      <c r="AI141" s="4">
        <f t="shared" si="947"/>
        <v>2</v>
      </c>
      <c r="AJ141" s="4">
        <f t="shared" si="948"/>
        <v>34</v>
      </c>
      <c r="AK141" s="4">
        <f t="shared" ref="AK141:AK146" si="995">+SUM(V141:AJ141)</f>
        <v>1485</v>
      </c>
      <c r="AL141" s="58">
        <f t="shared" ref="AL141:AL146" si="996">+V141/$U141</f>
        <v>9.3691046169940461E-6</v>
      </c>
      <c r="AM141" s="58">
        <f t="shared" si="949"/>
        <v>3.3728776621178566E-6</v>
      </c>
      <c r="AN141" s="58">
        <f t="shared" si="950"/>
        <v>2.2673233173125591E-5</v>
      </c>
      <c r="AO141" s="58">
        <f t="shared" si="951"/>
        <v>1.4803185294850593E-5</v>
      </c>
      <c r="AP141" s="58">
        <f t="shared" si="952"/>
        <v>3.3728776621178566E-6</v>
      </c>
      <c r="AQ141" s="58">
        <f t="shared" si="953"/>
        <v>4.9843636562408325E-5</v>
      </c>
      <c r="AR141" s="58">
        <f t="shared" si="954"/>
        <v>3.3728776621178566E-6</v>
      </c>
      <c r="AS141" s="58">
        <f t="shared" si="955"/>
        <v>1.2348479885198154E-4</v>
      </c>
      <c r="AT141" s="58">
        <f t="shared" si="956"/>
        <v>1.9675119695687498E-5</v>
      </c>
      <c r="AU141" s="58">
        <f t="shared" si="957"/>
        <v>2.998113477438095E-6</v>
      </c>
      <c r="AV141" s="58">
        <f t="shared" si="958"/>
        <v>3.7476418467976187E-7</v>
      </c>
      <c r="AW141" s="58">
        <f t="shared" si="959"/>
        <v>2.8107313850982138E-6</v>
      </c>
      <c r="AX141" s="58">
        <f t="shared" si="960"/>
        <v>1.5365331571870237E-5</v>
      </c>
      <c r="AY141" s="58">
        <f t="shared" si="961"/>
        <v>3.7476418467976187E-7</v>
      </c>
      <c r="AZ141" s="58">
        <f t="shared" si="962"/>
        <v>6.3709911395559516E-6</v>
      </c>
      <c r="BA141" s="58">
        <f t="shared" ref="BA141:BA146" si="997">+AK141/U141</f>
        <v>2.7826240712472319E-4</v>
      </c>
      <c r="BB141" s="4">
        <f t="shared" ref="BB141:BB146" si="998">+U141-(0.5*AK141)</f>
        <v>5335946.7615659405</v>
      </c>
      <c r="BC141" s="59">
        <f t="shared" si="963"/>
        <v>9.3704083331833129E-6</v>
      </c>
      <c r="BD141" s="59">
        <f t="shared" ref="BD141:BD146" si="999">+AM141/(1-(0.5*$BA141))</f>
        <v>3.3733469999459925E-6</v>
      </c>
      <c r="BE141" s="59">
        <f t="shared" si="964"/>
        <v>2.2676388166303615E-5</v>
      </c>
      <c r="BF141" s="59">
        <f t="shared" si="965"/>
        <v>1.4805245166429634E-5</v>
      </c>
      <c r="BG141" s="59">
        <f t="shared" si="966"/>
        <v>3.3733469999459925E-6</v>
      </c>
      <c r="BH141" s="59">
        <f t="shared" si="967"/>
        <v>4.9850572332535225E-5</v>
      </c>
      <c r="BI141" s="59">
        <f t="shared" si="968"/>
        <v>3.3733469999459925E-6</v>
      </c>
      <c r="BJ141" s="59">
        <f t="shared" si="969"/>
        <v>1.2350198183135608E-4</v>
      </c>
      <c r="BK141" s="59">
        <f t="shared" si="970"/>
        <v>1.9677857499684958E-5</v>
      </c>
      <c r="BL141" s="59">
        <f t="shared" si="971"/>
        <v>2.9985306666186604E-6</v>
      </c>
      <c r="BM141" s="59">
        <f t="shared" si="972"/>
        <v>3.7481633332733255E-7</v>
      </c>
      <c r="BN141" s="59">
        <f t="shared" si="973"/>
        <v>2.8111224999549937E-6</v>
      </c>
      <c r="BO141" s="59">
        <f>+AX141/(1-(0.5*$BA141))</f>
        <v>1.5367469666420634E-5</v>
      </c>
      <c r="BP141" s="59">
        <f t="shared" si="975"/>
        <v>3.7481633332733255E-7</v>
      </c>
      <c r="BQ141" s="59">
        <f t="shared" si="976"/>
        <v>6.3718776665646525E-6</v>
      </c>
      <c r="BR141" s="60">
        <f>+(V140+V141)/(2*$U141)</f>
        <v>1.2367218094432141E-5</v>
      </c>
      <c r="BS141" s="60">
        <f t="shared" ref="BS141:BS146" si="1000">+(W140+W141)/(2*$U141)</f>
        <v>4.9656254470068449E-6</v>
      </c>
      <c r="BT141" s="60">
        <f t="shared" ref="BT141:BT146" si="1001">+(X140+X141)/(2*$U141)</f>
        <v>1.567451202423104E-4</v>
      </c>
      <c r="BU141" s="60">
        <f t="shared" ref="BU141:BU146" si="1002">+(Y140+Y141)/(2*$U141)</f>
        <v>2.3863109459483836E-4</v>
      </c>
      <c r="BV141" s="60">
        <f t="shared" ref="BV141:BV146" si="1003">+(Z140+Z141)/(2*$U141)</f>
        <v>5.1530075393467253E-6</v>
      </c>
      <c r="BW141" s="60">
        <f t="shared" ref="BW141:BW146" si="1004">+(AA140+AA141)/(2*$U141)</f>
        <v>3.98186946222247E-5</v>
      </c>
      <c r="BX141" s="60">
        <f t="shared" ref="BX141:BX146" si="1005">+(AB140+AB141)/(2*$U141)</f>
        <v>2.998113477438095E-6</v>
      </c>
      <c r="BY141" s="60">
        <f t="shared" ref="BY141:BY146" si="1006">+(AC140+AC141)/(2*$U141)</f>
        <v>1.3538356171556397E-4</v>
      </c>
      <c r="BZ141" s="60">
        <f t="shared" ref="BZ141:BZ146" si="1007">+(AD140+AD141)/(2*$U141)</f>
        <v>1.2835673325281844E-5</v>
      </c>
      <c r="CA141" s="60">
        <f t="shared" ref="CA141:CA146" si="1008">+(AE140+AE141)/(2*$U141)</f>
        <v>2.6233492927583329E-6</v>
      </c>
      <c r="CB141" s="60">
        <f t="shared" ref="CB141:CB146" si="1009">+(AF140+AF141)/(2*$U141)</f>
        <v>5.2729320784442491E-4</v>
      </c>
      <c r="CC141" s="60">
        <f t="shared" ref="CC141:CC146" si="1010">+(AG140+AG141)/(2*$U141)</f>
        <v>1.2086144955922319E-5</v>
      </c>
      <c r="CD141" s="60">
        <f t="shared" ref="CD141:CD146" si="1011">+(AH140+AH141)/(2*$U141)</f>
        <v>8.9849713276972899E-5</v>
      </c>
      <c r="CE141" s="60">
        <f t="shared" ref="CE141:CE146" si="1012">+(AI140+AI141)/(2*$U141)</f>
        <v>2.1548940619086307E-6</v>
      </c>
      <c r="CF141" s="13">
        <f t="shared" ref="CF141:CF146" si="1013">+(AJ140+AJ141)/(2*$U141)</f>
        <v>5.9025359087062493E-6</v>
      </c>
    </row>
    <row r="142" spans="1:85" hidden="1" x14ac:dyDescent="0.25">
      <c r="A142" s="4" t="s">
        <v>4</v>
      </c>
      <c r="B142" s="56">
        <v>4328734.7335640304</v>
      </c>
      <c r="C142" s="57">
        <v>101</v>
      </c>
      <c r="D142" s="57">
        <v>34</v>
      </c>
      <c r="E142" s="57">
        <v>66</v>
      </c>
      <c r="F142" s="57">
        <v>36</v>
      </c>
      <c r="G142" s="57">
        <v>71</v>
      </c>
      <c r="H142" s="57">
        <v>301</v>
      </c>
      <c r="I142" s="57">
        <v>64</v>
      </c>
      <c r="J142" s="57">
        <v>1352</v>
      </c>
      <c r="K142" s="57">
        <v>1694</v>
      </c>
      <c r="L142" s="57">
        <v>51</v>
      </c>
      <c r="M142" s="57">
        <v>0</v>
      </c>
      <c r="N142" s="57">
        <v>33</v>
      </c>
      <c r="O142" s="57">
        <v>90</v>
      </c>
      <c r="P142" s="57">
        <v>47</v>
      </c>
      <c r="Q142" s="57">
        <v>27</v>
      </c>
      <c r="S142" s="4">
        <f t="shared" si="991"/>
        <v>1996</v>
      </c>
      <c r="T142" s="4" t="str">
        <f t="shared" si="992"/>
        <v>15-24</v>
      </c>
      <c r="U142" s="56">
        <f t="shared" si="993"/>
        <v>4328734.7335640304</v>
      </c>
      <c r="V142" s="4">
        <f t="shared" si="994"/>
        <v>101</v>
      </c>
      <c r="W142" s="4">
        <f t="shared" si="935"/>
        <v>34</v>
      </c>
      <c r="X142" s="4">
        <f t="shared" si="936"/>
        <v>66</v>
      </c>
      <c r="Y142" s="4">
        <f t="shared" si="937"/>
        <v>36</v>
      </c>
      <c r="Z142" s="4">
        <f t="shared" si="938"/>
        <v>71</v>
      </c>
      <c r="AA142" s="4">
        <f t="shared" si="939"/>
        <v>301</v>
      </c>
      <c r="AB142" s="4">
        <f t="shared" si="940"/>
        <v>64</v>
      </c>
      <c r="AC142" s="4">
        <f t="shared" si="941"/>
        <v>1352</v>
      </c>
      <c r="AD142" s="4">
        <f t="shared" si="942"/>
        <v>1694</v>
      </c>
      <c r="AE142" s="4">
        <f t="shared" si="943"/>
        <v>51</v>
      </c>
      <c r="AF142" s="4">
        <f t="shared" si="944"/>
        <v>0</v>
      </c>
      <c r="AG142" s="4">
        <f t="shared" si="945"/>
        <v>33</v>
      </c>
      <c r="AH142" s="4">
        <f t="shared" si="946"/>
        <v>90</v>
      </c>
      <c r="AI142" s="4">
        <f t="shared" si="947"/>
        <v>47</v>
      </c>
      <c r="AJ142" s="4">
        <f t="shared" si="948"/>
        <v>27</v>
      </c>
      <c r="AK142" s="4">
        <f t="shared" si="995"/>
        <v>3967</v>
      </c>
      <c r="AL142" s="58">
        <f t="shared" si="996"/>
        <v>2.3332453064603114E-5</v>
      </c>
      <c r="AM142" s="58">
        <f t="shared" si="949"/>
        <v>7.8544891504604536E-6</v>
      </c>
      <c r="AN142" s="58">
        <f t="shared" si="950"/>
        <v>1.5246949527364411E-5</v>
      </c>
      <c r="AO142" s="58">
        <f t="shared" si="951"/>
        <v>8.3165179240169518E-6</v>
      </c>
      <c r="AP142" s="58">
        <f t="shared" si="952"/>
        <v>1.6402021461255655E-5</v>
      </c>
      <c r="AQ142" s="58">
        <f t="shared" si="953"/>
        <v>6.9535330420252836E-5</v>
      </c>
      <c r="AR142" s="58">
        <f t="shared" si="954"/>
        <v>1.4784920753807913E-5</v>
      </c>
      <c r="AS142" s="58">
        <f t="shared" si="955"/>
        <v>3.1233145092419214E-4</v>
      </c>
      <c r="AT142" s="58">
        <f t="shared" si="956"/>
        <v>3.9133837120235322E-4</v>
      </c>
      <c r="AU142" s="58">
        <f t="shared" si="957"/>
        <v>1.1781733725690681E-5</v>
      </c>
      <c r="AV142" s="58">
        <f t="shared" si="958"/>
        <v>0</v>
      </c>
      <c r="AW142" s="58">
        <f t="shared" si="959"/>
        <v>7.6234747636822054E-6</v>
      </c>
      <c r="AX142" s="58">
        <f t="shared" si="960"/>
        <v>2.0791294810042377E-5</v>
      </c>
      <c r="AY142" s="58">
        <f t="shared" si="961"/>
        <v>1.0857676178577687E-5</v>
      </c>
      <c r="AZ142" s="58">
        <f t="shared" si="962"/>
        <v>6.2373884430127134E-6</v>
      </c>
      <c r="BA142" s="58">
        <f t="shared" si="997"/>
        <v>9.1643407234931235E-4</v>
      </c>
      <c r="BB142" s="4">
        <f t="shared" si="998"/>
        <v>4326751.2335640304</v>
      </c>
      <c r="BC142" s="59">
        <f t="shared" si="963"/>
        <v>2.3343149293287266E-5</v>
      </c>
      <c r="BD142" s="59">
        <f t="shared" si="999"/>
        <v>7.8580898611066048E-6</v>
      </c>
      <c r="BE142" s="59">
        <f t="shared" si="964"/>
        <v>1.5253939142148115E-5</v>
      </c>
      <c r="BF142" s="59">
        <f t="shared" si="965"/>
        <v>8.3203304411716991E-6</v>
      </c>
      <c r="BG142" s="59">
        <f t="shared" si="966"/>
        <v>1.640954059231085E-5</v>
      </c>
      <c r="BH142" s="59">
        <f t="shared" si="967"/>
        <v>6.9567207299796693E-5</v>
      </c>
      <c r="BI142" s="59">
        <f t="shared" si="968"/>
        <v>1.4791698562083019E-5</v>
      </c>
      <c r="BJ142" s="59">
        <f t="shared" si="969"/>
        <v>3.1247463212400378E-4</v>
      </c>
      <c r="BK142" s="59">
        <f t="shared" si="970"/>
        <v>3.9151777131513494E-4</v>
      </c>
      <c r="BL142" s="59">
        <f t="shared" si="971"/>
        <v>1.1787134791659907E-5</v>
      </c>
      <c r="BM142" s="59">
        <f t="shared" si="972"/>
        <v>0</v>
      </c>
      <c r="BN142" s="59">
        <f t="shared" si="973"/>
        <v>7.6269695710740576E-6</v>
      </c>
      <c r="BO142" s="59">
        <f t="shared" ref="BO142:BO146" si="1014">+AX142/(1-(0.5*$BA142))</f>
        <v>2.0800826102929245E-5</v>
      </c>
      <c r="BP142" s="59">
        <f t="shared" si="975"/>
        <v>1.0862653631529719E-5</v>
      </c>
      <c r="BQ142" s="59">
        <f t="shared" si="976"/>
        <v>6.2402478308787739E-6</v>
      </c>
      <c r="BR142" s="60">
        <f t="shared" ref="BR142:BR146" si="1015">+(V141+V142)/(2*$U142)</f>
        <v>1.7441586201757774E-5</v>
      </c>
      <c r="BS142" s="60">
        <f t="shared" si="1000"/>
        <v>6.0063740562344643E-6</v>
      </c>
      <c r="BT142" s="60">
        <f t="shared" si="1001"/>
        <v>2.1599845163766247E-5</v>
      </c>
      <c r="BU142" s="60">
        <f t="shared" si="1002"/>
        <v>1.3283327239749297E-5</v>
      </c>
      <c r="BV142" s="60">
        <f t="shared" si="1003"/>
        <v>1.0280140211632064E-5</v>
      </c>
      <c r="BW142" s="60">
        <f t="shared" si="1004"/>
        <v>6.5492578651633488E-5</v>
      </c>
      <c r="BX142" s="60">
        <f t="shared" si="1005"/>
        <v>9.4715898579081938E-6</v>
      </c>
      <c r="BY142" s="60">
        <f t="shared" si="1006"/>
        <v>2.3228496590552901E-4</v>
      </c>
      <c r="BZ142" s="60">
        <f t="shared" si="1007"/>
        <v>2.0779744090703467E-4</v>
      </c>
      <c r="CA142" s="60">
        <f t="shared" si="1008"/>
        <v>7.7389819570713291E-6</v>
      </c>
      <c r="CB142" s="60">
        <f t="shared" si="1009"/>
        <v>2.3101438677824863E-7</v>
      </c>
      <c r="CC142" s="60">
        <f t="shared" si="1010"/>
        <v>5.544345282677967E-6</v>
      </c>
      <c r="CD142" s="60">
        <f t="shared" si="1011"/>
        <v>1.9867237262929384E-5</v>
      </c>
      <c r="CE142" s="60">
        <f t="shared" si="1012"/>
        <v>5.6598524760670916E-6</v>
      </c>
      <c r="CF142" s="13">
        <f t="shared" si="1013"/>
        <v>7.0459387967365835E-6</v>
      </c>
    </row>
    <row r="143" spans="1:85" hidden="1" x14ac:dyDescent="0.25">
      <c r="A143" s="4" t="s">
        <v>3</v>
      </c>
      <c r="B143" s="56">
        <v>6500086.9398599695</v>
      </c>
      <c r="C143" s="57">
        <v>1265</v>
      </c>
      <c r="D143" s="57">
        <v>267</v>
      </c>
      <c r="E143" s="57">
        <v>94</v>
      </c>
      <c r="F143" s="57">
        <v>65</v>
      </c>
      <c r="G143" s="57">
        <v>232</v>
      </c>
      <c r="H143" s="57">
        <v>1734</v>
      </c>
      <c r="I143" s="57">
        <v>517</v>
      </c>
      <c r="J143" s="57">
        <v>2393</v>
      </c>
      <c r="K143" s="57">
        <v>1811</v>
      </c>
      <c r="L143" s="57">
        <v>272</v>
      </c>
      <c r="M143" s="57">
        <v>1</v>
      </c>
      <c r="N143" s="57">
        <v>99</v>
      </c>
      <c r="O143" s="57">
        <v>191</v>
      </c>
      <c r="P143" s="57">
        <v>719</v>
      </c>
      <c r="Q143" s="57">
        <v>111</v>
      </c>
      <c r="S143" s="4">
        <f t="shared" si="991"/>
        <v>1996</v>
      </c>
      <c r="T143" s="4" t="str">
        <f t="shared" si="992"/>
        <v>25-44</v>
      </c>
      <c r="U143" s="56">
        <f t="shared" si="993"/>
        <v>6500086.9398599695</v>
      </c>
      <c r="V143" s="4">
        <f t="shared" si="994"/>
        <v>1265</v>
      </c>
      <c r="W143" s="4">
        <f t="shared" si="935"/>
        <v>267</v>
      </c>
      <c r="X143" s="4">
        <f t="shared" si="936"/>
        <v>94</v>
      </c>
      <c r="Y143" s="4">
        <f t="shared" si="937"/>
        <v>65</v>
      </c>
      <c r="Z143" s="4">
        <f t="shared" si="938"/>
        <v>232</v>
      </c>
      <c r="AA143" s="4">
        <f t="shared" si="939"/>
        <v>1734</v>
      </c>
      <c r="AB143" s="4">
        <f t="shared" si="940"/>
        <v>517</v>
      </c>
      <c r="AC143" s="4">
        <f t="shared" si="941"/>
        <v>2393</v>
      </c>
      <c r="AD143" s="4">
        <f t="shared" si="942"/>
        <v>1811</v>
      </c>
      <c r="AE143" s="4">
        <f t="shared" si="943"/>
        <v>272</v>
      </c>
      <c r="AF143" s="4">
        <f t="shared" si="944"/>
        <v>1</v>
      </c>
      <c r="AG143" s="4">
        <f t="shared" si="945"/>
        <v>99</v>
      </c>
      <c r="AH143" s="4">
        <f t="shared" si="946"/>
        <v>191</v>
      </c>
      <c r="AI143" s="4">
        <f t="shared" si="947"/>
        <v>719</v>
      </c>
      <c r="AJ143" s="4">
        <f t="shared" si="948"/>
        <v>111</v>
      </c>
      <c r="AK143" s="4">
        <f t="shared" si="995"/>
        <v>9771</v>
      </c>
      <c r="AL143" s="58">
        <f t="shared" si="996"/>
        <v>1.9461278159877223E-4</v>
      </c>
      <c r="AM143" s="58">
        <f t="shared" si="949"/>
        <v>4.107637366551161E-5</v>
      </c>
      <c r="AN143" s="58">
        <f t="shared" si="950"/>
        <v>1.4461345035798096E-5</v>
      </c>
      <c r="AO143" s="58">
        <f t="shared" si="951"/>
        <v>9.9998662481582572E-6</v>
      </c>
      <c r="AP143" s="58">
        <f t="shared" si="952"/>
        <v>3.56918303011187E-5</v>
      </c>
      <c r="AQ143" s="58">
        <f t="shared" si="953"/>
        <v>2.6676566268163718E-4</v>
      </c>
      <c r="AR143" s="58">
        <f t="shared" si="954"/>
        <v>7.953739769688952E-5</v>
      </c>
      <c r="AS143" s="58">
        <f t="shared" si="955"/>
        <v>3.6814892202834939E-4</v>
      </c>
      <c r="AT143" s="58">
        <f t="shared" si="956"/>
        <v>2.7861165808330162E-4</v>
      </c>
      <c r="AU143" s="58">
        <f t="shared" si="957"/>
        <v>4.1845594146139165E-5</v>
      </c>
      <c r="AV143" s="58">
        <f t="shared" si="958"/>
        <v>1.5384409612551164E-7</v>
      </c>
      <c r="AW143" s="58">
        <f t="shared" si="959"/>
        <v>1.5230565516425653E-5</v>
      </c>
      <c r="AX143" s="58">
        <f t="shared" si="960"/>
        <v>2.9384222359972725E-5</v>
      </c>
      <c r="AY143" s="58">
        <f t="shared" si="961"/>
        <v>1.1061390511424288E-4</v>
      </c>
      <c r="AZ143" s="58">
        <f t="shared" si="962"/>
        <v>1.7076694669931794E-5</v>
      </c>
      <c r="BA143" s="58">
        <f t="shared" si="997"/>
        <v>1.5032106632423743E-3</v>
      </c>
      <c r="BB143" s="4">
        <f t="shared" si="998"/>
        <v>6495201.4398599695</v>
      </c>
      <c r="BC143" s="59">
        <f t="shared" si="963"/>
        <v>1.9475916362453452E-4</v>
      </c>
      <c r="BD143" s="59">
        <f t="shared" si="999"/>
        <v>4.1107270108893847E-5</v>
      </c>
      <c r="BE143" s="59">
        <f t="shared" si="964"/>
        <v>1.4472222435340906E-5</v>
      </c>
      <c r="BF143" s="59">
        <f t="shared" si="965"/>
        <v>1.0007387854225095E-5</v>
      </c>
      <c r="BG143" s="59">
        <f t="shared" si="966"/>
        <v>3.5718676648926485E-5</v>
      </c>
      <c r="BH143" s="59">
        <f t="shared" si="967"/>
        <v>2.6696631598809712E-4</v>
      </c>
      <c r="BI143" s="59">
        <f t="shared" si="968"/>
        <v>7.9597223394374983E-5</v>
      </c>
      <c r="BJ143" s="59">
        <f t="shared" si="969"/>
        <v>3.6842583284862543E-4</v>
      </c>
      <c r="BK143" s="59">
        <f t="shared" si="970"/>
        <v>2.7882122160002534E-4</v>
      </c>
      <c r="BL143" s="59">
        <f t="shared" si="971"/>
        <v>4.187706917460347E-5</v>
      </c>
      <c r="BM143" s="59">
        <f t="shared" si="972"/>
        <v>1.5395981314192452E-7</v>
      </c>
      <c r="BN143" s="59">
        <f t="shared" si="973"/>
        <v>1.5242021501050527E-5</v>
      </c>
      <c r="BO143" s="59">
        <f t="shared" si="1014"/>
        <v>2.9406324310107584E-5</v>
      </c>
      <c r="BP143" s="59">
        <f t="shared" si="975"/>
        <v>1.1069710564904374E-4</v>
      </c>
      <c r="BQ143" s="59">
        <f t="shared" si="976"/>
        <v>1.7089539258753623E-5</v>
      </c>
      <c r="BR143" s="60">
        <f t="shared" si="1015"/>
        <v>1.0507551765372446E-4</v>
      </c>
      <c r="BS143" s="60">
        <f t="shared" si="1000"/>
        <v>2.3153536466889503E-5</v>
      </c>
      <c r="BT143" s="60">
        <f t="shared" si="1001"/>
        <v>1.2307527690040933E-5</v>
      </c>
      <c r="BU143" s="60">
        <f t="shared" si="1002"/>
        <v>7.7691268543383381E-6</v>
      </c>
      <c r="BV143" s="60">
        <f t="shared" si="1003"/>
        <v>2.3307380563015016E-5</v>
      </c>
      <c r="BW143" s="60">
        <f t="shared" si="1004"/>
        <v>1.565363678077081E-4</v>
      </c>
      <c r="BX143" s="60">
        <f t="shared" si="1005"/>
        <v>4.4691709924461133E-5</v>
      </c>
      <c r="BY143" s="60">
        <f t="shared" si="1006"/>
        <v>2.8807306999502054E-4</v>
      </c>
      <c r="BZ143" s="60">
        <f t="shared" si="1007"/>
        <v>2.6961177845995915E-4</v>
      </c>
      <c r="CA143" s="60">
        <f t="shared" si="1008"/>
        <v>2.4845821524270131E-5</v>
      </c>
      <c r="CB143" s="60">
        <f t="shared" si="1009"/>
        <v>7.6922048062755818E-8</v>
      </c>
      <c r="CC143" s="60">
        <f t="shared" si="1010"/>
        <v>1.0153710344283768E-5</v>
      </c>
      <c r="CD143" s="60">
        <f t="shared" si="1011"/>
        <v>2.1615095505634385E-5</v>
      </c>
      <c r="CE143" s="60">
        <f t="shared" si="1012"/>
        <v>5.8922288816070963E-5</v>
      </c>
      <c r="CF143" s="13">
        <f t="shared" si="1013"/>
        <v>1.0615242632660304E-5</v>
      </c>
    </row>
    <row r="144" spans="1:85" hidden="1" x14ac:dyDescent="0.25">
      <c r="A144" s="4" t="s">
        <v>2</v>
      </c>
      <c r="B144" s="56">
        <v>2862216.4853526298</v>
      </c>
      <c r="C144" s="57">
        <v>5170</v>
      </c>
      <c r="D144" s="57">
        <v>791</v>
      </c>
      <c r="E144" s="57">
        <v>38</v>
      </c>
      <c r="F144" s="57">
        <v>151</v>
      </c>
      <c r="G144" s="57">
        <v>387</v>
      </c>
      <c r="H144" s="57">
        <v>4424</v>
      </c>
      <c r="I144" s="57">
        <v>1783</v>
      </c>
      <c r="J144" s="57">
        <v>1078</v>
      </c>
      <c r="K144" s="57">
        <v>502</v>
      </c>
      <c r="L144" s="57">
        <v>1450</v>
      </c>
      <c r="M144" s="57">
        <v>0</v>
      </c>
      <c r="N144" s="57">
        <v>427</v>
      </c>
      <c r="O144" s="57">
        <v>247</v>
      </c>
      <c r="P144" s="57">
        <v>130</v>
      </c>
      <c r="Q144" s="57">
        <v>206</v>
      </c>
      <c r="S144" s="4">
        <f t="shared" si="991"/>
        <v>1996</v>
      </c>
      <c r="T144" s="4" t="str">
        <f t="shared" si="992"/>
        <v>45-64</v>
      </c>
      <c r="U144" s="56">
        <f t="shared" si="993"/>
        <v>2862216.4853526298</v>
      </c>
      <c r="V144" s="4">
        <f t="shared" si="994"/>
        <v>5170</v>
      </c>
      <c r="W144" s="4">
        <f t="shared" si="935"/>
        <v>791</v>
      </c>
      <c r="X144" s="4">
        <f t="shared" si="936"/>
        <v>38</v>
      </c>
      <c r="Y144" s="4">
        <f t="shared" si="937"/>
        <v>151</v>
      </c>
      <c r="Z144" s="4">
        <f t="shared" si="938"/>
        <v>387</v>
      </c>
      <c r="AA144" s="4">
        <f t="shared" si="939"/>
        <v>4424</v>
      </c>
      <c r="AB144" s="4">
        <f t="shared" si="940"/>
        <v>1783</v>
      </c>
      <c r="AC144" s="4">
        <f t="shared" si="941"/>
        <v>1078</v>
      </c>
      <c r="AD144" s="4">
        <f t="shared" si="942"/>
        <v>502</v>
      </c>
      <c r="AE144" s="4">
        <f t="shared" si="943"/>
        <v>1450</v>
      </c>
      <c r="AF144" s="4">
        <f t="shared" si="944"/>
        <v>0</v>
      </c>
      <c r="AG144" s="4">
        <f t="shared" si="945"/>
        <v>427</v>
      </c>
      <c r="AH144" s="4">
        <f t="shared" si="946"/>
        <v>247</v>
      </c>
      <c r="AI144" s="4">
        <f t="shared" si="947"/>
        <v>130</v>
      </c>
      <c r="AJ144" s="4">
        <f t="shared" si="948"/>
        <v>206</v>
      </c>
      <c r="AK144" s="4">
        <f t="shared" si="995"/>
        <v>16784</v>
      </c>
      <c r="AL144" s="58">
        <f t="shared" si="996"/>
        <v>1.8062924403019248E-3</v>
      </c>
      <c r="AM144" s="58">
        <f t="shared" si="949"/>
        <v>2.7635924957037186E-4</v>
      </c>
      <c r="AN144" s="58">
        <f t="shared" si="950"/>
        <v>1.3276424126010279E-5</v>
      </c>
      <c r="AO144" s="58">
        <f t="shared" si="951"/>
        <v>5.2756316921777688E-5</v>
      </c>
      <c r="AP144" s="58">
        <f t="shared" si="952"/>
        <v>1.3520989833594679E-4</v>
      </c>
      <c r="AQ144" s="58">
        <f t="shared" si="953"/>
        <v>1.5456552719334072E-3</v>
      </c>
      <c r="AR144" s="58">
        <f t="shared" si="954"/>
        <v>6.229437951756928E-4</v>
      </c>
      <c r="AS144" s="58">
        <f t="shared" si="955"/>
        <v>3.7663118967997582E-4</v>
      </c>
      <c r="AT144" s="58">
        <f t="shared" si="956"/>
        <v>1.7538855029624104E-4</v>
      </c>
      <c r="AU144" s="58">
        <f t="shared" si="957"/>
        <v>5.0660039428197118E-4</v>
      </c>
      <c r="AV144" s="58">
        <f t="shared" si="958"/>
        <v>0</v>
      </c>
      <c r="AW144" s="58">
        <f t="shared" si="959"/>
        <v>1.4918508162648392E-4</v>
      </c>
      <c r="AX144" s="58">
        <f t="shared" si="960"/>
        <v>8.6296756819066809E-5</v>
      </c>
      <c r="AY144" s="58">
        <f t="shared" si="961"/>
        <v>4.541934569424569E-5</v>
      </c>
      <c r="AZ144" s="58">
        <f t="shared" si="962"/>
        <v>7.1972193946266255E-5</v>
      </c>
      <c r="BA144" s="58">
        <f t="shared" si="997"/>
        <v>5.8639869087093819E-3</v>
      </c>
      <c r="BB144" s="4">
        <f t="shared" si="998"/>
        <v>2853824.4853526298</v>
      </c>
      <c r="BC144" s="59">
        <f t="shared" si="963"/>
        <v>1.8116040515228724E-3</v>
      </c>
      <c r="BD144" s="59">
        <f t="shared" si="999"/>
        <v>2.7717191581326728E-4</v>
      </c>
      <c r="BE144" s="59">
        <f t="shared" si="964"/>
        <v>1.3315464982179718E-5</v>
      </c>
      <c r="BF144" s="59">
        <f t="shared" si="965"/>
        <v>5.2911452955503619E-5</v>
      </c>
      <c r="BG144" s="59">
        <f t="shared" si="966"/>
        <v>1.3560749863430398E-4</v>
      </c>
      <c r="BH144" s="59">
        <f t="shared" si="967"/>
        <v>1.5502004495042915E-3</v>
      </c>
      <c r="BI144" s="59">
        <f t="shared" si="968"/>
        <v>6.2477563324280102E-4</v>
      </c>
      <c r="BJ144" s="59">
        <f t="shared" si="969"/>
        <v>3.7773871712604574E-4</v>
      </c>
      <c r="BK144" s="59">
        <f t="shared" si="970"/>
        <v>1.7590430055405837E-4</v>
      </c>
      <c r="BL144" s="59">
        <f t="shared" si="971"/>
        <v>5.0809011116212085E-4</v>
      </c>
      <c r="BM144" s="59">
        <f t="shared" si="972"/>
        <v>0</v>
      </c>
      <c r="BN144" s="59">
        <f t="shared" si="973"/>
        <v>1.4962377756291422E-4</v>
      </c>
      <c r="BO144" s="59">
        <f t="shared" si="1014"/>
        <v>8.6550522384168166E-5</v>
      </c>
      <c r="BP144" s="59">
        <f t="shared" si="975"/>
        <v>4.5552906517983245E-5</v>
      </c>
      <c r="BQ144" s="59">
        <f t="shared" si="976"/>
        <v>7.2183836482342698E-5</v>
      </c>
      <c r="BR144" s="60">
        <f t="shared" si="1015"/>
        <v>1.1241288059325809E-3</v>
      </c>
      <c r="BS144" s="60">
        <f t="shared" si="1000"/>
        <v>1.8482179901735361E-4</v>
      </c>
      <c r="BT144" s="60">
        <f t="shared" si="1001"/>
        <v>2.3059052429386273E-5</v>
      </c>
      <c r="BU144" s="60">
        <f t="shared" si="1002"/>
        <v>3.7732994884450265E-5</v>
      </c>
      <c r="BV144" s="60">
        <f t="shared" si="1003"/>
        <v>1.0813298071053108E-4</v>
      </c>
      <c r="BW144" s="60">
        <f t="shared" si="1004"/>
        <v>1.0757397337890959E-3</v>
      </c>
      <c r="BX144" s="60">
        <f t="shared" si="1005"/>
        <v>4.0178651960294265E-4</v>
      </c>
      <c r="BY144" s="60">
        <f t="shared" si="1006"/>
        <v>6.0634826501817997E-4</v>
      </c>
      <c r="BZ144" s="60">
        <f t="shared" si="1007"/>
        <v>4.0405748688765491E-4</v>
      </c>
      <c r="CA144" s="60">
        <f t="shared" si="1008"/>
        <v>3.0081582032881184E-4</v>
      </c>
      <c r="CB144" s="60">
        <f t="shared" si="1009"/>
        <v>1.746897911317142E-7</v>
      </c>
      <c r="CC144" s="60">
        <f t="shared" si="1010"/>
        <v>9.1886830135281663E-5</v>
      </c>
      <c r="CD144" s="60">
        <f t="shared" si="1011"/>
        <v>7.6514128515690812E-5</v>
      </c>
      <c r="CE144" s="60">
        <f t="shared" si="1012"/>
        <v>1.4831163267082535E-4</v>
      </c>
      <c r="CF144" s="13">
        <f t="shared" si="1013"/>
        <v>5.5376663788753401E-5</v>
      </c>
    </row>
    <row r="145" spans="1:85" hidden="1" x14ac:dyDescent="0.25">
      <c r="A145" s="4" t="s">
        <v>1</v>
      </c>
      <c r="B145" s="56">
        <v>710343.28776711202</v>
      </c>
      <c r="C145" s="57">
        <v>5212</v>
      </c>
      <c r="D145" s="57">
        <v>406</v>
      </c>
      <c r="E145" s="57">
        <v>24</v>
      </c>
      <c r="F145" s="57">
        <v>146</v>
      </c>
      <c r="G145" s="57">
        <v>319</v>
      </c>
      <c r="H145" s="57">
        <v>3335</v>
      </c>
      <c r="I145" s="57">
        <v>1780</v>
      </c>
      <c r="J145" s="57">
        <v>380</v>
      </c>
      <c r="K145" s="57">
        <v>125</v>
      </c>
      <c r="L145" s="57">
        <v>1343</v>
      </c>
      <c r="M145" s="57">
        <v>0</v>
      </c>
      <c r="N145" s="57">
        <v>576</v>
      </c>
      <c r="O145" s="57">
        <v>226</v>
      </c>
      <c r="P145" s="57">
        <v>5</v>
      </c>
      <c r="Q145" s="57">
        <v>161</v>
      </c>
      <c r="S145" s="4">
        <f t="shared" si="991"/>
        <v>1996</v>
      </c>
      <c r="T145" s="4" t="str">
        <f t="shared" si="992"/>
        <v>65-74</v>
      </c>
      <c r="U145" s="56">
        <f t="shared" si="993"/>
        <v>710343.28776711202</v>
      </c>
      <c r="V145" s="4">
        <f t="shared" si="994"/>
        <v>5212</v>
      </c>
      <c r="W145" s="4">
        <f t="shared" si="935"/>
        <v>406</v>
      </c>
      <c r="X145" s="4">
        <f t="shared" si="936"/>
        <v>24</v>
      </c>
      <c r="Y145" s="4">
        <f t="shared" si="937"/>
        <v>146</v>
      </c>
      <c r="Z145" s="4">
        <f t="shared" si="938"/>
        <v>319</v>
      </c>
      <c r="AA145" s="4">
        <f t="shared" si="939"/>
        <v>3335</v>
      </c>
      <c r="AB145" s="4">
        <f t="shared" si="940"/>
        <v>1780</v>
      </c>
      <c r="AC145" s="4">
        <f t="shared" si="941"/>
        <v>380</v>
      </c>
      <c r="AD145" s="4">
        <f t="shared" si="942"/>
        <v>125</v>
      </c>
      <c r="AE145" s="4">
        <f t="shared" si="943"/>
        <v>1343</v>
      </c>
      <c r="AF145" s="4">
        <f t="shared" si="944"/>
        <v>0</v>
      </c>
      <c r="AG145" s="4">
        <f t="shared" si="945"/>
        <v>576</v>
      </c>
      <c r="AH145" s="4">
        <f t="shared" si="946"/>
        <v>226</v>
      </c>
      <c r="AI145" s="4">
        <f t="shared" si="947"/>
        <v>5</v>
      </c>
      <c r="AJ145" s="4">
        <f t="shared" si="948"/>
        <v>161</v>
      </c>
      <c r="AK145" s="4">
        <f t="shared" si="995"/>
        <v>14038</v>
      </c>
      <c r="AL145" s="58">
        <f t="shared" si="996"/>
        <v>7.3372974585053981E-3</v>
      </c>
      <c r="AM145" s="58">
        <f t="shared" si="949"/>
        <v>5.7155463702095004E-4</v>
      </c>
      <c r="AN145" s="58">
        <f t="shared" si="950"/>
        <v>3.3786481006164537E-5</v>
      </c>
      <c r="AO145" s="58">
        <f t="shared" si="951"/>
        <v>2.0553442612083426E-4</v>
      </c>
      <c r="AP145" s="58">
        <f t="shared" si="952"/>
        <v>4.4907864337360363E-4</v>
      </c>
      <c r="AQ145" s="58">
        <f t="shared" si="953"/>
        <v>4.6949130898149474E-3</v>
      </c>
      <c r="AR145" s="58">
        <f t="shared" si="954"/>
        <v>2.5058306746238699E-3</v>
      </c>
      <c r="AS145" s="58">
        <f t="shared" si="955"/>
        <v>5.3495261593093852E-4</v>
      </c>
      <c r="AT145" s="58">
        <f t="shared" si="956"/>
        <v>1.759712552404403E-4</v>
      </c>
      <c r="AU145" s="58">
        <f t="shared" si="957"/>
        <v>1.8906351663032905E-3</v>
      </c>
      <c r="AV145" s="58">
        <f t="shared" si="958"/>
        <v>0</v>
      </c>
      <c r="AW145" s="58">
        <f t="shared" si="959"/>
        <v>8.1087554414794889E-4</v>
      </c>
      <c r="AX145" s="58">
        <f t="shared" si="960"/>
        <v>3.1815602947471606E-4</v>
      </c>
      <c r="AY145" s="58">
        <f t="shared" si="961"/>
        <v>7.0388502096176121E-6</v>
      </c>
      <c r="AZ145" s="58">
        <f t="shared" si="962"/>
        <v>2.2665097674968711E-4</v>
      </c>
      <c r="BA145" s="58">
        <f t="shared" si="997"/>
        <v>1.9762275848522408E-2</v>
      </c>
      <c r="BB145" s="4">
        <f t="shared" si="998"/>
        <v>703324.28776711202</v>
      </c>
      <c r="BC145" s="59">
        <f t="shared" si="963"/>
        <v>7.4105218469660197E-3</v>
      </c>
      <c r="BD145" s="59">
        <f t="shared" si="999"/>
        <v>5.772586089539916E-4</v>
      </c>
      <c r="BE145" s="59">
        <f t="shared" si="964"/>
        <v>3.4123661613043836E-5</v>
      </c>
      <c r="BF145" s="59">
        <f t="shared" si="965"/>
        <v>2.0758560814601668E-4</v>
      </c>
      <c r="BG145" s="59">
        <f t="shared" si="966"/>
        <v>4.5356033560670767E-4</v>
      </c>
      <c r="BH145" s="59">
        <f t="shared" si="967"/>
        <v>4.741767144979217E-3</v>
      </c>
      <c r="BI145" s="59">
        <f t="shared" si="968"/>
        <v>2.5308382363007516E-3</v>
      </c>
      <c r="BJ145" s="59">
        <f t="shared" si="969"/>
        <v>5.4029130887319409E-4</v>
      </c>
      <c r="BK145" s="59">
        <f t="shared" si="970"/>
        <v>1.7772740423460334E-4</v>
      </c>
      <c r="BL145" s="59">
        <f t="shared" si="971"/>
        <v>1.909503231096578E-3</v>
      </c>
      <c r="BM145" s="59">
        <f t="shared" si="972"/>
        <v>0</v>
      </c>
      <c r="BN145" s="59">
        <f t="shared" si="973"/>
        <v>8.1896787871305217E-4</v>
      </c>
      <c r="BO145" s="59">
        <f t="shared" si="1014"/>
        <v>3.2133114685616281E-4</v>
      </c>
      <c r="BP145" s="59">
        <f t="shared" si="975"/>
        <v>7.1090961693841331E-6</v>
      </c>
      <c r="BQ145" s="59">
        <f t="shared" si="976"/>
        <v>2.2891289665416908E-4</v>
      </c>
      <c r="BR145" s="60">
        <f t="shared" si="1015"/>
        <v>7.3077342876250043E-3</v>
      </c>
      <c r="BS145" s="60">
        <f t="shared" si="1000"/>
        <v>8.4255037009122813E-4</v>
      </c>
      <c r="BT145" s="60">
        <f t="shared" si="1001"/>
        <v>4.3640871299629196E-5</v>
      </c>
      <c r="BU145" s="60">
        <f t="shared" si="1002"/>
        <v>2.0905385122564307E-4</v>
      </c>
      <c r="BV145" s="60">
        <f t="shared" si="1003"/>
        <v>4.969428247990034E-4</v>
      </c>
      <c r="BW145" s="60">
        <f t="shared" si="1004"/>
        <v>5.461443877642305E-3</v>
      </c>
      <c r="BX145" s="60">
        <f t="shared" si="1005"/>
        <v>2.5079423296867549E-3</v>
      </c>
      <c r="BY145" s="60">
        <f t="shared" si="1006"/>
        <v>1.0262643605622478E-3</v>
      </c>
      <c r="BZ145" s="60">
        <f t="shared" si="1007"/>
        <v>4.4133590814302427E-4</v>
      </c>
      <c r="CA145" s="60">
        <f t="shared" si="1008"/>
        <v>1.9659508635461991E-3</v>
      </c>
      <c r="CB145" s="60">
        <f t="shared" si="1009"/>
        <v>0</v>
      </c>
      <c r="CC145" s="60">
        <f t="shared" si="1010"/>
        <v>7.0599667602464649E-4</v>
      </c>
      <c r="CD145" s="60">
        <f t="shared" si="1011"/>
        <v>3.3293761491491304E-4</v>
      </c>
      <c r="CE145" s="60">
        <f t="shared" si="1012"/>
        <v>9.5024477829837753E-5</v>
      </c>
      <c r="CF145" s="13">
        <f t="shared" si="1013"/>
        <v>2.5832580269296635E-4</v>
      </c>
    </row>
    <row r="146" spans="1:85" hidden="1" x14ac:dyDescent="0.25">
      <c r="A146" s="4" t="s">
        <v>0</v>
      </c>
      <c r="B146" s="56">
        <v>710343.28776711202</v>
      </c>
      <c r="C146" s="57">
        <v>9429</v>
      </c>
      <c r="D146" s="57">
        <v>279</v>
      </c>
      <c r="E146" s="57">
        <v>22</v>
      </c>
      <c r="F146" s="57">
        <v>432</v>
      </c>
      <c r="G146" s="57">
        <v>397</v>
      </c>
      <c r="H146" s="57">
        <v>3401</v>
      </c>
      <c r="I146" s="57">
        <v>3442</v>
      </c>
      <c r="J146" s="57">
        <v>534</v>
      </c>
      <c r="K146" s="57">
        <v>68</v>
      </c>
      <c r="L146" s="57">
        <v>1306</v>
      </c>
      <c r="M146" s="57">
        <v>14</v>
      </c>
      <c r="N146" s="57">
        <v>1141</v>
      </c>
      <c r="O146" s="57">
        <v>974</v>
      </c>
      <c r="P146" s="57">
        <v>7</v>
      </c>
      <c r="Q146" s="57">
        <v>178</v>
      </c>
      <c r="S146" s="4">
        <f t="shared" si="991"/>
        <v>1996</v>
      </c>
      <c r="T146" s="4" t="str">
        <f t="shared" si="992"/>
        <v>75+</v>
      </c>
      <c r="U146" s="56">
        <f t="shared" si="993"/>
        <v>710343.28776711202</v>
      </c>
      <c r="V146" s="4">
        <f t="shared" si="994"/>
        <v>9429</v>
      </c>
      <c r="W146" s="4">
        <f t="shared" si="935"/>
        <v>279</v>
      </c>
      <c r="X146" s="4">
        <f t="shared" si="936"/>
        <v>22</v>
      </c>
      <c r="Y146" s="4">
        <f t="shared" si="937"/>
        <v>432</v>
      </c>
      <c r="Z146" s="4">
        <f t="shared" si="938"/>
        <v>397</v>
      </c>
      <c r="AA146" s="4">
        <f t="shared" si="939"/>
        <v>3401</v>
      </c>
      <c r="AB146" s="4">
        <f t="shared" si="940"/>
        <v>3442</v>
      </c>
      <c r="AC146" s="4">
        <f t="shared" si="941"/>
        <v>534</v>
      </c>
      <c r="AD146" s="4">
        <f t="shared" si="942"/>
        <v>68</v>
      </c>
      <c r="AE146" s="4">
        <f t="shared" si="943"/>
        <v>1306</v>
      </c>
      <c r="AF146" s="4">
        <f t="shared" si="944"/>
        <v>14</v>
      </c>
      <c r="AG146" s="4">
        <f t="shared" si="945"/>
        <v>1141</v>
      </c>
      <c r="AH146" s="4">
        <f t="shared" si="946"/>
        <v>974</v>
      </c>
      <c r="AI146" s="4">
        <f t="shared" si="947"/>
        <v>7</v>
      </c>
      <c r="AJ146" s="4">
        <f t="shared" si="948"/>
        <v>178</v>
      </c>
      <c r="AK146" s="4">
        <f t="shared" si="995"/>
        <v>21624</v>
      </c>
      <c r="AL146" s="58">
        <f t="shared" si="996"/>
        <v>1.3273863725296892E-2</v>
      </c>
      <c r="AM146" s="58">
        <f t="shared" si="949"/>
        <v>3.9276784169666276E-4</v>
      </c>
      <c r="AN146" s="58">
        <f t="shared" si="950"/>
        <v>3.0970940922317494E-5</v>
      </c>
      <c r="AO146" s="58">
        <f t="shared" si="951"/>
        <v>6.0815665811096166E-4</v>
      </c>
      <c r="AP146" s="58">
        <f t="shared" si="952"/>
        <v>5.588847066436384E-4</v>
      </c>
      <c r="AQ146" s="58">
        <f t="shared" si="953"/>
        <v>4.7878259125818997E-3</v>
      </c>
      <c r="AR146" s="58">
        <f t="shared" si="954"/>
        <v>4.8455444843007638E-3</v>
      </c>
      <c r="AS146" s="58">
        <f t="shared" si="955"/>
        <v>7.5174920238716097E-4</v>
      </c>
      <c r="AT146" s="58">
        <f t="shared" si="956"/>
        <v>9.5728362850799526E-5</v>
      </c>
      <c r="AU146" s="58">
        <f t="shared" si="957"/>
        <v>1.8385476747521201E-3</v>
      </c>
      <c r="AV146" s="58">
        <f t="shared" si="958"/>
        <v>1.9708780586929314E-5</v>
      </c>
      <c r="AW146" s="58">
        <f t="shared" si="959"/>
        <v>1.606265617834739E-3</v>
      </c>
      <c r="AX146" s="58">
        <f t="shared" si="960"/>
        <v>1.3711680208335108E-3</v>
      </c>
      <c r="AY146" s="58">
        <f t="shared" si="961"/>
        <v>9.8543902934646572E-6</v>
      </c>
      <c r="AZ146" s="58">
        <f t="shared" si="962"/>
        <v>2.5058306746238699E-4</v>
      </c>
      <c r="BA146" s="58">
        <f t="shared" si="997"/>
        <v>3.0441619386554247E-2</v>
      </c>
      <c r="BB146" s="4">
        <f t="shared" si="998"/>
        <v>699531.28776711202</v>
      </c>
      <c r="BC146" s="59">
        <f t="shared" si="963"/>
        <v>1.3479025405850185E-2</v>
      </c>
      <c r="BD146" s="59">
        <f t="shared" si="999"/>
        <v>3.9883848639645793E-4</v>
      </c>
      <c r="BE146" s="59">
        <f t="shared" si="964"/>
        <v>3.1449629751692027E-5</v>
      </c>
      <c r="BF146" s="59">
        <f t="shared" si="965"/>
        <v>6.1755636603322511E-4</v>
      </c>
      <c r="BG146" s="59">
        <f t="shared" si="966"/>
        <v>5.6752286415553336E-4</v>
      </c>
      <c r="BH146" s="59">
        <f t="shared" si="967"/>
        <v>4.8618268538865713E-3</v>
      </c>
      <c r="BI146" s="59">
        <f t="shared" si="968"/>
        <v>4.9204375275147243E-3</v>
      </c>
      <c r="BJ146" s="59">
        <f t="shared" si="969"/>
        <v>7.6336828579107001E-4</v>
      </c>
      <c r="BK146" s="59">
        <f t="shared" si="970"/>
        <v>9.7207946505229885E-5</v>
      </c>
      <c r="BL146" s="59">
        <f t="shared" si="971"/>
        <v>1.8669643843504445E-3</v>
      </c>
      <c r="BM146" s="59">
        <f t="shared" si="972"/>
        <v>2.0013400751076742E-5</v>
      </c>
      <c r="BN146" s="59">
        <f t="shared" si="973"/>
        <v>1.6310921612127545E-3</v>
      </c>
      <c r="BO146" s="59">
        <f t="shared" si="1014"/>
        <v>1.3923608808249104E-3</v>
      </c>
      <c r="BP146" s="59">
        <f t="shared" si="975"/>
        <v>1.0006700375538371E-5</v>
      </c>
      <c r="BQ146" s="59">
        <f t="shared" si="976"/>
        <v>2.5445609526369002E-4</v>
      </c>
      <c r="BR146" s="60">
        <f t="shared" si="1015"/>
        <v>1.0305580591901146E-2</v>
      </c>
      <c r="BS146" s="60">
        <f t="shared" si="1000"/>
        <v>4.8216123935880642E-4</v>
      </c>
      <c r="BT146" s="60">
        <f t="shared" si="1001"/>
        <v>3.2378710964241012E-5</v>
      </c>
      <c r="BU146" s="60">
        <f t="shared" si="1002"/>
        <v>4.0684554211589799E-4</v>
      </c>
      <c r="BV146" s="60">
        <f t="shared" si="1003"/>
        <v>5.0398167500862096E-4</v>
      </c>
      <c r="BW146" s="60">
        <f t="shared" si="1004"/>
        <v>4.7413695011984235E-3</v>
      </c>
      <c r="BX146" s="60">
        <f t="shared" si="1005"/>
        <v>3.6756875794623171E-3</v>
      </c>
      <c r="BY146" s="60">
        <f t="shared" si="1006"/>
        <v>6.4335090915904969E-4</v>
      </c>
      <c r="BZ146" s="60">
        <f t="shared" si="1007"/>
        <v>1.3584980904561992E-4</v>
      </c>
      <c r="CA146" s="60">
        <f t="shared" si="1008"/>
        <v>1.8645914205277054E-3</v>
      </c>
      <c r="CB146" s="60">
        <f t="shared" si="1009"/>
        <v>9.8543902934646572E-6</v>
      </c>
      <c r="CC146" s="60">
        <f t="shared" si="1010"/>
        <v>1.208570580991344E-3</v>
      </c>
      <c r="CD146" s="60">
        <f t="shared" si="1011"/>
        <v>8.4466202515411342E-4</v>
      </c>
      <c r="CE146" s="60">
        <f t="shared" si="1012"/>
        <v>8.4466202515411342E-6</v>
      </c>
      <c r="CF146" s="13">
        <f t="shared" si="1013"/>
        <v>2.3861702210603705E-4</v>
      </c>
    </row>
    <row r="147" spans="1:85" hidden="1" x14ac:dyDescent="0.25">
      <c r="C147" s="4"/>
    </row>
    <row r="148" spans="1:85" hidden="1" x14ac:dyDescent="0.25">
      <c r="C148" s="4"/>
    </row>
    <row r="149" spans="1:85" hidden="1" x14ac:dyDescent="0.25">
      <c r="A149" s="4" t="s">
        <v>23</v>
      </c>
      <c r="B149" s="61">
        <v>1996</v>
      </c>
    </row>
    <row r="150" spans="1:85" hidden="1" x14ac:dyDescent="0.25"/>
    <row r="151" spans="1:85" s="21" customFormat="1" ht="23.25" hidden="1" customHeight="1" x14ac:dyDescent="0.25">
      <c r="A151" s="62" t="s">
        <v>46</v>
      </c>
      <c r="B151" s="62"/>
      <c r="C151" s="4" t="s">
        <v>35</v>
      </c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</row>
    <row r="152" spans="1:85" s="37" customFormat="1" ht="33" hidden="1" customHeight="1" x14ac:dyDescent="0.25">
      <c r="A152" s="63" t="s">
        <v>22</v>
      </c>
      <c r="B152" s="64" t="s">
        <v>24</v>
      </c>
      <c r="C152" s="64">
        <v>1</v>
      </c>
      <c r="D152" s="64">
        <v>10</v>
      </c>
      <c r="E152" s="64">
        <v>11</v>
      </c>
      <c r="F152" s="64">
        <v>12</v>
      </c>
      <c r="G152" s="64">
        <v>13</v>
      </c>
      <c r="H152" s="64">
        <v>2</v>
      </c>
      <c r="I152" s="64">
        <v>3</v>
      </c>
      <c r="J152" s="64">
        <v>4</v>
      </c>
      <c r="K152" s="64">
        <v>5</v>
      </c>
      <c r="L152" s="64">
        <v>6</v>
      </c>
      <c r="M152" s="64">
        <v>7</v>
      </c>
      <c r="N152" s="64">
        <v>8</v>
      </c>
      <c r="O152" s="64">
        <v>9</v>
      </c>
      <c r="P152" s="64">
        <v>14</v>
      </c>
      <c r="Q152" s="64">
        <v>15</v>
      </c>
      <c r="R152" s="64"/>
      <c r="S152" s="65" t="s">
        <v>23</v>
      </c>
      <c r="T152" s="65" t="s">
        <v>22</v>
      </c>
      <c r="U152" s="65" t="s">
        <v>181</v>
      </c>
      <c r="V152" s="66" t="str">
        <f>+CONCATENATE("dx","(",C152,")")</f>
        <v>dx(1)</v>
      </c>
      <c r="W152" s="66" t="str">
        <f t="shared" ref="W152" si="1016">+CONCATENATE("dx","(",D152,")")</f>
        <v>dx(10)</v>
      </c>
      <c r="X152" s="66" t="str">
        <f t="shared" ref="X152" si="1017">+CONCATENATE("dx","(",E152,")")</f>
        <v>dx(11)</v>
      </c>
      <c r="Y152" s="66" t="str">
        <f t="shared" ref="Y152" si="1018">+CONCATENATE("dx","(",F152,")")</f>
        <v>dx(12)</v>
      </c>
      <c r="Z152" s="66" t="str">
        <f t="shared" ref="Z152" si="1019">+CONCATENATE("dx","(",G152,")")</f>
        <v>dx(13)</v>
      </c>
      <c r="AA152" s="66" t="str">
        <f t="shared" ref="AA152" si="1020">+CONCATENATE("dx","(",H152,")")</f>
        <v>dx(2)</v>
      </c>
      <c r="AB152" s="66" t="str">
        <f t="shared" ref="AB152" si="1021">+CONCATENATE("dx","(",I152,")")</f>
        <v>dx(3)</v>
      </c>
      <c r="AC152" s="66" t="str">
        <f t="shared" ref="AC152" si="1022">+CONCATENATE("dx","(",J152,")")</f>
        <v>dx(4)</v>
      </c>
      <c r="AD152" s="66" t="str">
        <f t="shared" ref="AD152" si="1023">+CONCATENATE("dx","(",K152,")")</f>
        <v>dx(5)</v>
      </c>
      <c r="AE152" s="66" t="str">
        <f t="shared" ref="AE152" si="1024">+CONCATENATE("dx","(",L152,")")</f>
        <v>dx(6)</v>
      </c>
      <c r="AF152" s="66" t="str">
        <f t="shared" ref="AF152" si="1025">+CONCATENATE("dx","(",M152,")")</f>
        <v>dx(7)</v>
      </c>
      <c r="AG152" s="66" t="str">
        <f t="shared" ref="AG152" si="1026">+CONCATENATE("dx","(",N152,")")</f>
        <v>dx(8)</v>
      </c>
      <c r="AH152" s="66" t="str">
        <f t="shared" ref="AH152" si="1027">+CONCATENATE("dx","(",O152,")")</f>
        <v>dx(9)</v>
      </c>
      <c r="AI152" s="66" t="str">
        <f t="shared" ref="AI152" si="1028">+CONCATENATE("dx","(",P152,")")</f>
        <v>dx(14)</v>
      </c>
      <c r="AJ152" s="66" t="str">
        <f t="shared" ref="AJ152" si="1029">+CONCATENATE("dx","(",Q152,")")</f>
        <v>dx(15)</v>
      </c>
      <c r="AK152" s="66" t="s">
        <v>182</v>
      </c>
      <c r="AL152" s="66" t="str">
        <f t="shared" ref="AL152:AZ152" si="1030">+CONCATENATE("qx","(",C152,")")</f>
        <v>qx(1)</v>
      </c>
      <c r="AM152" s="66" t="str">
        <f t="shared" si="1030"/>
        <v>qx(10)</v>
      </c>
      <c r="AN152" s="66" t="str">
        <f t="shared" si="1030"/>
        <v>qx(11)</v>
      </c>
      <c r="AO152" s="66" t="str">
        <f t="shared" si="1030"/>
        <v>qx(12)</v>
      </c>
      <c r="AP152" s="66" t="str">
        <f t="shared" si="1030"/>
        <v>qx(13)</v>
      </c>
      <c r="AQ152" s="66" t="str">
        <f t="shared" si="1030"/>
        <v>qx(2)</v>
      </c>
      <c r="AR152" s="66" t="str">
        <f t="shared" si="1030"/>
        <v>qx(3)</v>
      </c>
      <c r="AS152" s="66" t="str">
        <f t="shared" si="1030"/>
        <v>qx(4)</v>
      </c>
      <c r="AT152" s="66" t="str">
        <f t="shared" si="1030"/>
        <v>qx(5)</v>
      </c>
      <c r="AU152" s="66" t="str">
        <f t="shared" si="1030"/>
        <v>qx(6)</v>
      </c>
      <c r="AV152" s="66" t="str">
        <f t="shared" si="1030"/>
        <v>qx(7)</v>
      </c>
      <c r="AW152" s="66" t="str">
        <f t="shared" si="1030"/>
        <v>qx(8)</v>
      </c>
      <c r="AX152" s="66" t="str">
        <f t="shared" si="1030"/>
        <v>qx(9)</v>
      </c>
      <c r="AY152" s="66" t="str">
        <f t="shared" si="1030"/>
        <v>qx(14)</v>
      </c>
      <c r="AZ152" s="66" t="str">
        <f t="shared" si="1030"/>
        <v>qx(15)</v>
      </c>
      <c r="BA152" s="66" t="str">
        <f>+CONCATENATE("qx","(T)")</f>
        <v>qx(T)</v>
      </c>
      <c r="BB152" s="65" t="s">
        <v>184</v>
      </c>
      <c r="BC152" s="66" t="str">
        <f t="shared" ref="BC152:BQ152" si="1031">+CONCATENATE("mx","(",C152,")")</f>
        <v>mx(1)</v>
      </c>
      <c r="BD152" s="66" t="str">
        <f t="shared" si="1031"/>
        <v>mx(10)</v>
      </c>
      <c r="BE152" s="66" t="str">
        <f t="shared" si="1031"/>
        <v>mx(11)</v>
      </c>
      <c r="BF152" s="66" t="str">
        <f t="shared" si="1031"/>
        <v>mx(12)</v>
      </c>
      <c r="BG152" s="66" t="str">
        <f t="shared" si="1031"/>
        <v>mx(13)</v>
      </c>
      <c r="BH152" s="66" t="str">
        <f t="shared" si="1031"/>
        <v>mx(2)</v>
      </c>
      <c r="BI152" s="66" t="str">
        <f t="shared" si="1031"/>
        <v>mx(3)</v>
      </c>
      <c r="BJ152" s="66" t="str">
        <f t="shared" si="1031"/>
        <v>mx(4)</v>
      </c>
      <c r="BK152" s="66" t="str">
        <f t="shared" si="1031"/>
        <v>mx(5)</v>
      </c>
      <c r="BL152" s="66" t="str">
        <f t="shared" si="1031"/>
        <v>mx(6)</v>
      </c>
      <c r="BM152" s="66" t="str">
        <f t="shared" si="1031"/>
        <v>mx(7)</v>
      </c>
      <c r="BN152" s="66" t="str">
        <f t="shared" si="1031"/>
        <v>mx(8)</v>
      </c>
      <c r="BO152" s="66" t="str">
        <f t="shared" si="1031"/>
        <v>mx(9)</v>
      </c>
      <c r="BP152" s="66" t="str">
        <f t="shared" si="1031"/>
        <v>mx(14)</v>
      </c>
      <c r="BQ152" s="66" t="str">
        <f t="shared" si="1031"/>
        <v>mx(15)</v>
      </c>
      <c r="BR152" s="66" t="str">
        <f>+CONCATENATE("µ(X)",C152)</f>
        <v>µ(X)1</v>
      </c>
      <c r="BS152" s="66" t="str">
        <f t="shared" ref="BS152" si="1032">+CONCATENATE("µ(X)",D152)</f>
        <v>µ(X)10</v>
      </c>
      <c r="BT152" s="66" t="str">
        <f t="shared" ref="BT152" si="1033">+CONCATENATE("µ(X)",E152)</f>
        <v>µ(X)11</v>
      </c>
      <c r="BU152" s="66" t="str">
        <f t="shared" ref="BU152" si="1034">+CONCATENATE("µ(X)",F152)</f>
        <v>µ(X)12</v>
      </c>
      <c r="BV152" s="66" t="str">
        <f t="shared" ref="BV152" si="1035">+CONCATENATE("µ(X)",G152)</f>
        <v>µ(X)13</v>
      </c>
      <c r="BW152" s="66" t="str">
        <f t="shared" ref="BW152" si="1036">+CONCATENATE("µ(X)",H152)</f>
        <v>µ(X)2</v>
      </c>
      <c r="BX152" s="66" t="str">
        <f t="shared" ref="BX152" si="1037">+CONCATENATE("µ(X)",I152)</f>
        <v>µ(X)3</v>
      </c>
      <c r="BY152" s="66" t="str">
        <f t="shared" ref="BY152" si="1038">+CONCATENATE("µ(X)",J152)</f>
        <v>µ(X)4</v>
      </c>
      <c r="BZ152" s="66" t="str">
        <f t="shared" ref="BZ152" si="1039">+CONCATENATE("µ(X)",K152)</f>
        <v>µ(X)5</v>
      </c>
      <c r="CA152" s="66" t="str">
        <f t="shared" ref="CA152" si="1040">+CONCATENATE("µ(X)",L152)</f>
        <v>µ(X)6</v>
      </c>
      <c r="CB152" s="66" t="str">
        <f t="shared" ref="CB152" si="1041">+CONCATENATE("µ(X)",M152)</f>
        <v>µ(X)7</v>
      </c>
      <c r="CC152" s="66" t="str">
        <f t="shared" ref="CC152" si="1042">+CONCATENATE("µ(X)",N152)</f>
        <v>µ(X)8</v>
      </c>
      <c r="CD152" s="66" t="str">
        <f t="shared" ref="CD152" si="1043">+CONCATENATE("µ(X)",O152)</f>
        <v>µ(X)9</v>
      </c>
      <c r="CE152" s="66" t="str">
        <f t="shared" ref="CE152" si="1044">+CONCATENATE("µ(X)",P152)</f>
        <v>µ(X)14</v>
      </c>
      <c r="CF152" s="42" t="str">
        <f t="shared" ref="CF152" si="1045">+CONCATENATE("µ(X)",Q152)</f>
        <v>µ(X)15</v>
      </c>
      <c r="CG152" s="36"/>
    </row>
    <row r="153" spans="1:85" hidden="1" x14ac:dyDescent="0.25">
      <c r="A153" s="4" t="s">
        <v>6</v>
      </c>
      <c r="B153" s="56">
        <v>2669011.0638103201</v>
      </c>
      <c r="C153" s="57">
        <v>82</v>
      </c>
      <c r="D153" s="57">
        <v>35</v>
      </c>
      <c r="E153" s="57">
        <v>1552</v>
      </c>
      <c r="F153" s="57">
        <v>2468</v>
      </c>
      <c r="G153" s="57">
        <v>37</v>
      </c>
      <c r="H153" s="57">
        <v>159</v>
      </c>
      <c r="I153" s="57">
        <v>14</v>
      </c>
      <c r="J153" s="57">
        <v>786</v>
      </c>
      <c r="K153" s="57">
        <v>32</v>
      </c>
      <c r="L153" s="57">
        <v>12</v>
      </c>
      <c r="M153" s="57">
        <v>5626</v>
      </c>
      <c r="N153" s="57">
        <v>114</v>
      </c>
      <c r="O153" s="57">
        <v>877</v>
      </c>
      <c r="P153" s="57">
        <v>21</v>
      </c>
      <c r="Q153" s="57">
        <v>29</v>
      </c>
      <c r="S153" s="4">
        <f>+$B$149</f>
        <v>1996</v>
      </c>
      <c r="T153" s="4" t="str">
        <f>+A153</f>
        <v>0-4</v>
      </c>
      <c r="U153" s="56">
        <f>+B153</f>
        <v>2669011.0638103201</v>
      </c>
      <c r="V153" s="4">
        <f>+C153</f>
        <v>82</v>
      </c>
      <c r="W153" s="4">
        <f t="shared" ref="W153:W159" si="1046">+D153</f>
        <v>35</v>
      </c>
      <c r="X153" s="4">
        <f t="shared" ref="X153:X159" si="1047">+E153</f>
        <v>1552</v>
      </c>
      <c r="Y153" s="4">
        <f t="shared" ref="Y153:Y159" si="1048">+F153</f>
        <v>2468</v>
      </c>
      <c r="Z153" s="4">
        <f t="shared" ref="Z153:Z159" si="1049">+G153</f>
        <v>37</v>
      </c>
      <c r="AA153" s="4">
        <f t="shared" ref="AA153:AA159" si="1050">+H153</f>
        <v>159</v>
      </c>
      <c r="AB153" s="4">
        <f t="shared" ref="AB153:AB159" si="1051">+I153</f>
        <v>14</v>
      </c>
      <c r="AC153" s="4">
        <f t="shared" ref="AC153:AC159" si="1052">+J153</f>
        <v>786</v>
      </c>
      <c r="AD153" s="4">
        <f t="shared" ref="AD153:AD159" si="1053">+K153</f>
        <v>32</v>
      </c>
      <c r="AE153" s="4">
        <f t="shared" ref="AE153:AE159" si="1054">+L153</f>
        <v>12</v>
      </c>
      <c r="AF153" s="4">
        <f t="shared" ref="AF153:AF159" si="1055">+M153</f>
        <v>5626</v>
      </c>
      <c r="AG153" s="4">
        <f t="shared" ref="AG153:AG159" si="1056">+N153</f>
        <v>114</v>
      </c>
      <c r="AH153" s="4">
        <f t="shared" ref="AH153:AH159" si="1057">+O153</f>
        <v>877</v>
      </c>
      <c r="AI153" s="4">
        <f t="shared" ref="AI153:AI159" si="1058">+P153</f>
        <v>21</v>
      </c>
      <c r="AJ153" s="4">
        <f t="shared" ref="AJ153:AJ159" si="1059">+Q153</f>
        <v>29</v>
      </c>
      <c r="AK153" s="4">
        <f>+SUM(V153:AJ153)</f>
        <v>11844</v>
      </c>
      <c r="AL153" s="58">
        <f>+V153/$U153</f>
        <v>3.072298991632338E-5</v>
      </c>
      <c r="AM153" s="58">
        <f t="shared" ref="AM153:AM159" si="1060">+W153/$U153</f>
        <v>1.3113471305747784E-5</v>
      </c>
      <c r="AN153" s="58">
        <f t="shared" ref="AN153:AN159" si="1061">+X153/$U153</f>
        <v>5.8148878475773028E-4</v>
      </c>
      <c r="AO153" s="58">
        <f t="shared" ref="AO153:AO159" si="1062">+Y153/$U153</f>
        <v>9.2468706235958656E-4</v>
      </c>
      <c r="AP153" s="58">
        <f t="shared" ref="AP153:AP159" si="1063">+Z153/$U153</f>
        <v>1.3862812523219085E-5</v>
      </c>
      <c r="AQ153" s="58">
        <f t="shared" ref="AQ153:AQ159" si="1064">+AA153/$U153</f>
        <v>5.9572626788968504E-5</v>
      </c>
      <c r="AR153" s="58">
        <f t="shared" ref="AR153:AR159" si="1065">+AB153/$U153</f>
        <v>5.2453885222991139E-6</v>
      </c>
      <c r="AS153" s="58">
        <f t="shared" ref="AS153:AS159" si="1066">+AC153/$U153</f>
        <v>2.9449109846622164E-4</v>
      </c>
      <c r="AT153" s="58">
        <f t="shared" ref="AT153:AT159" si="1067">+AD153/$U153</f>
        <v>1.1989459479540831E-5</v>
      </c>
      <c r="AU153" s="58">
        <f t="shared" ref="AU153:AU159" si="1068">+AE153/$U153</f>
        <v>4.4960473048278115E-6</v>
      </c>
      <c r="AV153" s="58">
        <f t="shared" ref="AV153:AV159" si="1069">+AF153/$U153</f>
        <v>2.1078968447467723E-3</v>
      </c>
      <c r="AW153" s="58">
        <f t="shared" ref="AW153:AW159" si="1070">+AG153/$U153</f>
        <v>4.2712449395864211E-5</v>
      </c>
      <c r="AX153" s="58">
        <f t="shared" ref="AX153:AX159" si="1071">+AH153/$U153</f>
        <v>3.2858612386116591E-4</v>
      </c>
      <c r="AY153" s="58">
        <f t="shared" ref="AY153:AY159" si="1072">+AI153/$U153</f>
        <v>7.86808278344867E-6</v>
      </c>
      <c r="AZ153" s="58">
        <f t="shared" ref="AZ153:AZ159" si="1073">+AJ153/$U153</f>
        <v>1.0865447653333878E-5</v>
      </c>
      <c r="BA153" s="58">
        <f>+AK153/U153</f>
        <v>4.4375986898650497E-3</v>
      </c>
      <c r="BB153" s="4">
        <f>+U153-(0.5*AK153)</f>
        <v>2663089.0638103201</v>
      </c>
      <c r="BC153" s="59">
        <f t="shared" ref="BC153:BC159" si="1074">+AL153/(1-(0.5*$BA153))</f>
        <v>3.0791309654013318E-5</v>
      </c>
      <c r="BD153" s="59">
        <f>+AM153/(1-(0.5*$BA153))</f>
        <v>1.3142632169395928E-5</v>
      </c>
      <c r="BE153" s="59">
        <f t="shared" ref="BE153:BE159" si="1075">+AN153/(1-(0.5*$BA153))</f>
        <v>5.8278186076864233E-4</v>
      </c>
      <c r="BF153" s="59">
        <f t="shared" ref="BF153:BF159" si="1076">+AO153/(1-(0.5*$BA153))</f>
        <v>9.2674331983054719E-4</v>
      </c>
      <c r="BG153" s="59">
        <f t="shared" ref="BG153:BG159" si="1077">+AP153/(1-(0.5*$BA153))</f>
        <v>1.3893639721932839E-5</v>
      </c>
      <c r="BH153" s="59">
        <f t="shared" ref="BH153:BH159" si="1078">+AQ153/(1-(0.5*$BA153))</f>
        <v>5.9705100426684362E-5</v>
      </c>
      <c r="BI153" s="59">
        <f t="shared" ref="BI153:BI159" si="1079">+AR153/(1-(0.5*$BA153))</f>
        <v>5.2570528677583717E-6</v>
      </c>
      <c r="BJ153" s="59">
        <f t="shared" ref="BJ153:BJ159" si="1080">+AS153/(1-(0.5*$BA153))</f>
        <v>2.9514596814700567E-4</v>
      </c>
      <c r="BK153" s="59">
        <f t="shared" ref="BK153:BK159" si="1081">+AT153/(1-(0.5*$BA153))</f>
        <v>1.2016120840590563E-5</v>
      </c>
      <c r="BL153" s="59">
        <f t="shared" ref="BL153:BL159" si="1082">+AU153/(1-(0.5*$BA153))</f>
        <v>4.5060453152214609E-6</v>
      </c>
      <c r="BM153" s="59">
        <f t="shared" ref="BM153:BM159" si="1083">+AV153/(1-(0.5*$BA153))</f>
        <v>2.1125842452863284E-3</v>
      </c>
      <c r="BN153" s="59">
        <f t="shared" ref="BN153:BN159" si="1084">+AW153/(1-(0.5*$BA153))</f>
        <v>4.2807430494603885E-5</v>
      </c>
      <c r="BO153" s="59">
        <f t="shared" ref="BO153" si="1085">+AX153/(1-(0.5*$BA153))</f>
        <v>3.2931681178743514E-4</v>
      </c>
      <c r="BP153" s="59">
        <f t="shared" ref="BP153:BP159" si="1086">+AY153/(1-(0.5*$BA153))</f>
        <v>7.8855793016375572E-6</v>
      </c>
      <c r="BQ153" s="59">
        <f t="shared" ref="BQ153:BQ159" si="1087">+AZ153/(1-(0.5*$BA153))</f>
        <v>1.0889609511785197E-5</v>
      </c>
      <c r="BR153" s="60">
        <f>+V153/(2*$U153)</f>
        <v>1.536149495816169E-5</v>
      </c>
      <c r="BS153" s="60">
        <f t="shared" ref="BS153" si="1088">+W153/(2*$U153)</f>
        <v>6.5567356528738919E-6</v>
      </c>
      <c r="BT153" s="60">
        <f t="shared" ref="BT153" si="1089">+X153/(2*$U153)</f>
        <v>2.9074439237886514E-4</v>
      </c>
      <c r="BU153" s="60">
        <f t="shared" ref="BU153" si="1090">+Y153/(2*$U153)</f>
        <v>4.6234353117979328E-4</v>
      </c>
      <c r="BV153" s="60">
        <f t="shared" ref="BV153" si="1091">+Z153/(2*$U153)</f>
        <v>6.9314062616095427E-6</v>
      </c>
      <c r="BW153" s="60">
        <f t="shared" ref="BW153" si="1092">+AA153/(2*$U153)</f>
        <v>2.9786313394484252E-5</v>
      </c>
      <c r="BX153" s="60">
        <f t="shared" ref="BX153" si="1093">+AB153/(2*$U153)</f>
        <v>2.6226942611495569E-6</v>
      </c>
      <c r="BY153" s="60">
        <f t="shared" ref="BY153" si="1094">+AC153/(2*$U153)</f>
        <v>1.4724554923311082E-4</v>
      </c>
      <c r="BZ153" s="60">
        <f t="shared" ref="BZ153" si="1095">+AD153/(2*$U153)</f>
        <v>5.9947297397704154E-6</v>
      </c>
      <c r="CA153" s="60">
        <f t="shared" ref="CA153" si="1096">+AE153/(2*$U153)</f>
        <v>2.2480236524139058E-6</v>
      </c>
      <c r="CB153" s="60">
        <f t="shared" ref="CB153" si="1097">+AF153/(2*$U153)</f>
        <v>1.0539484223733861E-3</v>
      </c>
      <c r="CC153" s="60">
        <f t="shared" ref="CC153" si="1098">+AG153/(2*$U153)</f>
        <v>2.1356224697932105E-5</v>
      </c>
      <c r="CD153" s="60">
        <f t="shared" ref="CD153" si="1099">+AH153/(2*$U153)</f>
        <v>1.6429306193058296E-4</v>
      </c>
      <c r="CE153" s="60">
        <f t="shared" ref="CE153" si="1100">+AI153/(2*$U153)</f>
        <v>3.934041391724335E-6</v>
      </c>
      <c r="CF153" s="13">
        <f t="shared" ref="CF153" si="1101">+AJ153/(2*$U153)</f>
        <v>5.4327238266669388E-6</v>
      </c>
    </row>
    <row r="154" spans="1:85" hidden="1" x14ac:dyDescent="0.25">
      <c r="A154" s="4" t="s">
        <v>5</v>
      </c>
      <c r="B154" s="56">
        <v>5336689.2615659405</v>
      </c>
      <c r="C154" s="57">
        <v>50</v>
      </c>
      <c r="D154" s="57">
        <v>18</v>
      </c>
      <c r="E154" s="57">
        <v>121</v>
      </c>
      <c r="F154" s="57">
        <v>79</v>
      </c>
      <c r="G154" s="57">
        <v>18</v>
      </c>
      <c r="H154" s="57">
        <v>266</v>
      </c>
      <c r="I154" s="57">
        <v>18</v>
      </c>
      <c r="J154" s="57">
        <v>659</v>
      </c>
      <c r="K154" s="57">
        <v>105</v>
      </c>
      <c r="L154" s="57">
        <v>16</v>
      </c>
      <c r="M154" s="57">
        <v>2</v>
      </c>
      <c r="N154" s="57">
        <v>15</v>
      </c>
      <c r="O154" s="57">
        <v>82</v>
      </c>
      <c r="P154" s="57">
        <v>2</v>
      </c>
      <c r="Q154" s="57">
        <v>34</v>
      </c>
      <c r="S154" s="4">
        <f t="shared" ref="S154:S159" si="1102">+$B$149</f>
        <v>1996</v>
      </c>
      <c r="T154" s="4" t="str">
        <f t="shared" ref="T154:T159" si="1103">+A154</f>
        <v>5-14</v>
      </c>
      <c r="U154" s="56">
        <f t="shared" ref="U154:U159" si="1104">+B154</f>
        <v>5336689.2615659405</v>
      </c>
      <c r="V154" s="4">
        <f t="shared" ref="V154:V159" si="1105">+C154</f>
        <v>50</v>
      </c>
      <c r="W154" s="4">
        <f t="shared" si="1046"/>
        <v>18</v>
      </c>
      <c r="X154" s="4">
        <f t="shared" si="1047"/>
        <v>121</v>
      </c>
      <c r="Y154" s="4">
        <f t="shared" si="1048"/>
        <v>79</v>
      </c>
      <c r="Z154" s="4">
        <f t="shared" si="1049"/>
        <v>18</v>
      </c>
      <c r="AA154" s="4">
        <f t="shared" si="1050"/>
        <v>266</v>
      </c>
      <c r="AB154" s="4">
        <f t="shared" si="1051"/>
        <v>18</v>
      </c>
      <c r="AC154" s="4">
        <f t="shared" si="1052"/>
        <v>659</v>
      </c>
      <c r="AD154" s="4">
        <f t="shared" si="1053"/>
        <v>105</v>
      </c>
      <c r="AE154" s="4">
        <f t="shared" si="1054"/>
        <v>16</v>
      </c>
      <c r="AF154" s="4">
        <f t="shared" si="1055"/>
        <v>2</v>
      </c>
      <c r="AG154" s="4">
        <f t="shared" si="1056"/>
        <v>15</v>
      </c>
      <c r="AH154" s="4">
        <f t="shared" si="1057"/>
        <v>82</v>
      </c>
      <c r="AI154" s="4">
        <f t="shared" si="1058"/>
        <v>2</v>
      </c>
      <c r="AJ154" s="4">
        <f t="shared" si="1059"/>
        <v>34</v>
      </c>
      <c r="AK154" s="4">
        <f t="shared" ref="AK154:AK159" si="1106">+SUM(V154:AJ154)</f>
        <v>1485</v>
      </c>
      <c r="AL154" s="58">
        <f t="shared" ref="AL154:AL159" si="1107">+V154/$U154</f>
        <v>9.3691046169940461E-6</v>
      </c>
      <c r="AM154" s="58">
        <f t="shared" si="1060"/>
        <v>3.3728776621178566E-6</v>
      </c>
      <c r="AN154" s="58">
        <f t="shared" si="1061"/>
        <v>2.2673233173125591E-5</v>
      </c>
      <c r="AO154" s="58">
        <f t="shared" si="1062"/>
        <v>1.4803185294850593E-5</v>
      </c>
      <c r="AP154" s="58">
        <f t="shared" si="1063"/>
        <v>3.3728776621178566E-6</v>
      </c>
      <c r="AQ154" s="58">
        <f t="shared" si="1064"/>
        <v>4.9843636562408325E-5</v>
      </c>
      <c r="AR154" s="58">
        <f t="shared" si="1065"/>
        <v>3.3728776621178566E-6</v>
      </c>
      <c r="AS154" s="58">
        <f t="shared" si="1066"/>
        <v>1.2348479885198154E-4</v>
      </c>
      <c r="AT154" s="58">
        <f t="shared" si="1067"/>
        <v>1.9675119695687498E-5</v>
      </c>
      <c r="AU154" s="58">
        <f t="shared" si="1068"/>
        <v>2.998113477438095E-6</v>
      </c>
      <c r="AV154" s="58">
        <f t="shared" si="1069"/>
        <v>3.7476418467976187E-7</v>
      </c>
      <c r="AW154" s="58">
        <f t="shared" si="1070"/>
        <v>2.8107313850982138E-6</v>
      </c>
      <c r="AX154" s="58">
        <f t="shared" si="1071"/>
        <v>1.5365331571870237E-5</v>
      </c>
      <c r="AY154" s="58">
        <f t="shared" si="1072"/>
        <v>3.7476418467976187E-7</v>
      </c>
      <c r="AZ154" s="58">
        <f t="shared" si="1073"/>
        <v>6.3709911395559516E-6</v>
      </c>
      <c r="BA154" s="58">
        <f t="shared" ref="BA154:BA159" si="1108">+AK154/U154</f>
        <v>2.7826240712472319E-4</v>
      </c>
      <c r="BB154" s="4">
        <f t="shared" ref="BB154:BB159" si="1109">+U154-(0.5*AK154)</f>
        <v>5335946.7615659405</v>
      </c>
      <c r="BC154" s="59">
        <f t="shared" si="1074"/>
        <v>9.3704083331833129E-6</v>
      </c>
      <c r="BD154" s="59">
        <f t="shared" ref="BD154:BD159" si="1110">+AM154/(1-(0.5*$BA154))</f>
        <v>3.3733469999459925E-6</v>
      </c>
      <c r="BE154" s="59">
        <f t="shared" si="1075"/>
        <v>2.2676388166303615E-5</v>
      </c>
      <c r="BF154" s="59">
        <f t="shared" si="1076"/>
        <v>1.4805245166429634E-5</v>
      </c>
      <c r="BG154" s="59">
        <f t="shared" si="1077"/>
        <v>3.3733469999459925E-6</v>
      </c>
      <c r="BH154" s="59">
        <f t="shared" si="1078"/>
        <v>4.9850572332535225E-5</v>
      </c>
      <c r="BI154" s="59">
        <f t="shared" si="1079"/>
        <v>3.3733469999459925E-6</v>
      </c>
      <c r="BJ154" s="59">
        <f t="shared" si="1080"/>
        <v>1.2350198183135608E-4</v>
      </c>
      <c r="BK154" s="59">
        <f t="shared" si="1081"/>
        <v>1.9677857499684958E-5</v>
      </c>
      <c r="BL154" s="59">
        <f t="shared" si="1082"/>
        <v>2.9985306666186604E-6</v>
      </c>
      <c r="BM154" s="59">
        <f t="shared" si="1083"/>
        <v>3.7481633332733255E-7</v>
      </c>
      <c r="BN154" s="59">
        <f t="shared" si="1084"/>
        <v>2.8111224999549937E-6</v>
      </c>
      <c r="BO154" s="59">
        <f>+AX154/(1-(0.5*$BA154))</f>
        <v>1.5367469666420634E-5</v>
      </c>
      <c r="BP154" s="59">
        <f t="shared" si="1086"/>
        <v>3.7481633332733255E-7</v>
      </c>
      <c r="BQ154" s="59">
        <f t="shared" si="1087"/>
        <v>6.3718776665646525E-6</v>
      </c>
      <c r="BR154" s="60">
        <f>+(V153+V154)/(2*$U154)</f>
        <v>1.2367218094432141E-5</v>
      </c>
      <c r="BS154" s="60">
        <f t="shared" ref="BS154:BS159" si="1111">+(W153+W154)/(2*$U154)</f>
        <v>4.9656254470068449E-6</v>
      </c>
      <c r="BT154" s="60">
        <f t="shared" ref="BT154:BT159" si="1112">+(X153+X154)/(2*$U154)</f>
        <v>1.567451202423104E-4</v>
      </c>
      <c r="BU154" s="60">
        <f t="shared" ref="BU154:BU159" si="1113">+(Y153+Y154)/(2*$U154)</f>
        <v>2.3863109459483836E-4</v>
      </c>
      <c r="BV154" s="60">
        <f t="shared" ref="BV154:BV159" si="1114">+(Z153+Z154)/(2*$U154)</f>
        <v>5.1530075393467253E-6</v>
      </c>
      <c r="BW154" s="60">
        <f t="shared" ref="BW154:BW159" si="1115">+(AA153+AA154)/(2*$U154)</f>
        <v>3.98186946222247E-5</v>
      </c>
      <c r="BX154" s="60">
        <f t="shared" ref="BX154:BX159" si="1116">+(AB153+AB154)/(2*$U154)</f>
        <v>2.998113477438095E-6</v>
      </c>
      <c r="BY154" s="60">
        <f t="shared" ref="BY154:BY159" si="1117">+(AC153+AC154)/(2*$U154)</f>
        <v>1.3538356171556397E-4</v>
      </c>
      <c r="BZ154" s="60">
        <f t="shared" ref="BZ154:BZ159" si="1118">+(AD153+AD154)/(2*$U154)</f>
        <v>1.2835673325281844E-5</v>
      </c>
      <c r="CA154" s="60">
        <f t="shared" ref="CA154:CA159" si="1119">+(AE153+AE154)/(2*$U154)</f>
        <v>2.6233492927583329E-6</v>
      </c>
      <c r="CB154" s="60">
        <f t="shared" ref="CB154:CB159" si="1120">+(AF153+AF154)/(2*$U154)</f>
        <v>5.2729320784442491E-4</v>
      </c>
      <c r="CC154" s="60">
        <f t="shared" ref="CC154:CC159" si="1121">+(AG153+AG154)/(2*$U154)</f>
        <v>1.2086144955922319E-5</v>
      </c>
      <c r="CD154" s="60">
        <f t="shared" ref="CD154:CD159" si="1122">+(AH153+AH154)/(2*$U154)</f>
        <v>8.9849713276972899E-5</v>
      </c>
      <c r="CE154" s="60">
        <f t="shared" ref="CE154:CE159" si="1123">+(AI153+AI154)/(2*$U154)</f>
        <v>2.1548940619086307E-6</v>
      </c>
      <c r="CF154" s="13">
        <f t="shared" ref="CF154:CF159" si="1124">+(AJ153+AJ154)/(2*$U154)</f>
        <v>5.9025359087062493E-6</v>
      </c>
    </row>
    <row r="155" spans="1:85" hidden="1" x14ac:dyDescent="0.25">
      <c r="A155" s="4" t="s">
        <v>4</v>
      </c>
      <c r="B155" s="56">
        <v>4328734.7335640304</v>
      </c>
      <c r="C155" s="57">
        <v>101</v>
      </c>
      <c r="D155" s="57">
        <v>34</v>
      </c>
      <c r="E155" s="57">
        <v>66</v>
      </c>
      <c r="F155" s="57">
        <v>36</v>
      </c>
      <c r="G155" s="57">
        <v>71</v>
      </c>
      <c r="H155" s="57">
        <v>301</v>
      </c>
      <c r="I155" s="57">
        <v>64</v>
      </c>
      <c r="J155" s="57">
        <v>1352</v>
      </c>
      <c r="K155" s="57">
        <v>1694</v>
      </c>
      <c r="L155" s="57">
        <v>51</v>
      </c>
      <c r="M155" s="57">
        <v>0</v>
      </c>
      <c r="N155" s="57">
        <v>33</v>
      </c>
      <c r="O155" s="57">
        <v>90</v>
      </c>
      <c r="P155" s="57">
        <v>47</v>
      </c>
      <c r="Q155" s="57">
        <v>27</v>
      </c>
      <c r="S155" s="4">
        <f t="shared" si="1102"/>
        <v>1996</v>
      </c>
      <c r="T155" s="4" t="str">
        <f t="shared" si="1103"/>
        <v>15-24</v>
      </c>
      <c r="U155" s="56">
        <f t="shared" si="1104"/>
        <v>4328734.7335640304</v>
      </c>
      <c r="V155" s="4">
        <f t="shared" si="1105"/>
        <v>101</v>
      </c>
      <c r="W155" s="4">
        <f t="shared" si="1046"/>
        <v>34</v>
      </c>
      <c r="X155" s="4">
        <f t="shared" si="1047"/>
        <v>66</v>
      </c>
      <c r="Y155" s="4">
        <f t="shared" si="1048"/>
        <v>36</v>
      </c>
      <c r="Z155" s="4">
        <f t="shared" si="1049"/>
        <v>71</v>
      </c>
      <c r="AA155" s="4">
        <f t="shared" si="1050"/>
        <v>301</v>
      </c>
      <c r="AB155" s="4">
        <f t="shared" si="1051"/>
        <v>64</v>
      </c>
      <c r="AC155" s="4">
        <f t="shared" si="1052"/>
        <v>1352</v>
      </c>
      <c r="AD155" s="4">
        <f t="shared" si="1053"/>
        <v>1694</v>
      </c>
      <c r="AE155" s="4">
        <f t="shared" si="1054"/>
        <v>51</v>
      </c>
      <c r="AF155" s="4">
        <f t="shared" si="1055"/>
        <v>0</v>
      </c>
      <c r="AG155" s="4">
        <f t="shared" si="1056"/>
        <v>33</v>
      </c>
      <c r="AH155" s="4">
        <f t="shared" si="1057"/>
        <v>90</v>
      </c>
      <c r="AI155" s="4">
        <f t="shared" si="1058"/>
        <v>47</v>
      </c>
      <c r="AJ155" s="4">
        <f t="shared" si="1059"/>
        <v>27</v>
      </c>
      <c r="AK155" s="4">
        <f t="shared" si="1106"/>
        <v>3967</v>
      </c>
      <c r="AL155" s="58">
        <f t="shared" si="1107"/>
        <v>2.3332453064603114E-5</v>
      </c>
      <c r="AM155" s="58">
        <f t="shared" si="1060"/>
        <v>7.8544891504604536E-6</v>
      </c>
      <c r="AN155" s="58">
        <f t="shared" si="1061"/>
        <v>1.5246949527364411E-5</v>
      </c>
      <c r="AO155" s="58">
        <f t="shared" si="1062"/>
        <v>8.3165179240169518E-6</v>
      </c>
      <c r="AP155" s="58">
        <f t="shared" si="1063"/>
        <v>1.6402021461255655E-5</v>
      </c>
      <c r="AQ155" s="58">
        <f t="shared" si="1064"/>
        <v>6.9535330420252836E-5</v>
      </c>
      <c r="AR155" s="58">
        <f t="shared" si="1065"/>
        <v>1.4784920753807913E-5</v>
      </c>
      <c r="AS155" s="58">
        <f t="shared" si="1066"/>
        <v>3.1233145092419214E-4</v>
      </c>
      <c r="AT155" s="58">
        <f t="shared" si="1067"/>
        <v>3.9133837120235322E-4</v>
      </c>
      <c r="AU155" s="58">
        <f t="shared" si="1068"/>
        <v>1.1781733725690681E-5</v>
      </c>
      <c r="AV155" s="58">
        <f t="shared" si="1069"/>
        <v>0</v>
      </c>
      <c r="AW155" s="58">
        <f t="shared" si="1070"/>
        <v>7.6234747636822054E-6</v>
      </c>
      <c r="AX155" s="58">
        <f t="shared" si="1071"/>
        <v>2.0791294810042377E-5</v>
      </c>
      <c r="AY155" s="58">
        <f t="shared" si="1072"/>
        <v>1.0857676178577687E-5</v>
      </c>
      <c r="AZ155" s="58">
        <f t="shared" si="1073"/>
        <v>6.2373884430127134E-6</v>
      </c>
      <c r="BA155" s="58">
        <f t="shared" si="1108"/>
        <v>9.1643407234931235E-4</v>
      </c>
      <c r="BB155" s="4">
        <f t="shared" si="1109"/>
        <v>4326751.2335640304</v>
      </c>
      <c r="BC155" s="59">
        <f t="shared" si="1074"/>
        <v>2.3343149293287266E-5</v>
      </c>
      <c r="BD155" s="59">
        <f t="shared" si="1110"/>
        <v>7.8580898611066048E-6</v>
      </c>
      <c r="BE155" s="59">
        <f t="shared" si="1075"/>
        <v>1.5253939142148115E-5</v>
      </c>
      <c r="BF155" s="59">
        <f t="shared" si="1076"/>
        <v>8.3203304411716991E-6</v>
      </c>
      <c r="BG155" s="59">
        <f t="shared" si="1077"/>
        <v>1.640954059231085E-5</v>
      </c>
      <c r="BH155" s="59">
        <f t="shared" si="1078"/>
        <v>6.9567207299796693E-5</v>
      </c>
      <c r="BI155" s="59">
        <f t="shared" si="1079"/>
        <v>1.4791698562083019E-5</v>
      </c>
      <c r="BJ155" s="59">
        <f t="shared" si="1080"/>
        <v>3.1247463212400378E-4</v>
      </c>
      <c r="BK155" s="59">
        <f t="shared" si="1081"/>
        <v>3.9151777131513494E-4</v>
      </c>
      <c r="BL155" s="59">
        <f t="shared" si="1082"/>
        <v>1.1787134791659907E-5</v>
      </c>
      <c r="BM155" s="59">
        <f t="shared" si="1083"/>
        <v>0</v>
      </c>
      <c r="BN155" s="59">
        <f t="shared" si="1084"/>
        <v>7.6269695710740576E-6</v>
      </c>
      <c r="BO155" s="59">
        <f t="shared" ref="BO155:BO159" si="1125">+AX155/(1-(0.5*$BA155))</f>
        <v>2.0800826102929245E-5</v>
      </c>
      <c r="BP155" s="59">
        <f t="shared" si="1086"/>
        <v>1.0862653631529719E-5</v>
      </c>
      <c r="BQ155" s="59">
        <f t="shared" si="1087"/>
        <v>6.2402478308787739E-6</v>
      </c>
      <c r="BR155" s="60">
        <f t="shared" ref="BR155:BR159" si="1126">+(V154+V155)/(2*$U155)</f>
        <v>1.7441586201757774E-5</v>
      </c>
      <c r="BS155" s="60">
        <f t="shared" si="1111"/>
        <v>6.0063740562344643E-6</v>
      </c>
      <c r="BT155" s="60">
        <f t="shared" si="1112"/>
        <v>2.1599845163766247E-5</v>
      </c>
      <c r="BU155" s="60">
        <f t="shared" si="1113"/>
        <v>1.3283327239749297E-5</v>
      </c>
      <c r="BV155" s="60">
        <f t="shared" si="1114"/>
        <v>1.0280140211632064E-5</v>
      </c>
      <c r="BW155" s="60">
        <f t="shared" si="1115"/>
        <v>6.5492578651633488E-5</v>
      </c>
      <c r="BX155" s="60">
        <f t="shared" si="1116"/>
        <v>9.4715898579081938E-6</v>
      </c>
      <c r="BY155" s="60">
        <f t="shared" si="1117"/>
        <v>2.3228496590552901E-4</v>
      </c>
      <c r="BZ155" s="60">
        <f t="shared" si="1118"/>
        <v>2.0779744090703467E-4</v>
      </c>
      <c r="CA155" s="60">
        <f t="shared" si="1119"/>
        <v>7.7389819570713291E-6</v>
      </c>
      <c r="CB155" s="60">
        <f t="shared" si="1120"/>
        <v>2.3101438677824863E-7</v>
      </c>
      <c r="CC155" s="60">
        <f t="shared" si="1121"/>
        <v>5.544345282677967E-6</v>
      </c>
      <c r="CD155" s="60">
        <f t="shared" si="1122"/>
        <v>1.9867237262929384E-5</v>
      </c>
      <c r="CE155" s="60">
        <f t="shared" si="1123"/>
        <v>5.6598524760670916E-6</v>
      </c>
      <c r="CF155" s="13">
        <f t="shared" si="1124"/>
        <v>7.0459387967365835E-6</v>
      </c>
    </row>
    <row r="156" spans="1:85" hidden="1" x14ac:dyDescent="0.25">
      <c r="A156" s="4" t="s">
        <v>3</v>
      </c>
      <c r="B156" s="56">
        <v>6500086.9398599695</v>
      </c>
      <c r="C156" s="57">
        <v>1265</v>
      </c>
      <c r="D156" s="57">
        <v>267</v>
      </c>
      <c r="E156" s="57">
        <v>94</v>
      </c>
      <c r="F156" s="57">
        <v>65</v>
      </c>
      <c r="G156" s="57">
        <v>232</v>
      </c>
      <c r="H156" s="57">
        <v>1734</v>
      </c>
      <c r="I156" s="57">
        <v>517</v>
      </c>
      <c r="J156" s="57">
        <v>2393</v>
      </c>
      <c r="K156" s="57">
        <v>1811</v>
      </c>
      <c r="L156" s="57">
        <v>272</v>
      </c>
      <c r="M156" s="57">
        <v>1</v>
      </c>
      <c r="N156" s="57">
        <v>99</v>
      </c>
      <c r="O156" s="57">
        <v>191</v>
      </c>
      <c r="P156" s="57">
        <v>719</v>
      </c>
      <c r="Q156" s="57">
        <v>111</v>
      </c>
      <c r="S156" s="4">
        <f t="shared" si="1102"/>
        <v>1996</v>
      </c>
      <c r="T156" s="4" t="str">
        <f t="shared" si="1103"/>
        <v>25-44</v>
      </c>
      <c r="U156" s="56">
        <f t="shared" si="1104"/>
        <v>6500086.9398599695</v>
      </c>
      <c r="V156" s="4">
        <f t="shared" si="1105"/>
        <v>1265</v>
      </c>
      <c r="W156" s="4">
        <f t="shared" si="1046"/>
        <v>267</v>
      </c>
      <c r="X156" s="4">
        <f t="shared" si="1047"/>
        <v>94</v>
      </c>
      <c r="Y156" s="4">
        <f t="shared" si="1048"/>
        <v>65</v>
      </c>
      <c r="Z156" s="4">
        <f t="shared" si="1049"/>
        <v>232</v>
      </c>
      <c r="AA156" s="4">
        <f t="shared" si="1050"/>
        <v>1734</v>
      </c>
      <c r="AB156" s="4">
        <f t="shared" si="1051"/>
        <v>517</v>
      </c>
      <c r="AC156" s="4">
        <f t="shared" si="1052"/>
        <v>2393</v>
      </c>
      <c r="AD156" s="4">
        <f t="shared" si="1053"/>
        <v>1811</v>
      </c>
      <c r="AE156" s="4">
        <f t="shared" si="1054"/>
        <v>272</v>
      </c>
      <c r="AF156" s="4">
        <f t="shared" si="1055"/>
        <v>1</v>
      </c>
      <c r="AG156" s="4">
        <f t="shared" si="1056"/>
        <v>99</v>
      </c>
      <c r="AH156" s="4">
        <f t="shared" si="1057"/>
        <v>191</v>
      </c>
      <c r="AI156" s="4">
        <f t="shared" si="1058"/>
        <v>719</v>
      </c>
      <c r="AJ156" s="4">
        <f t="shared" si="1059"/>
        <v>111</v>
      </c>
      <c r="AK156" s="4">
        <f t="shared" si="1106"/>
        <v>9771</v>
      </c>
      <c r="AL156" s="58">
        <f t="shared" si="1107"/>
        <v>1.9461278159877223E-4</v>
      </c>
      <c r="AM156" s="58">
        <f t="shared" si="1060"/>
        <v>4.107637366551161E-5</v>
      </c>
      <c r="AN156" s="58">
        <f t="shared" si="1061"/>
        <v>1.4461345035798096E-5</v>
      </c>
      <c r="AO156" s="58">
        <f t="shared" si="1062"/>
        <v>9.9998662481582572E-6</v>
      </c>
      <c r="AP156" s="58">
        <f t="shared" si="1063"/>
        <v>3.56918303011187E-5</v>
      </c>
      <c r="AQ156" s="58">
        <f t="shared" si="1064"/>
        <v>2.6676566268163718E-4</v>
      </c>
      <c r="AR156" s="58">
        <f t="shared" si="1065"/>
        <v>7.953739769688952E-5</v>
      </c>
      <c r="AS156" s="58">
        <f t="shared" si="1066"/>
        <v>3.6814892202834939E-4</v>
      </c>
      <c r="AT156" s="58">
        <f t="shared" si="1067"/>
        <v>2.7861165808330162E-4</v>
      </c>
      <c r="AU156" s="58">
        <f t="shared" si="1068"/>
        <v>4.1845594146139165E-5</v>
      </c>
      <c r="AV156" s="58">
        <f t="shared" si="1069"/>
        <v>1.5384409612551164E-7</v>
      </c>
      <c r="AW156" s="58">
        <f t="shared" si="1070"/>
        <v>1.5230565516425653E-5</v>
      </c>
      <c r="AX156" s="58">
        <f t="shared" si="1071"/>
        <v>2.9384222359972725E-5</v>
      </c>
      <c r="AY156" s="58">
        <f t="shared" si="1072"/>
        <v>1.1061390511424288E-4</v>
      </c>
      <c r="AZ156" s="58">
        <f t="shared" si="1073"/>
        <v>1.7076694669931794E-5</v>
      </c>
      <c r="BA156" s="58">
        <f t="shared" si="1108"/>
        <v>1.5032106632423743E-3</v>
      </c>
      <c r="BB156" s="4">
        <f t="shared" si="1109"/>
        <v>6495201.4398599695</v>
      </c>
      <c r="BC156" s="59">
        <f t="shared" si="1074"/>
        <v>1.9475916362453452E-4</v>
      </c>
      <c r="BD156" s="59">
        <f t="shared" si="1110"/>
        <v>4.1107270108893847E-5</v>
      </c>
      <c r="BE156" s="59">
        <f t="shared" si="1075"/>
        <v>1.4472222435340906E-5</v>
      </c>
      <c r="BF156" s="59">
        <f t="shared" si="1076"/>
        <v>1.0007387854225095E-5</v>
      </c>
      <c r="BG156" s="59">
        <f t="shared" si="1077"/>
        <v>3.5718676648926485E-5</v>
      </c>
      <c r="BH156" s="59">
        <f t="shared" si="1078"/>
        <v>2.6696631598809712E-4</v>
      </c>
      <c r="BI156" s="59">
        <f t="shared" si="1079"/>
        <v>7.9597223394374983E-5</v>
      </c>
      <c r="BJ156" s="59">
        <f t="shared" si="1080"/>
        <v>3.6842583284862543E-4</v>
      </c>
      <c r="BK156" s="59">
        <f t="shared" si="1081"/>
        <v>2.7882122160002534E-4</v>
      </c>
      <c r="BL156" s="59">
        <f t="shared" si="1082"/>
        <v>4.187706917460347E-5</v>
      </c>
      <c r="BM156" s="59">
        <f t="shared" si="1083"/>
        <v>1.5395981314192452E-7</v>
      </c>
      <c r="BN156" s="59">
        <f t="shared" si="1084"/>
        <v>1.5242021501050527E-5</v>
      </c>
      <c r="BO156" s="59">
        <f t="shared" si="1125"/>
        <v>2.9406324310107584E-5</v>
      </c>
      <c r="BP156" s="59">
        <f t="shared" si="1086"/>
        <v>1.1069710564904374E-4</v>
      </c>
      <c r="BQ156" s="59">
        <f t="shared" si="1087"/>
        <v>1.7089539258753623E-5</v>
      </c>
      <c r="BR156" s="60">
        <f t="shared" si="1126"/>
        <v>1.0507551765372446E-4</v>
      </c>
      <c r="BS156" s="60">
        <f t="shared" si="1111"/>
        <v>2.3153536466889503E-5</v>
      </c>
      <c r="BT156" s="60">
        <f t="shared" si="1112"/>
        <v>1.2307527690040933E-5</v>
      </c>
      <c r="BU156" s="60">
        <f t="shared" si="1113"/>
        <v>7.7691268543383381E-6</v>
      </c>
      <c r="BV156" s="60">
        <f t="shared" si="1114"/>
        <v>2.3307380563015016E-5</v>
      </c>
      <c r="BW156" s="60">
        <f t="shared" si="1115"/>
        <v>1.565363678077081E-4</v>
      </c>
      <c r="BX156" s="60">
        <f t="shared" si="1116"/>
        <v>4.4691709924461133E-5</v>
      </c>
      <c r="BY156" s="60">
        <f t="shared" si="1117"/>
        <v>2.8807306999502054E-4</v>
      </c>
      <c r="BZ156" s="60">
        <f t="shared" si="1118"/>
        <v>2.6961177845995915E-4</v>
      </c>
      <c r="CA156" s="60">
        <f t="shared" si="1119"/>
        <v>2.4845821524270131E-5</v>
      </c>
      <c r="CB156" s="60">
        <f t="shared" si="1120"/>
        <v>7.6922048062755818E-8</v>
      </c>
      <c r="CC156" s="60">
        <f t="shared" si="1121"/>
        <v>1.0153710344283768E-5</v>
      </c>
      <c r="CD156" s="60">
        <f t="shared" si="1122"/>
        <v>2.1615095505634385E-5</v>
      </c>
      <c r="CE156" s="60">
        <f t="shared" si="1123"/>
        <v>5.8922288816070963E-5</v>
      </c>
      <c r="CF156" s="13">
        <f t="shared" si="1124"/>
        <v>1.0615242632660304E-5</v>
      </c>
    </row>
    <row r="157" spans="1:85" hidden="1" x14ac:dyDescent="0.25">
      <c r="A157" s="4" t="s">
        <v>2</v>
      </c>
      <c r="B157" s="56">
        <v>2862216.4853526298</v>
      </c>
      <c r="C157" s="57">
        <v>5170</v>
      </c>
      <c r="D157" s="57">
        <v>791</v>
      </c>
      <c r="E157" s="57">
        <v>38</v>
      </c>
      <c r="F157" s="57">
        <v>151</v>
      </c>
      <c r="G157" s="57">
        <v>387</v>
      </c>
      <c r="H157" s="57">
        <v>4424</v>
      </c>
      <c r="I157" s="57">
        <v>1783</v>
      </c>
      <c r="J157" s="57">
        <v>1078</v>
      </c>
      <c r="K157" s="57">
        <v>502</v>
      </c>
      <c r="L157" s="57">
        <v>1450</v>
      </c>
      <c r="M157" s="57">
        <v>0</v>
      </c>
      <c r="N157" s="57">
        <v>427</v>
      </c>
      <c r="O157" s="57">
        <v>247</v>
      </c>
      <c r="P157" s="57">
        <v>130</v>
      </c>
      <c r="Q157" s="57">
        <v>206</v>
      </c>
      <c r="S157" s="4">
        <f t="shared" si="1102"/>
        <v>1996</v>
      </c>
      <c r="T157" s="4" t="str">
        <f t="shared" si="1103"/>
        <v>45-64</v>
      </c>
      <c r="U157" s="56">
        <f t="shared" si="1104"/>
        <v>2862216.4853526298</v>
      </c>
      <c r="V157" s="4">
        <f t="shared" si="1105"/>
        <v>5170</v>
      </c>
      <c r="W157" s="4">
        <f t="shared" si="1046"/>
        <v>791</v>
      </c>
      <c r="X157" s="4">
        <f t="shared" si="1047"/>
        <v>38</v>
      </c>
      <c r="Y157" s="4">
        <f t="shared" si="1048"/>
        <v>151</v>
      </c>
      <c r="Z157" s="4">
        <f t="shared" si="1049"/>
        <v>387</v>
      </c>
      <c r="AA157" s="4">
        <f t="shared" si="1050"/>
        <v>4424</v>
      </c>
      <c r="AB157" s="4">
        <f t="shared" si="1051"/>
        <v>1783</v>
      </c>
      <c r="AC157" s="4">
        <f t="shared" si="1052"/>
        <v>1078</v>
      </c>
      <c r="AD157" s="4">
        <f t="shared" si="1053"/>
        <v>502</v>
      </c>
      <c r="AE157" s="4">
        <f t="shared" si="1054"/>
        <v>1450</v>
      </c>
      <c r="AF157" s="4">
        <f t="shared" si="1055"/>
        <v>0</v>
      </c>
      <c r="AG157" s="4">
        <f t="shared" si="1056"/>
        <v>427</v>
      </c>
      <c r="AH157" s="4">
        <f t="shared" si="1057"/>
        <v>247</v>
      </c>
      <c r="AI157" s="4">
        <f t="shared" si="1058"/>
        <v>130</v>
      </c>
      <c r="AJ157" s="4">
        <f t="shared" si="1059"/>
        <v>206</v>
      </c>
      <c r="AK157" s="4">
        <f t="shared" si="1106"/>
        <v>16784</v>
      </c>
      <c r="AL157" s="58">
        <f t="shared" si="1107"/>
        <v>1.8062924403019248E-3</v>
      </c>
      <c r="AM157" s="58">
        <f t="shared" si="1060"/>
        <v>2.7635924957037186E-4</v>
      </c>
      <c r="AN157" s="58">
        <f t="shared" si="1061"/>
        <v>1.3276424126010279E-5</v>
      </c>
      <c r="AO157" s="58">
        <f t="shared" si="1062"/>
        <v>5.2756316921777688E-5</v>
      </c>
      <c r="AP157" s="58">
        <f t="shared" si="1063"/>
        <v>1.3520989833594679E-4</v>
      </c>
      <c r="AQ157" s="58">
        <f t="shared" si="1064"/>
        <v>1.5456552719334072E-3</v>
      </c>
      <c r="AR157" s="58">
        <f t="shared" si="1065"/>
        <v>6.229437951756928E-4</v>
      </c>
      <c r="AS157" s="58">
        <f t="shared" si="1066"/>
        <v>3.7663118967997582E-4</v>
      </c>
      <c r="AT157" s="58">
        <f t="shared" si="1067"/>
        <v>1.7538855029624104E-4</v>
      </c>
      <c r="AU157" s="58">
        <f t="shared" si="1068"/>
        <v>5.0660039428197118E-4</v>
      </c>
      <c r="AV157" s="58">
        <f t="shared" si="1069"/>
        <v>0</v>
      </c>
      <c r="AW157" s="58">
        <f t="shared" si="1070"/>
        <v>1.4918508162648392E-4</v>
      </c>
      <c r="AX157" s="58">
        <f t="shared" si="1071"/>
        <v>8.6296756819066809E-5</v>
      </c>
      <c r="AY157" s="58">
        <f t="shared" si="1072"/>
        <v>4.541934569424569E-5</v>
      </c>
      <c r="AZ157" s="58">
        <f t="shared" si="1073"/>
        <v>7.1972193946266255E-5</v>
      </c>
      <c r="BA157" s="58">
        <f t="shared" si="1108"/>
        <v>5.8639869087093819E-3</v>
      </c>
      <c r="BB157" s="4">
        <f t="shared" si="1109"/>
        <v>2853824.4853526298</v>
      </c>
      <c r="BC157" s="59">
        <f t="shared" si="1074"/>
        <v>1.8116040515228724E-3</v>
      </c>
      <c r="BD157" s="59">
        <f t="shared" si="1110"/>
        <v>2.7717191581326728E-4</v>
      </c>
      <c r="BE157" s="59">
        <f t="shared" si="1075"/>
        <v>1.3315464982179718E-5</v>
      </c>
      <c r="BF157" s="59">
        <f t="shared" si="1076"/>
        <v>5.2911452955503619E-5</v>
      </c>
      <c r="BG157" s="59">
        <f t="shared" si="1077"/>
        <v>1.3560749863430398E-4</v>
      </c>
      <c r="BH157" s="59">
        <f t="shared" si="1078"/>
        <v>1.5502004495042915E-3</v>
      </c>
      <c r="BI157" s="59">
        <f t="shared" si="1079"/>
        <v>6.2477563324280102E-4</v>
      </c>
      <c r="BJ157" s="59">
        <f t="shared" si="1080"/>
        <v>3.7773871712604574E-4</v>
      </c>
      <c r="BK157" s="59">
        <f t="shared" si="1081"/>
        <v>1.7590430055405837E-4</v>
      </c>
      <c r="BL157" s="59">
        <f t="shared" si="1082"/>
        <v>5.0809011116212085E-4</v>
      </c>
      <c r="BM157" s="59">
        <f t="shared" si="1083"/>
        <v>0</v>
      </c>
      <c r="BN157" s="59">
        <f t="shared" si="1084"/>
        <v>1.4962377756291422E-4</v>
      </c>
      <c r="BO157" s="59">
        <f t="shared" si="1125"/>
        <v>8.6550522384168166E-5</v>
      </c>
      <c r="BP157" s="59">
        <f t="shared" si="1086"/>
        <v>4.5552906517983245E-5</v>
      </c>
      <c r="BQ157" s="59">
        <f t="shared" si="1087"/>
        <v>7.2183836482342698E-5</v>
      </c>
      <c r="BR157" s="60">
        <f t="shared" si="1126"/>
        <v>1.1241288059325809E-3</v>
      </c>
      <c r="BS157" s="60">
        <f t="shared" si="1111"/>
        <v>1.8482179901735361E-4</v>
      </c>
      <c r="BT157" s="60">
        <f t="shared" si="1112"/>
        <v>2.3059052429386273E-5</v>
      </c>
      <c r="BU157" s="60">
        <f t="shared" si="1113"/>
        <v>3.7732994884450265E-5</v>
      </c>
      <c r="BV157" s="60">
        <f t="shared" si="1114"/>
        <v>1.0813298071053108E-4</v>
      </c>
      <c r="BW157" s="60">
        <f t="shared" si="1115"/>
        <v>1.0757397337890959E-3</v>
      </c>
      <c r="BX157" s="60">
        <f t="shared" si="1116"/>
        <v>4.0178651960294265E-4</v>
      </c>
      <c r="BY157" s="60">
        <f t="shared" si="1117"/>
        <v>6.0634826501817997E-4</v>
      </c>
      <c r="BZ157" s="60">
        <f t="shared" si="1118"/>
        <v>4.0405748688765491E-4</v>
      </c>
      <c r="CA157" s="60">
        <f t="shared" si="1119"/>
        <v>3.0081582032881184E-4</v>
      </c>
      <c r="CB157" s="60">
        <f t="shared" si="1120"/>
        <v>1.746897911317142E-7</v>
      </c>
      <c r="CC157" s="60">
        <f t="shared" si="1121"/>
        <v>9.1886830135281663E-5</v>
      </c>
      <c r="CD157" s="60">
        <f t="shared" si="1122"/>
        <v>7.6514128515690812E-5</v>
      </c>
      <c r="CE157" s="60">
        <f t="shared" si="1123"/>
        <v>1.4831163267082535E-4</v>
      </c>
      <c r="CF157" s="13">
        <f t="shared" si="1124"/>
        <v>5.5376663788753401E-5</v>
      </c>
    </row>
    <row r="158" spans="1:85" hidden="1" x14ac:dyDescent="0.25">
      <c r="A158" s="4" t="s">
        <v>1</v>
      </c>
      <c r="B158" s="56">
        <v>710343.28776711202</v>
      </c>
      <c r="C158" s="57">
        <v>5212</v>
      </c>
      <c r="D158" s="57">
        <v>406</v>
      </c>
      <c r="E158" s="57">
        <v>24</v>
      </c>
      <c r="F158" s="57">
        <v>146</v>
      </c>
      <c r="G158" s="57">
        <v>319</v>
      </c>
      <c r="H158" s="57">
        <v>3335</v>
      </c>
      <c r="I158" s="57">
        <v>1780</v>
      </c>
      <c r="J158" s="57">
        <v>380</v>
      </c>
      <c r="K158" s="57">
        <v>125</v>
      </c>
      <c r="L158" s="57">
        <v>1343</v>
      </c>
      <c r="M158" s="57">
        <v>0</v>
      </c>
      <c r="N158" s="57">
        <v>576</v>
      </c>
      <c r="O158" s="57">
        <v>226</v>
      </c>
      <c r="P158" s="57">
        <v>5</v>
      </c>
      <c r="Q158" s="57">
        <v>161</v>
      </c>
      <c r="S158" s="4">
        <f t="shared" si="1102"/>
        <v>1996</v>
      </c>
      <c r="T158" s="4" t="str">
        <f t="shared" si="1103"/>
        <v>65-74</v>
      </c>
      <c r="U158" s="56">
        <f t="shared" si="1104"/>
        <v>710343.28776711202</v>
      </c>
      <c r="V158" s="4">
        <f t="shared" si="1105"/>
        <v>5212</v>
      </c>
      <c r="W158" s="4">
        <f t="shared" si="1046"/>
        <v>406</v>
      </c>
      <c r="X158" s="4">
        <f t="shared" si="1047"/>
        <v>24</v>
      </c>
      <c r="Y158" s="4">
        <f t="shared" si="1048"/>
        <v>146</v>
      </c>
      <c r="Z158" s="4">
        <f t="shared" si="1049"/>
        <v>319</v>
      </c>
      <c r="AA158" s="4">
        <f t="shared" si="1050"/>
        <v>3335</v>
      </c>
      <c r="AB158" s="4">
        <f t="shared" si="1051"/>
        <v>1780</v>
      </c>
      <c r="AC158" s="4">
        <f t="shared" si="1052"/>
        <v>380</v>
      </c>
      <c r="AD158" s="4">
        <f t="shared" si="1053"/>
        <v>125</v>
      </c>
      <c r="AE158" s="4">
        <f t="shared" si="1054"/>
        <v>1343</v>
      </c>
      <c r="AF158" s="4">
        <f t="shared" si="1055"/>
        <v>0</v>
      </c>
      <c r="AG158" s="4">
        <f t="shared" si="1056"/>
        <v>576</v>
      </c>
      <c r="AH158" s="4">
        <f t="shared" si="1057"/>
        <v>226</v>
      </c>
      <c r="AI158" s="4">
        <f t="shared" si="1058"/>
        <v>5</v>
      </c>
      <c r="AJ158" s="4">
        <f t="shared" si="1059"/>
        <v>161</v>
      </c>
      <c r="AK158" s="4">
        <f t="shared" si="1106"/>
        <v>14038</v>
      </c>
      <c r="AL158" s="58">
        <f t="shared" si="1107"/>
        <v>7.3372974585053981E-3</v>
      </c>
      <c r="AM158" s="58">
        <f t="shared" si="1060"/>
        <v>5.7155463702095004E-4</v>
      </c>
      <c r="AN158" s="58">
        <f t="shared" si="1061"/>
        <v>3.3786481006164537E-5</v>
      </c>
      <c r="AO158" s="58">
        <f t="shared" si="1062"/>
        <v>2.0553442612083426E-4</v>
      </c>
      <c r="AP158" s="58">
        <f t="shared" si="1063"/>
        <v>4.4907864337360363E-4</v>
      </c>
      <c r="AQ158" s="58">
        <f t="shared" si="1064"/>
        <v>4.6949130898149474E-3</v>
      </c>
      <c r="AR158" s="58">
        <f t="shared" si="1065"/>
        <v>2.5058306746238699E-3</v>
      </c>
      <c r="AS158" s="58">
        <f t="shared" si="1066"/>
        <v>5.3495261593093852E-4</v>
      </c>
      <c r="AT158" s="58">
        <f t="shared" si="1067"/>
        <v>1.759712552404403E-4</v>
      </c>
      <c r="AU158" s="58">
        <f t="shared" si="1068"/>
        <v>1.8906351663032905E-3</v>
      </c>
      <c r="AV158" s="58">
        <f t="shared" si="1069"/>
        <v>0</v>
      </c>
      <c r="AW158" s="58">
        <f t="shared" si="1070"/>
        <v>8.1087554414794889E-4</v>
      </c>
      <c r="AX158" s="58">
        <f t="shared" si="1071"/>
        <v>3.1815602947471606E-4</v>
      </c>
      <c r="AY158" s="58">
        <f t="shared" si="1072"/>
        <v>7.0388502096176121E-6</v>
      </c>
      <c r="AZ158" s="58">
        <f t="shared" si="1073"/>
        <v>2.2665097674968711E-4</v>
      </c>
      <c r="BA158" s="58">
        <f t="shared" si="1108"/>
        <v>1.9762275848522408E-2</v>
      </c>
      <c r="BB158" s="4">
        <f t="shared" si="1109"/>
        <v>703324.28776711202</v>
      </c>
      <c r="BC158" s="59">
        <f t="shared" si="1074"/>
        <v>7.4105218469660197E-3</v>
      </c>
      <c r="BD158" s="59">
        <f t="shared" si="1110"/>
        <v>5.772586089539916E-4</v>
      </c>
      <c r="BE158" s="59">
        <f t="shared" si="1075"/>
        <v>3.4123661613043836E-5</v>
      </c>
      <c r="BF158" s="59">
        <f t="shared" si="1076"/>
        <v>2.0758560814601668E-4</v>
      </c>
      <c r="BG158" s="59">
        <f t="shared" si="1077"/>
        <v>4.5356033560670767E-4</v>
      </c>
      <c r="BH158" s="59">
        <f t="shared" si="1078"/>
        <v>4.741767144979217E-3</v>
      </c>
      <c r="BI158" s="59">
        <f t="shared" si="1079"/>
        <v>2.5308382363007516E-3</v>
      </c>
      <c r="BJ158" s="59">
        <f t="shared" si="1080"/>
        <v>5.4029130887319409E-4</v>
      </c>
      <c r="BK158" s="59">
        <f t="shared" si="1081"/>
        <v>1.7772740423460334E-4</v>
      </c>
      <c r="BL158" s="59">
        <f t="shared" si="1082"/>
        <v>1.909503231096578E-3</v>
      </c>
      <c r="BM158" s="59">
        <f t="shared" si="1083"/>
        <v>0</v>
      </c>
      <c r="BN158" s="59">
        <f t="shared" si="1084"/>
        <v>8.1896787871305217E-4</v>
      </c>
      <c r="BO158" s="59">
        <f t="shared" si="1125"/>
        <v>3.2133114685616281E-4</v>
      </c>
      <c r="BP158" s="59">
        <f t="shared" si="1086"/>
        <v>7.1090961693841331E-6</v>
      </c>
      <c r="BQ158" s="59">
        <f t="shared" si="1087"/>
        <v>2.2891289665416908E-4</v>
      </c>
      <c r="BR158" s="60">
        <f t="shared" si="1126"/>
        <v>7.3077342876250043E-3</v>
      </c>
      <c r="BS158" s="60">
        <f t="shared" si="1111"/>
        <v>8.4255037009122813E-4</v>
      </c>
      <c r="BT158" s="60">
        <f t="shared" si="1112"/>
        <v>4.3640871299629196E-5</v>
      </c>
      <c r="BU158" s="60">
        <f t="shared" si="1113"/>
        <v>2.0905385122564307E-4</v>
      </c>
      <c r="BV158" s="60">
        <f t="shared" si="1114"/>
        <v>4.969428247990034E-4</v>
      </c>
      <c r="BW158" s="60">
        <f t="shared" si="1115"/>
        <v>5.461443877642305E-3</v>
      </c>
      <c r="BX158" s="60">
        <f t="shared" si="1116"/>
        <v>2.5079423296867549E-3</v>
      </c>
      <c r="BY158" s="60">
        <f t="shared" si="1117"/>
        <v>1.0262643605622478E-3</v>
      </c>
      <c r="BZ158" s="60">
        <f t="shared" si="1118"/>
        <v>4.4133590814302427E-4</v>
      </c>
      <c r="CA158" s="60">
        <f t="shared" si="1119"/>
        <v>1.9659508635461991E-3</v>
      </c>
      <c r="CB158" s="60">
        <f t="shared" si="1120"/>
        <v>0</v>
      </c>
      <c r="CC158" s="60">
        <f t="shared" si="1121"/>
        <v>7.0599667602464649E-4</v>
      </c>
      <c r="CD158" s="60">
        <f t="shared" si="1122"/>
        <v>3.3293761491491304E-4</v>
      </c>
      <c r="CE158" s="60">
        <f t="shared" si="1123"/>
        <v>9.5024477829837753E-5</v>
      </c>
      <c r="CF158" s="13">
        <f t="shared" si="1124"/>
        <v>2.5832580269296635E-4</v>
      </c>
    </row>
    <row r="159" spans="1:85" hidden="1" x14ac:dyDescent="0.25">
      <c r="A159" s="4" t="s">
        <v>0</v>
      </c>
      <c r="B159" s="56">
        <v>710343.28776711202</v>
      </c>
      <c r="C159" s="57">
        <v>9429</v>
      </c>
      <c r="D159" s="57">
        <v>279</v>
      </c>
      <c r="E159" s="57">
        <v>22</v>
      </c>
      <c r="F159" s="57">
        <v>432</v>
      </c>
      <c r="G159" s="57">
        <v>397</v>
      </c>
      <c r="H159" s="57">
        <v>3401</v>
      </c>
      <c r="I159" s="57">
        <v>3442</v>
      </c>
      <c r="J159" s="57">
        <v>534</v>
      </c>
      <c r="K159" s="57">
        <v>68</v>
      </c>
      <c r="L159" s="57">
        <v>1306</v>
      </c>
      <c r="M159" s="57">
        <v>14</v>
      </c>
      <c r="N159" s="57">
        <v>1141</v>
      </c>
      <c r="O159" s="57">
        <v>974</v>
      </c>
      <c r="P159" s="57">
        <v>7</v>
      </c>
      <c r="Q159" s="57">
        <v>178</v>
      </c>
      <c r="S159" s="4">
        <f t="shared" si="1102"/>
        <v>1996</v>
      </c>
      <c r="T159" s="4" t="str">
        <f t="shared" si="1103"/>
        <v>75+</v>
      </c>
      <c r="U159" s="56">
        <f t="shared" si="1104"/>
        <v>710343.28776711202</v>
      </c>
      <c r="V159" s="4">
        <f t="shared" si="1105"/>
        <v>9429</v>
      </c>
      <c r="W159" s="4">
        <f t="shared" si="1046"/>
        <v>279</v>
      </c>
      <c r="X159" s="4">
        <f t="shared" si="1047"/>
        <v>22</v>
      </c>
      <c r="Y159" s="4">
        <f t="shared" si="1048"/>
        <v>432</v>
      </c>
      <c r="Z159" s="4">
        <f t="shared" si="1049"/>
        <v>397</v>
      </c>
      <c r="AA159" s="4">
        <f t="shared" si="1050"/>
        <v>3401</v>
      </c>
      <c r="AB159" s="4">
        <f t="shared" si="1051"/>
        <v>3442</v>
      </c>
      <c r="AC159" s="4">
        <f t="shared" si="1052"/>
        <v>534</v>
      </c>
      <c r="AD159" s="4">
        <f t="shared" si="1053"/>
        <v>68</v>
      </c>
      <c r="AE159" s="4">
        <f t="shared" si="1054"/>
        <v>1306</v>
      </c>
      <c r="AF159" s="4">
        <f t="shared" si="1055"/>
        <v>14</v>
      </c>
      <c r="AG159" s="4">
        <f t="shared" si="1056"/>
        <v>1141</v>
      </c>
      <c r="AH159" s="4">
        <f t="shared" si="1057"/>
        <v>974</v>
      </c>
      <c r="AI159" s="4">
        <f t="shared" si="1058"/>
        <v>7</v>
      </c>
      <c r="AJ159" s="4">
        <f t="shared" si="1059"/>
        <v>178</v>
      </c>
      <c r="AK159" s="4">
        <f t="shared" si="1106"/>
        <v>21624</v>
      </c>
      <c r="AL159" s="58">
        <f t="shared" si="1107"/>
        <v>1.3273863725296892E-2</v>
      </c>
      <c r="AM159" s="58">
        <f t="shared" si="1060"/>
        <v>3.9276784169666276E-4</v>
      </c>
      <c r="AN159" s="58">
        <f t="shared" si="1061"/>
        <v>3.0970940922317494E-5</v>
      </c>
      <c r="AO159" s="58">
        <f t="shared" si="1062"/>
        <v>6.0815665811096166E-4</v>
      </c>
      <c r="AP159" s="58">
        <f t="shared" si="1063"/>
        <v>5.588847066436384E-4</v>
      </c>
      <c r="AQ159" s="58">
        <f t="shared" si="1064"/>
        <v>4.7878259125818997E-3</v>
      </c>
      <c r="AR159" s="58">
        <f t="shared" si="1065"/>
        <v>4.8455444843007638E-3</v>
      </c>
      <c r="AS159" s="58">
        <f t="shared" si="1066"/>
        <v>7.5174920238716097E-4</v>
      </c>
      <c r="AT159" s="58">
        <f t="shared" si="1067"/>
        <v>9.5728362850799526E-5</v>
      </c>
      <c r="AU159" s="58">
        <f t="shared" si="1068"/>
        <v>1.8385476747521201E-3</v>
      </c>
      <c r="AV159" s="58">
        <f t="shared" si="1069"/>
        <v>1.9708780586929314E-5</v>
      </c>
      <c r="AW159" s="58">
        <f t="shared" si="1070"/>
        <v>1.606265617834739E-3</v>
      </c>
      <c r="AX159" s="58">
        <f t="shared" si="1071"/>
        <v>1.3711680208335108E-3</v>
      </c>
      <c r="AY159" s="58">
        <f t="shared" si="1072"/>
        <v>9.8543902934646572E-6</v>
      </c>
      <c r="AZ159" s="58">
        <f t="shared" si="1073"/>
        <v>2.5058306746238699E-4</v>
      </c>
      <c r="BA159" s="58">
        <f t="shared" si="1108"/>
        <v>3.0441619386554247E-2</v>
      </c>
      <c r="BB159" s="4">
        <f t="shared" si="1109"/>
        <v>699531.28776711202</v>
      </c>
      <c r="BC159" s="59">
        <f t="shared" si="1074"/>
        <v>1.3479025405850185E-2</v>
      </c>
      <c r="BD159" s="59">
        <f t="shared" si="1110"/>
        <v>3.9883848639645793E-4</v>
      </c>
      <c r="BE159" s="59">
        <f t="shared" si="1075"/>
        <v>3.1449629751692027E-5</v>
      </c>
      <c r="BF159" s="59">
        <f t="shared" si="1076"/>
        <v>6.1755636603322511E-4</v>
      </c>
      <c r="BG159" s="59">
        <f t="shared" si="1077"/>
        <v>5.6752286415553336E-4</v>
      </c>
      <c r="BH159" s="59">
        <f t="shared" si="1078"/>
        <v>4.8618268538865713E-3</v>
      </c>
      <c r="BI159" s="59">
        <f t="shared" si="1079"/>
        <v>4.9204375275147243E-3</v>
      </c>
      <c r="BJ159" s="59">
        <f t="shared" si="1080"/>
        <v>7.6336828579107001E-4</v>
      </c>
      <c r="BK159" s="59">
        <f t="shared" si="1081"/>
        <v>9.7207946505229885E-5</v>
      </c>
      <c r="BL159" s="59">
        <f t="shared" si="1082"/>
        <v>1.8669643843504445E-3</v>
      </c>
      <c r="BM159" s="59">
        <f t="shared" si="1083"/>
        <v>2.0013400751076742E-5</v>
      </c>
      <c r="BN159" s="59">
        <f t="shared" si="1084"/>
        <v>1.6310921612127545E-3</v>
      </c>
      <c r="BO159" s="59">
        <f t="shared" si="1125"/>
        <v>1.3923608808249104E-3</v>
      </c>
      <c r="BP159" s="59">
        <f t="shared" si="1086"/>
        <v>1.0006700375538371E-5</v>
      </c>
      <c r="BQ159" s="59">
        <f t="shared" si="1087"/>
        <v>2.5445609526369002E-4</v>
      </c>
      <c r="BR159" s="60">
        <f t="shared" si="1126"/>
        <v>1.0305580591901146E-2</v>
      </c>
      <c r="BS159" s="60">
        <f t="shared" si="1111"/>
        <v>4.8216123935880642E-4</v>
      </c>
      <c r="BT159" s="60">
        <f t="shared" si="1112"/>
        <v>3.2378710964241012E-5</v>
      </c>
      <c r="BU159" s="60">
        <f t="shared" si="1113"/>
        <v>4.0684554211589799E-4</v>
      </c>
      <c r="BV159" s="60">
        <f t="shared" si="1114"/>
        <v>5.0398167500862096E-4</v>
      </c>
      <c r="BW159" s="60">
        <f t="shared" si="1115"/>
        <v>4.7413695011984235E-3</v>
      </c>
      <c r="BX159" s="60">
        <f t="shared" si="1116"/>
        <v>3.6756875794623171E-3</v>
      </c>
      <c r="BY159" s="60">
        <f t="shared" si="1117"/>
        <v>6.4335090915904969E-4</v>
      </c>
      <c r="BZ159" s="60">
        <f t="shared" si="1118"/>
        <v>1.3584980904561992E-4</v>
      </c>
      <c r="CA159" s="60">
        <f t="shared" si="1119"/>
        <v>1.8645914205277054E-3</v>
      </c>
      <c r="CB159" s="60">
        <f t="shared" si="1120"/>
        <v>9.8543902934646572E-6</v>
      </c>
      <c r="CC159" s="60">
        <f t="shared" si="1121"/>
        <v>1.208570580991344E-3</v>
      </c>
      <c r="CD159" s="60">
        <f t="shared" si="1122"/>
        <v>8.4466202515411342E-4</v>
      </c>
      <c r="CE159" s="60">
        <f t="shared" si="1123"/>
        <v>8.4466202515411342E-6</v>
      </c>
      <c r="CF159" s="13">
        <f t="shared" si="1124"/>
        <v>2.3861702210603705E-4</v>
      </c>
    </row>
    <row r="160" spans="1:85" hidden="1" x14ac:dyDescent="0.25">
      <c r="C160" s="4"/>
    </row>
    <row r="161" spans="1:85" hidden="1" x14ac:dyDescent="0.25">
      <c r="C161" s="4"/>
    </row>
    <row r="162" spans="1:85" hidden="1" x14ac:dyDescent="0.25">
      <c r="A162" s="4" t="s">
        <v>23</v>
      </c>
      <c r="B162" s="61">
        <v>1996</v>
      </c>
    </row>
    <row r="163" spans="1:85" hidden="1" x14ac:dyDescent="0.25"/>
    <row r="164" spans="1:85" s="21" customFormat="1" ht="23.25" hidden="1" customHeight="1" x14ac:dyDescent="0.25">
      <c r="A164" s="62" t="s">
        <v>46</v>
      </c>
      <c r="B164" s="62"/>
      <c r="C164" s="4" t="s">
        <v>35</v>
      </c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</row>
    <row r="165" spans="1:85" s="37" customFormat="1" ht="33" hidden="1" customHeight="1" x14ac:dyDescent="0.25">
      <c r="A165" s="63" t="s">
        <v>22</v>
      </c>
      <c r="B165" s="64" t="s">
        <v>24</v>
      </c>
      <c r="C165" s="64">
        <v>1</v>
      </c>
      <c r="D165" s="64">
        <v>10</v>
      </c>
      <c r="E165" s="64">
        <v>11</v>
      </c>
      <c r="F165" s="64">
        <v>12</v>
      </c>
      <c r="G165" s="64">
        <v>13</v>
      </c>
      <c r="H165" s="64">
        <v>2</v>
      </c>
      <c r="I165" s="64">
        <v>3</v>
      </c>
      <c r="J165" s="64">
        <v>4</v>
      </c>
      <c r="K165" s="64">
        <v>5</v>
      </c>
      <c r="L165" s="64">
        <v>6</v>
      </c>
      <c r="M165" s="64">
        <v>7</v>
      </c>
      <c r="N165" s="64">
        <v>8</v>
      </c>
      <c r="O165" s="64">
        <v>9</v>
      </c>
      <c r="P165" s="64">
        <v>14</v>
      </c>
      <c r="Q165" s="64">
        <v>15</v>
      </c>
      <c r="R165" s="64"/>
      <c r="S165" s="65" t="s">
        <v>23</v>
      </c>
      <c r="T165" s="65" t="s">
        <v>22</v>
      </c>
      <c r="U165" s="65" t="s">
        <v>181</v>
      </c>
      <c r="V165" s="66" t="str">
        <f>+CONCATENATE("dx","(",C165,")")</f>
        <v>dx(1)</v>
      </c>
      <c r="W165" s="66" t="str">
        <f t="shared" ref="W165" si="1127">+CONCATENATE("dx","(",D165,")")</f>
        <v>dx(10)</v>
      </c>
      <c r="X165" s="66" t="str">
        <f t="shared" ref="X165" si="1128">+CONCATENATE("dx","(",E165,")")</f>
        <v>dx(11)</v>
      </c>
      <c r="Y165" s="66" t="str">
        <f t="shared" ref="Y165" si="1129">+CONCATENATE("dx","(",F165,")")</f>
        <v>dx(12)</v>
      </c>
      <c r="Z165" s="66" t="str">
        <f t="shared" ref="Z165" si="1130">+CONCATENATE("dx","(",G165,")")</f>
        <v>dx(13)</v>
      </c>
      <c r="AA165" s="66" t="str">
        <f t="shared" ref="AA165" si="1131">+CONCATENATE("dx","(",H165,")")</f>
        <v>dx(2)</v>
      </c>
      <c r="AB165" s="66" t="str">
        <f t="shared" ref="AB165" si="1132">+CONCATENATE("dx","(",I165,")")</f>
        <v>dx(3)</v>
      </c>
      <c r="AC165" s="66" t="str">
        <f t="shared" ref="AC165" si="1133">+CONCATENATE("dx","(",J165,")")</f>
        <v>dx(4)</v>
      </c>
      <c r="AD165" s="66" t="str">
        <f t="shared" ref="AD165" si="1134">+CONCATENATE("dx","(",K165,")")</f>
        <v>dx(5)</v>
      </c>
      <c r="AE165" s="66" t="str">
        <f t="shared" ref="AE165" si="1135">+CONCATENATE("dx","(",L165,")")</f>
        <v>dx(6)</v>
      </c>
      <c r="AF165" s="66" t="str">
        <f t="shared" ref="AF165" si="1136">+CONCATENATE("dx","(",M165,")")</f>
        <v>dx(7)</v>
      </c>
      <c r="AG165" s="66" t="str">
        <f t="shared" ref="AG165" si="1137">+CONCATENATE("dx","(",N165,")")</f>
        <v>dx(8)</v>
      </c>
      <c r="AH165" s="66" t="str">
        <f t="shared" ref="AH165" si="1138">+CONCATENATE("dx","(",O165,")")</f>
        <v>dx(9)</v>
      </c>
      <c r="AI165" s="66" t="str">
        <f t="shared" ref="AI165" si="1139">+CONCATENATE("dx","(",P165,")")</f>
        <v>dx(14)</v>
      </c>
      <c r="AJ165" s="66" t="str">
        <f t="shared" ref="AJ165" si="1140">+CONCATENATE("dx","(",Q165,")")</f>
        <v>dx(15)</v>
      </c>
      <c r="AK165" s="66" t="s">
        <v>182</v>
      </c>
      <c r="AL165" s="66" t="str">
        <f t="shared" ref="AL165:AZ165" si="1141">+CONCATENATE("qx","(",C165,")")</f>
        <v>qx(1)</v>
      </c>
      <c r="AM165" s="66" t="str">
        <f t="shared" si="1141"/>
        <v>qx(10)</v>
      </c>
      <c r="AN165" s="66" t="str">
        <f t="shared" si="1141"/>
        <v>qx(11)</v>
      </c>
      <c r="AO165" s="66" t="str">
        <f t="shared" si="1141"/>
        <v>qx(12)</v>
      </c>
      <c r="AP165" s="66" t="str">
        <f t="shared" si="1141"/>
        <v>qx(13)</v>
      </c>
      <c r="AQ165" s="66" t="str">
        <f t="shared" si="1141"/>
        <v>qx(2)</v>
      </c>
      <c r="AR165" s="66" t="str">
        <f t="shared" si="1141"/>
        <v>qx(3)</v>
      </c>
      <c r="AS165" s="66" t="str">
        <f t="shared" si="1141"/>
        <v>qx(4)</v>
      </c>
      <c r="AT165" s="66" t="str">
        <f t="shared" si="1141"/>
        <v>qx(5)</v>
      </c>
      <c r="AU165" s="66" t="str">
        <f t="shared" si="1141"/>
        <v>qx(6)</v>
      </c>
      <c r="AV165" s="66" t="str">
        <f t="shared" si="1141"/>
        <v>qx(7)</v>
      </c>
      <c r="AW165" s="66" t="str">
        <f t="shared" si="1141"/>
        <v>qx(8)</v>
      </c>
      <c r="AX165" s="66" t="str">
        <f t="shared" si="1141"/>
        <v>qx(9)</v>
      </c>
      <c r="AY165" s="66" t="str">
        <f t="shared" si="1141"/>
        <v>qx(14)</v>
      </c>
      <c r="AZ165" s="66" t="str">
        <f t="shared" si="1141"/>
        <v>qx(15)</v>
      </c>
      <c r="BA165" s="66" t="str">
        <f>+CONCATENATE("qx","(T)")</f>
        <v>qx(T)</v>
      </c>
      <c r="BB165" s="65" t="s">
        <v>184</v>
      </c>
      <c r="BC165" s="66" t="str">
        <f t="shared" ref="BC165:BQ165" si="1142">+CONCATENATE("mx","(",C165,")")</f>
        <v>mx(1)</v>
      </c>
      <c r="BD165" s="66" t="str">
        <f t="shared" si="1142"/>
        <v>mx(10)</v>
      </c>
      <c r="BE165" s="66" t="str">
        <f t="shared" si="1142"/>
        <v>mx(11)</v>
      </c>
      <c r="BF165" s="66" t="str">
        <f t="shared" si="1142"/>
        <v>mx(12)</v>
      </c>
      <c r="BG165" s="66" t="str">
        <f t="shared" si="1142"/>
        <v>mx(13)</v>
      </c>
      <c r="BH165" s="66" t="str">
        <f t="shared" si="1142"/>
        <v>mx(2)</v>
      </c>
      <c r="BI165" s="66" t="str">
        <f t="shared" si="1142"/>
        <v>mx(3)</v>
      </c>
      <c r="BJ165" s="66" t="str">
        <f t="shared" si="1142"/>
        <v>mx(4)</v>
      </c>
      <c r="BK165" s="66" t="str">
        <f t="shared" si="1142"/>
        <v>mx(5)</v>
      </c>
      <c r="BL165" s="66" t="str">
        <f t="shared" si="1142"/>
        <v>mx(6)</v>
      </c>
      <c r="BM165" s="66" t="str">
        <f t="shared" si="1142"/>
        <v>mx(7)</v>
      </c>
      <c r="BN165" s="66" t="str">
        <f t="shared" si="1142"/>
        <v>mx(8)</v>
      </c>
      <c r="BO165" s="66" t="str">
        <f t="shared" si="1142"/>
        <v>mx(9)</v>
      </c>
      <c r="BP165" s="66" t="str">
        <f t="shared" si="1142"/>
        <v>mx(14)</v>
      </c>
      <c r="BQ165" s="66" t="str">
        <f t="shared" si="1142"/>
        <v>mx(15)</v>
      </c>
      <c r="BR165" s="66" t="str">
        <f>+CONCATENATE("µ(X)",C165)</f>
        <v>µ(X)1</v>
      </c>
      <c r="BS165" s="66" t="str">
        <f t="shared" ref="BS165" si="1143">+CONCATENATE("µ(X)",D165)</f>
        <v>µ(X)10</v>
      </c>
      <c r="BT165" s="66" t="str">
        <f t="shared" ref="BT165" si="1144">+CONCATENATE("µ(X)",E165)</f>
        <v>µ(X)11</v>
      </c>
      <c r="BU165" s="66" t="str">
        <f t="shared" ref="BU165" si="1145">+CONCATENATE("µ(X)",F165)</f>
        <v>µ(X)12</v>
      </c>
      <c r="BV165" s="66" t="str">
        <f t="shared" ref="BV165" si="1146">+CONCATENATE("µ(X)",G165)</f>
        <v>µ(X)13</v>
      </c>
      <c r="BW165" s="66" t="str">
        <f t="shared" ref="BW165" si="1147">+CONCATENATE("µ(X)",H165)</f>
        <v>µ(X)2</v>
      </c>
      <c r="BX165" s="66" t="str">
        <f t="shared" ref="BX165" si="1148">+CONCATENATE("µ(X)",I165)</f>
        <v>µ(X)3</v>
      </c>
      <c r="BY165" s="66" t="str">
        <f t="shared" ref="BY165" si="1149">+CONCATENATE("µ(X)",J165)</f>
        <v>µ(X)4</v>
      </c>
      <c r="BZ165" s="66" t="str">
        <f t="shared" ref="BZ165" si="1150">+CONCATENATE("µ(X)",K165)</f>
        <v>µ(X)5</v>
      </c>
      <c r="CA165" s="66" t="str">
        <f t="shared" ref="CA165" si="1151">+CONCATENATE("µ(X)",L165)</f>
        <v>µ(X)6</v>
      </c>
      <c r="CB165" s="66" t="str">
        <f t="shared" ref="CB165" si="1152">+CONCATENATE("µ(X)",M165)</f>
        <v>µ(X)7</v>
      </c>
      <c r="CC165" s="66" t="str">
        <f t="shared" ref="CC165" si="1153">+CONCATENATE("µ(X)",N165)</f>
        <v>µ(X)8</v>
      </c>
      <c r="CD165" s="66" t="str">
        <f t="shared" ref="CD165" si="1154">+CONCATENATE("µ(X)",O165)</f>
        <v>µ(X)9</v>
      </c>
      <c r="CE165" s="66" t="str">
        <f t="shared" ref="CE165" si="1155">+CONCATENATE("µ(X)",P165)</f>
        <v>µ(X)14</v>
      </c>
      <c r="CF165" s="42" t="str">
        <f t="shared" ref="CF165" si="1156">+CONCATENATE("µ(X)",Q165)</f>
        <v>µ(X)15</v>
      </c>
      <c r="CG165" s="36"/>
    </row>
    <row r="166" spans="1:85" hidden="1" x14ac:dyDescent="0.25">
      <c r="A166" s="4" t="s">
        <v>6</v>
      </c>
      <c r="B166" s="56">
        <v>2669011.0638103201</v>
      </c>
      <c r="C166" s="57">
        <v>82</v>
      </c>
      <c r="D166" s="57">
        <v>35</v>
      </c>
      <c r="E166" s="57">
        <v>1552</v>
      </c>
      <c r="F166" s="57">
        <v>2468</v>
      </c>
      <c r="G166" s="57">
        <v>37</v>
      </c>
      <c r="H166" s="57">
        <v>159</v>
      </c>
      <c r="I166" s="57">
        <v>14</v>
      </c>
      <c r="J166" s="57">
        <v>786</v>
      </c>
      <c r="K166" s="57">
        <v>32</v>
      </c>
      <c r="L166" s="57">
        <v>12</v>
      </c>
      <c r="M166" s="57">
        <v>5626</v>
      </c>
      <c r="N166" s="57">
        <v>114</v>
      </c>
      <c r="O166" s="57">
        <v>877</v>
      </c>
      <c r="P166" s="57">
        <v>21</v>
      </c>
      <c r="Q166" s="57">
        <v>29</v>
      </c>
      <c r="S166" s="4">
        <f>+$B$162</f>
        <v>1996</v>
      </c>
      <c r="T166" s="4" t="str">
        <f>+A166</f>
        <v>0-4</v>
      </c>
      <c r="U166" s="56">
        <f>+B166</f>
        <v>2669011.0638103201</v>
      </c>
      <c r="V166" s="4">
        <f>+C166</f>
        <v>82</v>
      </c>
      <c r="W166" s="4">
        <f t="shared" ref="W166:W172" si="1157">+D166</f>
        <v>35</v>
      </c>
      <c r="X166" s="4">
        <f t="shared" ref="X166:X172" si="1158">+E166</f>
        <v>1552</v>
      </c>
      <c r="Y166" s="4">
        <f t="shared" ref="Y166:Y172" si="1159">+F166</f>
        <v>2468</v>
      </c>
      <c r="Z166" s="4">
        <f t="shared" ref="Z166:Z172" si="1160">+G166</f>
        <v>37</v>
      </c>
      <c r="AA166" s="4">
        <f t="shared" ref="AA166:AA172" si="1161">+H166</f>
        <v>159</v>
      </c>
      <c r="AB166" s="4">
        <f t="shared" ref="AB166:AB172" si="1162">+I166</f>
        <v>14</v>
      </c>
      <c r="AC166" s="4">
        <f t="shared" ref="AC166:AC172" si="1163">+J166</f>
        <v>786</v>
      </c>
      <c r="AD166" s="4">
        <f t="shared" ref="AD166:AD172" si="1164">+K166</f>
        <v>32</v>
      </c>
      <c r="AE166" s="4">
        <f t="shared" ref="AE166:AE172" si="1165">+L166</f>
        <v>12</v>
      </c>
      <c r="AF166" s="4">
        <f t="shared" ref="AF166:AF172" si="1166">+M166</f>
        <v>5626</v>
      </c>
      <c r="AG166" s="4">
        <f t="shared" ref="AG166:AG172" si="1167">+N166</f>
        <v>114</v>
      </c>
      <c r="AH166" s="4">
        <f t="shared" ref="AH166:AH172" si="1168">+O166</f>
        <v>877</v>
      </c>
      <c r="AI166" s="4">
        <f t="shared" ref="AI166:AI172" si="1169">+P166</f>
        <v>21</v>
      </c>
      <c r="AJ166" s="4">
        <f t="shared" ref="AJ166:AJ172" si="1170">+Q166</f>
        <v>29</v>
      </c>
      <c r="AK166" s="4">
        <f>+SUM(V166:AJ166)</f>
        <v>11844</v>
      </c>
      <c r="AL166" s="58">
        <f>+V166/$U166</f>
        <v>3.072298991632338E-5</v>
      </c>
      <c r="AM166" s="58">
        <f t="shared" ref="AM166:AM172" si="1171">+W166/$U166</f>
        <v>1.3113471305747784E-5</v>
      </c>
      <c r="AN166" s="58">
        <f t="shared" ref="AN166:AN172" si="1172">+X166/$U166</f>
        <v>5.8148878475773028E-4</v>
      </c>
      <c r="AO166" s="58">
        <f t="shared" ref="AO166:AO172" si="1173">+Y166/$U166</f>
        <v>9.2468706235958656E-4</v>
      </c>
      <c r="AP166" s="58">
        <f t="shared" ref="AP166:AP172" si="1174">+Z166/$U166</f>
        <v>1.3862812523219085E-5</v>
      </c>
      <c r="AQ166" s="58">
        <f t="shared" ref="AQ166:AQ172" si="1175">+AA166/$U166</f>
        <v>5.9572626788968504E-5</v>
      </c>
      <c r="AR166" s="58">
        <f t="shared" ref="AR166:AR172" si="1176">+AB166/$U166</f>
        <v>5.2453885222991139E-6</v>
      </c>
      <c r="AS166" s="58">
        <f t="shared" ref="AS166:AS172" si="1177">+AC166/$U166</f>
        <v>2.9449109846622164E-4</v>
      </c>
      <c r="AT166" s="58">
        <f t="shared" ref="AT166:AT172" si="1178">+AD166/$U166</f>
        <v>1.1989459479540831E-5</v>
      </c>
      <c r="AU166" s="58">
        <f t="shared" ref="AU166:AU172" si="1179">+AE166/$U166</f>
        <v>4.4960473048278115E-6</v>
      </c>
      <c r="AV166" s="58">
        <f t="shared" ref="AV166:AV172" si="1180">+AF166/$U166</f>
        <v>2.1078968447467723E-3</v>
      </c>
      <c r="AW166" s="58">
        <f t="shared" ref="AW166:AW172" si="1181">+AG166/$U166</f>
        <v>4.2712449395864211E-5</v>
      </c>
      <c r="AX166" s="58">
        <f t="shared" ref="AX166:AX172" si="1182">+AH166/$U166</f>
        <v>3.2858612386116591E-4</v>
      </c>
      <c r="AY166" s="58">
        <f t="shared" ref="AY166:AY172" si="1183">+AI166/$U166</f>
        <v>7.86808278344867E-6</v>
      </c>
      <c r="AZ166" s="58">
        <f t="shared" ref="AZ166:AZ172" si="1184">+AJ166/$U166</f>
        <v>1.0865447653333878E-5</v>
      </c>
      <c r="BA166" s="58">
        <f>+AK166/U166</f>
        <v>4.4375986898650497E-3</v>
      </c>
      <c r="BB166" s="4">
        <f>+U166-(0.5*AK166)</f>
        <v>2663089.0638103201</v>
      </c>
      <c r="BC166" s="59">
        <f t="shared" ref="BC166:BC172" si="1185">+AL166/(1-(0.5*$BA166))</f>
        <v>3.0791309654013318E-5</v>
      </c>
      <c r="BD166" s="59">
        <f>+AM166/(1-(0.5*$BA166))</f>
        <v>1.3142632169395928E-5</v>
      </c>
      <c r="BE166" s="59">
        <f t="shared" ref="BE166:BE172" si="1186">+AN166/(1-(0.5*$BA166))</f>
        <v>5.8278186076864233E-4</v>
      </c>
      <c r="BF166" s="59">
        <f t="shared" ref="BF166:BF172" si="1187">+AO166/(1-(0.5*$BA166))</f>
        <v>9.2674331983054719E-4</v>
      </c>
      <c r="BG166" s="59">
        <f t="shared" ref="BG166:BG172" si="1188">+AP166/(1-(0.5*$BA166))</f>
        <v>1.3893639721932839E-5</v>
      </c>
      <c r="BH166" s="59">
        <f t="shared" ref="BH166:BH172" si="1189">+AQ166/(1-(0.5*$BA166))</f>
        <v>5.9705100426684362E-5</v>
      </c>
      <c r="BI166" s="59">
        <f t="shared" ref="BI166:BI172" si="1190">+AR166/(1-(0.5*$BA166))</f>
        <v>5.2570528677583717E-6</v>
      </c>
      <c r="BJ166" s="59">
        <f t="shared" ref="BJ166:BJ172" si="1191">+AS166/(1-(0.5*$BA166))</f>
        <v>2.9514596814700567E-4</v>
      </c>
      <c r="BK166" s="59">
        <f t="shared" ref="BK166:BK172" si="1192">+AT166/(1-(0.5*$BA166))</f>
        <v>1.2016120840590563E-5</v>
      </c>
      <c r="BL166" s="59">
        <f t="shared" ref="BL166:BL172" si="1193">+AU166/(1-(0.5*$BA166))</f>
        <v>4.5060453152214609E-6</v>
      </c>
      <c r="BM166" s="59">
        <f t="shared" ref="BM166:BM172" si="1194">+AV166/(1-(0.5*$BA166))</f>
        <v>2.1125842452863284E-3</v>
      </c>
      <c r="BN166" s="59">
        <f t="shared" ref="BN166:BN172" si="1195">+AW166/(1-(0.5*$BA166))</f>
        <v>4.2807430494603885E-5</v>
      </c>
      <c r="BO166" s="59">
        <f t="shared" ref="BO166" si="1196">+AX166/(1-(0.5*$BA166))</f>
        <v>3.2931681178743514E-4</v>
      </c>
      <c r="BP166" s="59">
        <f t="shared" ref="BP166:BP172" si="1197">+AY166/(1-(0.5*$BA166))</f>
        <v>7.8855793016375572E-6</v>
      </c>
      <c r="BQ166" s="59">
        <f t="shared" ref="BQ166:BQ172" si="1198">+AZ166/(1-(0.5*$BA166))</f>
        <v>1.0889609511785197E-5</v>
      </c>
      <c r="BR166" s="60">
        <f>+V166/(2*$U166)</f>
        <v>1.536149495816169E-5</v>
      </c>
      <c r="BS166" s="60">
        <f t="shared" ref="BS166" si="1199">+W166/(2*$U166)</f>
        <v>6.5567356528738919E-6</v>
      </c>
      <c r="BT166" s="60">
        <f t="shared" ref="BT166" si="1200">+X166/(2*$U166)</f>
        <v>2.9074439237886514E-4</v>
      </c>
      <c r="BU166" s="60">
        <f t="shared" ref="BU166" si="1201">+Y166/(2*$U166)</f>
        <v>4.6234353117979328E-4</v>
      </c>
      <c r="BV166" s="60">
        <f t="shared" ref="BV166" si="1202">+Z166/(2*$U166)</f>
        <v>6.9314062616095427E-6</v>
      </c>
      <c r="BW166" s="60">
        <f t="shared" ref="BW166" si="1203">+AA166/(2*$U166)</f>
        <v>2.9786313394484252E-5</v>
      </c>
      <c r="BX166" s="60">
        <f t="shared" ref="BX166" si="1204">+AB166/(2*$U166)</f>
        <v>2.6226942611495569E-6</v>
      </c>
      <c r="BY166" s="60">
        <f t="shared" ref="BY166" si="1205">+AC166/(2*$U166)</f>
        <v>1.4724554923311082E-4</v>
      </c>
      <c r="BZ166" s="60">
        <f t="shared" ref="BZ166" si="1206">+AD166/(2*$U166)</f>
        <v>5.9947297397704154E-6</v>
      </c>
      <c r="CA166" s="60">
        <f t="shared" ref="CA166" si="1207">+AE166/(2*$U166)</f>
        <v>2.2480236524139058E-6</v>
      </c>
      <c r="CB166" s="60">
        <f t="shared" ref="CB166" si="1208">+AF166/(2*$U166)</f>
        <v>1.0539484223733861E-3</v>
      </c>
      <c r="CC166" s="60">
        <f t="shared" ref="CC166" si="1209">+AG166/(2*$U166)</f>
        <v>2.1356224697932105E-5</v>
      </c>
      <c r="CD166" s="60">
        <f t="shared" ref="CD166" si="1210">+AH166/(2*$U166)</f>
        <v>1.6429306193058296E-4</v>
      </c>
      <c r="CE166" s="60">
        <f t="shared" ref="CE166" si="1211">+AI166/(2*$U166)</f>
        <v>3.934041391724335E-6</v>
      </c>
      <c r="CF166" s="13">
        <f t="shared" ref="CF166" si="1212">+AJ166/(2*$U166)</f>
        <v>5.4327238266669388E-6</v>
      </c>
    </row>
    <row r="167" spans="1:85" hidden="1" x14ac:dyDescent="0.25">
      <c r="A167" s="4" t="s">
        <v>5</v>
      </c>
      <c r="B167" s="56">
        <v>5336689.2615659405</v>
      </c>
      <c r="C167" s="57">
        <v>50</v>
      </c>
      <c r="D167" s="57">
        <v>18</v>
      </c>
      <c r="E167" s="57">
        <v>121</v>
      </c>
      <c r="F167" s="57">
        <v>79</v>
      </c>
      <c r="G167" s="57">
        <v>18</v>
      </c>
      <c r="H167" s="57">
        <v>266</v>
      </c>
      <c r="I167" s="57">
        <v>18</v>
      </c>
      <c r="J167" s="57">
        <v>659</v>
      </c>
      <c r="K167" s="57">
        <v>105</v>
      </c>
      <c r="L167" s="57">
        <v>16</v>
      </c>
      <c r="M167" s="57">
        <v>2</v>
      </c>
      <c r="N167" s="57">
        <v>15</v>
      </c>
      <c r="O167" s="57">
        <v>82</v>
      </c>
      <c r="P167" s="57">
        <v>2</v>
      </c>
      <c r="Q167" s="57">
        <v>34</v>
      </c>
      <c r="S167" s="4">
        <f t="shared" ref="S167:S172" si="1213">+$B$162</f>
        <v>1996</v>
      </c>
      <c r="T167" s="4" t="str">
        <f t="shared" ref="T167:T172" si="1214">+A167</f>
        <v>5-14</v>
      </c>
      <c r="U167" s="56">
        <f t="shared" ref="U167:U172" si="1215">+B167</f>
        <v>5336689.2615659405</v>
      </c>
      <c r="V167" s="4">
        <f t="shared" ref="V167:V172" si="1216">+C167</f>
        <v>50</v>
      </c>
      <c r="W167" s="4">
        <f t="shared" si="1157"/>
        <v>18</v>
      </c>
      <c r="X167" s="4">
        <f t="shared" si="1158"/>
        <v>121</v>
      </c>
      <c r="Y167" s="4">
        <f t="shared" si="1159"/>
        <v>79</v>
      </c>
      <c r="Z167" s="4">
        <f t="shared" si="1160"/>
        <v>18</v>
      </c>
      <c r="AA167" s="4">
        <f t="shared" si="1161"/>
        <v>266</v>
      </c>
      <c r="AB167" s="4">
        <f t="shared" si="1162"/>
        <v>18</v>
      </c>
      <c r="AC167" s="4">
        <f t="shared" si="1163"/>
        <v>659</v>
      </c>
      <c r="AD167" s="4">
        <f t="shared" si="1164"/>
        <v>105</v>
      </c>
      <c r="AE167" s="4">
        <f t="shared" si="1165"/>
        <v>16</v>
      </c>
      <c r="AF167" s="4">
        <f t="shared" si="1166"/>
        <v>2</v>
      </c>
      <c r="AG167" s="4">
        <f t="shared" si="1167"/>
        <v>15</v>
      </c>
      <c r="AH167" s="4">
        <f t="shared" si="1168"/>
        <v>82</v>
      </c>
      <c r="AI167" s="4">
        <f t="shared" si="1169"/>
        <v>2</v>
      </c>
      <c r="AJ167" s="4">
        <f t="shared" si="1170"/>
        <v>34</v>
      </c>
      <c r="AK167" s="4">
        <f t="shared" ref="AK167:AK172" si="1217">+SUM(V167:AJ167)</f>
        <v>1485</v>
      </c>
      <c r="AL167" s="58">
        <f t="shared" ref="AL167:AL172" si="1218">+V167/$U167</f>
        <v>9.3691046169940461E-6</v>
      </c>
      <c r="AM167" s="58">
        <f t="shared" si="1171"/>
        <v>3.3728776621178566E-6</v>
      </c>
      <c r="AN167" s="58">
        <f t="shared" si="1172"/>
        <v>2.2673233173125591E-5</v>
      </c>
      <c r="AO167" s="58">
        <f t="shared" si="1173"/>
        <v>1.4803185294850593E-5</v>
      </c>
      <c r="AP167" s="58">
        <f t="shared" si="1174"/>
        <v>3.3728776621178566E-6</v>
      </c>
      <c r="AQ167" s="58">
        <f t="shared" si="1175"/>
        <v>4.9843636562408325E-5</v>
      </c>
      <c r="AR167" s="58">
        <f t="shared" si="1176"/>
        <v>3.3728776621178566E-6</v>
      </c>
      <c r="AS167" s="58">
        <f t="shared" si="1177"/>
        <v>1.2348479885198154E-4</v>
      </c>
      <c r="AT167" s="58">
        <f t="shared" si="1178"/>
        <v>1.9675119695687498E-5</v>
      </c>
      <c r="AU167" s="58">
        <f t="shared" si="1179"/>
        <v>2.998113477438095E-6</v>
      </c>
      <c r="AV167" s="58">
        <f t="shared" si="1180"/>
        <v>3.7476418467976187E-7</v>
      </c>
      <c r="AW167" s="58">
        <f t="shared" si="1181"/>
        <v>2.8107313850982138E-6</v>
      </c>
      <c r="AX167" s="58">
        <f t="shared" si="1182"/>
        <v>1.5365331571870237E-5</v>
      </c>
      <c r="AY167" s="58">
        <f t="shared" si="1183"/>
        <v>3.7476418467976187E-7</v>
      </c>
      <c r="AZ167" s="58">
        <f t="shared" si="1184"/>
        <v>6.3709911395559516E-6</v>
      </c>
      <c r="BA167" s="58">
        <f t="shared" ref="BA167:BA172" si="1219">+AK167/U167</f>
        <v>2.7826240712472319E-4</v>
      </c>
      <c r="BB167" s="4">
        <f t="shared" ref="BB167:BB172" si="1220">+U167-(0.5*AK167)</f>
        <v>5335946.7615659405</v>
      </c>
      <c r="BC167" s="59">
        <f t="shared" si="1185"/>
        <v>9.3704083331833129E-6</v>
      </c>
      <c r="BD167" s="59">
        <f t="shared" ref="BD167:BD172" si="1221">+AM167/(1-(0.5*$BA167))</f>
        <v>3.3733469999459925E-6</v>
      </c>
      <c r="BE167" s="59">
        <f t="shared" si="1186"/>
        <v>2.2676388166303615E-5</v>
      </c>
      <c r="BF167" s="59">
        <f t="shared" si="1187"/>
        <v>1.4805245166429634E-5</v>
      </c>
      <c r="BG167" s="59">
        <f t="shared" si="1188"/>
        <v>3.3733469999459925E-6</v>
      </c>
      <c r="BH167" s="59">
        <f t="shared" si="1189"/>
        <v>4.9850572332535225E-5</v>
      </c>
      <c r="BI167" s="59">
        <f t="shared" si="1190"/>
        <v>3.3733469999459925E-6</v>
      </c>
      <c r="BJ167" s="59">
        <f t="shared" si="1191"/>
        <v>1.2350198183135608E-4</v>
      </c>
      <c r="BK167" s="59">
        <f t="shared" si="1192"/>
        <v>1.9677857499684958E-5</v>
      </c>
      <c r="BL167" s="59">
        <f t="shared" si="1193"/>
        <v>2.9985306666186604E-6</v>
      </c>
      <c r="BM167" s="59">
        <f t="shared" si="1194"/>
        <v>3.7481633332733255E-7</v>
      </c>
      <c r="BN167" s="59">
        <f t="shared" si="1195"/>
        <v>2.8111224999549937E-6</v>
      </c>
      <c r="BO167" s="59">
        <f>+AX167/(1-(0.5*$BA167))</f>
        <v>1.5367469666420634E-5</v>
      </c>
      <c r="BP167" s="59">
        <f t="shared" si="1197"/>
        <v>3.7481633332733255E-7</v>
      </c>
      <c r="BQ167" s="59">
        <f t="shared" si="1198"/>
        <v>6.3718776665646525E-6</v>
      </c>
      <c r="BR167" s="60">
        <f>+(V166+V167)/(2*$U167)</f>
        <v>1.2367218094432141E-5</v>
      </c>
      <c r="BS167" s="60">
        <f t="shared" ref="BS167:BS172" si="1222">+(W166+W167)/(2*$U167)</f>
        <v>4.9656254470068449E-6</v>
      </c>
      <c r="BT167" s="60">
        <f t="shared" ref="BT167:BT172" si="1223">+(X166+X167)/(2*$U167)</f>
        <v>1.567451202423104E-4</v>
      </c>
      <c r="BU167" s="60">
        <f t="shared" ref="BU167:BU172" si="1224">+(Y166+Y167)/(2*$U167)</f>
        <v>2.3863109459483836E-4</v>
      </c>
      <c r="BV167" s="60">
        <f t="shared" ref="BV167:BV172" si="1225">+(Z166+Z167)/(2*$U167)</f>
        <v>5.1530075393467253E-6</v>
      </c>
      <c r="BW167" s="60">
        <f t="shared" ref="BW167:BW172" si="1226">+(AA166+AA167)/(2*$U167)</f>
        <v>3.98186946222247E-5</v>
      </c>
      <c r="BX167" s="60">
        <f t="shared" ref="BX167:BX172" si="1227">+(AB166+AB167)/(2*$U167)</f>
        <v>2.998113477438095E-6</v>
      </c>
      <c r="BY167" s="60">
        <f t="shared" ref="BY167:BY172" si="1228">+(AC166+AC167)/(2*$U167)</f>
        <v>1.3538356171556397E-4</v>
      </c>
      <c r="BZ167" s="60">
        <f t="shared" ref="BZ167:BZ172" si="1229">+(AD166+AD167)/(2*$U167)</f>
        <v>1.2835673325281844E-5</v>
      </c>
      <c r="CA167" s="60">
        <f t="shared" ref="CA167:CA172" si="1230">+(AE166+AE167)/(2*$U167)</f>
        <v>2.6233492927583329E-6</v>
      </c>
      <c r="CB167" s="60">
        <f t="shared" ref="CB167:CB172" si="1231">+(AF166+AF167)/(2*$U167)</f>
        <v>5.2729320784442491E-4</v>
      </c>
      <c r="CC167" s="60">
        <f t="shared" ref="CC167:CC172" si="1232">+(AG166+AG167)/(2*$U167)</f>
        <v>1.2086144955922319E-5</v>
      </c>
      <c r="CD167" s="60">
        <f t="shared" ref="CD167:CD172" si="1233">+(AH166+AH167)/(2*$U167)</f>
        <v>8.9849713276972899E-5</v>
      </c>
      <c r="CE167" s="60">
        <f t="shared" ref="CE167:CE172" si="1234">+(AI166+AI167)/(2*$U167)</f>
        <v>2.1548940619086307E-6</v>
      </c>
      <c r="CF167" s="13">
        <f t="shared" ref="CF167:CF172" si="1235">+(AJ166+AJ167)/(2*$U167)</f>
        <v>5.9025359087062493E-6</v>
      </c>
    </row>
    <row r="168" spans="1:85" hidden="1" x14ac:dyDescent="0.25">
      <c r="A168" s="4" t="s">
        <v>4</v>
      </c>
      <c r="B168" s="56">
        <v>4328734.7335640304</v>
      </c>
      <c r="C168" s="57">
        <v>101</v>
      </c>
      <c r="D168" s="57">
        <v>34</v>
      </c>
      <c r="E168" s="57">
        <v>66</v>
      </c>
      <c r="F168" s="57">
        <v>36</v>
      </c>
      <c r="G168" s="57">
        <v>71</v>
      </c>
      <c r="H168" s="57">
        <v>301</v>
      </c>
      <c r="I168" s="57">
        <v>64</v>
      </c>
      <c r="J168" s="57">
        <v>1352</v>
      </c>
      <c r="K168" s="57">
        <v>1694</v>
      </c>
      <c r="L168" s="57">
        <v>51</v>
      </c>
      <c r="M168" s="57">
        <v>0</v>
      </c>
      <c r="N168" s="57">
        <v>33</v>
      </c>
      <c r="O168" s="57">
        <v>90</v>
      </c>
      <c r="P168" s="57">
        <v>47</v>
      </c>
      <c r="Q168" s="57">
        <v>27</v>
      </c>
      <c r="S168" s="4">
        <f t="shared" si="1213"/>
        <v>1996</v>
      </c>
      <c r="T168" s="4" t="str">
        <f t="shared" si="1214"/>
        <v>15-24</v>
      </c>
      <c r="U168" s="56">
        <f t="shared" si="1215"/>
        <v>4328734.7335640304</v>
      </c>
      <c r="V168" s="4">
        <f t="shared" si="1216"/>
        <v>101</v>
      </c>
      <c r="W168" s="4">
        <f t="shared" si="1157"/>
        <v>34</v>
      </c>
      <c r="X168" s="4">
        <f t="shared" si="1158"/>
        <v>66</v>
      </c>
      <c r="Y168" s="4">
        <f t="shared" si="1159"/>
        <v>36</v>
      </c>
      <c r="Z168" s="4">
        <f t="shared" si="1160"/>
        <v>71</v>
      </c>
      <c r="AA168" s="4">
        <f t="shared" si="1161"/>
        <v>301</v>
      </c>
      <c r="AB168" s="4">
        <f t="shared" si="1162"/>
        <v>64</v>
      </c>
      <c r="AC168" s="4">
        <f t="shared" si="1163"/>
        <v>1352</v>
      </c>
      <c r="AD168" s="4">
        <f t="shared" si="1164"/>
        <v>1694</v>
      </c>
      <c r="AE168" s="4">
        <f t="shared" si="1165"/>
        <v>51</v>
      </c>
      <c r="AF168" s="4">
        <f t="shared" si="1166"/>
        <v>0</v>
      </c>
      <c r="AG168" s="4">
        <f t="shared" si="1167"/>
        <v>33</v>
      </c>
      <c r="AH168" s="4">
        <f t="shared" si="1168"/>
        <v>90</v>
      </c>
      <c r="AI168" s="4">
        <f t="shared" si="1169"/>
        <v>47</v>
      </c>
      <c r="AJ168" s="4">
        <f t="shared" si="1170"/>
        <v>27</v>
      </c>
      <c r="AK168" s="4">
        <f t="shared" si="1217"/>
        <v>3967</v>
      </c>
      <c r="AL168" s="58">
        <f t="shared" si="1218"/>
        <v>2.3332453064603114E-5</v>
      </c>
      <c r="AM168" s="58">
        <f t="shared" si="1171"/>
        <v>7.8544891504604536E-6</v>
      </c>
      <c r="AN168" s="58">
        <f t="shared" si="1172"/>
        <v>1.5246949527364411E-5</v>
      </c>
      <c r="AO168" s="58">
        <f t="shared" si="1173"/>
        <v>8.3165179240169518E-6</v>
      </c>
      <c r="AP168" s="58">
        <f t="shared" si="1174"/>
        <v>1.6402021461255655E-5</v>
      </c>
      <c r="AQ168" s="58">
        <f t="shared" si="1175"/>
        <v>6.9535330420252836E-5</v>
      </c>
      <c r="AR168" s="58">
        <f t="shared" si="1176"/>
        <v>1.4784920753807913E-5</v>
      </c>
      <c r="AS168" s="58">
        <f t="shared" si="1177"/>
        <v>3.1233145092419214E-4</v>
      </c>
      <c r="AT168" s="58">
        <f t="shared" si="1178"/>
        <v>3.9133837120235322E-4</v>
      </c>
      <c r="AU168" s="58">
        <f t="shared" si="1179"/>
        <v>1.1781733725690681E-5</v>
      </c>
      <c r="AV168" s="58">
        <f t="shared" si="1180"/>
        <v>0</v>
      </c>
      <c r="AW168" s="58">
        <f t="shared" si="1181"/>
        <v>7.6234747636822054E-6</v>
      </c>
      <c r="AX168" s="58">
        <f t="shared" si="1182"/>
        <v>2.0791294810042377E-5</v>
      </c>
      <c r="AY168" s="58">
        <f t="shared" si="1183"/>
        <v>1.0857676178577687E-5</v>
      </c>
      <c r="AZ168" s="58">
        <f t="shared" si="1184"/>
        <v>6.2373884430127134E-6</v>
      </c>
      <c r="BA168" s="58">
        <f t="shared" si="1219"/>
        <v>9.1643407234931235E-4</v>
      </c>
      <c r="BB168" s="4">
        <f t="shared" si="1220"/>
        <v>4326751.2335640304</v>
      </c>
      <c r="BC168" s="59">
        <f t="shared" si="1185"/>
        <v>2.3343149293287266E-5</v>
      </c>
      <c r="BD168" s="59">
        <f t="shared" si="1221"/>
        <v>7.8580898611066048E-6</v>
      </c>
      <c r="BE168" s="59">
        <f t="shared" si="1186"/>
        <v>1.5253939142148115E-5</v>
      </c>
      <c r="BF168" s="59">
        <f t="shared" si="1187"/>
        <v>8.3203304411716991E-6</v>
      </c>
      <c r="BG168" s="59">
        <f t="shared" si="1188"/>
        <v>1.640954059231085E-5</v>
      </c>
      <c r="BH168" s="59">
        <f t="shared" si="1189"/>
        <v>6.9567207299796693E-5</v>
      </c>
      <c r="BI168" s="59">
        <f t="shared" si="1190"/>
        <v>1.4791698562083019E-5</v>
      </c>
      <c r="BJ168" s="59">
        <f t="shared" si="1191"/>
        <v>3.1247463212400378E-4</v>
      </c>
      <c r="BK168" s="59">
        <f t="shared" si="1192"/>
        <v>3.9151777131513494E-4</v>
      </c>
      <c r="BL168" s="59">
        <f t="shared" si="1193"/>
        <v>1.1787134791659907E-5</v>
      </c>
      <c r="BM168" s="59">
        <f t="shared" si="1194"/>
        <v>0</v>
      </c>
      <c r="BN168" s="59">
        <f t="shared" si="1195"/>
        <v>7.6269695710740576E-6</v>
      </c>
      <c r="BO168" s="59">
        <f t="shared" ref="BO168:BO172" si="1236">+AX168/(1-(0.5*$BA168))</f>
        <v>2.0800826102929245E-5</v>
      </c>
      <c r="BP168" s="59">
        <f t="shared" si="1197"/>
        <v>1.0862653631529719E-5</v>
      </c>
      <c r="BQ168" s="59">
        <f t="shared" si="1198"/>
        <v>6.2402478308787739E-6</v>
      </c>
      <c r="BR168" s="60">
        <f t="shared" ref="BR168:BR172" si="1237">+(V167+V168)/(2*$U168)</f>
        <v>1.7441586201757774E-5</v>
      </c>
      <c r="BS168" s="60">
        <f t="shared" si="1222"/>
        <v>6.0063740562344643E-6</v>
      </c>
      <c r="BT168" s="60">
        <f t="shared" si="1223"/>
        <v>2.1599845163766247E-5</v>
      </c>
      <c r="BU168" s="60">
        <f t="shared" si="1224"/>
        <v>1.3283327239749297E-5</v>
      </c>
      <c r="BV168" s="60">
        <f t="shared" si="1225"/>
        <v>1.0280140211632064E-5</v>
      </c>
      <c r="BW168" s="60">
        <f t="shared" si="1226"/>
        <v>6.5492578651633488E-5</v>
      </c>
      <c r="BX168" s="60">
        <f t="shared" si="1227"/>
        <v>9.4715898579081938E-6</v>
      </c>
      <c r="BY168" s="60">
        <f t="shared" si="1228"/>
        <v>2.3228496590552901E-4</v>
      </c>
      <c r="BZ168" s="60">
        <f t="shared" si="1229"/>
        <v>2.0779744090703467E-4</v>
      </c>
      <c r="CA168" s="60">
        <f t="shared" si="1230"/>
        <v>7.7389819570713291E-6</v>
      </c>
      <c r="CB168" s="60">
        <f t="shared" si="1231"/>
        <v>2.3101438677824863E-7</v>
      </c>
      <c r="CC168" s="60">
        <f t="shared" si="1232"/>
        <v>5.544345282677967E-6</v>
      </c>
      <c r="CD168" s="60">
        <f t="shared" si="1233"/>
        <v>1.9867237262929384E-5</v>
      </c>
      <c r="CE168" s="60">
        <f t="shared" si="1234"/>
        <v>5.6598524760670916E-6</v>
      </c>
      <c r="CF168" s="13">
        <f t="shared" si="1235"/>
        <v>7.0459387967365835E-6</v>
      </c>
    </row>
    <row r="169" spans="1:85" hidden="1" x14ac:dyDescent="0.25">
      <c r="A169" s="4" t="s">
        <v>3</v>
      </c>
      <c r="B169" s="56">
        <v>6500086.9398599695</v>
      </c>
      <c r="C169" s="57">
        <v>1265</v>
      </c>
      <c r="D169" s="57">
        <v>267</v>
      </c>
      <c r="E169" s="57">
        <v>94</v>
      </c>
      <c r="F169" s="57">
        <v>65</v>
      </c>
      <c r="G169" s="57">
        <v>232</v>
      </c>
      <c r="H169" s="57">
        <v>1734</v>
      </c>
      <c r="I169" s="57">
        <v>517</v>
      </c>
      <c r="J169" s="57">
        <v>2393</v>
      </c>
      <c r="K169" s="57">
        <v>1811</v>
      </c>
      <c r="L169" s="57">
        <v>272</v>
      </c>
      <c r="M169" s="57">
        <v>1</v>
      </c>
      <c r="N169" s="57">
        <v>99</v>
      </c>
      <c r="O169" s="57">
        <v>191</v>
      </c>
      <c r="P169" s="57">
        <v>719</v>
      </c>
      <c r="Q169" s="57">
        <v>111</v>
      </c>
      <c r="S169" s="4">
        <f t="shared" si="1213"/>
        <v>1996</v>
      </c>
      <c r="T169" s="4" t="str">
        <f t="shared" si="1214"/>
        <v>25-44</v>
      </c>
      <c r="U169" s="56">
        <f t="shared" si="1215"/>
        <v>6500086.9398599695</v>
      </c>
      <c r="V169" s="4">
        <f t="shared" si="1216"/>
        <v>1265</v>
      </c>
      <c r="W169" s="4">
        <f t="shared" si="1157"/>
        <v>267</v>
      </c>
      <c r="X169" s="4">
        <f t="shared" si="1158"/>
        <v>94</v>
      </c>
      <c r="Y169" s="4">
        <f t="shared" si="1159"/>
        <v>65</v>
      </c>
      <c r="Z169" s="4">
        <f t="shared" si="1160"/>
        <v>232</v>
      </c>
      <c r="AA169" s="4">
        <f t="shared" si="1161"/>
        <v>1734</v>
      </c>
      <c r="AB169" s="4">
        <f t="shared" si="1162"/>
        <v>517</v>
      </c>
      <c r="AC169" s="4">
        <f t="shared" si="1163"/>
        <v>2393</v>
      </c>
      <c r="AD169" s="4">
        <f t="shared" si="1164"/>
        <v>1811</v>
      </c>
      <c r="AE169" s="4">
        <f t="shared" si="1165"/>
        <v>272</v>
      </c>
      <c r="AF169" s="4">
        <f t="shared" si="1166"/>
        <v>1</v>
      </c>
      <c r="AG169" s="4">
        <f t="shared" si="1167"/>
        <v>99</v>
      </c>
      <c r="AH169" s="4">
        <f t="shared" si="1168"/>
        <v>191</v>
      </c>
      <c r="AI169" s="4">
        <f t="shared" si="1169"/>
        <v>719</v>
      </c>
      <c r="AJ169" s="4">
        <f t="shared" si="1170"/>
        <v>111</v>
      </c>
      <c r="AK169" s="4">
        <f t="shared" si="1217"/>
        <v>9771</v>
      </c>
      <c r="AL169" s="58">
        <f t="shared" si="1218"/>
        <v>1.9461278159877223E-4</v>
      </c>
      <c r="AM169" s="58">
        <f t="shared" si="1171"/>
        <v>4.107637366551161E-5</v>
      </c>
      <c r="AN169" s="58">
        <f t="shared" si="1172"/>
        <v>1.4461345035798096E-5</v>
      </c>
      <c r="AO169" s="58">
        <f t="shared" si="1173"/>
        <v>9.9998662481582572E-6</v>
      </c>
      <c r="AP169" s="58">
        <f t="shared" si="1174"/>
        <v>3.56918303011187E-5</v>
      </c>
      <c r="AQ169" s="58">
        <f t="shared" si="1175"/>
        <v>2.6676566268163718E-4</v>
      </c>
      <c r="AR169" s="58">
        <f t="shared" si="1176"/>
        <v>7.953739769688952E-5</v>
      </c>
      <c r="AS169" s="58">
        <f t="shared" si="1177"/>
        <v>3.6814892202834939E-4</v>
      </c>
      <c r="AT169" s="58">
        <f t="shared" si="1178"/>
        <v>2.7861165808330162E-4</v>
      </c>
      <c r="AU169" s="58">
        <f t="shared" si="1179"/>
        <v>4.1845594146139165E-5</v>
      </c>
      <c r="AV169" s="58">
        <f t="shared" si="1180"/>
        <v>1.5384409612551164E-7</v>
      </c>
      <c r="AW169" s="58">
        <f t="shared" si="1181"/>
        <v>1.5230565516425653E-5</v>
      </c>
      <c r="AX169" s="58">
        <f t="shared" si="1182"/>
        <v>2.9384222359972725E-5</v>
      </c>
      <c r="AY169" s="58">
        <f t="shared" si="1183"/>
        <v>1.1061390511424288E-4</v>
      </c>
      <c r="AZ169" s="58">
        <f t="shared" si="1184"/>
        <v>1.7076694669931794E-5</v>
      </c>
      <c r="BA169" s="58">
        <f t="shared" si="1219"/>
        <v>1.5032106632423743E-3</v>
      </c>
      <c r="BB169" s="4">
        <f t="shared" si="1220"/>
        <v>6495201.4398599695</v>
      </c>
      <c r="BC169" s="59">
        <f t="shared" si="1185"/>
        <v>1.9475916362453452E-4</v>
      </c>
      <c r="BD169" s="59">
        <f t="shared" si="1221"/>
        <v>4.1107270108893847E-5</v>
      </c>
      <c r="BE169" s="59">
        <f t="shared" si="1186"/>
        <v>1.4472222435340906E-5</v>
      </c>
      <c r="BF169" s="59">
        <f t="shared" si="1187"/>
        <v>1.0007387854225095E-5</v>
      </c>
      <c r="BG169" s="59">
        <f t="shared" si="1188"/>
        <v>3.5718676648926485E-5</v>
      </c>
      <c r="BH169" s="59">
        <f t="shared" si="1189"/>
        <v>2.6696631598809712E-4</v>
      </c>
      <c r="BI169" s="59">
        <f t="shared" si="1190"/>
        <v>7.9597223394374983E-5</v>
      </c>
      <c r="BJ169" s="59">
        <f t="shared" si="1191"/>
        <v>3.6842583284862543E-4</v>
      </c>
      <c r="BK169" s="59">
        <f t="shared" si="1192"/>
        <v>2.7882122160002534E-4</v>
      </c>
      <c r="BL169" s="59">
        <f t="shared" si="1193"/>
        <v>4.187706917460347E-5</v>
      </c>
      <c r="BM169" s="59">
        <f t="shared" si="1194"/>
        <v>1.5395981314192452E-7</v>
      </c>
      <c r="BN169" s="59">
        <f t="shared" si="1195"/>
        <v>1.5242021501050527E-5</v>
      </c>
      <c r="BO169" s="59">
        <f t="shared" si="1236"/>
        <v>2.9406324310107584E-5</v>
      </c>
      <c r="BP169" s="59">
        <f t="shared" si="1197"/>
        <v>1.1069710564904374E-4</v>
      </c>
      <c r="BQ169" s="59">
        <f t="shared" si="1198"/>
        <v>1.7089539258753623E-5</v>
      </c>
      <c r="BR169" s="60">
        <f t="shared" si="1237"/>
        <v>1.0507551765372446E-4</v>
      </c>
      <c r="BS169" s="60">
        <f t="shared" si="1222"/>
        <v>2.3153536466889503E-5</v>
      </c>
      <c r="BT169" s="60">
        <f t="shared" si="1223"/>
        <v>1.2307527690040933E-5</v>
      </c>
      <c r="BU169" s="60">
        <f t="shared" si="1224"/>
        <v>7.7691268543383381E-6</v>
      </c>
      <c r="BV169" s="60">
        <f t="shared" si="1225"/>
        <v>2.3307380563015016E-5</v>
      </c>
      <c r="BW169" s="60">
        <f t="shared" si="1226"/>
        <v>1.565363678077081E-4</v>
      </c>
      <c r="BX169" s="60">
        <f t="shared" si="1227"/>
        <v>4.4691709924461133E-5</v>
      </c>
      <c r="BY169" s="60">
        <f t="shared" si="1228"/>
        <v>2.8807306999502054E-4</v>
      </c>
      <c r="BZ169" s="60">
        <f t="shared" si="1229"/>
        <v>2.6961177845995915E-4</v>
      </c>
      <c r="CA169" s="60">
        <f t="shared" si="1230"/>
        <v>2.4845821524270131E-5</v>
      </c>
      <c r="CB169" s="60">
        <f t="shared" si="1231"/>
        <v>7.6922048062755818E-8</v>
      </c>
      <c r="CC169" s="60">
        <f t="shared" si="1232"/>
        <v>1.0153710344283768E-5</v>
      </c>
      <c r="CD169" s="60">
        <f t="shared" si="1233"/>
        <v>2.1615095505634385E-5</v>
      </c>
      <c r="CE169" s="60">
        <f t="shared" si="1234"/>
        <v>5.8922288816070963E-5</v>
      </c>
      <c r="CF169" s="13">
        <f t="shared" si="1235"/>
        <v>1.0615242632660304E-5</v>
      </c>
    </row>
    <row r="170" spans="1:85" hidden="1" x14ac:dyDescent="0.25">
      <c r="A170" s="4" t="s">
        <v>2</v>
      </c>
      <c r="B170" s="56">
        <v>2862216.4853526298</v>
      </c>
      <c r="C170" s="57">
        <v>5170</v>
      </c>
      <c r="D170" s="57">
        <v>791</v>
      </c>
      <c r="E170" s="57">
        <v>38</v>
      </c>
      <c r="F170" s="57">
        <v>151</v>
      </c>
      <c r="G170" s="57">
        <v>387</v>
      </c>
      <c r="H170" s="57">
        <v>4424</v>
      </c>
      <c r="I170" s="57">
        <v>1783</v>
      </c>
      <c r="J170" s="57">
        <v>1078</v>
      </c>
      <c r="K170" s="57">
        <v>502</v>
      </c>
      <c r="L170" s="57">
        <v>1450</v>
      </c>
      <c r="M170" s="57">
        <v>0</v>
      </c>
      <c r="N170" s="57">
        <v>427</v>
      </c>
      <c r="O170" s="57">
        <v>247</v>
      </c>
      <c r="P170" s="57">
        <v>130</v>
      </c>
      <c r="Q170" s="57">
        <v>206</v>
      </c>
      <c r="S170" s="4">
        <f t="shared" si="1213"/>
        <v>1996</v>
      </c>
      <c r="T170" s="4" t="str">
        <f t="shared" si="1214"/>
        <v>45-64</v>
      </c>
      <c r="U170" s="56">
        <f t="shared" si="1215"/>
        <v>2862216.4853526298</v>
      </c>
      <c r="V170" s="4">
        <f t="shared" si="1216"/>
        <v>5170</v>
      </c>
      <c r="W170" s="4">
        <f t="shared" si="1157"/>
        <v>791</v>
      </c>
      <c r="X170" s="4">
        <f t="shared" si="1158"/>
        <v>38</v>
      </c>
      <c r="Y170" s="4">
        <f t="shared" si="1159"/>
        <v>151</v>
      </c>
      <c r="Z170" s="4">
        <f t="shared" si="1160"/>
        <v>387</v>
      </c>
      <c r="AA170" s="4">
        <f t="shared" si="1161"/>
        <v>4424</v>
      </c>
      <c r="AB170" s="4">
        <f t="shared" si="1162"/>
        <v>1783</v>
      </c>
      <c r="AC170" s="4">
        <f t="shared" si="1163"/>
        <v>1078</v>
      </c>
      <c r="AD170" s="4">
        <f t="shared" si="1164"/>
        <v>502</v>
      </c>
      <c r="AE170" s="4">
        <f t="shared" si="1165"/>
        <v>1450</v>
      </c>
      <c r="AF170" s="4">
        <f t="shared" si="1166"/>
        <v>0</v>
      </c>
      <c r="AG170" s="4">
        <f t="shared" si="1167"/>
        <v>427</v>
      </c>
      <c r="AH170" s="4">
        <f t="shared" si="1168"/>
        <v>247</v>
      </c>
      <c r="AI170" s="4">
        <f t="shared" si="1169"/>
        <v>130</v>
      </c>
      <c r="AJ170" s="4">
        <f t="shared" si="1170"/>
        <v>206</v>
      </c>
      <c r="AK170" s="4">
        <f t="shared" si="1217"/>
        <v>16784</v>
      </c>
      <c r="AL170" s="58">
        <f t="shared" si="1218"/>
        <v>1.8062924403019248E-3</v>
      </c>
      <c r="AM170" s="58">
        <f t="shared" si="1171"/>
        <v>2.7635924957037186E-4</v>
      </c>
      <c r="AN170" s="58">
        <f t="shared" si="1172"/>
        <v>1.3276424126010279E-5</v>
      </c>
      <c r="AO170" s="58">
        <f t="shared" si="1173"/>
        <v>5.2756316921777688E-5</v>
      </c>
      <c r="AP170" s="58">
        <f t="shared" si="1174"/>
        <v>1.3520989833594679E-4</v>
      </c>
      <c r="AQ170" s="58">
        <f t="shared" si="1175"/>
        <v>1.5456552719334072E-3</v>
      </c>
      <c r="AR170" s="58">
        <f t="shared" si="1176"/>
        <v>6.229437951756928E-4</v>
      </c>
      <c r="AS170" s="58">
        <f t="shared" si="1177"/>
        <v>3.7663118967997582E-4</v>
      </c>
      <c r="AT170" s="58">
        <f t="shared" si="1178"/>
        <v>1.7538855029624104E-4</v>
      </c>
      <c r="AU170" s="58">
        <f t="shared" si="1179"/>
        <v>5.0660039428197118E-4</v>
      </c>
      <c r="AV170" s="58">
        <f t="shared" si="1180"/>
        <v>0</v>
      </c>
      <c r="AW170" s="58">
        <f t="shared" si="1181"/>
        <v>1.4918508162648392E-4</v>
      </c>
      <c r="AX170" s="58">
        <f t="shared" si="1182"/>
        <v>8.6296756819066809E-5</v>
      </c>
      <c r="AY170" s="58">
        <f t="shared" si="1183"/>
        <v>4.541934569424569E-5</v>
      </c>
      <c r="AZ170" s="58">
        <f t="shared" si="1184"/>
        <v>7.1972193946266255E-5</v>
      </c>
      <c r="BA170" s="58">
        <f t="shared" si="1219"/>
        <v>5.8639869087093819E-3</v>
      </c>
      <c r="BB170" s="4">
        <f t="shared" si="1220"/>
        <v>2853824.4853526298</v>
      </c>
      <c r="BC170" s="59">
        <f t="shared" si="1185"/>
        <v>1.8116040515228724E-3</v>
      </c>
      <c r="BD170" s="59">
        <f t="shared" si="1221"/>
        <v>2.7717191581326728E-4</v>
      </c>
      <c r="BE170" s="59">
        <f t="shared" si="1186"/>
        <v>1.3315464982179718E-5</v>
      </c>
      <c r="BF170" s="59">
        <f t="shared" si="1187"/>
        <v>5.2911452955503619E-5</v>
      </c>
      <c r="BG170" s="59">
        <f t="shared" si="1188"/>
        <v>1.3560749863430398E-4</v>
      </c>
      <c r="BH170" s="59">
        <f t="shared" si="1189"/>
        <v>1.5502004495042915E-3</v>
      </c>
      <c r="BI170" s="59">
        <f t="shared" si="1190"/>
        <v>6.2477563324280102E-4</v>
      </c>
      <c r="BJ170" s="59">
        <f t="shared" si="1191"/>
        <v>3.7773871712604574E-4</v>
      </c>
      <c r="BK170" s="59">
        <f t="shared" si="1192"/>
        <v>1.7590430055405837E-4</v>
      </c>
      <c r="BL170" s="59">
        <f t="shared" si="1193"/>
        <v>5.0809011116212085E-4</v>
      </c>
      <c r="BM170" s="59">
        <f t="shared" si="1194"/>
        <v>0</v>
      </c>
      <c r="BN170" s="59">
        <f t="shared" si="1195"/>
        <v>1.4962377756291422E-4</v>
      </c>
      <c r="BO170" s="59">
        <f t="shared" si="1236"/>
        <v>8.6550522384168166E-5</v>
      </c>
      <c r="BP170" s="59">
        <f t="shared" si="1197"/>
        <v>4.5552906517983245E-5</v>
      </c>
      <c r="BQ170" s="59">
        <f t="shared" si="1198"/>
        <v>7.2183836482342698E-5</v>
      </c>
      <c r="BR170" s="60">
        <f t="shared" si="1237"/>
        <v>1.1241288059325809E-3</v>
      </c>
      <c r="BS170" s="60">
        <f t="shared" si="1222"/>
        <v>1.8482179901735361E-4</v>
      </c>
      <c r="BT170" s="60">
        <f t="shared" si="1223"/>
        <v>2.3059052429386273E-5</v>
      </c>
      <c r="BU170" s="60">
        <f t="shared" si="1224"/>
        <v>3.7732994884450265E-5</v>
      </c>
      <c r="BV170" s="60">
        <f t="shared" si="1225"/>
        <v>1.0813298071053108E-4</v>
      </c>
      <c r="BW170" s="60">
        <f t="shared" si="1226"/>
        <v>1.0757397337890959E-3</v>
      </c>
      <c r="BX170" s="60">
        <f t="shared" si="1227"/>
        <v>4.0178651960294265E-4</v>
      </c>
      <c r="BY170" s="60">
        <f t="shared" si="1228"/>
        <v>6.0634826501817997E-4</v>
      </c>
      <c r="BZ170" s="60">
        <f t="shared" si="1229"/>
        <v>4.0405748688765491E-4</v>
      </c>
      <c r="CA170" s="60">
        <f t="shared" si="1230"/>
        <v>3.0081582032881184E-4</v>
      </c>
      <c r="CB170" s="60">
        <f t="shared" si="1231"/>
        <v>1.746897911317142E-7</v>
      </c>
      <c r="CC170" s="60">
        <f t="shared" si="1232"/>
        <v>9.1886830135281663E-5</v>
      </c>
      <c r="CD170" s="60">
        <f t="shared" si="1233"/>
        <v>7.6514128515690812E-5</v>
      </c>
      <c r="CE170" s="60">
        <f t="shared" si="1234"/>
        <v>1.4831163267082535E-4</v>
      </c>
      <c r="CF170" s="13">
        <f t="shared" si="1235"/>
        <v>5.5376663788753401E-5</v>
      </c>
    </row>
    <row r="171" spans="1:85" hidden="1" x14ac:dyDescent="0.25">
      <c r="A171" s="4" t="s">
        <v>1</v>
      </c>
      <c r="B171" s="56">
        <v>710343.28776711202</v>
      </c>
      <c r="C171" s="57">
        <v>5212</v>
      </c>
      <c r="D171" s="57">
        <v>406</v>
      </c>
      <c r="E171" s="57">
        <v>24</v>
      </c>
      <c r="F171" s="57">
        <v>146</v>
      </c>
      <c r="G171" s="57">
        <v>319</v>
      </c>
      <c r="H171" s="57">
        <v>3335</v>
      </c>
      <c r="I171" s="57">
        <v>1780</v>
      </c>
      <c r="J171" s="57">
        <v>380</v>
      </c>
      <c r="K171" s="57">
        <v>125</v>
      </c>
      <c r="L171" s="57">
        <v>1343</v>
      </c>
      <c r="M171" s="57">
        <v>0</v>
      </c>
      <c r="N171" s="57">
        <v>576</v>
      </c>
      <c r="O171" s="57">
        <v>226</v>
      </c>
      <c r="P171" s="57">
        <v>5</v>
      </c>
      <c r="Q171" s="57">
        <v>161</v>
      </c>
      <c r="S171" s="4">
        <f t="shared" si="1213"/>
        <v>1996</v>
      </c>
      <c r="T171" s="4" t="str">
        <f t="shared" si="1214"/>
        <v>65-74</v>
      </c>
      <c r="U171" s="56">
        <f t="shared" si="1215"/>
        <v>710343.28776711202</v>
      </c>
      <c r="V171" s="4">
        <f t="shared" si="1216"/>
        <v>5212</v>
      </c>
      <c r="W171" s="4">
        <f t="shared" si="1157"/>
        <v>406</v>
      </c>
      <c r="X171" s="4">
        <f t="shared" si="1158"/>
        <v>24</v>
      </c>
      <c r="Y171" s="4">
        <f t="shared" si="1159"/>
        <v>146</v>
      </c>
      <c r="Z171" s="4">
        <f t="shared" si="1160"/>
        <v>319</v>
      </c>
      <c r="AA171" s="4">
        <f t="shared" si="1161"/>
        <v>3335</v>
      </c>
      <c r="AB171" s="4">
        <f t="shared" si="1162"/>
        <v>1780</v>
      </c>
      <c r="AC171" s="4">
        <f t="shared" si="1163"/>
        <v>380</v>
      </c>
      <c r="AD171" s="4">
        <f t="shared" si="1164"/>
        <v>125</v>
      </c>
      <c r="AE171" s="4">
        <f t="shared" si="1165"/>
        <v>1343</v>
      </c>
      <c r="AF171" s="4">
        <f t="shared" si="1166"/>
        <v>0</v>
      </c>
      <c r="AG171" s="4">
        <f t="shared" si="1167"/>
        <v>576</v>
      </c>
      <c r="AH171" s="4">
        <f t="shared" si="1168"/>
        <v>226</v>
      </c>
      <c r="AI171" s="4">
        <f t="shared" si="1169"/>
        <v>5</v>
      </c>
      <c r="AJ171" s="4">
        <f t="shared" si="1170"/>
        <v>161</v>
      </c>
      <c r="AK171" s="4">
        <f t="shared" si="1217"/>
        <v>14038</v>
      </c>
      <c r="AL171" s="58">
        <f t="shared" si="1218"/>
        <v>7.3372974585053981E-3</v>
      </c>
      <c r="AM171" s="58">
        <f t="shared" si="1171"/>
        <v>5.7155463702095004E-4</v>
      </c>
      <c r="AN171" s="58">
        <f t="shared" si="1172"/>
        <v>3.3786481006164537E-5</v>
      </c>
      <c r="AO171" s="58">
        <f t="shared" si="1173"/>
        <v>2.0553442612083426E-4</v>
      </c>
      <c r="AP171" s="58">
        <f t="shared" si="1174"/>
        <v>4.4907864337360363E-4</v>
      </c>
      <c r="AQ171" s="58">
        <f t="shared" si="1175"/>
        <v>4.6949130898149474E-3</v>
      </c>
      <c r="AR171" s="58">
        <f t="shared" si="1176"/>
        <v>2.5058306746238699E-3</v>
      </c>
      <c r="AS171" s="58">
        <f t="shared" si="1177"/>
        <v>5.3495261593093852E-4</v>
      </c>
      <c r="AT171" s="58">
        <f t="shared" si="1178"/>
        <v>1.759712552404403E-4</v>
      </c>
      <c r="AU171" s="58">
        <f t="shared" si="1179"/>
        <v>1.8906351663032905E-3</v>
      </c>
      <c r="AV171" s="58">
        <f t="shared" si="1180"/>
        <v>0</v>
      </c>
      <c r="AW171" s="58">
        <f t="shared" si="1181"/>
        <v>8.1087554414794889E-4</v>
      </c>
      <c r="AX171" s="58">
        <f t="shared" si="1182"/>
        <v>3.1815602947471606E-4</v>
      </c>
      <c r="AY171" s="58">
        <f t="shared" si="1183"/>
        <v>7.0388502096176121E-6</v>
      </c>
      <c r="AZ171" s="58">
        <f t="shared" si="1184"/>
        <v>2.2665097674968711E-4</v>
      </c>
      <c r="BA171" s="58">
        <f t="shared" si="1219"/>
        <v>1.9762275848522408E-2</v>
      </c>
      <c r="BB171" s="4">
        <f t="shared" si="1220"/>
        <v>703324.28776711202</v>
      </c>
      <c r="BC171" s="59">
        <f t="shared" si="1185"/>
        <v>7.4105218469660197E-3</v>
      </c>
      <c r="BD171" s="59">
        <f t="shared" si="1221"/>
        <v>5.772586089539916E-4</v>
      </c>
      <c r="BE171" s="59">
        <f t="shared" si="1186"/>
        <v>3.4123661613043836E-5</v>
      </c>
      <c r="BF171" s="59">
        <f t="shared" si="1187"/>
        <v>2.0758560814601668E-4</v>
      </c>
      <c r="BG171" s="59">
        <f t="shared" si="1188"/>
        <v>4.5356033560670767E-4</v>
      </c>
      <c r="BH171" s="59">
        <f t="shared" si="1189"/>
        <v>4.741767144979217E-3</v>
      </c>
      <c r="BI171" s="59">
        <f t="shared" si="1190"/>
        <v>2.5308382363007516E-3</v>
      </c>
      <c r="BJ171" s="59">
        <f t="shared" si="1191"/>
        <v>5.4029130887319409E-4</v>
      </c>
      <c r="BK171" s="59">
        <f t="shared" si="1192"/>
        <v>1.7772740423460334E-4</v>
      </c>
      <c r="BL171" s="59">
        <f t="shared" si="1193"/>
        <v>1.909503231096578E-3</v>
      </c>
      <c r="BM171" s="59">
        <f t="shared" si="1194"/>
        <v>0</v>
      </c>
      <c r="BN171" s="59">
        <f t="shared" si="1195"/>
        <v>8.1896787871305217E-4</v>
      </c>
      <c r="BO171" s="59">
        <f t="shared" si="1236"/>
        <v>3.2133114685616281E-4</v>
      </c>
      <c r="BP171" s="59">
        <f t="shared" si="1197"/>
        <v>7.1090961693841331E-6</v>
      </c>
      <c r="BQ171" s="59">
        <f t="shared" si="1198"/>
        <v>2.2891289665416908E-4</v>
      </c>
      <c r="BR171" s="60">
        <f t="shared" si="1237"/>
        <v>7.3077342876250043E-3</v>
      </c>
      <c r="BS171" s="60">
        <f t="shared" si="1222"/>
        <v>8.4255037009122813E-4</v>
      </c>
      <c r="BT171" s="60">
        <f t="shared" si="1223"/>
        <v>4.3640871299629196E-5</v>
      </c>
      <c r="BU171" s="60">
        <f t="shared" si="1224"/>
        <v>2.0905385122564307E-4</v>
      </c>
      <c r="BV171" s="60">
        <f t="shared" si="1225"/>
        <v>4.969428247990034E-4</v>
      </c>
      <c r="BW171" s="60">
        <f t="shared" si="1226"/>
        <v>5.461443877642305E-3</v>
      </c>
      <c r="BX171" s="60">
        <f t="shared" si="1227"/>
        <v>2.5079423296867549E-3</v>
      </c>
      <c r="BY171" s="60">
        <f t="shared" si="1228"/>
        <v>1.0262643605622478E-3</v>
      </c>
      <c r="BZ171" s="60">
        <f t="shared" si="1229"/>
        <v>4.4133590814302427E-4</v>
      </c>
      <c r="CA171" s="60">
        <f t="shared" si="1230"/>
        <v>1.9659508635461991E-3</v>
      </c>
      <c r="CB171" s="60">
        <f t="shared" si="1231"/>
        <v>0</v>
      </c>
      <c r="CC171" s="60">
        <f t="shared" si="1232"/>
        <v>7.0599667602464649E-4</v>
      </c>
      <c r="CD171" s="60">
        <f t="shared" si="1233"/>
        <v>3.3293761491491304E-4</v>
      </c>
      <c r="CE171" s="60">
        <f t="shared" si="1234"/>
        <v>9.5024477829837753E-5</v>
      </c>
      <c r="CF171" s="13">
        <f t="shared" si="1235"/>
        <v>2.5832580269296635E-4</v>
      </c>
    </row>
    <row r="172" spans="1:85" hidden="1" x14ac:dyDescent="0.25">
      <c r="A172" s="4" t="s">
        <v>0</v>
      </c>
      <c r="B172" s="56">
        <v>710343.28776711202</v>
      </c>
      <c r="C172" s="57">
        <v>9429</v>
      </c>
      <c r="D172" s="57">
        <v>279</v>
      </c>
      <c r="E172" s="57">
        <v>22</v>
      </c>
      <c r="F172" s="57">
        <v>432</v>
      </c>
      <c r="G172" s="57">
        <v>397</v>
      </c>
      <c r="H172" s="57">
        <v>3401</v>
      </c>
      <c r="I172" s="57">
        <v>3442</v>
      </c>
      <c r="J172" s="57">
        <v>534</v>
      </c>
      <c r="K172" s="57">
        <v>68</v>
      </c>
      <c r="L172" s="57">
        <v>1306</v>
      </c>
      <c r="M172" s="57">
        <v>14</v>
      </c>
      <c r="N172" s="57">
        <v>1141</v>
      </c>
      <c r="O172" s="57">
        <v>974</v>
      </c>
      <c r="P172" s="57">
        <v>7</v>
      </c>
      <c r="Q172" s="57">
        <v>178</v>
      </c>
      <c r="S172" s="4">
        <f t="shared" si="1213"/>
        <v>1996</v>
      </c>
      <c r="T172" s="4" t="str">
        <f t="shared" si="1214"/>
        <v>75+</v>
      </c>
      <c r="U172" s="56">
        <f t="shared" si="1215"/>
        <v>710343.28776711202</v>
      </c>
      <c r="V172" s="4">
        <f t="shared" si="1216"/>
        <v>9429</v>
      </c>
      <c r="W172" s="4">
        <f t="shared" si="1157"/>
        <v>279</v>
      </c>
      <c r="X172" s="4">
        <f t="shared" si="1158"/>
        <v>22</v>
      </c>
      <c r="Y172" s="4">
        <f t="shared" si="1159"/>
        <v>432</v>
      </c>
      <c r="Z172" s="4">
        <f t="shared" si="1160"/>
        <v>397</v>
      </c>
      <c r="AA172" s="4">
        <f t="shared" si="1161"/>
        <v>3401</v>
      </c>
      <c r="AB172" s="4">
        <f t="shared" si="1162"/>
        <v>3442</v>
      </c>
      <c r="AC172" s="4">
        <f t="shared" si="1163"/>
        <v>534</v>
      </c>
      <c r="AD172" s="4">
        <f t="shared" si="1164"/>
        <v>68</v>
      </c>
      <c r="AE172" s="4">
        <f t="shared" si="1165"/>
        <v>1306</v>
      </c>
      <c r="AF172" s="4">
        <f t="shared" si="1166"/>
        <v>14</v>
      </c>
      <c r="AG172" s="4">
        <f t="shared" si="1167"/>
        <v>1141</v>
      </c>
      <c r="AH172" s="4">
        <f t="shared" si="1168"/>
        <v>974</v>
      </c>
      <c r="AI172" s="4">
        <f t="shared" si="1169"/>
        <v>7</v>
      </c>
      <c r="AJ172" s="4">
        <f t="shared" si="1170"/>
        <v>178</v>
      </c>
      <c r="AK172" s="4">
        <f t="shared" si="1217"/>
        <v>21624</v>
      </c>
      <c r="AL172" s="58">
        <f t="shared" si="1218"/>
        <v>1.3273863725296892E-2</v>
      </c>
      <c r="AM172" s="58">
        <f t="shared" si="1171"/>
        <v>3.9276784169666276E-4</v>
      </c>
      <c r="AN172" s="58">
        <f t="shared" si="1172"/>
        <v>3.0970940922317494E-5</v>
      </c>
      <c r="AO172" s="58">
        <f t="shared" si="1173"/>
        <v>6.0815665811096166E-4</v>
      </c>
      <c r="AP172" s="58">
        <f t="shared" si="1174"/>
        <v>5.588847066436384E-4</v>
      </c>
      <c r="AQ172" s="58">
        <f t="shared" si="1175"/>
        <v>4.7878259125818997E-3</v>
      </c>
      <c r="AR172" s="58">
        <f t="shared" si="1176"/>
        <v>4.8455444843007638E-3</v>
      </c>
      <c r="AS172" s="58">
        <f t="shared" si="1177"/>
        <v>7.5174920238716097E-4</v>
      </c>
      <c r="AT172" s="58">
        <f t="shared" si="1178"/>
        <v>9.5728362850799526E-5</v>
      </c>
      <c r="AU172" s="58">
        <f t="shared" si="1179"/>
        <v>1.8385476747521201E-3</v>
      </c>
      <c r="AV172" s="58">
        <f t="shared" si="1180"/>
        <v>1.9708780586929314E-5</v>
      </c>
      <c r="AW172" s="58">
        <f t="shared" si="1181"/>
        <v>1.606265617834739E-3</v>
      </c>
      <c r="AX172" s="58">
        <f t="shared" si="1182"/>
        <v>1.3711680208335108E-3</v>
      </c>
      <c r="AY172" s="58">
        <f t="shared" si="1183"/>
        <v>9.8543902934646572E-6</v>
      </c>
      <c r="AZ172" s="58">
        <f t="shared" si="1184"/>
        <v>2.5058306746238699E-4</v>
      </c>
      <c r="BA172" s="58">
        <f t="shared" si="1219"/>
        <v>3.0441619386554247E-2</v>
      </c>
      <c r="BB172" s="4">
        <f t="shared" si="1220"/>
        <v>699531.28776711202</v>
      </c>
      <c r="BC172" s="59">
        <f t="shared" si="1185"/>
        <v>1.3479025405850185E-2</v>
      </c>
      <c r="BD172" s="59">
        <f t="shared" si="1221"/>
        <v>3.9883848639645793E-4</v>
      </c>
      <c r="BE172" s="59">
        <f t="shared" si="1186"/>
        <v>3.1449629751692027E-5</v>
      </c>
      <c r="BF172" s="59">
        <f t="shared" si="1187"/>
        <v>6.1755636603322511E-4</v>
      </c>
      <c r="BG172" s="59">
        <f t="shared" si="1188"/>
        <v>5.6752286415553336E-4</v>
      </c>
      <c r="BH172" s="59">
        <f t="shared" si="1189"/>
        <v>4.8618268538865713E-3</v>
      </c>
      <c r="BI172" s="59">
        <f t="shared" si="1190"/>
        <v>4.9204375275147243E-3</v>
      </c>
      <c r="BJ172" s="59">
        <f t="shared" si="1191"/>
        <v>7.6336828579107001E-4</v>
      </c>
      <c r="BK172" s="59">
        <f t="shared" si="1192"/>
        <v>9.7207946505229885E-5</v>
      </c>
      <c r="BL172" s="59">
        <f t="shared" si="1193"/>
        <v>1.8669643843504445E-3</v>
      </c>
      <c r="BM172" s="59">
        <f t="shared" si="1194"/>
        <v>2.0013400751076742E-5</v>
      </c>
      <c r="BN172" s="59">
        <f t="shared" si="1195"/>
        <v>1.6310921612127545E-3</v>
      </c>
      <c r="BO172" s="59">
        <f t="shared" si="1236"/>
        <v>1.3923608808249104E-3</v>
      </c>
      <c r="BP172" s="59">
        <f t="shared" si="1197"/>
        <v>1.0006700375538371E-5</v>
      </c>
      <c r="BQ172" s="59">
        <f t="shared" si="1198"/>
        <v>2.5445609526369002E-4</v>
      </c>
      <c r="BR172" s="60">
        <f t="shared" si="1237"/>
        <v>1.0305580591901146E-2</v>
      </c>
      <c r="BS172" s="60">
        <f t="shared" si="1222"/>
        <v>4.8216123935880642E-4</v>
      </c>
      <c r="BT172" s="60">
        <f t="shared" si="1223"/>
        <v>3.2378710964241012E-5</v>
      </c>
      <c r="BU172" s="60">
        <f t="shared" si="1224"/>
        <v>4.0684554211589799E-4</v>
      </c>
      <c r="BV172" s="60">
        <f t="shared" si="1225"/>
        <v>5.0398167500862096E-4</v>
      </c>
      <c r="BW172" s="60">
        <f t="shared" si="1226"/>
        <v>4.7413695011984235E-3</v>
      </c>
      <c r="BX172" s="60">
        <f t="shared" si="1227"/>
        <v>3.6756875794623171E-3</v>
      </c>
      <c r="BY172" s="60">
        <f t="shared" si="1228"/>
        <v>6.4335090915904969E-4</v>
      </c>
      <c r="BZ172" s="60">
        <f t="shared" si="1229"/>
        <v>1.3584980904561992E-4</v>
      </c>
      <c r="CA172" s="60">
        <f t="shared" si="1230"/>
        <v>1.8645914205277054E-3</v>
      </c>
      <c r="CB172" s="60">
        <f t="shared" si="1231"/>
        <v>9.8543902934646572E-6</v>
      </c>
      <c r="CC172" s="60">
        <f t="shared" si="1232"/>
        <v>1.208570580991344E-3</v>
      </c>
      <c r="CD172" s="60">
        <f t="shared" si="1233"/>
        <v>8.4466202515411342E-4</v>
      </c>
      <c r="CE172" s="60">
        <f t="shared" si="1234"/>
        <v>8.4466202515411342E-6</v>
      </c>
      <c r="CF172" s="13">
        <f t="shared" si="1235"/>
        <v>2.3861702210603705E-4</v>
      </c>
    </row>
    <row r="173" spans="1:85" hidden="1" x14ac:dyDescent="0.25">
      <c r="C173" s="4"/>
    </row>
    <row r="174" spans="1:85" hidden="1" x14ac:dyDescent="0.25">
      <c r="C174" s="4"/>
    </row>
    <row r="175" spans="1:85" hidden="1" x14ac:dyDescent="0.25">
      <c r="A175" s="4" t="s">
        <v>23</v>
      </c>
      <c r="B175" s="61">
        <v>1996</v>
      </c>
    </row>
    <row r="176" spans="1:85" hidden="1" x14ac:dyDescent="0.25"/>
    <row r="177" spans="1:85" s="21" customFormat="1" ht="23.25" hidden="1" customHeight="1" x14ac:dyDescent="0.25">
      <c r="A177" s="62" t="s">
        <v>46</v>
      </c>
      <c r="B177" s="62"/>
      <c r="C177" s="4" t="s">
        <v>35</v>
      </c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2"/>
      <c r="BW177" s="62"/>
      <c r="BX177" s="62"/>
      <c r="BY177" s="62"/>
      <c r="BZ177" s="62"/>
      <c r="CA177" s="62"/>
      <c r="CB177" s="62"/>
      <c r="CC177" s="62"/>
      <c r="CD177" s="62"/>
      <c r="CE177" s="62"/>
    </row>
    <row r="178" spans="1:85" s="37" customFormat="1" ht="33" hidden="1" customHeight="1" x14ac:dyDescent="0.25">
      <c r="A178" s="63" t="s">
        <v>22</v>
      </c>
      <c r="B178" s="64" t="s">
        <v>24</v>
      </c>
      <c r="C178" s="64">
        <v>1</v>
      </c>
      <c r="D178" s="64">
        <v>10</v>
      </c>
      <c r="E178" s="64">
        <v>11</v>
      </c>
      <c r="F178" s="64">
        <v>12</v>
      </c>
      <c r="G178" s="64">
        <v>13</v>
      </c>
      <c r="H178" s="64">
        <v>2</v>
      </c>
      <c r="I178" s="64">
        <v>3</v>
      </c>
      <c r="J178" s="64">
        <v>4</v>
      </c>
      <c r="K178" s="64">
        <v>5</v>
      </c>
      <c r="L178" s="64">
        <v>6</v>
      </c>
      <c r="M178" s="64">
        <v>7</v>
      </c>
      <c r="N178" s="64">
        <v>8</v>
      </c>
      <c r="O178" s="64">
        <v>9</v>
      </c>
      <c r="P178" s="64">
        <v>14</v>
      </c>
      <c r="Q178" s="64">
        <v>15</v>
      </c>
      <c r="R178" s="64"/>
      <c r="S178" s="65" t="s">
        <v>23</v>
      </c>
      <c r="T178" s="65" t="s">
        <v>22</v>
      </c>
      <c r="U178" s="65" t="s">
        <v>181</v>
      </c>
      <c r="V178" s="66" t="str">
        <f>+CONCATENATE("dx","(",C178,")")</f>
        <v>dx(1)</v>
      </c>
      <c r="W178" s="66" t="str">
        <f t="shared" ref="W178" si="1238">+CONCATENATE("dx","(",D178,")")</f>
        <v>dx(10)</v>
      </c>
      <c r="X178" s="66" t="str">
        <f t="shared" ref="X178" si="1239">+CONCATENATE("dx","(",E178,")")</f>
        <v>dx(11)</v>
      </c>
      <c r="Y178" s="66" t="str">
        <f t="shared" ref="Y178" si="1240">+CONCATENATE("dx","(",F178,")")</f>
        <v>dx(12)</v>
      </c>
      <c r="Z178" s="66" t="str">
        <f t="shared" ref="Z178" si="1241">+CONCATENATE("dx","(",G178,")")</f>
        <v>dx(13)</v>
      </c>
      <c r="AA178" s="66" t="str">
        <f t="shared" ref="AA178" si="1242">+CONCATENATE("dx","(",H178,")")</f>
        <v>dx(2)</v>
      </c>
      <c r="AB178" s="66" t="str">
        <f t="shared" ref="AB178" si="1243">+CONCATENATE("dx","(",I178,")")</f>
        <v>dx(3)</v>
      </c>
      <c r="AC178" s="66" t="str">
        <f t="shared" ref="AC178" si="1244">+CONCATENATE("dx","(",J178,")")</f>
        <v>dx(4)</v>
      </c>
      <c r="AD178" s="66" t="str">
        <f t="shared" ref="AD178" si="1245">+CONCATENATE("dx","(",K178,")")</f>
        <v>dx(5)</v>
      </c>
      <c r="AE178" s="66" t="str">
        <f t="shared" ref="AE178" si="1246">+CONCATENATE("dx","(",L178,")")</f>
        <v>dx(6)</v>
      </c>
      <c r="AF178" s="66" t="str">
        <f t="shared" ref="AF178" si="1247">+CONCATENATE("dx","(",M178,")")</f>
        <v>dx(7)</v>
      </c>
      <c r="AG178" s="66" t="str">
        <f t="shared" ref="AG178" si="1248">+CONCATENATE("dx","(",N178,")")</f>
        <v>dx(8)</v>
      </c>
      <c r="AH178" s="66" t="str">
        <f t="shared" ref="AH178" si="1249">+CONCATENATE("dx","(",O178,")")</f>
        <v>dx(9)</v>
      </c>
      <c r="AI178" s="66" t="str">
        <f t="shared" ref="AI178" si="1250">+CONCATENATE("dx","(",P178,")")</f>
        <v>dx(14)</v>
      </c>
      <c r="AJ178" s="66" t="str">
        <f t="shared" ref="AJ178" si="1251">+CONCATENATE("dx","(",Q178,")")</f>
        <v>dx(15)</v>
      </c>
      <c r="AK178" s="66" t="s">
        <v>182</v>
      </c>
      <c r="AL178" s="66" t="str">
        <f t="shared" ref="AL178:AZ178" si="1252">+CONCATENATE("qx","(",C178,")")</f>
        <v>qx(1)</v>
      </c>
      <c r="AM178" s="66" t="str">
        <f t="shared" si="1252"/>
        <v>qx(10)</v>
      </c>
      <c r="AN178" s="66" t="str">
        <f t="shared" si="1252"/>
        <v>qx(11)</v>
      </c>
      <c r="AO178" s="66" t="str">
        <f t="shared" si="1252"/>
        <v>qx(12)</v>
      </c>
      <c r="AP178" s="66" t="str">
        <f t="shared" si="1252"/>
        <v>qx(13)</v>
      </c>
      <c r="AQ178" s="66" t="str">
        <f t="shared" si="1252"/>
        <v>qx(2)</v>
      </c>
      <c r="AR178" s="66" t="str">
        <f t="shared" si="1252"/>
        <v>qx(3)</v>
      </c>
      <c r="AS178" s="66" t="str">
        <f t="shared" si="1252"/>
        <v>qx(4)</v>
      </c>
      <c r="AT178" s="66" t="str">
        <f t="shared" si="1252"/>
        <v>qx(5)</v>
      </c>
      <c r="AU178" s="66" t="str">
        <f t="shared" si="1252"/>
        <v>qx(6)</v>
      </c>
      <c r="AV178" s="66" t="str">
        <f t="shared" si="1252"/>
        <v>qx(7)</v>
      </c>
      <c r="AW178" s="66" t="str">
        <f t="shared" si="1252"/>
        <v>qx(8)</v>
      </c>
      <c r="AX178" s="66" t="str">
        <f t="shared" si="1252"/>
        <v>qx(9)</v>
      </c>
      <c r="AY178" s="66" t="str">
        <f t="shared" si="1252"/>
        <v>qx(14)</v>
      </c>
      <c r="AZ178" s="66" t="str">
        <f t="shared" si="1252"/>
        <v>qx(15)</v>
      </c>
      <c r="BA178" s="66" t="str">
        <f>+CONCATENATE("qx","(T)")</f>
        <v>qx(T)</v>
      </c>
      <c r="BB178" s="65" t="s">
        <v>184</v>
      </c>
      <c r="BC178" s="66" t="str">
        <f t="shared" ref="BC178:BQ178" si="1253">+CONCATENATE("mx","(",C178,")")</f>
        <v>mx(1)</v>
      </c>
      <c r="BD178" s="66" t="str">
        <f t="shared" si="1253"/>
        <v>mx(10)</v>
      </c>
      <c r="BE178" s="66" t="str">
        <f t="shared" si="1253"/>
        <v>mx(11)</v>
      </c>
      <c r="BF178" s="66" t="str">
        <f t="shared" si="1253"/>
        <v>mx(12)</v>
      </c>
      <c r="BG178" s="66" t="str">
        <f t="shared" si="1253"/>
        <v>mx(13)</v>
      </c>
      <c r="BH178" s="66" t="str">
        <f t="shared" si="1253"/>
        <v>mx(2)</v>
      </c>
      <c r="BI178" s="66" t="str">
        <f t="shared" si="1253"/>
        <v>mx(3)</v>
      </c>
      <c r="BJ178" s="66" t="str">
        <f t="shared" si="1253"/>
        <v>mx(4)</v>
      </c>
      <c r="BK178" s="66" t="str">
        <f t="shared" si="1253"/>
        <v>mx(5)</v>
      </c>
      <c r="BL178" s="66" t="str">
        <f t="shared" si="1253"/>
        <v>mx(6)</v>
      </c>
      <c r="BM178" s="66" t="str">
        <f t="shared" si="1253"/>
        <v>mx(7)</v>
      </c>
      <c r="BN178" s="66" t="str">
        <f t="shared" si="1253"/>
        <v>mx(8)</v>
      </c>
      <c r="BO178" s="66" t="str">
        <f t="shared" si="1253"/>
        <v>mx(9)</v>
      </c>
      <c r="BP178" s="66" t="str">
        <f t="shared" si="1253"/>
        <v>mx(14)</v>
      </c>
      <c r="BQ178" s="66" t="str">
        <f t="shared" si="1253"/>
        <v>mx(15)</v>
      </c>
      <c r="BR178" s="66" t="str">
        <f>+CONCATENATE("µ(X)",C178)</f>
        <v>µ(X)1</v>
      </c>
      <c r="BS178" s="66" t="str">
        <f t="shared" ref="BS178" si="1254">+CONCATENATE("µ(X)",D178)</f>
        <v>µ(X)10</v>
      </c>
      <c r="BT178" s="66" t="str">
        <f t="shared" ref="BT178" si="1255">+CONCATENATE("µ(X)",E178)</f>
        <v>µ(X)11</v>
      </c>
      <c r="BU178" s="66" t="str">
        <f t="shared" ref="BU178" si="1256">+CONCATENATE("µ(X)",F178)</f>
        <v>µ(X)12</v>
      </c>
      <c r="BV178" s="66" t="str">
        <f t="shared" ref="BV178" si="1257">+CONCATENATE("µ(X)",G178)</f>
        <v>µ(X)13</v>
      </c>
      <c r="BW178" s="66" t="str">
        <f t="shared" ref="BW178" si="1258">+CONCATENATE("µ(X)",H178)</f>
        <v>µ(X)2</v>
      </c>
      <c r="BX178" s="66" t="str">
        <f t="shared" ref="BX178" si="1259">+CONCATENATE("µ(X)",I178)</f>
        <v>µ(X)3</v>
      </c>
      <c r="BY178" s="66" t="str">
        <f t="shared" ref="BY178" si="1260">+CONCATENATE("µ(X)",J178)</f>
        <v>µ(X)4</v>
      </c>
      <c r="BZ178" s="66" t="str">
        <f t="shared" ref="BZ178" si="1261">+CONCATENATE("µ(X)",K178)</f>
        <v>µ(X)5</v>
      </c>
      <c r="CA178" s="66" t="str">
        <f t="shared" ref="CA178" si="1262">+CONCATENATE("µ(X)",L178)</f>
        <v>µ(X)6</v>
      </c>
      <c r="CB178" s="66" t="str">
        <f t="shared" ref="CB178" si="1263">+CONCATENATE("µ(X)",M178)</f>
        <v>µ(X)7</v>
      </c>
      <c r="CC178" s="66" t="str">
        <f t="shared" ref="CC178" si="1264">+CONCATENATE("µ(X)",N178)</f>
        <v>µ(X)8</v>
      </c>
      <c r="CD178" s="66" t="str">
        <f t="shared" ref="CD178" si="1265">+CONCATENATE("µ(X)",O178)</f>
        <v>µ(X)9</v>
      </c>
      <c r="CE178" s="66" t="str">
        <f t="shared" ref="CE178" si="1266">+CONCATENATE("µ(X)",P178)</f>
        <v>µ(X)14</v>
      </c>
      <c r="CF178" s="42" t="str">
        <f t="shared" ref="CF178" si="1267">+CONCATENATE("µ(X)",Q178)</f>
        <v>µ(X)15</v>
      </c>
      <c r="CG178" s="36"/>
    </row>
    <row r="179" spans="1:85" hidden="1" x14ac:dyDescent="0.25">
      <c r="A179" s="4" t="s">
        <v>6</v>
      </c>
      <c r="B179" s="56">
        <v>2669011.0638103201</v>
      </c>
      <c r="C179" s="57">
        <v>82</v>
      </c>
      <c r="D179" s="57">
        <v>35</v>
      </c>
      <c r="E179" s="57">
        <v>1552</v>
      </c>
      <c r="F179" s="57">
        <v>2468</v>
      </c>
      <c r="G179" s="57">
        <v>37</v>
      </c>
      <c r="H179" s="57">
        <v>159</v>
      </c>
      <c r="I179" s="57">
        <v>14</v>
      </c>
      <c r="J179" s="57">
        <v>786</v>
      </c>
      <c r="K179" s="57">
        <v>32</v>
      </c>
      <c r="L179" s="57">
        <v>12</v>
      </c>
      <c r="M179" s="57">
        <v>5626</v>
      </c>
      <c r="N179" s="57">
        <v>114</v>
      </c>
      <c r="O179" s="57">
        <v>877</v>
      </c>
      <c r="P179" s="57">
        <v>21</v>
      </c>
      <c r="Q179" s="57">
        <v>29</v>
      </c>
      <c r="S179" s="4">
        <f>+$B$175</f>
        <v>1996</v>
      </c>
      <c r="T179" s="4" t="str">
        <f>+A179</f>
        <v>0-4</v>
      </c>
      <c r="U179" s="56">
        <f>+B179</f>
        <v>2669011.0638103201</v>
      </c>
      <c r="V179" s="4">
        <f>+C179</f>
        <v>82</v>
      </c>
      <c r="W179" s="4">
        <f t="shared" ref="W179:W185" si="1268">+D179</f>
        <v>35</v>
      </c>
      <c r="X179" s="4">
        <f t="shared" ref="X179:X185" si="1269">+E179</f>
        <v>1552</v>
      </c>
      <c r="Y179" s="4">
        <f t="shared" ref="Y179:Y185" si="1270">+F179</f>
        <v>2468</v>
      </c>
      <c r="Z179" s="4">
        <f t="shared" ref="Z179:Z185" si="1271">+G179</f>
        <v>37</v>
      </c>
      <c r="AA179" s="4">
        <f t="shared" ref="AA179:AA185" si="1272">+H179</f>
        <v>159</v>
      </c>
      <c r="AB179" s="4">
        <f t="shared" ref="AB179:AB185" si="1273">+I179</f>
        <v>14</v>
      </c>
      <c r="AC179" s="4">
        <f t="shared" ref="AC179:AC185" si="1274">+J179</f>
        <v>786</v>
      </c>
      <c r="AD179" s="4">
        <f t="shared" ref="AD179:AD185" si="1275">+K179</f>
        <v>32</v>
      </c>
      <c r="AE179" s="4">
        <f t="shared" ref="AE179:AE185" si="1276">+L179</f>
        <v>12</v>
      </c>
      <c r="AF179" s="4">
        <f t="shared" ref="AF179:AF185" si="1277">+M179</f>
        <v>5626</v>
      </c>
      <c r="AG179" s="4">
        <f t="shared" ref="AG179:AG185" si="1278">+N179</f>
        <v>114</v>
      </c>
      <c r="AH179" s="4">
        <f t="shared" ref="AH179:AH185" si="1279">+O179</f>
        <v>877</v>
      </c>
      <c r="AI179" s="4">
        <f t="shared" ref="AI179:AI185" si="1280">+P179</f>
        <v>21</v>
      </c>
      <c r="AJ179" s="4">
        <f t="shared" ref="AJ179:AJ185" si="1281">+Q179</f>
        <v>29</v>
      </c>
      <c r="AK179" s="4">
        <f>+SUM(V179:AJ179)</f>
        <v>11844</v>
      </c>
      <c r="AL179" s="58">
        <f>+V179/$U179</f>
        <v>3.072298991632338E-5</v>
      </c>
      <c r="AM179" s="58">
        <f t="shared" ref="AM179:AM185" si="1282">+W179/$U179</f>
        <v>1.3113471305747784E-5</v>
      </c>
      <c r="AN179" s="58">
        <f t="shared" ref="AN179:AN185" si="1283">+X179/$U179</f>
        <v>5.8148878475773028E-4</v>
      </c>
      <c r="AO179" s="58">
        <f t="shared" ref="AO179:AO185" si="1284">+Y179/$U179</f>
        <v>9.2468706235958656E-4</v>
      </c>
      <c r="AP179" s="58">
        <f t="shared" ref="AP179:AP185" si="1285">+Z179/$U179</f>
        <v>1.3862812523219085E-5</v>
      </c>
      <c r="AQ179" s="58">
        <f t="shared" ref="AQ179:AQ185" si="1286">+AA179/$U179</f>
        <v>5.9572626788968504E-5</v>
      </c>
      <c r="AR179" s="58">
        <f t="shared" ref="AR179:AR185" si="1287">+AB179/$U179</f>
        <v>5.2453885222991139E-6</v>
      </c>
      <c r="AS179" s="58">
        <f t="shared" ref="AS179:AS185" si="1288">+AC179/$U179</f>
        <v>2.9449109846622164E-4</v>
      </c>
      <c r="AT179" s="58">
        <f t="shared" ref="AT179:AT185" si="1289">+AD179/$U179</f>
        <v>1.1989459479540831E-5</v>
      </c>
      <c r="AU179" s="58">
        <f t="shared" ref="AU179:AU185" si="1290">+AE179/$U179</f>
        <v>4.4960473048278115E-6</v>
      </c>
      <c r="AV179" s="58">
        <f t="shared" ref="AV179:AV185" si="1291">+AF179/$U179</f>
        <v>2.1078968447467723E-3</v>
      </c>
      <c r="AW179" s="58">
        <f t="shared" ref="AW179:AW185" si="1292">+AG179/$U179</f>
        <v>4.2712449395864211E-5</v>
      </c>
      <c r="AX179" s="58">
        <f t="shared" ref="AX179:AX185" si="1293">+AH179/$U179</f>
        <v>3.2858612386116591E-4</v>
      </c>
      <c r="AY179" s="58">
        <f t="shared" ref="AY179:AY185" si="1294">+AI179/$U179</f>
        <v>7.86808278344867E-6</v>
      </c>
      <c r="AZ179" s="58">
        <f t="shared" ref="AZ179:AZ185" si="1295">+AJ179/$U179</f>
        <v>1.0865447653333878E-5</v>
      </c>
      <c r="BA179" s="58">
        <f>+AK179/U179</f>
        <v>4.4375986898650497E-3</v>
      </c>
      <c r="BB179" s="4">
        <f>+U179-(0.5*AK179)</f>
        <v>2663089.0638103201</v>
      </c>
      <c r="BC179" s="59">
        <f t="shared" ref="BC179:BC185" si="1296">+AL179/(1-(0.5*$BA179))</f>
        <v>3.0791309654013318E-5</v>
      </c>
      <c r="BD179" s="59">
        <f>+AM179/(1-(0.5*$BA179))</f>
        <v>1.3142632169395928E-5</v>
      </c>
      <c r="BE179" s="59">
        <f t="shared" ref="BE179:BE185" si="1297">+AN179/(1-(0.5*$BA179))</f>
        <v>5.8278186076864233E-4</v>
      </c>
      <c r="BF179" s="59">
        <f t="shared" ref="BF179:BF185" si="1298">+AO179/(1-(0.5*$BA179))</f>
        <v>9.2674331983054719E-4</v>
      </c>
      <c r="BG179" s="59">
        <f t="shared" ref="BG179:BG185" si="1299">+AP179/(1-(0.5*$BA179))</f>
        <v>1.3893639721932839E-5</v>
      </c>
      <c r="BH179" s="59">
        <f t="shared" ref="BH179:BH185" si="1300">+AQ179/(1-(0.5*$BA179))</f>
        <v>5.9705100426684362E-5</v>
      </c>
      <c r="BI179" s="59">
        <f t="shared" ref="BI179:BI185" si="1301">+AR179/(1-(0.5*$BA179))</f>
        <v>5.2570528677583717E-6</v>
      </c>
      <c r="BJ179" s="59">
        <f t="shared" ref="BJ179:BJ185" si="1302">+AS179/(1-(0.5*$BA179))</f>
        <v>2.9514596814700567E-4</v>
      </c>
      <c r="BK179" s="59">
        <f t="shared" ref="BK179:BK185" si="1303">+AT179/(1-(0.5*$BA179))</f>
        <v>1.2016120840590563E-5</v>
      </c>
      <c r="BL179" s="59">
        <f t="shared" ref="BL179:BL185" si="1304">+AU179/(1-(0.5*$BA179))</f>
        <v>4.5060453152214609E-6</v>
      </c>
      <c r="BM179" s="59">
        <f t="shared" ref="BM179:BM185" si="1305">+AV179/(1-(0.5*$BA179))</f>
        <v>2.1125842452863284E-3</v>
      </c>
      <c r="BN179" s="59">
        <f t="shared" ref="BN179:BN185" si="1306">+AW179/(1-(0.5*$BA179))</f>
        <v>4.2807430494603885E-5</v>
      </c>
      <c r="BO179" s="59">
        <f t="shared" ref="BO179" si="1307">+AX179/(1-(0.5*$BA179))</f>
        <v>3.2931681178743514E-4</v>
      </c>
      <c r="BP179" s="59">
        <f t="shared" ref="BP179:BP185" si="1308">+AY179/(1-(0.5*$BA179))</f>
        <v>7.8855793016375572E-6</v>
      </c>
      <c r="BQ179" s="59">
        <f t="shared" ref="BQ179:BQ185" si="1309">+AZ179/(1-(0.5*$BA179))</f>
        <v>1.0889609511785197E-5</v>
      </c>
      <c r="BR179" s="60">
        <f>+V179/(2*$U179)</f>
        <v>1.536149495816169E-5</v>
      </c>
      <c r="BS179" s="60">
        <f t="shared" ref="BS179" si="1310">+W179/(2*$U179)</f>
        <v>6.5567356528738919E-6</v>
      </c>
      <c r="BT179" s="60">
        <f t="shared" ref="BT179" si="1311">+X179/(2*$U179)</f>
        <v>2.9074439237886514E-4</v>
      </c>
      <c r="BU179" s="60">
        <f t="shared" ref="BU179" si="1312">+Y179/(2*$U179)</f>
        <v>4.6234353117979328E-4</v>
      </c>
      <c r="BV179" s="60">
        <f t="shared" ref="BV179" si="1313">+Z179/(2*$U179)</f>
        <v>6.9314062616095427E-6</v>
      </c>
      <c r="BW179" s="60">
        <f t="shared" ref="BW179" si="1314">+AA179/(2*$U179)</f>
        <v>2.9786313394484252E-5</v>
      </c>
      <c r="BX179" s="60">
        <f t="shared" ref="BX179" si="1315">+AB179/(2*$U179)</f>
        <v>2.6226942611495569E-6</v>
      </c>
      <c r="BY179" s="60">
        <f t="shared" ref="BY179" si="1316">+AC179/(2*$U179)</f>
        <v>1.4724554923311082E-4</v>
      </c>
      <c r="BZ179" s="60">
        <f t="shared" ref="BZ179" si="1317">+AD179/(2*$U179)</f>
        <v>5.9947297397704154E-6</v>
      </c>
      <c r="CA179" s="60">
        <f t="shared" ref="CA179" si="1318">+AE179/(2*$U179)</f>
        <v>2.2480236524139058E-6</v>
      </c>
      <c r="CB179" s="60">
        <f t="shared" ref="CB179" si="1319">+AF179/(2*$U179)</f>
        <v>1.0539484223733861E-3</v>
      </c>
      <c r="CC179" s="60">
        <f t="shared" ref="CC179" si="1320">+AG179/(2*$U179)</f>
        <v>2.1356224697932105E-5</v>
      </c>
      <c r="CD179" s="60">
        <f t="shared" ref="CD179" si="1321">+AH179/(2*$U179)</f>
        <v>1.6429306193058296E-4</v>
      </c>
      <c r="CE179" s="60">
        <f t="shared" ref="CE179" si="1322">+AI179/(2*$U179)</f>
        <v>3.934041391724335E-6</v>
      </c>
      <c r="CF179" s="13">
        <f t="shared" ref="CF179" si="1323">+AJ179/(2*$U179)</f>
        <v>5.4327238266669388E-6</v>
      </c>
    </row>
    <row r="180" spans="1:85" hidden="1" x14ac:dyDescent="0.25">
      <c r="A180" s="4" t="s">
        <v>5</v>
      </c>
      <c r="B180" s="56">
        <v>5336689.2615659405</v>
      </c>
      <c r="C180" s="57">
        <v>50</v>
      </c>
      <c r="D180" s="57">
        <v>18</v>
      </c>
      <c r="E180" s="57">
        <v>121</v>
      </c>
      <c r="F180" s="57">
        <v>79</v>
      </c>
      <c r="G180" s="57">
        <v>18</v>
      </c>
      <c r="H180" s="57">
        <v>266</v>
      </c>
      <c r="I180" s="57">
        <v>18</v>
      </c>
      <c r="J180" s="57">
        <v>659</v>
      </c>
      <c r="K180" s="57">
        <v>105</v>
      </c>
      <c r="L180" s="57">
        <v>16</v>
      </c>
      <c r="M180" s="57">
        <v>2</v>
      </c>
      <c r="N180" s="57">
        <v>15</v>
      </c>
      <c r="O180" s="57">
        <v>82</v>
      </c>
      <c r="P180" s="57">
        <v>2</v>
      </c>
      <c r="Q180" s="57">
        <v>34</v>
      </c>
      <c r="S180" s="4">
        <f t="shared" ref="S180:S185" si="1324">+$B$175</f>
        <v>1996</v>
      </c>
      <c r="T180" s="4" t="str">
        <f t="shared" ref="T180:T185" si="1325">+A180</f>
        <v>5-14</v>
      </c>
      <c r="U180" s="56">
        <f t="shared" ref="U180:U185" si="1326">+B180</f>
        <v>5336689.2615659405</v>
      </c>
      <c r="V180" s="4">
        <f t="shared" ref="V180:V185" si="1327">+C180</f>
        <v>50</v>
      </c>
      <c r="W180" s="4">
        <f t="shared" si="1268"/>
        <v>18</v>
      </c>
      <c r="X180" s="4">
        <f t="shared" si="1269"/>
        <v>121</v>
      </c>
      <c r="Y180" s="4">
        <f t="shared" si="1270"/>
        <v>79</v>
      </c>
      <c r="Z180" s="4">
        <f t="shared" si="1271"/>
        <v>18</v>
      </c>
      <c r="AA180" s="4">
        <f t="shared" si="1272"/>
        <v>266</v>
      </c>
      <c r="AB180" s="4">
        <f t="shared" si="1273"/>
        <v>18</v>
      </c>
      <c r="AC180" s="4">
        <f t="shared" si="1274"/>
        <v>659</v>
      </c>
      <c r="AD180" s="4">
        <f t="shared" si="1275"/>
        <v>105</v>
      </c>
      <c r="AE180" s="4">
        <f t="shared" si="1276"/>
        <v>16</v>
      </c>
      <c r="AF180" s="4">
        <f t="shared" si="1277"/>
        <v>2</v>
      </c>
      <c r="AG180" s="4">
        <f t="shared" si="1278"/>
        <v>15</v>
      </c>
      <c r="AH180" s="4">
        <f t="shared" si="1279"/>
        <v>82</v>
      </c>
      <c r="AI180" s="4">
        <f t="shared" si="1280"/>
        <v>2</v>
      </c>
      <c r="AJ180" s="4">
        <f t="shared" si="1281"/>
        <v>34</v>
      </c>
      <c r="AK180" s="4">
        <f t="shared" ref="AK180:AK185" si="1328">+SUM(V180:AJ180)</f>
        <v>1485</v>
      </c>
      <c r="AL180" s="58">
        <f t="shared" ref="AL180:AL185" si="1329">+V180/$U180</f>
        <v>9.3691046169940461E-6</v>
      </c>
      <c r="AM180" s="58">
        <f t="shared" si="1282"/>
        <v>3.3728776621178566E-6</v>
      </c>
      <c r="AN180" s="58">
        <f t="shared" si="1283"/>
        <v>2.2673233173125591E-5</v>
      </c>
      <c r="AO180" s="58">
        <f t="shared" si="1284"/>
        <v>1.4803185294850593E-5</v>
      </c>
      <c r="AP180" s="58">
        <f t="shared" si="1285"/>
        <v>3.3728776621178566E-6</v>
      </c>
      <c r="AQ180" s="58">
        <f t="shared" si="1286"/>
        <v>4.9843636562408325E-5</v>
      </c>
      <c r="AR180" s="58">
        <f t="shared" si="1287"/>
        <v>3.3728776621178566E-6</v>
      </c>
      <c r="AS180" s="58">
        <f t="shared" si="1288"/>
        <v>1.2348479885198154E-4</v>
      </c>
      <c r="AT180" s="58">
        <f t="shared" si="1289"/>
        <v>1.9675119695687498E-5</v>
      </c>
      <c r="AU180" s="58">
        <f t="shared" si="1290"/>
        <v>2.998113477438095E-6</v>
      </c>
      <c r="AV180" s="58">
        <f t="shared" si="1291"/>
        <v>3.7476418467976187E-7</v>
      </c>
      <c r="AW180" s="58">
        <f t="shared" si="1292"/>
        <v>2.8107313850982138E-6</v>
      </c>
      <c r="AX180" s="58">
        <f t="shared" si="1293"/>
        <v>1.5365331571870237E-5</v>
      </c>
      <c r="AY180" s="58">
        <f t="shared" si="1294"/>
        <v>3.7476418467976187E-7</v>
      </c>
      <c r="AZ180" s="58">
        <f t="shared" si="1295"/>
        <v>6.3709911395559516E-6</v>
      </c>
      <c r="BA180" s="58">
        <f t="shared" ref="BA180:BA185" si="1330">+AK180/U180</f>
        <v>2.7826240712472319E-4</v>
      </c>
      <c r="BB180" s="4">
        <f t="shared" ref="BB180:BB185" si="1331">+U180-(0.5*AK180)</f>
        <v>5335946.7615659405</v>
      </c>
      <c r="BC180" s="59">
        <f t="shared" si="1296"/>
        <v>9.3704083331833129E-6</v>
      </c>
      <c r="BD180" s="59">
        <f t="shared" ref="BD180:BD185" si="1332">+AM180/(1-(0.5*$BA180))</f>
        <v>3.3733469999459925E-6</v>
      </c>
      <c r="BE180" s="59">
        <f t="shared" si="1297"/>
        <v>2.2676388166303615E-5</v>
      </c>
      <c r="BF180" s="59">
        <f t="shared" si="1298"/>
        <v>1.4805245166429634E-5</v>
      </c>
      <c r="BG180" s="59">
        <f t="shared" si="1299"/>
        <v>3.3733469999459925E-6</v>
      </c>
      <c r="BH180" s="59">
        <f t="shared" si="1300"/>
        <v>4.9850572332535225E-5</v>
      </c>
      <c r="BI180" s="59">
        <f t="shared" si="1301"/>
        <v>3.3733469999459925E-6</v>
      </c>
      <c r="BJ180" s="59">
        <f t="shared" si="1302"/>
        <v>1.2350198183135608E-4</v>
      </c>
      <c r="BK180" s="59">
        <f t="shared" si="1303"/>
        <v>1.9677857499684958E-5</v>
      </c>
      <c r="BL180" s="59">
        <f t="shared" si="1304"/>
        <v>2.9985306666186604E-6</v>
      </c>
      <c r="BM180" s="59">
        <f t="shared" si="1305"/>
        <v>3.7481633332733255E-7</v>
      </c>
      <c r="BN180" s="59">
        <f t="shared" si="1306"/>
        <v>2.8111224999549937E-6</v>
      </c>
      <c r="BO180" s="59">
        <f>+AX180/(1-(0.5*$BA180))</f>
        <v>1.5367469666420634E-5</v>
      </c>
      <c r="BP180" s="59">
        <f t="shared" si="1308"/>
        <v>3.7481633332733255E-7</v>
      </c>
      <c r="BQ180" s="59">
        <f t="shared" si="1309"/>
        <v>6.3718776665646525E-6</v>
      </c>
      <c r="BR180" s="60">
        <f>+(V179+V180)/(2*$U180)</f>
        <v>1.2367218094432141E-5</v>
      </c>
      <c r="BS180" s="60">
        <f t="shared" ref="BS180:BS185" si="1333">+(W179+W180)/(2*$U180)</f>
        <v>4.9656254470068449E-6</v>
      </c>
      <c r="BT180" s="60">
        <f t="shared" ref="BT180:BT185" si="1334">+(X179+X180)/(2*$U180)</f>
        <v>1.567451202423104E-4</v>
      </c>
      <c r="BU180" s="60">
        <f t="shared" ref="BU180:BU185" si="1335">+(Y179+Y180)/(2*$U180)</f>
        <v>2.3863109459483836E-4</v>
      </c>
      <c r="BV180" s="60">
        <f t="shared" ref="BV180:BV185" si="1336">+(Z179+Z180)/(2*$U180)</f>
        <v>5.1530075393467253E-6</v>
      </c>
      <c r="BW180" s="60">
        <f t="shared" ref="BW180:BW185" si="1337">+(AA179+AA180)/(2*$U180)</f>
        <v>3.98186946222247E-5</v>
      </c>
      <c r="BX180" s="60">
        <f t="shared" ref="BX180:BX185" si="1338">+(AB179+AB180)/(2*$U180)</f>
        <v>2.998113477438095E-6</v>
      </c>
      <c r="BY180" s="60">
        <f t="shared" ref="BY180:BY185" si="1339">+(AC179+AC180)/(2*$U180)</f>
        <v>1.3538356171556397E-4</v>
      </c>
      <c r="BZ180" s="60">
        <f t="shared" ref="BZ180:BZ185" si="1340">+(AD179+AD180)/(2*$U180)</f>
        <v>1.2835673325281844E-5</v>
      </c>
      <c r="CA180" s="60">
        <f t="shared" ref="CA180:CA185" si="1341">+(AE179+AE180)/(2*$U180)</f>
        <v>2.6233492927583329E-6</v>
      </c>
      <c r="CB180" s="60">
        <f t="shared" ref="CB180:CB185" si="1342">+(AF179+AF180)/(2*$U180)</f>
        <v>5.2729320784442491E-4</v>
      </c>
      <c r="CC180" s="60">
        <f t="shared" ref="CC180:CC185" si="1343">+(AG179+AG180)/(2*$U180)</f>
        <v>1.2086144955922319E-5</v>
      </c>
      <c r="CD180" s="60">
        <f t="shared" ref="CD180:CD185" si="1344">+(AH179+AH180)/(2*$U180)</f>
        <v>8.9849713276972899E-5</v>
      </c>
      <c r="CE180" s="60">
        <f t="shared" ref="CE180:CE185" si="1345">+(AI179+AI180)/(2*$U180)</f>
        <v>2.1548940619086307E-6</v>
      </c>
      <c r="CF180" s="13">
        <f t="shared" ref="CF180:CF185" si="1346">+(AJ179+AJ180)/(2*$U180)</f>
        <v>5.9025359087062493E-6</v>
      </c>
    </row>
    <row r="181" spans="1:85" hidden="1" x14ac:dyDescent="0.25">
      <c r="A181" s="4" t="s">
        <v>4</v>
      </c>
      <c r="B181" s="56">
        <v>4328734.7335640304</v>
      </c>
      <c r="C181" s="57">
        <v>101</v>
      </c>
      <c r="D181" s="57">
        <v>34</v>
      </c>
      <c r="E181" s="57">
        <v>66</v>
      </c>
      <c r="F181" s="57">
        <v>36</v>
      </c>
      <c r="G181" s="57">
        <v>71</v>
      </c>
      <c r="H181" s="57">
        <v>301</v>
      </c>
      <c r="I181" s="57">
        <v>64</v>
      </c>
      <c r="J181" s="57">
        <v>1352</v>
      </c>
      <c r="K181" s="57">
        <v>1694</v>
      </c>
      <c r="L181" s="57">
        <v>51</v>
      </c>
      <c r="M181" s="57">
        <v>0</v>
      </c>
      <c r="N181" s="57">
        <v>33</v>
      </c>
      <c r="O181" s="57">
        <v>90</v>
      </c>
      <c r="P181" s="57">
        <v>47</v>
      </c>
      <c r="Q181" s="57">
        <v>27</v>
      </c>
      <c r="S181" s="4">
        <f t="shared" si="1324"/>
        <v>1996</v>
      </c>
      <c r="T181" s="4" t="str">
        <f t="shared" si="1325"/>
        <v>15-24</v>
      </c>
      <c r="U181" s="56">
        <f t="shared" si="1326"/>
        <v>4328734.7335640304</v>
      </c>
      <c r="V181" s="4">
        <f t="shared" si="1327"/>
        <v>101</v>
      </c>
      <c r="W181" s="4">
        <f t="shared" si="1268"/>
        <v>34</v>
      </c>
      <c r="X181" s="4">
        <f t="shared" si="1269"/>
        <v>66</v>
      </c>
      <c r="Y181" s="4">
        <f t="shared" si="1270"/>
        <v>36</v>
      </c>
      <c r="Z181" s="4">
        <f t="shared" si="1271"/>
        <v>71</v>
      </c>
      <c r="AA181" s="4">
        <f t="shared" si="1272"/>
        <v>301</v>
      </c>
      <c r="AB181" s="4">
        <f t="shared" si="1273"/>
        <v>64</v>
      </c>
      <c r="AC181" s="4">
        <f t="shared" si="1274"/>
        <v>1352</v>
      </c>
      <c r="AD181" s="4">
        <f t="shared" si="1275"/>
        <v>1694</v>
      </c>
      <c r="AE181" s="4">
        <f t="shared" si="1276"/>
        <v>51</v>
      </c>
      <c r="AF181" s="4">
        <f t="shared" si="1277"/>
        <v>0</v>
      </c>
      <c r="AG181" s="4">
        <f t="shared" si="1278"/>
        <v>33</v>
      </c>
      <c r="AH181" s="4">
        <f t="shared" si="1279"/>
        <v>90</v>
      </c>
      <c r="AI181" s="4">
        <f t="shared" si="1280"/>
        <v>47</v>
      </c>
      <c r="AJ181" s="4">
        <f t="shared" si="1281"/>
        <v>27</v>
      </c>
      <c r="AK181" s="4">
        <f t="shared" si="1328"/>
        <v>3967</v>
      </c>
      <c r="AL181" s="58">
        <f t="shared" si="1329"/>
        <v>2.3332453064603114E-5</v>
      </c>
      <c r="AM181" s="58">
        <f t="shared" si="1282"/>
        <v>7.8544891504604536E-6</v>
      </c>
      <c r="AN181" s="58">
        <f t="shared" si="1283"/>
        <v>1.5246949527364411E-5</v>
      </c>
      <c r="AO181" s="58">
        <f t="shared" si="1284"/>
        <v>8.3165179240169518E-6</v>
      </c>
      <c r="AP181" s="58">
        <f t="shared" si="1285"/>
        <v>1.6402021461255655E-5</v>
      </c>
      <c r="AQ181" s="58">
        <f t="shared" si="1286"/>
        <v>6.9535330420252836E-5</v>
      </c>
      <c r="AR181" s="58">
        <f t="shared" si="1287"/>
        <v>1.4784920753807913E-5</v>
      </c>
      <c r="AS181" s="58">
        <f t="shared" si="1288"/>
        <v>3.1233145092419214E-4</v>
      </c>
      <c r="AT181" s="58">
        <f t="shared" si="1289"/>
        <v>3.9133837120235322E-4</v>
      </c>
      <c r="AU181" s="58">
        <f t="shared" si="1290"/>
        <v>1.1781733725690681E-5</v>
      </c>
      <c r="AV181" s="58">
        <f t="shared" si="1291"/>
        <v>0</v>
      </c>
      <c r="AW181" s="58">
        <f t="shared" si="1292"/>
        <v>7.6234747636822054E-6</v>
      </c>
      <c r="AX181" s="58">
        <f t="shared" si="1293"/>
        <v>2.0791294810042377E-5</v>
      </c>
      <c r="AY181" s="58">
        <f t="shared" si="1294"/>
        <v>1.0857676178577687E-5</v>
      </c>
      <c r="AZ181" s="58">
        <f t="shared" si="1295"/>
        <v>6.2373884430127134E-6</v>
      </c>
      <c r="BA181" s="58">
        <f t="shared" si="1330"/>
        <v>9.1643407234931235E-4</v>
      </c>
      <c r="BB181" s="4">
        <f t="shared" si="1331"/>
        <v>4326751.2335640304</v>
      </c>
      <c r="BC181" s="59">
        <f t="shared" si="1296"/>
        <v>2.3343149293287266E-5</v>
      </c>
      <c r="BD181" s="59">
        <f t="shared" si="1332"/>
        <v>7.8580898611066048E-6</v>
      </c>
      <c r="BE181" s="59">
        <f t="shared" si="1297"/>
        <v>1.5253939142148115E-5</v>
      </c>
      <c r="BF181" s="59">
        <f t="shared" si="1298"/>
        <v>8.3203304411716991E-6</v>
      </c>
      <c r="BG181" s="59">
        <f t="shared" si="1299"/>
        <v>1.640954059231085E-5</v>
      </c>
      <c r="BH181" s="59">
        <f t="shared" si="1300"/>
        <v>6.9567207299796693E-5</v>
      </c>
      <c r="BI181" s="59">
        <f t="shared" si="1301"/>
        <v>1.4791698562083019E-5</v>
      </c>
      <c r="BJ181" s="59">
        <f t="shared" si="1302"/>
        <v>3.1247463212400378E-4</v>
      </c>
      <c r="BK181" s="59">
        <f t="shared" si="1303"/>
        <v>3.9151777131513494E-4</v>
      </c>
      <c r="BL181" s="59">
        <f t="shared" si="1304"/>
        <v>1.1787134791659907E-5</v>
      </c>
      <c r="BM181" s="59">
        <f t="shared" si="1305"/>
        <v>0</v>
      </c>
      <c r="BN181" s="59">
        <f t="shared" si="1306"/>
        <v>7.6269695710740576E-6</v>
      </c>
      <c r="BO181" s="59">
        <f t="shared" ref="BO181:BO185" si="1347">+AX181/(1-(0.5*$BA181))</f>
        <v>2.0800826102929245E-5</v>
      </c>
      <c r="BP181" s="59">
        <f t="shared" si="1308"/>
        <v>1.0862653631529719E-5</v>
      </c>
      <c r="BQ181" s="59">
        <f t="shared" si="1309"/>
        <v>6.2402478308787739E-6</v>
      </c>
      <c r="BR181" s="60">
        <f t="shared" ref="BR181:BR185" si="1348">+(V180+V181)/(2*$U181)</f>
        <v>1.7441586201757774E-5</v>
      </c>
      <c r="BS181" s="60">
        <f t="shared" si="1333"/>
        <v>6.0063740562344643E-6</v>
      </c>
      <c r="BT181" s="60">
        <f t="shared" si="1334"/>
        <v>2.1599845163766247E-5</v>
      </c>
      <c r="BU181" s="60">
        <f t="shared" si="1335"/>
        <v>1.3283327239749297E-5</v>
      </c>
      <c r="BV181" s="60">
        <f t="shared" si="1336"/>
        <v>1.0280140211632064E-5</v>
      </c>
      <c r="BW181" s="60">
        <f t="shared" si="1337"/>
        <v>6.5492578651633488E-5</v>
      </c>
      <c r="BX181" s="60">
        <f t="shared" si="1338"/>
        <v>9.4715898579081938E-6</v>
      </c>
      <c r="BY181" s="60">
        <f t="shared" si="1339"/>
        <v>2.3228496590552901E-4</v>
      </c>
      <c r="BZ181" s="60">
        <f t="shared" si="1340"/>
        <v>2.0779744090703467E-4</v>
      </c>
      <c r="CA181" s="60">
        <f t="shared" si="1341"/>
        <v>7.7389819570713291E-6</v>
      </c>
      <c r="CB181" s="60">
        <f t="shared" si="1342"/>
        <v>2.3101438677824863E-7</v>
      </c>
      <c r="CC181" s="60">
        <f t="shared" si="1343"/>
        <v>5.544345282677967E-6</v>
      </c>
      <c r="CD181" s="60">
        <f t="shared" si="1344"/>
        <v>1.9867237262929384E-5</v>
      </c>
      <c r="CE181" s="60">
        <f t="shared" si="1345"/>
        <v>5.6598524760670916E-6</v>
      </c>
      <c r="CF181" s="13">
        <f t="shared" si="1346"/>
        <v>7.0459387967365835E-6</v>
      </c>
    </row>
    <row r="182" spans="1:85" hidden="1" x14ac:dyDescent="0.25">
      <c r="A182" s="4" t="s">
        <v>3</v>
      </c>
      <c r="B182" s="56">
        <v>6500086.9398599695</v>
      </c>
      <c r="C182" s="57">
        <v>1265</v>
      </c>
      <c r="D182" s="57">
        <v>267</v>
      </c>
      <c r="E182" s="57">
        <v>94</v>
      </c>
      <c r="F182" s="57">
        <v>65</v>
      </c>
      <c r="G182" s="57">
        <v>232</v>
      </c>
      <c r="H182" s="57">
        <v>1734</v>
      </c>
      <c r="I182" s="57">
        <v>517</v>
      </c>
      <c r="J182" s="57">
        <v>2393</v>
      </c>
      <c r="K182" s="57">
        <v>1811</v>
      </c>
      <c r="L182" s="57">
        <v>272</v>
      </c>
      <c r="M182" s="57">
        <v>1</v>
      </c>
      <c r="N182" s="57">
        <v>99</v>
      </c>
      <c r="O182" s="57">
        <v>191</v>
      </c>
      <c r="P182" s="57">
        <v>719</v>
      </c>
      <c r="Q182" s="57">
        <v>111</v>
      </c>
      <c r="S182" s="4">
        <f t="shared" si="1324"/>
        <v>1996</v>
      </c>
      <c r="T182" s="4" t="str">
        <f t="shared" si="1325"/>
        <v>25-44</v>
      </c>
      <c r="U182" s="56">
        <f t="shared" si="1326"/>
        <v>6500086.9398599695</v>
      </c>
      <c r="V182" s="4">
        <f t="shared" si="1327"/>
        <v>1265</v>
      </c>
      <c r="W182" s="4">
        <f t="shared" si="1268"/>
        <v>267</v>
      </c>
      <c r="X182" s="4">
        <f t="shared" si="1269"/>
        <v>94</v>
      </c>
      <c r="Y182" s="4">
        <f t="shared" si="1270"/>
        <v>65</v>
      </c>
      <c r="Z182" s="4">
        <f t="shared" si="1271"/>
        <v>232</v>
      </c>
      <c r="AA182" s="4">
        <f t="shared" si="1272"/>
        <v>1734</v>
      </c>
      <c r="AB182" s="4">
        <f t="shared" si="1273"/>
        <v>517</v>
      </c>
      <c r="AC182" s="4">
        <f t="shared" si="1274"/>
        <v>2393</v>
      </c>
      <c r="AD182" s="4">
        <f t="shared" si="1275"/>
        <v>1811</v>
      </c>
      <c r="AE182" s="4">
        <f t="shared" si="1276"/>
        <v>272</v>
      </c>
      <c r="AF182" s="4">
        <f t="shared" si="1277"/>
        <v>1</v>
      </c>
      <c r="AG182" s="4">
        <f t="shared" si="1278"/>
        <v>99</v>
      </c>
      <c r="AH182" s="4">
        <f t="shared" si="1279"/>
        <v>191</v>
      </c>
      <c r="AI182" s="4">
        <f t="shared" si="1280"/>
        <v>719</v>
      </c>
      <c r="AJ182" s="4">
        <f t="shared" si="1281"/>
        <v>111</v>
      </c>
      <c r="AK182" s="4">
        <f t="shared" si="1328"/>
        <v>9771</v>
      </c>
      <c r="AL182" s="58">
        <f t="shared" si="1329"/>
        <v>1.9461278159877223E-4</v>
      </c>
      <c r="AM182" s="58">
        <f t="shared" si="1282"/>
        <v>4.107637366551161E-5</v>
      </c>
      <c r="AN182" s="58">
        <f t="shared" si="1283"/>
        <v>1.4461345035798096E-5</v>
      </c>
      <c r="AO182" s="58">
        <f t="shared" si="1284"/>
        <v>9.9998662481582572E-6</v>
      </c>
      <c r="AP182" s="58">
        <f t="shared" si="1285"/>
        <v>3.56918303011187E-5</v>
      </c>
      <c r="AQ182" s="58">
        <f t="shared" si="1286"/>
        <v>2.6676566268163718E-4</v>
      </c>
      <c r="AR182" s="58">
        <f t="shared" si="1287"/>
        <v>7.953739769688952E-5</v>
      </c>
      <c r="AS182" s="58">
        <f t="shared" si="1288"/>
        <v>3.6814892202834939E-4</v>
      </c>
      <c r="AT182" s="58">
        <f t="shared" si="1289"/>
        <v>2.7861165808330162E-4</v>
      </c>
      <c r="AU182" s="58">
        <f t="shared" si="1290"/>
        <v>4.1845594146139165E-5</v>
      </c>
      <c r="AV182" s="58">
        <f t="shared" si="1291"/>
        <v>1.5384409612551164E-7</v>
      </c>
      <c r="AW182" s="58">
        <f t="shared" si="1292"/>
        <v>1.5230565516425653E-5</v>
      </c>
      <c r="AX182" s="58">
        <f t="shared" si="1293"/>
        <v>2.9384222359972725E-5</v>
      </c>
      <c r="AY182" s="58">
        <f t="shared" si="1294"/>
        <v>1.1061390511424288E-4</v>
      </c>
      <c r="AZ182" s="58">
        <f t="shared" si="1295"/>
        <v>1.7076694669931794E-5</v>
      </c>
      <c r="BA182" s="58">
        <f t="shared" si="1330"/>
        <v>1.5032106632423743E-3</v>
      </c>
      <c r="BB182" s="4">
        <f t="shared" si="1331"/>
        <v>6495201.4398599695</v>
      </c>
      <c r="BC182" s="59">
        <f t="shared" si="1296"/>
        <v>1.9475916362453452E-4</v>
      </c>
      <c r="BD182" s="59">
        <f t="shared" si="1332"/>
        <v>4.1107270108893847E-5</v>
      </c>
      <c r="BE182" s="59">
        <f t="shared" si="1297"/>
        <v>1.4472222435340906E-5</v>
      </c>
      <c r="BF182" s="59">
        <f t="shared" si="1298"/>
        <v>1.0007387854225095E-5</v>
      </c>
      <c r="BG182" s="59">
        <f t="shared" si="1299"/>
        <v>3.5718676648926485E-5</v>
      </c>
      <c r="BH182" s="59">
        <f t="shared" si="1300"/>
        <v>2.6696631598809712E-4</v>
      </c>
      <c r="BI182" s="59">
        <f t="shared" si="1301"/>
        <v>7.9597223394374983E-5</v>
      </c>
      <c r="BJ182" s="59">
        <f t="shared" si="1302"/>
        <v>3.6842583284862543E-4</v>
      </c>
      <c r="BK182" s="59">
        <f t="shared" si="1303"/>
        <v>2.7882122160002534E-4</v>
      </c>
      <c r="BL182" s="59">
        <f t="shared" si="1304"/>
        <v>4.187706917460347E-5</v>
      </c>
      <c r="BM182" s="59">
        <f t="shared" si="1305"/>
        <v>1.5395981314192452E-7</v>
      </c>
      <c r="BN182" s="59">
        <f t="shared" si="1306"/>
        <v>1.5242021501050527E-5</v>
      </c>
      <c r="BO182" s="59">
        <f t="shared" si="1347"/>
        <v>2.9406324310107584E-5</v>
      </c>
      <c r="BP182" s="59">
        <f t="shared" si="1308"/>
        <v>1.1069710564904374E-4</v>
      </c>
      <c r="BQ182" s="59">
        <f t="shared" si="1309"/>
        <v>1.7089539258753623E-5</v>
      </c>
      <c r="BR182" s="60">
        <f t="shared" si="1348"/>
        <v>1.0507551765372446E-4</v>
      </c>
      <c r="BS182" s="60">
        <f t="shared" si="1333"/>
        <v>2.3153536466889503E-5</v>
      </c>
      <c r="BT182" s="60">
        <f t="shared" si="1334"/>
        <v>1.2307527690040933E-5</v>
      </c>
      <c r="BU182" s="60">
        <f t="shared" si="1335"/>
        <v>7.7691268543383381E-6</v>
      </c>
      <c r="BV182" s="60">
        <f t="shared" si="1336"/>
        <v>2.3307380563015016E-5</v>
      </c>
      <c r="BW182" s="60">
        <f t="shared" si="1337"/>
        <v>1.565363678077081E-4</v>
      </c>
      <c r="BX182" s="60">
        <f t="shared" si="1338"/>
        <v>4.4691709924461133E-5</v>
      </c>
      <c r="BY182" s="60">
        <f t="shared" si="1339"/>
        <v>2.8807306999502054E-4</v>
      </c>
      <c r="BZ182" s="60">
        <f t="shared" si="1340"/>
        <v>2.6961177845995915E-4</v>
      </c>
      <c r="CA182" s="60">
        <f t="shared" si="1341"/>
        <v>2.4845821524270131E-5</v>
      </c>
      <c r="CB182" s="60">
        <f t="shared" si="1342"/>
        <v>7.6922048062755818E-8</v>
      </c>
      <c r="CC182" s="60">
        <f t="shared" si="1343"/>
        <v>1.0153710344283768E-5</v>
      </c>
      <c r="CD182" s="60">
        <f t="shared" si="1344"/>
        <v>2.1615095505634385E-5</v>
      </c>
      <c r="CE182" s="60">
        <f t="shared" si="1345"/>
        <v>5.8922288816070963E-5</v>
      </c>
      <c r="CF182" s="13">
        <f t="shared" si="1346"/>
        <v>1.0615242632660304E-5</v>
      </c>
    </row>
    <row r="183" spans="1:85" hidden="1" x14ac:dyDescent="0.25">
      <c r="A183" s="4" t="s">
        <v>2</v>
      </c>
      <c r="B183" s="56">
        <v>2862216.4853526298</v>
      </c>
      <c r="C183" s="57">
        <v>5170</v>
      </c>
      <c r="D183" s="57">
        <v>791</v>
      </c>
      <c r="E183" s="57">
        <v>38</v>
      </c>
      <c r="F183" s="57">
        <v>151</v>
      </c>
      <c r="G183" s="57">
        <v>387</v>
      </c>
      <c r="H183" s="57">
        <v>4424</v>
      </c>
      <c r="I183" s="57">
        <v>1783</v>
      </c>
      <c r="J183" s="57">
        <v>1078</v>
      </c>
      <c r="K183" s="57">
        <v>502</v>
      </c>
      <c r="L183" s="57">
        <v>1450</v>
      </c>
      <c r="M183" s="57">
        <v>0</v>
      </c>
      <c r="N183" s="57">
        <v>427</v>
      </c>
      <c r="O183" s="57">
        <v>247</v>
      </c>
      <c r="P183" s="57">
        <v>130</v>
      </c>
      <c r="Q183" s="57">
        <v>206</v>
      </c>
      <c r="S183" s="4">
        <f t="shared" si="1324"/>
        <v>1996</v>
      </c>
      <c r="T183" s="4" t="str">
        <f t="shared" si="1325"/>
        <v>45-64</v>
      </c>
      <c r="U183" s="56">
        <f t="shared" si="1326"/>
        <v>2862216.4853526298</v>
      </c>
      <c r="V183" s="4">
        <f t="shared" si="1327"/>
        <v>5170</v>
      </c>
      <c r="W183" s="4">
        <f t="shared" si="1268"/>
        <v>791</v>
      </c>
      <c r="X183" s="4">
        <f t="shared" si="1269"/>
        <v>38</v>
      </c>
      <c r="Y183" s="4">
        <f t="shared" si="1270"/>
        <v>151</v>
      </c>
      <c r="Z183" s="4">
        <f t="shared" si="1271"/>
        <v>387</v>
      </c>
      <c r="AA183" s="4">
        <f t="shared" si="1272"/>
        <v>4424</v>
      </c>
      <c r="AB183" s="4">
        <f t="shared" si="1273"/>
        <v>1783</v>
      </c>
      <c r="AC183" s="4">
        <f t="shared" si="1274"/>
        <v>1078</v>
      </c>
      <c r="AD183" s="4">
        <f t="shared" si="1275"/>
        <v>502</v>
      </c>
      <c r="AE183" s="4">
        <f t="shared" si="1276"/>
        <v>1450</v>
      </c>
      <c r="AF183" s="4">
        <f t="shared" si="1277"/>
        <v>0</v>
      </c>
      <c r="AG183" s="4">
        <f t="shared" si="1278"/>
        <v>427</v>
      </c>
      <c r="AH183" s="4">
        <f t="shared" si="1279"/>
        <v>247</v>
      </c>
      <c r="AI183" s="4">
        <f t="shared" si="1280"/>
        <v>130</v>
      </c>
      <c r="AJ183" s="4">
        <f t="shared" si="1281"/>
        <v>206</v>
      </c>
      <c r="AK183" s="4">
        <f t="shared" si="1328"/>
        <v>16784</v>
      </c>
      <c r="AL183" s="58">
        <f t="shared" si="1329"/>
        <v>1.8062924403019248E-3</v>
      </c>
      <c r="AM183" s="58">
        <f t="shared" si="1282"/>
        <v>2.7635924957037186E-4</v>
      </c>
      <c r="AN183" s="58">
        <f t="shared" si="1283"/>
        <v>1.3276424126010279E-5</v>
      </c>
      <c r="AO183" s="58">
        <f t="shared" si="1284"/>
        <v>5.2756316921777688E-5</v>
      </c>
      <c r="AP183" s="58">
        <f t="shared" si="1285"/>
        <v>1.3520989833594679E-4</v>
      </c>
      <c r="AQ183" s="58">
        <f t="shared" si="1286"/>
        <v>1.5456552719334072E-3</v>
      </c>
      <c r="AR183" s="58">
        <f t="shared" si="1287"/>
        <v>6.229437951756928E-4</v>
      </c>
      <c r="AS183" s="58">
        <f t="shared" si="1288"/>
        <v>3.7663118967997582E-4</v>
      </c>
      <c r="AT183" s="58">
        <f t="shared" si="1289"/>
        <v>1.7538855029624104E-4</v>
      </c>
      <c r="AU183" s="58">
        <f t="shared" si="1290"/>
        <v>5.0660039428197118E-4</v>
      </c>
      <c r="AV183" s="58">
        <f t="shared" si="1291"/>
        <v>0</v>
      </c>
      <c r="AW183" s="58">
        <f t="shared" si="1292"/>
        <v>1.4918508162648392E-4</v>
      </c>
      <c r="AX183" s="58">
        <f t="shared" si="1293"/>
        <v>8.6296756819066809E-5</v>
      </c>
      <c r="AY183" s="58">
        <f t="shared" si="1294"/>
        <v>4.541934569424569E-5</v>
      </c>
      <c r="AZ183" s="58">
        <f t="shared" si="1295"/>
        <v>7.1972193946266255E-5</v>
      </c>
      <c r="BA183" s="58">
        <f t="shared" si="1330"/>
        <v>5.8639869087093819E-3</v>
      </c>
      <c r="BB183" s="4">
        <f t="shared" si="1331"/>
        <v>2853824.4853526298</v>
      </c>
      <c r="BC183" s="59">
        <f t="shared" si="1296"/>
        <v>1.8116040515228724E-3</v>
      </c>
      <c r="BD183" s="59">
        <f t="shared" si="1332"/>
        <v>2.7717191581326728E-4</v>
      </c>
      <c r="BE183" s="59">
        <f t="shared" si="1297"/>
        <v>1.3315464982179718E-5</v>
      </c>
      <c r="BF183" s="59">
        <f t="shared" si="1298"/>
        <v>5.2911452955503619E-5</v>
      </c>
      <c r="BG183" s="59">
        <f t="shared" si="1299"/>
        <v>1.3560749863430398E-4</v>
      </c>
      <c r="BH183" s="59">
        <f t="shared" si="1300"/>
        <v>1.5502004495042915E-3</v>
      </c>
      <c r="BI183" s="59">
        <f t="shared" si="1301"/>
        <v>6.2477563324280102E-4</v>
      </c>
      <c r="BJ183" s="59">
        <f t="shared" si="1302"/>
        <v>3.7773871712604574E-4</v>
      </c>
      <c r="BK183" s="59">
        <f t="shared" si="1303"/>
        <v>1.7590430055405837E-4</v>
      </c>
      <c r="BL183" s="59">
        <f t="shared" si="1304"/>
        <v>5.0809011116212085E-4</v>
      </c>
      <c r="BM183" s="59">
        <f t="shared" si="1305"/>
        <v>0</v>
      </c>
      <c r="BN183" s="59">
        <f t="shared" si="1306"/>
        <v>1.4962377756291422E-4</v>
      </c>
      <c r="BO183" s="59">
        <f t="shared" si="1347"/>
        <v>8.6550522384168166E-5</v>
      </c>
      <c r="BP183" s="59">
        <f t="shared" si="1308"/>
        <v>4.5552906517983245E-5</v>
      </c>
      <c r="BQ183" s="59">
        <f t="shared" si="1309"/>
        <v>7.2183836482342698E-5</v>
      </c>
      <c r="BR183" s="60">
        <f t="shared" si="1348"/>
        <v>1.1241288059325809E-3</v>
      </c>
      <c r="BS183" s="60">
        <f t="shared" si="1333"/>
        <v>1.8482179901735361E-4</v>
      </c>
      <c r="BT183" s="60">
        <f t="shared" si="1334"/>
        <v>2.3059052429386273E-5</v>
      </c>
      <c r="BU183" s="60">
        <f t="shared" si="1335"/>
        <v>3.7732994884450265E-5</v>
      </c>
      <c r="BV183" s="60">
        <f t="shared" si="1336"/>
        <v>1.0813298071053108E-4</v>
      </c>
      <c r="BW183" s="60">
        <f t="shared" si="1337"/>
        <v>1.0757397337890959E-3</v>
      </c>
      <c r="BX183" s="60">
        <f t="shared" si="1338"/>
        <v>4.0178651960294265E-4</v>
      </c>
      <c r="BY183" s="60">
        <f t="shared" si="1339"/>
        <v>6.0634826501817997E-4</v>
      </c>
      <c r="BZ183" s="60">
        <f t="shared" si="1340"/>
        <v>4.0405748688765491E-4</v>
      </c>
      <c r="CA183" s="60">
        <f t="shared" si="1341"/>
        <v>3.0081582032881184E-4</v>
      </c>
      <c r="CB183" s="60">
        <f t="shared" si="1342"/>
        <v>1.746897911317142E-7</v>
      </c>
      <c r="CC183" s="60">
        <f t="shared" si="1343"/>
        <v>9.1886830135281663E-5</v>
      </c>
      <c r="CD183" s="60">
        <f t="shared" si="1344"/>
        <v>7.6514128515690812E-5</v>
      </c>
      <c r="CE183" s="60">
        <f t="shared" si="1345"/>
        <v>1.4831163267082535E-4</v>
      </c>
      <c r="CF183" s="13">
        <f t="shared" si="1346"/>
        <v>5.5376663788753401E-5</v>
      </c>
    </row>
    <row r="184" spans="1:85" hidden="1" x14ac:dyDescent="0.25">
      <c r="A184" s="4" t="s">
        <v>1</v>
      </c>
      <c r="B184" s="56">
        <v>710343.28776711202</v>
      </c>
      <c r="C184" s="57">
        <v>5212</v>
      </c>
      <c r="D184" s="57">
        <v>406</v>
      </c>
      <c r="E184" s="57">
        <v>24</v>
      </c>
      <c r="F184" s="57">
        <v>146</v>
      </c>
      <c r="G184" s="57">
        <v>319</v>
      </c>
      <c r="H184" s="57">
        <v>3335</v>
      </c>
      <c r="I184" s="57">
        <v>1780</v>
      </c>
      <c r="J184" s="57">
        <v>380</v>
      </c>
      <c r="K184" s="57">
        <v>125</v>
      </c>
      <c r="L184" s="57">
        <v>1343</v>
      </c>
      <c r="M184" s="57">
        <v>0</v>
      </c>
      <c r="N184" s="57">
        <v>576</v>
      </c>
      <c r="O184" s="57">
        <v>226</v>
      </c>
      <c r="P184" s="57">
        <v>5</v>
      </c>
      <c r="Q184" s="57">
        <v>161</v>
      </c>
      <c r="S184" s="4">
        <f t="shared" si="1324"/>
        <v>1996</v>
      </c>
      <c r="T184" s="4" t="str">
        <f t="shared" si="1325"/>
        <v>65-74</v>
      </c>
      <c r="U184" s="56">
        <f t="shared" si="1326"/>
        <v>710343.28776711202</v>
      </c>
      <c r="V184" s="4">
        <f t="shared" si="1327"/>
        <v>5212</v>
      </c>
      <c r="W184" s="4">
        <f t="shared" si="1268"/>
        <v>406</v>
      </c>
      <c r="X184" s="4">
        <f t="shared" si="1269"/>
        <v>24</v>
      </c>
      <c r="Y184" s="4">
        <f t="shared" si="1270"/>
        <v>146</v>
      </c>
      <c r="Z184" s="4">
        <f t="shared" si="1271"/>
        <v>319</v>
      </c>
      <c r="AA184" s="4">
        <f t="shared" si="1272"/>
        <v>3335</v>
      </c>
      <c r="AB184" s="4">
        <f t="shared" si="1273"/>
        <v>1780</v>
      </c>
      <c r="AC184" s="4">
        <f t="shared" si="1274"/>
        <v>380</v>
      </c>
      <c r="AD184" s="4">
        <f t="shared" si="1275"/>
        <v>125</v>
      </c>
      <c r="AE184" s="4">
        <f t="shared" si="1276"/>
        <v>1343</v>
      </c>
      <c r="AF184" s="4">
        <f t="shared" si="1277"/>
        <v>0</v>
      </c>
      <c r="AG184" s="4">
        <f t="shared" si="1278"/>
        <v>576</v>
      </c>
      <c r="AH184" s="4">
        <f t="shared" si="1279"/>
        <v>226</v>
      </c>
      <c r="AI184" s="4">
        <f t="shared" si="1280"/>
        <v>5</v>
      </c>
      <c r="AJ184" s="4">
        <f t="shared" si="1281"/>
        <v>161</v>
      </c>
      <c r="AK184" s="4">
        <f t="shared" si="1328"/>
        <v>14038</v>
      </c>
      <c r="AL184" s="58">
        <f t="shared" si="1329"/>
        <v>7.3372974585053981E-3</v>
      </c>
      <c r="AM184" s="58">
        <f t="shared" si="1282"/>
        <v>5.7155463702095004E-4</v>
      </c>
      <c r="AN184" s="58">
        <f t="shared" si="1283"/>
        <v>3.3786481006164537E-5</v>
      </c>
      <c r="AO184" s="58">
        <f t="shared" si="1284"/>
        <v>2.0553442612083426E-4</v>
      </c>
      <c r="AP184" s="58">
        <f t="shared" si="1285"/>
        <v>4.4907864337360363E-4</v>
      </c>
      <c r="AQ184" s="58">
        <f t="shared" si="1286"/>
        <v>4.6949130898149474E-3</v>
      </c>
      <c r="AR184" s="58">
        <f t="shared" si="1287"/>
        <v>2.5058306746238699E-3</v>
      </c>
      <c r="AS184" s="58">
        <f t="shared" si="1288"/>
        <v>5.3495261593093852E-4</v>
      </c>
      <c r="AT184" s="58">
        <f t="shared" si="1289"/>
        <v>1.759712552404403E-4</v>
      </c>
      <c r="AU184" s="58">
        <f t="shared" si="1290"/>
        <v>1.8906351663032905E-3</v>
      </c>
      <c r="AV184" s="58">
        <f t="shared" si="1291"/>
        <v>0</v>
      </c>
      <c r="AW184" s="58">
        <f t="shared" si="1292"/>
        <v>8.1087554414794889E-4</v>
      </c>
      <c r="AX184" s="58">
        <f t="shared" si="1293"/>
        <v>3.1815602947471606E-4</v>
      </c>
      <c r="AY184" s="58">
        <f t="shared" si="1294"/>
        <v>7.0388502096176121E-6</v>
      </c>
      <c r="AZ184" s="58">
        <f t="shared" si="1295"/>
        <v>2.2665097674968711E-4</v>
      </c>
      <c r="BA184" s="58">
        <f t="shared" si="1330"/>
        <v>1.9762275848522408E-2</v>
      </c>
      <c r="BB184" s="4">
        <f t="shared" si="1331"/>
        <v>703324.28776711202</v>
      </c>
      <c r="BC184" s="59">
        <f t="shared" si="1296"/>
        <v>7.4105218469660197E-3</v>
      </c>
      <c r="BD184" s="59">
        <f t="shared" si="1332"/>
        <v>5.772586089539916E-4</v>
      </c>
      <c r="BE184" s="59">
        <f t="shared" si="1297"/>
        <v>3.4123661613043836E-5</v>
      </c>
      <c r="BF184" s="59">
        <f t="shared" si="1298"/>
        <v>2.0758560814601668E-4</v>
      </c>
      <c r="BG184" s="59">
        <f t="shared" si="1299"/>
        <v>4.5356033560670767E-4</v>
      </c>
      <c r="BH184" s="59">
        <f t="shared" si="1300"/>
        <v>4.741767144979217E-3</v>
      </c>
      <c r="BI184" s="59">
        <f t="shared" si="1301"/>
        <v>2.5308382363007516E-3</v>
      </c>
      <c r="BJ184" s="59">
        <f t="shared" si="1302"/>
        <v>5.4029130887319409E-4</v>
      </c>
      <c r="BK184" s="59">
        <f t="shared" si="1303"/>
        <v>1.7772740423460334E-4</v>
      </c>
      <c r="BL184" s="59">
        <f t="shared" si="1304"/>
        <v>1.909503231096578E-3</v>
      </c>
      <c r="BM184" s="59">
        <f t="shared" si="1305"/>
        <v>0</v>
      </c>
      <c r="BN184" s="59">
        <f t="shared" si="1306"/>
        <v>8.1896787871305217E-4</v>
      </c>
      <c r="BO184" s="59">
        <f t="shared" si="1347"/>
        <v>3.2133114685616281E-4</v>
      </c>
      <c r="BP184" s="59">
        <f t="shared" si="1308"/>
        <v>7.1090961693841331E-6</v>
      </c>
      <c r="BQ184" s="59">
        <f t="shared" si="1309"/>
        <v>2.2891289665416908E-4</v>
      </c>
      <c r="BR184" s="60">
        <f t="shared" si="1348"/>
        <v>7.3077342876250043E-3</v>
      </c>
      <c r="BS184" s="60">
        <f t="shared" si="1333"/>
        <v>8.4255037009122813E-4</v>
      </c>
      <c r="BT184" s="60">
        <f t="shared" si="1334"/>
        <v>4.3640871299629196E-5</v>
      </c>
      <c r="BU184" s="60">
        <f t="shared" si="1335"/>
        <v>2.0905385122564307E-4</v>
      </c>
      <c r="BV184" s="60">
        <f t="shared" si="1336"/>
        <v>4.969428247990034E-4</v>
      </c>
      <c r="BW184" s="60">
        <f t="shared" si="1337"/>
        <v>5.461443877642305E-3</v>
      </c>
      <c r="BX184" s="60">
        <f t="shared" si="1338"/>
        <v>2.5079423296867549E-3</v>
      </c>
      <c r="BY184" s="60">
        <f t="shared" si="1339"/>
        <v>1.0262643605622478E-3</v>
      </c>
      <c r="BZ184" s="60">
        <f t="shared" si="1340"/>
        <v>4.4133590814302427E-4</v>
      </c>
      <c r="CA184" s="60">
        <f t="shared" si="1341"/>
        <v>1.9659508635461991E-3</v>
      </c>
      <c r="CB184" s="60">
        <f t="shared" si="1342"/>
        <v>0</v>
      </c>
      <c r="CC184" s="60">
        <f t="shared" si="1343"/>
        <v>7.0599667602464649E-4</v>
      </c>
      <c r="CD184" s="60">
        <f t="shared" si="1344"/>
        <v>3.3293761491491304E-4</v>
      </c>
      <c r="CE184" s="60">
        <f t="shared" si="1345"/>
        <v>9.5024477829837753E-5</v>
      </c>
      <c r="CF184" s="13">
        <f t="shared" si="1346"/>
        <v>2.5832580269296635E-4</v>
      </c>
    </row>
    <row r="185" spans="1:85" hidden="1" x14ac:dyDescent="0.25">
      <c r="A185" s="4" t="s">
        <v>0</v>
      </c>
      <c r="B185" s="56">
        <v>710343.28776711202</v>
      </c>
      <c r="C185" s="57">
        <v>9429</v>
      </c>
      <c r="D185" s="57">
        <v>279</v>
      </c>
      <c r="E185" s="57">
        <v>22</v>
      </c>
      <c r="F185" s="57">
        <v>432</v>
      </c>
      <c r="G185" s="57">
        <v>397</v>
      </c>
      <c r="H185" s="57">
        <v>3401</v>
      </c>
      <c r="I185" s="57">
        <v>3442</v>
      </c>
      <c r="J185" s="57">
        <v>534</v>
      </c>
      <c r="K185" s="57">
        <v>68</v>
      </c>
      <c r="L185" s="57">
        <v>1306</v>
      </c>
      <c r="M185" s="57">
        <v>14</v>
      </c>
      <c r="N185" s="57">
        <v>1141</v>
      </c>
      <c r="O185" s="57">
        <v>974</v>
      </c>
      <c r="P185" s="57">
        <v>7</v>
      </c>
      <c r="Q185" s="57">
        <v>178</v>
      </c>
      <c r="S185" s="4">
        <f t="shared" si="1324"/>
        <v>1996</v>
      </c>
      <c r="T185" s="4" t="str">
        <f t="shared" si="1325"/>
        <v>75+</v>
      </c>
      <c r="U185" s="56">
        <f t="shared" si="1326"/>
        <v>710343.28776711202</v>
      </c>
      <c r="V185" s="4">
        <f t="shared" si="1327"/>
        <v>9429</v>
      </c>
      <c r="W185" s="4">
        <f t="shared" si="1268"/>
        <v>279</v>
      </c>
      <c r="X185" s="4">
        <f t="shared" si="1269"/>
        <v>22</v>
      </c>
      <c r="Y185" s="4">
        <f t="shared" si="1270"/>
        <v>432</v>
      </c>
      <c r="Z185" s="4">
        <f t="shared" si="1271"/>
        <v>397</v>
      </c>
      <c r="AA185" s="4">
        <f t="shared" si="1272"/>
        <v>3401</v>
      </c>
      <c r="AB185" s="4">
        <f t="shared" si="1273"/>
        <v>3442</v>
      </c>
      <c r="AC185" s="4">
        <f t="shared" si="1274"/>
        <v>534</v>
      </c>
      <c r="AD185" s="4">
        <f t="shared" si="1275"/>
        <v>68</v>
      </c>
      <c r="AE185" s="4">
        <f t="shared" si="1276"/>
        <v>1306</v>
      </c>
      <c r="AF185" s="4">
        <f t="shared" si="1277"/>
        <v>14</v>
      </c>
      <c r="AG185" s="4">
        <f t="shared" si="1278"/>
        <v>1141</v>
      </c>
      <c r="AH185" s="4">
        <f t="shared" si="1279"/>
        <v>974</v>
      </c>
      <c r="AI185" s="4">
        <f t="shared" si="1280"/>
        <v>7</v>
      </c>
      <c r="AJ185" s="4">
        <f t="shared" si="1281"/>
        <v>178</v>
      </c>
      <c r="AK185" s="4">
        <f t="shared" si="1328"/>
        <v>21624</v>
      </c>
      <c r="AL185" s="58">
        <f t="shared" si="1329"/>
        <v>1.3273863725296892E-2</v>
      </c>
      <c r="AM185" s="58">
        <f t="shared" si="1282"/>
        <v>3.9276784169666276E-4</v>
      </c>
      <c r="AN185" s="58">
        <f t="shared" si="1283"/>
        <v>3.0970940922317494E-5</v>
      </c>
      <c r="AO185" s="58">
        <f t="shared" si="1284"/>
        <v>6.0815665811096166E-4</v>
      </c>
      <c r="AP185" s="58">
        <f t="shared" si="1285"/>
        <v>5.588847066436384E-4</v>
      </c>
      <c r="AQ185" s="58">
        <f t="shared" si="1286"/>
        <v>4.7878259125818997E-3</v>
      </c>
      <c r="AR185" s="58">
        <f t="shared" si="1287"/>
        <v>4.8455444843007638E-3</v>
      </c>
      <c r="AS185" s="58">
        <f t="shared" si="1288"/>
        <v>7.5174920238716097E-4</v>
      </c>
      <c r="AT185" s="58">
        <f t="shared" si="1289"/>
        <v>9.5728362850799526E-5</v>
      </c>
      <c r="AU185" s="58">
        <f t="shared" si="1290"/>
        <v>1.8385476747521201E-3</v>
      </c>
      <c r="AV185" s="58">
        <f t="shared" si="1291"/>
        <v>1.9708780586929314E-5</v>
      </c>
      <c r="AW185" s="58">
        <f t="shared" si="1292"/>
        <v>1.606265617834739E-3</v>
      </c>
      <c r="AX185" s="58">
        <f t="shared" si="1293"/>
        <v>1.3711680208335108E-3</v>
      </c>
      <c r="AY185" s="58">
        <f t="shared" si="1294"/>
        <v>9.8543902934646572E-6</v>
      </c>
      <c r="AZ185" s="58">
        <f t="shared" si="1295"/>
        <v>2.5058306746238699E-4</v>
      </c>
      <c r="BA185" s="58">
        <f t="shared" si="1330"/>
        <v>3.0441619386554247E-2</v>
      </c>
      <c r="BB185" s="4">
        <f t="shared" si="1331"/>
        <v>699531.28776711202</v>
      </c>
      <c r="BC185" s="59">
        <f t="shared" si="1296"/>
        <v>1.3479025405850185E-2</v>
      </c>
      <c r="BD185" s="59">
        <f t="shared" si="1332"/>
        <v>3.9883848639645793E-4</v>
      </c>
      <c r="BE185" s="59">
        <f t="shared" si="1297"/>
        <v>3.1449629751692027E-5</v>
      </c>
      <c r="BF185" s="59">
        <f t="shared" si="1298"/>
        <v>6.1755636603322511E-4</v>
      </c>
      <c r="BG185" s="59">
        <f t="shared" si="1299"/>
        <v>5.6752286415553336E-4</v>
      </c>
      <c r="BH185" s="59">
        <f t="shared" si="1300"/>
        <v>4.8618268538865713E-3</v>
      </c>
      <c r="BI185" s="59">
        <f t="shared" si="1301"/>
        <v>4.9204375275147243E-3</v>
      </c>
      <c r="BJ185" s="59">
        <f t="shared" si="1302"/>
        <v>7.6336828579107001E-4</v>
      </c>
      <c r="BK185" s="59">
        <f t="shared" si="1303"/>
        <v>9.7207946505229885E-5</v>
      </c>
      <c r="BL185" s="59">
        <f t="shared" si="1304"/>
        <v>1.8669643843504445E-3</v>
      </c>
      <c r="BM185" s="59">
        <f t="shared" si="1305"/>
        <v>2.0013400751076742E-5</v>
      </c>
      <c r="BN185" s="59">
        <f t="shared" si="1306"/>
        <v>1.6310921612127545E-3</v>
      </c>
      <c r="BO185" s="59">
        <f t="shared" si="1347"/>
        <v>1.3923608808249104E-3</v>
      </c>
      <c r="BP185" s="59">
        <f t="shared" si="1308"/>
        <v>1.0006700375538371E-5</v>
      </c>
      <c r="BQ185" s="59">
        <f t="shared" si="1309"/>
        <v>2.5445609526369002E-4</v>
      </c>
      <c r="BR185" s="60">
        <f t="shared" si="1348"/>
        <v>1.0305580591901146E-2</v>
      </c>
      <c r="BS185" s="60">
        <f t="shared" si="1333"/>
        <v>4.8216123935880642E-4</v>
      </c>
      <c r="BT185" s="60">
        <f t="shared" si="1334"/>
        <v>3.2378710964241012E-5</v>
      </c>
      <c r="BU185" s="60">
        <f t="shared" si="1335"/>
        <v>4.0684554211589799E-4</v>
      </c>
      <c r="BV185" s="60">
        <f t="shared" si="1336"/>
        <v>5.0398167500862096E-4</v>
      </c>
      <c r="BW185" s="60">
        <f t="shared" si="1337"/>
        <v>4.7413695011984235E-3</v>
      </c>
      <c r="BX185" s="60">
        <f t="shared" si="1338"/>
        <v>3.6756875794623171E-3</v>
      </c>
      <c r="BY185" s="60">
        <f t="shared" si="1339"/>
        <v>6.4335090915904969E-4</v>
      </c>
      <c r="BZ185" s="60">
        <f t="shared" si="1340"/>
        <v>1.3584980904561992E-4</v>
      </c>
      <c r="CA185" s="60">
        <f t="shared" si="1341"/>
        <v>1.8645914205277054E-3</v>
      </c>
      <c r="CB185" s="60">
        <f t="shared" si="1342"/>
        <v>9.8543902934646572E-6</v>
      </c>
      <c r="CC185" s="60">
        <f t="shared" si="1343"/>
        <v>1.208570580991344E-3</v>
      </c>
      <c r="CD185" s="60">
        <f t="shared" si="1344"/>
        <v>8.4466202515411342E-4</v>
      </c>
      <c r="CE185" s="60">
        <f t="shared" si="1345"/>
        <v>8.4466202515411342E-6</v>
      </c>
      <c r="CF185" s="13">
        <f t="shared" si="1346"/>
        <v>2.3861702210603705E-4</v>
      </c>
    </row>
    <row r="186" spans="1:85" hidden="1" x14ac:dyDescent="0.25">
      <c r="C186" s="4"/>
    </row>
    <row r="187" spans="1:85" hidden="1" x14ac:dyDescent="0.25">
      <c r="C187" s="4"/>
    </row>
    <row r="188" spans="1:85" hidden="1" x14ac:dyDescent="0.25">
      <c r="A188" s="4" t="s">
        <v>23</v>
      </c>
      <c r="B188" s="61">
        <v>1996</v>
      </c>
    </row>
    <row r="189" spans="1:85" hidden="1" x14ac:dyDescent="0.25"/>
    <row r="190" spans="1:85" s="21" customFormat="1" ht="23.25" hidden="1" customHeight="1" x14ac:dyDescent="0.25">
      <c r="A190" s="62" t="s">
        <v>46</v>
      </c>
      <c r="B190" s="62"/>
      <c r="C190" s="4" t="s">
        <v>35</v>
      </c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2"/>
    </row>
    <row r="191" spans="1:85" s="37" customFormat="1" ht="33" hidden="1" customHeight="1" x14ac:dyDescent="0.25">
      <c r="A191" s="63" t="s">
        <v>22</v>
      </c>
      <c r="B191" s="64" t="s">
        <v>24</v>
      </c>
      <c r="C191" s="64">
        <v>1</v>
      </c>
      <c r="D191" s="64">
        <v>10</v>
      </c>
      <c r="E191" s="64">
        <v>11</v>
      </c>
      <c r="F191" s="64">
        <v>12</v>
      </c>
      <c r="G191" s="64">
        <v>13</v>
      </c>
      <c r="H191" s="64">
        <v>2</v>
      </c>
      <c r="I191" s="64">
        <v>3</v>
      </c>
      <c r="J191" s="64">
        <v>4</v>
      </c>
      <c r="K191" s="64">
        <v>5</v>
      </c>
      <c r="L191" s="64">
        <v>6</v>
      </c>
      <c r="M191" s="64">
        <v>7</v>
      </c>
      <c r="N191" s="64">
        <v>8</v>
      </c>
      <c r="O191" s="64">
        <v>9</v>
      </c>
      <c r="P191" s="64">
        <v>14</v>
      </c>
      <c r="Q191" s="64">
        <v>15</v>
      </c>
      <c r="R191" s="64"/>
      <c r="S191" s="65" t="s">
        <v>23</v>
      </c>
      <c r="T191" s="65" t="s">
        <v>22</v>
      </c>
      <c r="U191" s="65" t="s">
        <v>181</v>
      </c>
      <c r="V191" s="66" t="str">
        <f>+CONCATENATE("dx","(",C191,")")</f>
        <v>dx(1)</v>
      </c>
      <c r="W191" s="66" t="str">
        <f t="shared" ref="W191" si="1349">+CONCATENATE("dx","(",D191,")")</f>
        <v>dx(10)</v>
      </c>
      <c r="X191" s="66" t="str">
        <f t="shared" ref="X191" si="1350">+CONCATENATE("dx","(",E191,")")</f>
        <v>dx(11)</v>
      </c>
      <c r="Y191" s="66" t="str">
        <f t="shared" ref="Y191" si="1351">+CONCATENATE("dx","(",F191,")")</f>
        <v>dx(12)</v>
      </c>
      <c r="Z191" s="66" t="str">
        <f t="shared" ref="Z191" si="1352">+CONCATENATE("dx","(",G191,")")</f>
        <v>dx(13)</v>
      </c>
      <c r="AA191" s="66" t="str">
        <f t="shared" ref="AA191" si="1353">+CONCATENATE("dx","(",H191,")")</f>
        <v>dx(2)</v>
      </c>
      <c r="AB191" s="66" t="str">
        <f t="shared" ref="AB191" si="1354">+CONCATENATE("dx","(",I191,")")</f>
        <v>dx(3)</v>
      </c>
      <c r="AC191" s="66" t="str">
        <f t="shared" ref="AC191" si="1355">+CONCATENATE("dx","(",J191,")")</f>
        <v>dx(4)</v>
      </c>
      <c r="AD191" s="66" t="str">
        <f t="shared" ref="AD191" si="1356">+CONCATENATE("dx","(",K191,")")</f>
        <v>dx(5)</v>
      </c>
      <c r="AE191" s="66" t="str">
        <f t="shared" ref="AE191" si="1357">+CONCATENATE("dx","(",L191,")")</f>
        <v>dx(6)</v>
      </c>
      <c r="AF191" s="66" t="str">
        <f t="shared" ref="AF191" si="1358">+CONCATENATE("dx","(",M191,")")</f>
        <v>dx(7)</v>
      </c>
      <c r="AG191" s="66" t="str">
        <f t="shared" ref="AG191" si="1359">+CONCATENATE("dx","(",N191,")")</f>
        <v>dx(8)</v>
      </c>
      <c r="AH191" s="66" t="str">
        <f t="shared" ref="AH191" si="1360">+CONCATENATE("dx","(",O191,")")</f>
        <v>dx(9)</v>
      </c>
      <c r="AI191" s="66" t="str">
        <f t="shared" ref="AI191" si="1361">+CONCATENATE("dx","(",P191,")")</f>
        <v>dx(14)</v>
      </c>
      <c r="AJ191" s="66" t="str">
        <f t="shared" ref="AJ191" si="1362">+CONCATENATE("dx","(",Q191,")")</f>
        <v>dx(15)</v>
      </c>
      <c r="AK191" s="66" t="s">
        <v>182</v>
      </c>
      <c r="AL191" s="66" t="str">
        <f t="shared" ref="AL191:AZ191" si="1363">+CONCATENATE("qx","(",C191,")")</f>
        <v>qx(1)</v>
      </c>
      <c r="AM191" s="66" t="str">
        <f t="shared" si="1363"/>
        <v>qx(10)</v>
      </c>
      <c r="AN191" s="66" t="str">
        <f t="shared" si="1363"/>
        <v>qx(11)</v>
      </c>
      <c r="AO191" s="66" t="str">
        <f t="shared" si="1363"/>
        <v>qx(12)</v>
      </c>
      <c r="AP191" s="66" t="str">
        <f t="shared" si="1363"/>
        <v>qx(13)</v>
      </c>
      <c r="AQ191" s="66" t="str">
        <f t="shared" si="1363"/>
        <v>qx(2)</v>
      </c>
      <c r="AR191" s="66" t="str">
        <f t="shared" si="1363"/>
        <v>qx(3)</v>
      </c>
      <c r="AS191" s="66" t="str">
        <f t="shared" si="1363"/>
        <v>qx(4)</v>
      </c>
      <c r="AT191" s="66" t="str">
        <f t="shared" si="1363"/>
        <v>qx(5)</v>
      </c>
      <c r="AU191" s="66" t="str">
        <f t="shared" si="1363"/>
        <v>qx(6)</v>
      </c>
      <c r="AV191" s="66" t="str">
        <f t="shared" si="1363"/>
        <v>qx(7)</v>
      </c>
      <c r="AW191" s="66" t="str">
        <f t="shared" si="1363"/>
        <v>qx(8)</v>
      </c>
      <c r="AX191" s="66" t="str">
        <f t="shared" si="1363"/>
        <v>qx(9)</v>
      </c>
      <c r="AY191" s="66" t="str">
        <f t="shared" si="1363"/>
        <v>qx(14)</v>
      </c>
      <c r="AZ191" s="66" t="str">
        <f t="shared" si="1363"/>
        <v>qx(15)</v>
      </c>
      <c r="BA191" s="66" t="str">
        <f>+CONCATENATE("qx","(T)")</f>
        <v>qx(T)</v>
      </c>
      <c r="BB191" s="65" t="s">
        <v>184</v>
      </c>
      <c r="BC191" s="66" t="str">
        <f t="shared" ref="BC191:BQ191" si="1364">+CONCATENATE("mx","(",C191,")")</f>
        <v>mx(1)</v>
      </c>
      <c r="BD191" s="66" t="str">
        <f t="shared" si="1364"/>
        <v>mx(10)</v>
      </c>
      <c r="BE191" s="66" t="str">
        <f t="shared" si="1364"/>
        <v>mx(11)</v>
      </c>
      <c r="BF191" s="66" t="str">
        <f t="shared" si="1364"/>
        <v>mx(12)</v>
      </c>
      <c r="BG191" s="66" t="str">
        <f t="shared" si="1364"/>
        <v>mx(13)</v>
      </c>
      <c r="BH191" s="66" t="str">
        <f t="shared" si="1364"/>
        <v>mx(2)</v>
      </c>
      <c r="BI191" s="66" t="str">
        <f t="shared" si="1364"/>
        <v>mx(3)</v>
      </c>
      <c r="BJ191" s="66" t="str">
        <f t="shared" si="1364"/>
        <v>mx(4)</v>
      </c>
      <c r="BK191" s="66" t="str">
        <f t="shared" si="1364"/>
        <v>mx(5)</v>
      </c>
      <c r="BL191" s="66" t="str">
        <f t="shared" si="1364"/>
        <v>mx(6)</v>
      </c>
      <c r="BM191" s="66" t="str">
        <f t="shared" si="1364"/>
        <v>mx(7)</v>
      </c>
      <c r="BN191" s="66" t="str">
        <f t="shared" si="1364"/>
        <v>mx(8)</v>
      </c>
      <c r="BO191" s="66" t="str">
        <f t="shared" si="1364"/>
        <v>mx(9)</v>
      </c>
      <c r="BP191" s="66" t="str">
        <f t="shared" si="1364"/>
        <v>mx(14)</v>
      </c>
      <c r="BQ191" s="66" t="str">
        <f t="shared" si="1364"/>
        <v>mx(15)</v>
      </c>
      <c r="BR191" s="66" t="str">
        <f>+CONCATENATE("µ(X)",C191)</f>
        <v>µ(X)1</v>
      </c>
      <c r="BS191" s="66" t="str">
        <f t="shared" ref="BS191" si="1365">+CONCATENATE("µ(X)",D191)</f>
        <v>µ(X)10</v>
      </c>
      <c r="BT191" s="66" t="str">
        <f t="shared" ref="BT191" si="1366">+CONCATENATE("µ(X)",E191)</f>
        <v>µ(X)11</v>
      </c>
      <c r="BU191" s="66" t="str">
        <f t="shared" ref="BU191" si="1367">+CONCATENATE("µ(X)",F191)</f>
        <v>µ(X)12</v>
      </c>
      <c r="BV191" s="66" t="str">
        <f t="shared" ref="BV191" si="1368">+CONCATENATE("µ(X)",G191)</f>
        <v>µ(X)13</v>
      </c>
      <c r="BW191" s="66" t="str">
        <f t="shared" ref="BW191" si="1369">+CONCATENATE("µ(X)",H191)</f>
        <v>µ(X)2</v>
      </c>
      <c r="BX191" s="66" t="str">
        <f t="shared" ref="BX191" si="1370">+CONCATENATE("µ(X)",I191)</f>
        <v>µ(X)3</v>
      </c>
      <c r="BY191" s="66" t="str">
        <f t="shared" ref="BY191" si="1371">+CONCATENATE("µ(X)",J191)</f>
        <v>µ(X)4</v>
      </c>
      <c r="BZ191" s="66" t="str">
        <f t="shared" ref="BZ191" si="1372">+CONCATENATE("µ(X)",K191)</f>
        <v>µ(X)5</v>
      </c>
      <c r="CA191" s="66" t="str">
        <f t="shared" ref="CA191" si="1373">+CONCATENATE("µ(X)",L191)</f>
        <v>µ(X)6</v>
      </c>
      <c r="CB191" s="66" t="str">
        <f t="shared" ref="CB191" si="1374">+CONCATENATE("µ(X)",M191)</f>
        <v>µ(X)7</v>
      </c>
      <c r="CC191" s="66" t="str">
        <f t="shared" ref="CC191" si="1375">+CONCATENATE("µ(X)",N191)</f>
        <v>µ(X)8</v>
      </c>
      <c r="CD191" s="66" t="str">
        <f t="shared" ref="CD191" si="1376">+CONCATENATE("µ(X)",O191)</f>
        <v>µ(X)9</v>
      </c>
      <c r="CE191" s="66" t="str">
        <f t="shared" ref="CE191" si="1377">+CONCATENATE("µ(X)",P191)</f>
        <v>µ(X)14</v>
      </c>
      <c r="CF191" s="42" t="str">
        <f t="shared" ref="CF191" si="1378">+CONCATENATE("µ(X)",Q191)</f>
        <v>µ(X)15</v>
      </c>
      <c r="CG191" s="36"/>
    </row>
    <row r="192" spans="1:85" hidden="1" x14ac:dyDescent="0.25">
      <c r="A192" s="4" t="s">
        <v>6</v>
      </c>
      <c r="B192" s="56">
        <v>2669011.0638103201</v>
      </c>
      <c r="C192" s="57">
        <v>82</v>
      </c>
      <c r="D192" s="57">
        <v>35</v>
      </c>
      <c r="E192" s="57">
        <v>1552</v>
      </c>
      <c r="F192" s="57">
        <v>2468</v>
      </c>
      <c r="G192" s="57">
        <v>37</v>
      </c>
      <c r="H192" s="57">
        <v>159</v>
      </c>
      <c r="I192" s="57">
        <v>14</v>
      </c>
      <c r="J192" s="57">
        <v>786</v>
      </c>
      <c r="K192" s="57">
        <v>32</v>
      </c>
      <c r="L192" s="57">
        <v>12</v>
      </c>
      <c r="M192" s="57">
        <v>5626</v>
      </c>
      <c r="N192" s="57">
        <v>114</v>
      </c>
      <c r="O192" s="57">
        <v>877</v>
      </c>
      <c r="P192" s="57">
        <v>21</v>
      </c>
      <c r="Q192" s="57">
        <v>29</v>
      </c>
      <c r="S192" s="4">
        <f>+$B$149</f>
        <v>1996</v>
      </c>
      <c r="T192" s="4" t="str">
        <f>+A192</f>
        <v>0-4</v>
      </c>
      <c r="U192" s="56">
        <f>+B192</f>
        <v>2669011.0638103201</v>
      </c>
      <c r="V192" s="4">
        <f>+C192</f>
        <v>82</v>
      </c>
      <c r="W192" s="4">
        <f t="shared" ref="W192:W198" si="1379">+D192</f>
        <v>35</v>
      </c>
      <c r="X192" s="4">
        <f t="shared" ref="X192:X198" si="1380">+E192</f>
        <v>1552</v>
      </c>
      <c r="Y192" s="4">
        <f t="shared" ref="Y192:Y198" si="1381">+F192</f>
        <v>2468</v>
      </c>
      <c r="Z192" s="4">
        <f t="shared" ref="Z192:Z198" si="1382">+G192</f>
        <v>37</v>
      </c>
      <c r="AA192" s="4">
        <f t="shared" ref="AA192:AA198" si="1383">+H192</f>
        <v>159</v>
      </c>
      <c r="AB192" s="4">
        <f t="shared" ref="AB192:AB198" si="1384">+I192</f>
        <v>14</v>
      </c>
      <c r="AC192" s="4">
        <f t="shared" ref="AC192:AC198" si="1385">+J192</f>
        <v>786</v>
      </c>
      <c r="AD192" s="4">
        <f t="shared" ref="AD192:AD198" si="1386">+K192</f>
        <v>32</v>
      </c>
      <c r="AE192" s="4">
        <f t="shared" ref="AE192:AE198" si="1387">+L192</f>
        <v>12</v>
      </c>
      <c r="AF192" s="4">
        <f t="shared" ref="AF192:AF198" si="1388">+M192</f>
        <v>5626</v>
      </c>
      <c r="AG192" s="4">
        <f t="shared" ref="AG192:AG198" si="1389">+N192</f>
        <v>114</v>
      </c>
      <c r="AH192" s="4">
        <f t="shared" ref="AH192:AH198" si="1390">+O192</f>
        <v>877</v>
      </c>
      <c r="AI192" s="4">
        <f t="shared" ref="AI192:AI198" si="1391">+P192</f>
        <v>21</v>
      </c>
      <c r="AJ192" s="4">
        <f t="shared" ref="AJ192:AJ198" si="1392">+Q192</f>
        <v>29</v>
      </c>
      <c r="AK192" s="4">
        <f>+SUM(V192:AJ192)</f>
        <v>11844</v>
      </c>
      <c r="AL192" s="58">
        <f>+V192/$U192</f>
        <v>3.072298991632338E-5</v>
      </c>
      <c r="AM192" s="58">
        <f t="shared" ref="AM192:AM198" si="1393">+W192/$U192</f>
        <v>1.3113471305747784E-5</v>
      </c>
      <c r="AN192" s="58">
        <f t="shared" ref="AN192:AN198" si="1394">+X192/$U192</f>
        <v>5.8148878475773028E-4</v>
      </c>
      <c r="AO192" s="58">
        <f t="shared" ref="AO192:AO198" si="1395">+Y192/$U192</f>
        <v>9.2468706235958656E-4</v>
      </c>
      <c r="AP192" s="58">
        <f t="shared" ref="AP192:AP198" si="1396">+Z192/$U192</f>
        <v>1.3862812523219085E-5</v>
      </c>
      <c r="AQ192" s="58">
        <f t="shared" ref="AQ192:AQ198" si="1397">+AA192/$U192</f>
        <v>5.9572626788968504E-5</v>
      </c>
      <c r="AR192" s="58">
        <f t="shared" ref="AR192:AR198" si="1398">+AB192/$U192</f>
        <v>5.2453885222991139E-6</v>
      </c>
      <c r="AS192" s="58">
        <f t="shared" ref="AS192:AS198" si="1399">+AC192/$U192</f>
        <v>2.9449109846622164E-4</v>
      </c>
      <c r="AT192" s="58">
        <f t="shared" ref="AT192:AT198" si="1400">+AD192/$U192</f>
        <v>1.1989459479540831E-5</v>
      </c>
      <c r="AU192" s="58">
        <f t="shared" ref="AU192:AU198" si="1401">+AE192/$U192</f>
        <v>4.4960473048278115E-6</v>
      </c>
      <c r="AV192" s="58">
        <f t="shared" ref="AV192:AV198" si="1402">+AF192/$U192</f>
        <v>2.1078968447467723E-3</v>
      </c>
      <c r="AW192" s="58">
        <f t="shared" ref="AW192:AW198" si="1403">+AG192/$U192</f>
        <v>4.2712449395864211E-5</v>
      </c>
      <c r="AX192" s="58">
        <f t="shared" ref="AX192:AX198" si="1404">+AH192/$U192</f>
        <v>3.2858612386116591E-4</v>
      </c>
      <c r="AY192" s="58">
        <f t="shared" ref="AY192:AY198" si="1405">+AI192/$U192</f>
        <v>7.86808278344867E-6</v>
      </c>
      <c r="AZ192" s="58">
        <f t="shared" ref="AZ192:AZ198" si="1406">+AJ192/$U192</f>
        <v>1.0865447653333878E-5</v>
      </c>
      <c r="BA192" s="58">
        <f>+AK192/U192</f>
        <v>4.4375986898650497E-3</v>
      </c>
      <c r="BB192" s="4">
        <f>+U192-(0.5*AK192)</f>
        <v>2663089.0638103201</v>
      </c>
      <c r="BC192" s="59">
        <f t="shared" ref="BC192:BC198" si="1407">+AL192/(1-(0.5*$BA192))</f>
        <v>3.0791309654013318E-5</v>
      </c>
      <c r="BD192" s="59">
        <f>+AM192/(1-(0.5*$BA192))</f>
        <v>1.3142632169395928E-5</v>
      </c>
      <c r="BE192" s="59">
        <f t="shared" ref="BE192:BE198" si="1408">+AN192/(1-(0.5*$BA192))</f>
        <v>5.8278186076864233E-4</v>
      </c>
      <c r="BF192" s="59">
        <f t="shared" ref="BF192:BF198" si="1409">+AO192/(1-(0.5*$BA192))</f>
        <v>9.2674331983054719E-4</v>
      </c>
      <c r="BG192" s="59">
        <f t="shared" ref="BG192:BG198" si="1410">+AP192/(1-(0.5*$BA192))</f>
        <v>1.3893639721932839E-5</v>
      </c>
      <c r="BH192" s="59">
        <f t="shared" ref="BH192:BH198" si="1411">+AQ192/(1-(0.5*$BA192))</f>
        <v>5.9705100426684362E-5</v>
      </c>
      <c r="BI192" s="59">
        <f t="shared" ref="BI192:BI198" si="1412">+AR192/(1-(0.5*$BA192))</f>
        <v>5.2570528677583717E-6</v>
      </c>
      <c r="BJ192" s="59">
        <f t="shared" ref="BJ192:BJ198" si="1413">+AS192/(1-(0.5*$BA192))</f>
        <v>2.9514596814700567E-4</v>
      </c>
      <c r="BK192" s="59">
        <f t="shared" ref="BK192:BK198" si="1414">+AT192/(1-(0.5*$BA192))</f>
        <v>1.2016120840590563E-5</v>
      </c>
      <c r="BL192" s="59">
        <f t="shared" ref="BL192:BL198" si="1415">+AU192/(1-(0.5*$BA192))</f>
        <v>4.5060453152214609E-6</v>
      </c>
      <c r="BM192" s="59">
        <f t="shared" ref="BM192:BM198" si="1416">+AV192/(1-(0.5*$BA192))</f>
        <v>2.1125842452863284E-3</v>
      </c>
      <c r="BN192" s="59">
        <f t="shared" ref="BN192:BN198" si="1417">+AW192/(1-(0.5*$BA192))</f>
        <v>4.2807430494603885E-5</v>
      </c>
      <c r="BO192" s="59">
        <f t="shared" ref="BO192" si="1418">+AX192/(1-(0.5*$BA192))</f>
        <v>3.2931681178743514E-4</v>
      </c>
      <c r="BP192" s="59">
        <f t="shared" ref="BP192:BP198" si="1419">+AY192/(1-(0.5*$BA192))</f>
        <v>7.8855793016375572E-6</v>
      </c>
      <c r="BQ192" s="59">
        <f t="shared" ref="BQ192:BQ198" si="1420">+AZ192/(1-(0.5*$BA192))</f>
        <v>1.0889609511785197E-5</v>
      </c>
      <c r="BR192" s="60">
        <f>+V192/(2*$U192)</f>
        <v>1.536149495816169E-5</v>
      </c>
      <c r="BS192" s="60">
        <f t="shared" ref="BS192" si="1421">+W192/(2*$U192)</f>
        <v>6.5567356528738919E-6</v>
      </c>
      <c r="BT192" s="60">
        <f t="shared" ref="BT192" si="1422">+X192/(2*$U192)</f>
        <v>2.9074439237886514E-4</v>
      </c>
      <c r="BU192" s="60">
        <f t="shared" ref="BU192" si="1423">+Y192/(2*$U192)</f>
        <v>4.6234353117979328E-4</v>
      </c>
      <c r="BV192" s="60">
        <f t="shared" ref="BV192" si="1424">+Z192/(2*$U192)</f>
        <v>6.9314062616095427E-6</v>
      </c>
      <c r="BW192" s="60">
        <f t="shared" ref="BW192" si="1425">+AA192/(2*$U192)</f>
        <v>2.9786313394484252E-5</v>
      </c>
      <c r="BX192" s="60">
        <f t="shared" ref="BX192" si="1426">+AB192/(2*$U192)</f>
        <v>2.6226942611495569E-6</v>
      </c>
      <c r="BY192" s="60">
        <f t="shared" ref="BY192" si="1427">+AC192/(2*$U192)</f>
        <v>1.4724554923311082E-4</v>
      </c>
      <c r="BZ192" s="60">
        <f t="shared" ref="BZ192" si="1428">+AD192/(2*$U192)</f>
        <v>5.9947297397704154E-6</v>
      </c>
      <c r="CA192" s="60">
        <f t="shared" ref="CA192" si="1429">+AE192/(2*$U192)</f>
        <v>2.2480236524139058E-6</v>
      </c>
      <c r="CB192" s="60">
        <f t="shared" ref="CB192" si="1430">+AF192/(2*$U192)</f>
        <v>1.0539484223733861E-3</v>
      </c>
      <c r="CC192" s="60">
        <f t="shared" ref="CC192" si="1431">+AG192/(2*$U192)</f>
        <v>2.1356224697932105E-5</v>
      </c>
      <c r="CD192" s="60">
        <f t="shared" ref="CD192" si="1432">+AH192/(2*$U192)</f>
        <v>1.6429306193058296E-4</v>
      </c>
      <c r="CE192" s="60">
        <f t="shared" ref="CE192" si="1433">+AI192/(2*$U192)</f>
        <v>3.934041391724335E-6</v>
      </c>
      <c r="CF192" s="13">
        <f t="shared" ref="CF192" si="1434">+AJ192/(2*$U192)</f>
        <v>5.4327238266669388E-6</v>
      </c>
    </row>
    <row r="193" spans="1:85" hidden="1" x14ac:dyDescent="0.25">
      <c r="A193" s="4" t="s">
        <v>5</v>
      </c>
      <c r="B193" s="56">
        <v>5336689.2615659405</v>
      </c>
      <c r="C193" s="57">
        <v>50</v>
      </c>
      <c r="D193" s="57">
        <v>18</v>
      </c>
      <c r="E193" s="57">
        <v>121</v>
      </c>
      <c r="F193" s="57">
        <v>79</v>
      </c>
      <c r="G193" s="57">
        <v>18</v>
      </c>
      <c r="H193" s="57">
        <v>266</v>
      </c>
      <c r="I193" s="57">
        <v>18</v>
      </c>
      <c r="J193" s="57">
        <v>659</v>
      </c>
      <c r="K193" s="57">
        <v>105</v>
      </c>
      <c r="L193" s="57">
        <v>16</v>
      </c>
      <c r="M193" s="57">
        <v>2</v>
      </c>
      <c r="N193" s="57">
        <v>15</v>
      </c>
      <c r="O193" s="57">
        <v>82</v>
      </c>
      <c r="P193" s="57">
        <v>2</v>
      </c>
      <c r="Q193" s="57">
        <v>34</v>
      </c>
      <c r="S193" s="4">
        <f t="shared" ref="S193:S198" si="1435">+$B$149</f>
        <v>1996</v>
      </c>
      <c r="T193" s="4" t="str">
        <f t="shared" ref="T193:T198" si="1436">+A193</f>
        <v>5-14</v>
      </c>
      <c r="U193" s="56">
        <f t="shared" ref="U193:U198" si="1437">+B193</f>
        <v>5336689.2615659405</v>
      </c>
      <c r="V193" s="4">
        <f t="shared" ref="V193:V198" si="1438">+C193</f>
        <v>50</v>
      </c>
      <c r="W193" s="4">
        <f t="shared" si="1379"/>
        <v>18</v>
      </c>
      <c r="X193" s="4">
        <f t="shared" si="1380"/>
        <v>121</v>
      </c>
      <c r="Y193" s="4">
        <f t="shared" si="1381"/>
        <v>79</v>
      </c>
      <c r="Z193" s="4">
        <f t="shared" si="1382"/>
        <v>18</v>
      </c>
      <c r="AA193" s="4">
        <f t="shared" si="1383"/>
        <v>266</v>
      </c>
      <c r="AB193" s="4">
        <f t="shared" si="1384"/>
        <v>18</v>
      </c>
      <c r="AC193" s="4">
        <f t="shared" si="1385"/>
        <v>659</v>
      </c>
      <c r="AD193" s="4">
        <f t="shared" si="1386"/>
        <v>105</v>
      </c>
      <c r="AE193" s="4">
        <f t="shared" si="1387"/>
        <v>16</v>
      </c>
      <c r="AF193" s="4">
        <f t="shared" si="1388"/>
        <v>2</v>
      </c>
      <c r="AG193" s="4">
        <f t="shared" si="1389"/>
        <v>15</v>
      </c>
      <c r="AH193" s="4">
        <f t="shared" si="1390"/>
        <v>82</v>
      </c>
      <c r="AI193" s="4">
        <f t="shared" si="1391"/>
        <v>2</v>
      </c>
      <c r="AJ193" s="4">
        <f t="shared" si="1392"/>
        <v>34</v>
      </c>
      <c r="AK193" s="4">
        <f t="shared" ref="AK193:AK198" si="1439">+SUM(V193:AJ193)</f>
        <v>1485</v>
      </c>
      <c r="AL193" s="58">
        <f t="shared" ref="AL193:AL198" si="1440">+V193/$U193</f>
        <v>9.3691046169940461E-6</v>
      </c>
      <c r="AM193" s="58">
        <f t="shared" si="1393"/>
        <v>3.3728776621178566E-6</v>
      </c>
      <c r="AN193" s="58">
        <f t="shared" si="1394"/>
        <v>2.2673233173125591E-5</v>
      </c>
      <c r="AO193" s="58">
        <f t="shared" si="1395"/>
        <v>1.4803185294850593E-5</v>
      </c>
      <c r="AP193" s="58">
        <f t="shared" si="1396"/>
        <v>3.3728776621178566E-6</v>
      </c>
      <c r="AQ193" s="58">
        <f t="shared" si="1397"/>
        <v>4.9843636562408325E-5</v>
      </c>
      <c r="AR193" s="58">
        <f t="shared" si="1398"/>
        <v>3.3728776621178566E-6</v>
      </c>
      <c r="AS193" s="58">
        <f t="shared" si="1399"/>
        <v>1.2348479885198154E-4</v>
      </c>
      <c r="AT193" s="58">
        <f t="shared" si="1400"/>
        <v>1.9675119695687498E-5</v>
      </c>
      <c r="AU193" s="58">
        <f t="shared" si="1401"/>
        <v>2.998113477438095E-6</v>
      </c>
      <c r="AV193" s="58">
        <f t="shared" si="1402"/>
        <v>3.7476418467976187E-7</v>
      </c>
      <c r="AW193" s="58">
        <f t="shared" si="1403"/>
        <v>2.8107313850982138E-6</v>
      </c>
      <c r="AX193" s="58">
        <f t="shared" si="1404"/>
        <v>1.5365331571870237E-5</v>
      </c>
      <c r="AY193" s="58">
        <f t="shared" si="1405"/>
        <v>3.7476418467976187E-7</v>
      </c>
      <c r="AZ193" s="58">
        <f t="shared" si="1406"/>
        <v>6.3709911395559516E-6</v>
      </c>
      <c r="BA193" s="58">
        <f t="shared" ref="BA193:BA198" si="1441">+AK193/U193</f>
        <v>2.7826240712472319E-4</v>
      </c>
      <c r="BB193" s="4">
        <f t="shared" ref="BB193:BB198" si="1442">+U193-(0.5*AK193)</f>
        <v>5335946.7615659405</v>
      </c>
      <c r="BC193" s="59">
        <f t="shared" si="1407"/>
        <v>9.3704083331833129E-6</v>
      </c>
      <c r="BD193" s="59">
        <f t="shared" ref="BD193:BD198" si="1443">+AM193/(1-(0.5*$BA193))</f>
        <v>3.3733469999459925E-6</v>
      </c>
      <c r="BE193" s="59">
        <f t="shared" si="1408"/>
        <v>2.2676388166303615E-5</v>
      </c>
      <c r="BF193" s="59">
        <f t="shared" si="1409"/>
        <v>1.4805245166429634E-5</v>
      </c>
      <c r="BG193" s="59">
        <f t="shared" si="1410"/>
        <v>3.3733469999459925E-6</v>
      </c>
      <c r="BH193" s="59">
        <f t="shared" si="1411"/>
        <v>4.9850572332535225E-5</v>
      </c>
      <c r="BI193" s="59">
        <f t="shared" si="1412"/>
        <v>3.3733469999459925E-6</v>
      </c>
      <c r="BJ193" s="59">
        <f t="shared" si="1413"/>
        <v>1.2350198183135608E-4</v>
      </c>
      <c r="BK193" s="59">
        <f t="shared" si="1414"/>
        <v>1.9677857499684958E-5</v>
      </c>
      <c r="BL193" s="59">
        <f t="shared" si="1415"/>
        <v>2.9985306666186604E-6</v>
      </c>
      <c r="BM193" s="59">
        <f t="shared" si="1416"/>
        <v>3.7481633332733255E-7</v>
      </c>
      <c r="BN193" s="59">
        <f t="shared" si="1417"/>
        <v>2.8111224999549937E-6</v>
      </c>
      <c r="BO193" s="59">
        <f>+AX193/(1-(0.5*$BA193))</f>
        <v>1.5367469666420634E-5</v>
      </c>
      <c r="BP193" s="59">
        <f t="shared" si="1419"/>
        <v>3.7481633332733255E-7</v>
      </c>
      <c r="BQ193" s="59">
        <f t="shared" si="1420"/>
        <v>6.3718776665646525E-6</v>
      </c>
      <c r="BR193" s="60">
        <f>+(V192+V193)/(2*$U193)</f>
        <v>1.2367218094432141E-5</v>
      </c>
      <c r="BS193" s="60">
        <f t="shared" ref="BS193:BS198" si="1444">+(W192+W193)/(2*$U193)</f>
        <v>4.9656254470068449E-6</v>
      </c>
      <c r="BT193" s="60">
        <f t="shared" ref="BT193:BT198" si="1445">+(X192+X193)/(2*$U193)</f>
        <v>1.567451202423104E-4</v>
      </c>
      <c r="BU193" s="60">
        <f t="shared" ref="BU193:BU198" si="1446">+(Y192+Y193)/(2*$U193)</f>
        <v>2.3863109459483836E-4</v>
      </c>
      <c r="BV193" s="60">
        <f t="shared" ref="BV193:BV198" si="1447">+(Z192+Z193)/(2*$U193)</f>
        <v>5.1530075393467253E-6</v>
      </c>
      <c r="BW193" s="60">
        <f t="shared" ref="BW193:BW198" si="1448">+(AA192+AA193)/(2*$U193)</f>
        <v>3.98186946222247E-5</v>
      </c>
      <c r="BX193" s="60">
        <f t="shared" ref="BX193:BX198" si="1449">+(AB192+AB193)/(2*$U193)</f>
        <v>2.998113477438095E-6</v>
      </c>
      <c r="BY193" s="60">
        <f t="shared" ref="BY193:BY198" si="1450">+(AC192+AC193)/(2*$U193)</f>
        <v>1.3538356171556397E-4</v>
      </c>
      <c r="BZ193" s="60">
        <f t="shared" ref="BZ193:BZ198" si="1451">+(AD192+AD193)/(2*$U193)</f>
        <v>1.2835673325281844E-5</v>
      </c>
      <c r="CA193" s="60">
        <f t="shared" ref="CA193:CA198" si="1452">+(AE192+AE193)/(2*$U193)</f>
        <v>2.6233492927583329E-6</v>
      </c>
      <c r="CB193" s="60">
        <f t="shared" ref="CB193:CB198" si="1453">+(AF192+AF193)/(2*$U193)</f>
        <v>5.2729320784442491E-4</v>
      </c>
      <c r="CC193" s="60">
        <f t="shared" ref="CC193:CC198" si="1454">+(AG192+AG193)/(2*$U193)</f>
        <v>1.2086144955922319E-5</v>
      </c>
      <c r="CD193" s="60">
        <f t="shared" ref="CD193:CD198" si="1455">+(AH192+AH193)/(2*$U193)</f>
        <v>8.9849713276972899E-5</v>
      </c>
      <c r="CE193" s="60">
        <f t="shared" ref="CE193:CE198" si="1456">+(AI192+AI193)/(2*$U193)</f>
        <v>2.1548940619086307E-6</v>
      </c>
      <c r="CF193" s="13">
        <f t="shared" ref="CF193:CF198" si="1457">+(AJ192+AJ193)/(2*$U193)</f>
        <v>5.9025359087062493E-6</v>
      </c>
    </row>
    <row r="194" spans="1:85" hidden="1" x14ac:dyDescent="0.25">
      <c r="A194" s="4" t="s">
        <v>4</v>
      </c>
      <c r="B194" s="56">
        <v>4328734.7335640304</v>
      </c>
      <c r="C194" s="57">
        <v>101</v>
      </c>
      <c r="D194" s="57">
        <v>34</v>
      </c>
      <c r="E194" s="57">
        <v>66</v>
      </c>
      <c r="F194" s="57">
        <v>36</v>
      </c>
      <c r="G194" s="57">
        <v>71</v>
      </c>
      <c r="H194" s="57">
        <v>301</v>
      </c>
      <c r="I194" s="57">
        <v>64</v>
      </c>
      <c r="J194" s="57">
        <v>1352</v>
      </c>
      <c r="K194" s="57">
        <v>1694</v>
      </c>
      <c r="L194" s="57">
        <v>51</v>
      </c>
      <c r="M194" s="57">
        <v>0</v>
      </c>
      <c r="N194" s="57">
        <v>33</v>
      </c>
      <c r="O194" s="57">
        <v>90</v>
      </c>
      <c r="P194" s="57">
        <v>47</v>
      </c>
      <c r="Q194" s="57">
        <v>27</v>
      </c>
      <c r="S194" s="4">
        <f t="shared" si="1435"/>
        <v>1996</v>
      </c>
      <c r="T194" s="4" t="str">
        <f t="shared" si="1436"/>
        <v>15-24</v>
      </c>
      <c r="U194" s="56">
        <f t="shared" si="1437"/>
        <v>4328734.7335640304</v>
      </c>
      <c r="V194" s="4">
        <f t="shared" si="1438"/>
        <v>101</v>
      </c>
      <c r="W194" s="4">
        <f t="shared" si="1379"/>
        <v>34</v>
      </c>
      <c r="X194" s="4">
        <f t="shared" si="1380"/>
        <v>66</v>
      </c>
      <c r="Y194" s="4">
        <f t="shared" si="1381"/>
        <v>36</v>
      </c>
      <c r="Z194" s="4">
        <f t="shared" si="1382"/>
        <v>71</v>
      </c>
      <c r="AA194" s="4">
        <f t="shared" si="1383"/>
        <v>301</v>
      </c>
      <c r="AB194" s="4">
        <f t="shared" si="1384"/>
        <v>64</v>
      </c>
      <c r="AC194" s="4">
        <f t="shared" si="1385"/>
        <v>1352</v>
      </c>
      <c r="AD194" s="4">
        <f t="shared" si="1386"/>
        <v>1694</v>
      </c>
      <c r="AE194" s="4">
        <f t="shared" si="1387"/>
        <v>51</v>
      </c>
      <c r="AF194" s="4">
        <f t="shared" si="1388"/>
        <v>0</v>
      </c>
      <c r="AG194" s="4">
        <f t="shared" si="1389"/>
        <v>33</v>
      </c>
      <c r="AH194" s="4">
        <f t="shared" si="1390"/>
        <v>90</v>
      </c>
      <c r="AI194" s="4">
        <f t="shared" si="1391"/>
        <v>47</v>
      </c>
      <c r="AJ194" s="4">
        <f t="shared" si="1392"/>
        <v>27</v>
      </c>
      <c r="AK194" s="4">
        <f t="shared" si="1439"/>
        <v>3967</v>
      </c>
      <c r="AL194" s="58">
        <f t="shared" si="1440"/>
        <v>2.3332453064603114E-5</v>
      </c>
      <c r="AM194" s="58">
        <f t="shared" si="1393"/>
        <v>7.8544891504604536E-6</v>
      </c>
      <c r="AN194" s="58">
        <f t="shared" si="1394"/>
        <v>1.5246949527364411E-5</v>
      </c>
      <c r="AO194" s="58">
        <f t="shared" si="1395"/>
        <v>8.3165179240169518E-6</v>
      </c>
      <c r="AP194" s="58">
        <f t="shared" si="1396"/>
        <v>1.6402021461255655E-5</v>
      </c>
      <c r="AQ194" s="58">
        <f t="shared" si="1397"/>
        <v>6.9535330420252836E-5</v>
      </c>
      <c r="AR194" s="58">
        <f t="shared" si="1398"/>
        <v>1.4784920753807913E-5</v>
      </c>
      <c r="AS194" s="58">
        <f t="shared" si="1399"/>
        <v>3.1233145092419214E-4</v>
      </c>
      <c r="AT194" s="58">
        <f t="shared" si="1400"/>
        <v>3.9133837120235322E-4</v>
      </c>
      <c r="AU194" s="58">
        <f t="shared" si="1401"/>
        <v>1.1781733725690681E-5</v>
      </c>
      <c r="AV194" s="58">
        <f t="shared" si="1402"/>
        <v>0</v>
      </c>
      <c r="AW194" s="58">
        <f t="shared" si="1403"/>
        <v>7.6234747636822054E-6</v>
      </c>
      <c r="AX194" s="58">
        <f t="shared" si="1404"/>
        <v>2.0791294810042377E-5</v>
      </c>
      <c r="AY194" s="58">
        <f t="shared" si="1405"/>
        <v>1.0857676178577687E-5</v>
      </c>
      <c r="AZ194" s="58">
        <f t="shared" si="1406"/>
        <v>6.2373884430127134E-6</v>
      </c>
      <c r="BA194" s="58">
        <f t="shared" si="1441"/>
        <v>9.1643407234931235E-4</v>
      </c>
      <c r="BB194" s="4">
        <f t="shared" si="1442"/>
        <v>4326751.2335640304</v>
      </c>
      <c r="BC194" s="59">
        <f t="shared" si="1407"/>
        <v>2.3343149293287266E-5</v>
      </c>
      <c r="BD194" s="59">
        <f t="shared" si="1443"/>
        <v>7.8580898611066048E-6</v>
      </c>
      <c r="BE194" s="59">
        <f t="shared" si="1408"/>
        <v>1.5253939142148115E-5</v>
      </c>
      <c r="BF194" s="59">
        <f t="shared" si="1409"/>
        <v>8.3203304411716991E-6</v>
      </c>
      <c r="BG194" s="59">
        <f t="shared" si="1410"/>
        <v>1.640954059231085E-5</v>
      </c>
      <c r="BH194" s="59">
        <f t="shared" si="1411"/>
        <v>6.9567207299796693E-5</v>
      </c>
      <c r="BI194" s="59">
        <f t="shared" si="1412"/>
        <v>1.4791698562083019E-5</v>
      </c>
      <c r="BJ194" s="59">
        <f t="shared" si="1413"/>
        <v>3.1247463212400378E-4</v>
      </c>
      <c r="BK194" s="59">
        <f t="shared" si="1414"/>
        <v>3.9151777131513494E-4</v>
      </c>
      <c r="BL194" s="59">
        <f t="shared" si="1415"/>
        <v>1.1787134791659907E-5</v>
      </c>
      <c r="BM194" s="59">
        <f t="shared" si="1416"/>
        <v>0</v>
      </c>
      <c r="BN194" s="59">
        <f t="shared" si="1417"/>
        <v>7.6269695710740576E-6</v>
      </c>
      <c r="BO194" s="59">
        <f t="shared" ref="BO194:BO198" si="1458">+AX194/(1-(0.5*$BA194))</f>
        <v>2.0800826102929245E-5</v>
      </c>
      <c r="BP194" s="59">
        <f t="shared" si="1419"/>
        <v>1.0862653631529719E-5</v>
      </c>
      <c r="BQ194" s="59">
        <f t="shared" si="1420"/>
        <v>6.2402478308787739E-6</v>
      </c>
      <c r="BR194" s="60">
        <f t="shared" ref="BR194:BR198" si="1459">+(V193+V194)/(2*$U194)</f>
        <v>1.7441586201757774E-5</v>
      </c>
      <c r="BS194" s="60">
        <f t="shared" si="1444"/>
        <v>6.0063740562344643E-6</v>
      </c>
      <c r="BT194" s="60">
        <f t="shared" si="1445"/>
        <v>2.1599845163766247E-5</v>
      </c>
      <c r="BU194" s="60">
        <f t="shared" si="1446"/>
        <v>1.3283327239749297E-5</v>
      </c>
      <c r="BV194" s="60">
        <f t="shared" si="1447"/>
        <v>1.0280140211632064E-5</v>
      </c>
      <c r="BW194" s="60">
        <f t="shared" si="1448"/>
        <v>6.5492578651633488E-5</v>
      </c>
      <c r="BX194" s="60">
        <f t="shared" si="1449"/>
        <v>9.4715898579081938E-6</v>
      </c>
      <c r="BY194" s="60">
        <f t="shared" si="1450"/>
        <v>2.3228496590552901E-4</v>
      </c>
      <c r="BZ194" s="60">
        <f t="shared" si="1451"/>
        <v>2.0779744090703467E-4</v>
      </c>
      <c r="CA194" s="60">
        <f t="shared" si="1452"/>
        <v>7.7389819570713291E-6</v>
      </c>
      <c r="CB194" s="60">
        <f t="shared" si="1453"/>
        <v>2.3101438677824863E-7</v>
      </c>
      <c r="CC194" s="60">
        <f t="shared" si="1454"/>
        <v>5.544345282677967E-6</v>
      </c>
      <c r="CD194" s="60">
        <f t="shared" si="1455"/>
        <v>1.9867237262929384E-5</v>
      </c>
      <c r="CE194" s="60">
        <f t="shared" si="1456"/>
        <v>5.6598524760670916E-6</v>
      </c>
      <c r="CF194" s="13">
        <f t="shared" si="1457"/>
        <v>7.0459387967365835E-6</v>
      </c>
    </row>
    <row r="195" spans="1:85" hidden="1" x14ac:dyDescent="0.25">
      <c r="A195" s="4" t="s">
        <v>3</v>
      </c>
      <c r="B195" s="56">
        <v>6500086.9398599695</v>
      </c>
      <c r="C195" s="57">
        <v>1265</v>
      </c>
      <c r="D195" s="57">
        <v>267</v>
      </c>
      <c r="E195" s="57">
        <v>94</v>
      </c>
      <c r="F195" s="57">
        <v>65</v>
      </c>
      <c r="G195" s="57">
        <v>232</v>
      </c>
      <c r="H195" s="57">
        <v>1734</v>
      </c>
      <c r="I195" s="57">
        <v>517</v>
      </c>
      <c r="J195" s="57">
        <v>2393</v>
      </c>
      <c r="K195" s="57">
        <v>1811</v>
      </c>
      <c r="L195" s="57">
        <v>272</v>
      </c>
      <c r="M195" s="57">
        <v>1</v>
      </c>
      <c r="N195" s="57">
        <v>99</v>
      </c>
      <c r="O195" s="57">
        <v>191</v>
      </c>
      <c r="P195" s="57">
        <v>719</v>
      </c>
      <c r="Q195" s="57">
        <v>111</v>
      </c>
      <c r="S195" s="4">
        <f t="shared" si="1435"/>
        <v>1996</v>
      </c>
      <c r="T195" s="4" t="str">
        <f t="shared" si="1436"/>
        <v>25-44</v>
      </c>
      <c r="U195" s="56">
        <f t="shared" si="1437"/>
        <v>6500086.9398599695</v>
      </c>
      <c r="V195" s="4">
        <f t="shared" si="1438"/>
        <v>1265</v>
      </c>
      <c r="W195" s="4">
        <f t="shared" si="1379"/>
        <v>267</v>
      </c>
      <c r="X195" s="4">
        <f t="shared" si="1380"/>
        <v>94</v>
      </c>
      <c r="Y195" s="4">
        <f t="shared" si="1381"/>
        <v>65</v>
      </c>
      <c r="Z195" s="4">
        <f t="shared" si="1382"/>
        <v>232</v>
      </c>
      <c r="AA195" s="4">
        <f t="shared" si="1383"/>
        <v>1734</v>
      </c>
      <c r="AB195" s="4">
        <f t="shared" si="1384"/>
        <v>517</v>
      </c>
      <c r="AC195" s="4">
        <f t="shared" si="1385"/>
        <v>2393</v>
      </c>
      <c r="AD195" s="4">
        <f t="shared" si="1386"/>
        <v>1811</v>
      </c>
      <c r="AE195" s="4">
        <f t="shared" si="1387"/>
        <v>272</v>
      </c>
      <c r="AF195" s="4">
        <f t="shared" si="1388"/>
        <v>1</v>
      </c>
      <c r="AG195" s="4">
        <f t="shared" si="1389"/>
        <v>99</v>
      </c>
      <c r="AH195" s="4">
        <f t="shared" si="1390"/>
        <v>191</v>
      </c>
      <c r="AI195" s="4">
        <f t="shared" si="1391"/>
        <v>719</v>
      </c>
      <c r="AJ195" s="4">
        <f t="shared" si="1392"/>
        <v>111</v>
      </c>
      <c r="AK195" s="4">
        <f t="shared" si="1439"/>
        <v>9771</v>
      </c>
      <c r="AL195" s="58">
        <f t="shared" si="1440"/>
        <v>1.9461278159877223E-4</v>
      </c>
      <c r="AM195" s="58">
        <f t="shared" si="1393"/>
        <v>4.107637366551161E-5</v>
      </c>
      <c r="AN195" s="58">
        <f t="shared" si="1394"/>
        <v>1.4461345035798096E-5</v>
      </c>
      <c r="AO195" s="58">
        <f t="shared" si="1395"/>
        <v>9.9998662481582572E-6</v>
      </c>
      <c r="AP195" s="58">
        <f t="shared" si="1396"/>
        <v>3.56918303011187E-5</v>
      </c>
      <c r="AQ195" s="58">
        <f t="shared" si="1397"/>
        <v>2.6676566268163718E-4</v>
      </c>
      <c r="AR195" s="58">
        <f t="shared" si="1398"/>
        <v>7.953739769688952E-5</v>
      </c>
      <c r="AS195" s="58">
        <f t="shared" si="1399"/>
        <v>3.6814892202834939E-4</v>
      </c>
      <c r="AT195" s="58">
        <f t="shared" si="1400"/>
        <v>2.7861165808330162E-4</v>
      </c>
      <c r="AU195" s="58">
        <f t="shared" si="1401"/>
        <v>4.1845594146139165E-5</v>
      </c>
      <c r="AV195" s="58">
        <f t="shared" si="1402"/>
        <v>1.5384409612551164E-7</v>
      </c>
      <c r="AW195" s="58">
        <f t="shared" si="1403"/>
        <v>1.5230565516425653E-5</v>
      </c>
      <c r="AX195" s="58">
        <f t="shared" si="1404"/>
        <v>2.9384222359972725E-5</v>
      </c>
      <c r="AY195" s="58">
        <f t="shared" si="1405"/>
        <v>1.1061390511424288E-4</v>
      </c>
      <c r="AZ195" s="58">
        <f t="shared" si="1406"/>
        <v>1.7076694669931794E-5</v>
      </c>
      <c r="BA195" s="58">
        <f t="shared" si="1441"/>
        <v>1.5032106632423743E-3</v>
      </c>
      <c r="BB195" s="4">
        <f t="shared" si="1442"/>
        <v>6495201.4398599695</v>
      </c>
      <c r="BC195" s="59">
        <f t="shared" si="1407"/>
        <v>1.9475916362453452E-4</v>
      </c>
      <c r="BD195" s="59">
        <f t="shared" si="1443"/>
        <v>4.1107270108893847E-5</v>
      </c>
      <c r="BE195" s="59">
        <f t="shared" si="1408"/>
        <v>1.4472222435340906E-5</v>
      </c>
      <c r="BF195" s="59">
        <f t="shared" si="1409"/>
        <v>1.0007387854225095E-5</v>
      </c>
      <c r="BG195" s="59">
        <f t="shared" si="1410"/>
        <v>3.5718676648926485E-5</v>
      </c>
      <c r="BH195" s="59">
        <f t="shared" si="1411"/>
        <v>2.6696631598809712E-4</v>
      </c>
      <c r="BI195" s="59">
        <f t="shared" si="1412"/>
        <v>7.9597223394374983E-5</v>
      </c>
      <c r="BJ195" s="59">
        <f t="shared" si="1413"/>
        <v>3.6842583284862543E-4</v>
      </c>
      <c r="BK195" s="59">
        <f t="shared" si="1414"/>
        <v>2.7882122160002534E-4</v>
      </c>
      <c r="BL195" s="59">
        <f t="shared" si="1415"/>
        <v>4.187706917460347E-5</v>
      </c>
      <c r="BM195" s="59">
        <f t="shared" si="1416"/>
        <v>1.5395981314192452E-7</v>
      </c>
      <c r="BN195" s="59">
        <f t="shared" si="1417"/>
        <v>1.5242021501050527E-5</v>
      </c>
      <c r="BO195" s="59">
        <f t="shared" si="1458"/>
        <v>2.9406324310107584E-5</v>
      </c>
      <c r="BP195" s="59">
        <f t="shared" si="1419"/>
        <v>1.1069710564904374E-4</v>
      </c>
      <c r="BQ195" s="59">
        <f t="shared" si="1420"/>
        <v>1.7089539258753623E-5</v>
      </c>
      <c r="BR195" s="60">
        <f t="shared" si="1459"/>
        <v>1.0507551765372446E-4</v>
      </c>
      <c r="BS195" s="60">
        <f t="shared" si="1444"/>
        <v>2.3153536466889503E-5</v>
      </c>
      <c r="BT195" s="60">
        <f t="shared" si="1445"/>
        <v>1.2307527690040933E-5</v>
      </c>
      <c r="BU195" s="60">
        <f t="shared" si="1446"/>
        <v>7.7691268543383381E-6</v>
      </c>
      <c r="BV195" s="60">
        <f t="shared" si="1447"/>
        <v>2.3307380563015016E-5</v>
      </c>
      <c r="BW195" s="60">
        <f t="shared" si="1448"/>
        <v>1.565363678077081E-4</v>
      </c>
      <c r="BX195" s="60">
        <f t="shared" si="1449"/>
        <v>4.4691709924461133E-5</v>
      </c>
      <c r="BY195" s="60">
        <f t="shared" si="1450"/>
        <v>2.8807306999502054E-4</v>
      </c>
      <c r="BZ195" s="60">
        <f t="shared" si="1451"/>
        <v>2.6961177845995915E-4</v>
      </c>
      <c r="CA195" s="60">
        <f t="shared" si="1452"/>
        <v>2.4845821524270131E-5</v>
      </c>
      <c r="CB195" s="60">
        <f t="shared" si="1453"/>
        <v>7.6922048062755818E-8</v>
      </c>
      <c r="CC195" s="60">
        <f t="shared" si="1454"/>
        <v>1.0153710344283768E-5</v>
      </c>
      <c r="CD195" s="60">
        <f t="shared" si="1455"/>
        <v>2.1615095505634385E-5</v>
      </c>
      <c r="CE195" s="60">
        <f t="shared" si="1456"/>
        <v>5.8922288816070963E-5</v>
      </c>
      <c r="CF195" s="13">
        <f t="shared" si="1457"/>
        <v>1.0615242632660304E-5</v>
      </c>
    </row>
    <row r="196" spans="1:85" hidden="1" x14ac:dyDescent="0.25">
      <c r="A196" s="4" t="s">
        <v>2</v>
      </c>
      <c r="B196" s="56">
        <v>2862216.4853526298</v>
      </c>
      <c r="C196" s="57">
        <v>5170</v>
      </c>
      <c r="D196" s="57">
        <v>791</v>
      </c>
      <c r="E196" s="57">
        <v>38</v>
      </c>
      <c r="F196" s="57">
        <v>151</v>
      </c>
      <c r="G196" s="57">
        <v>387</v>
      </c>
      <c r="H196" s="57">
        <v>4424</v>
      </c>
      <c r="I196" s="57">
        <v>1783</v>
      </c>
      <c r="J196" s="57">
        <v>1078</v>
      </c>
      <c r="K196" s="57">
        <v>502</v>
      </c>
      <c r="L196" s="57">
        <v>1450</v>
      </c>
      <c r="M196" s="57">
        <v>0</v>
      </c>
      <c r="N196" s="57">
        <v>427</v>
      </c>
      <c r="O196" s="57">
        <v>247</v>
      </c>
      <c r="P196" s="57">
        <v>130</v>
      </c>
      <c r="Q196" s="57">
        <v>206</v>
      </c>
      <c r="S196" s="4">
        <f t="shared" si="1435"/>
        <v>1996</v>
      </c>
      <c r="T196" s="4" t="str">
        <f t="shared" si="1436"/>
        <v>45-64</v>
      </c>
      <c r="U196" s="56">
        <f t="shared" si="1437"/>
        <v>2862216.4853526298</v>
      </c>
      <c r="V196" s="4">
        <f t="shared" si="1438"/>
        <v>5170</v>
      </c>
      <c r="W196" s="4">
        <f t="shared" si="1379"/>
        <v>791</v>
      </c>
      <c r="X196" s="4">
        <f t="shared" si="1380"/>
        <v>38</v>
      </c>
      <c r="Y196" s="4">
        <f t="shared" si="1381"/>
        <v>151</v>
      </c>
      <c r="Z196" s="4">
        <f t="shared" si="1382"/>
        <v>387</v>
      </c>
      <c r="AA196" s="4">
        <f t="shared" si="1383"/>
        <v>4424</v>
      </c>
      <c r="AB196" s="4">
        <f t="shared" si="1384"/>
        <v>1783</v>
      </c>
      <c r="AC196" s="4">
        <f t="shared" si="1385"/>
        <v>1078</v>
      </c>
      <c r="AD196" s="4">
        <f t="shared" si="1386"/>
        <v>502</v>
      </c>
      <c r="AE196" s="4">
        <f t="shared" si="1387"/>
        <v>1450</v>
      </c>
      <c r="AF196" s="4">
        <f t="shared" si="1388"/>
        <v>0</v>
      </c>
      <c r="AG196" s="4">
        <f t="shared" si="1389"/>
        <v>427</v>
      </c>
      <c r="AH196" s="4">
        <f t="shared" si="1390"/>
        <v>247</v>
      </c>
      <c r="AI196" s="4">
        <f t="shared" si="1391"/>
        <v>130</v>
      </c>
      <c r="AJ196" s="4">
        <f t="shared" si="1392"/>
        <v>206</v>
      </c>
      <c r="AK196" s="4">
        <f t="shared" si="1439"/>
        <v>16784</v>
      </c>
      <c r="AL196" s="58">
        <f t="shared" si="1440"/>
        <v>1.8062924403019248E-3</v>
      </c>
      <c r="AM196" s="58">
        <f t="shared" si="1393"/>
        <v>2.7635924957037186E-4</v>
      </c>
      <c r="AN196" s="58">
        <f t="shared" si="1394"/>
        <v>1.3276424126010279E-5</v>
      </c>
      <c r="AO196" s="58">
        <f t="shared" si="1395"/>
        <v>5.2756316921777688E-5</v>
      </c>
      <c r="AP196" s="58">
        <f t="shared" si="1396"/>
        <v>1.3520989833594679E-4</v>
      </c>
      <c r="AQ196" s="58">
        <f t="shared" si="1397"/>
        <v>1.5456552719334072E-3</v>
      </c>
      <c r="AR196" s="58">
        <f t="shared" si="1398"/>
        <v>6.229437951756928E-4</v>
      </c>
      <c r="AS196" s="58">
        <f t="shared" si="1399"/>
        <v>3.7663118967997582E-4</v>
      </c>
      <c r="AT196" s="58">
        <f t="shared" si="1400"/>
        <v>1.7538855029624104E-4</v>
      </c>
      <c r="AU196" s="58">
        <f t="shared" si="1401"/>
        <v>5.0660039428197118E-4</v>
      </c>
      <c r="AV196" s="58">
        <f t="shared" si="1402"/>
        <v>0</v>
      </c>
      <c r="AW196" s="58">
        <f t="shared" si="1403"/>
        <v>1.4918508162648392E-4</v>
      </c>
      <c r="AX196" s="58">
        <f t="shared" si="1404"/>
        <v>8.6296756819066809E-5</v>
      </c>
      <c r="AY196" s="58">
        <f t="shared" si="1405"/>
        <v>4.541934569424569E-5</v>
      </c>
      <c r="AZ196" s="58">
        <f t="shared" si="1406"/>
        <v>7.1972193946266255E-5</v>
      </c>
      <c r="BA196" s="58">
        <f t="shared" si="1441"/>
        <v>5.8639869087093819E-3</v>
      </c>
      <c r="BB196" s="4">
        <f t="shared" si="1442"/>
        <v>2853824.4853526298</v>
      </c>
      <c r="BC196" s="59">
        <f t="shared" si="1407"/>
        <v>1.8116040515228724E-3</v>
      </c>
      <c r="BD196" s="59">
        <f t="shared" si="1443"/>
        <v>2.7717191581326728E-4</v>
      </c>
      <c r="BE196" s="59">
        <f t="shared" si="1408"/>
        <v>1.3315464982179718E-5</v>
      </c>
      <c r="BF196" s="59">
        <f t="shared" si="1409"/>
        <v>5.2911452955503619E-5</v>
      </c>
      <c r="BG196" s="59">
        <f t="shared" si="1410"/>
        <v>1.3560749863430398E-4</v>
      </c>
      <c r="BH196" s="59">
        <f t="shared" si="1411"/>
        <v>1.5502004495042915E-3</v>
      </c>
      <c r="BI196" s="59">
        <f t="shared" si="1412"/>
        <v>6.2477563324280102E-4</v>
      </c>
      <c r="BJ196" s="59">
        <f t="shared" si="1413"/>
        <v>3.7773871712604574E-4</v>
      </c>
      <c r="BK196" s="59">
        <f t="shared" si="1414"/>
        <v>1.7590430055405837E-4</v>
      </c>
      <c r="BL196" s="59">
        <f t="shared" si="1415"/>
        <v>5.0809011116212085E-4</v>
      </c>
      <c r="BM196" s="59">
        <f t="shared" si="1416"/>
        <v>0</v>
      </c>
      <c r="BN196" s="59">
        <f t="shared" si="1417"/>
        <v>1.4962377756291422E-4</v>
      </c>
      <c r="BO196" s="59">
        <f t="shared" si="1458"/>
        <v>8.6550522384168166E-5</v>
      </c>
      <c r="BP196" s="59">
        <f t="shared" si="1419"/>
        <v>4.5552906517983245E-5</v>
      </c>
      <c r="BQ196" s="59">
        <f t="shared" si="1420"/>
        <v>7.2183836482342698E-5</v>
      </c>
      <c r="BR196" s="60">
        <f t="shared" si="1459"/>
        <v>1.1241288059325809E-3</v>
      </c>
      <c r="BS196" s="60">
        <f t="shared" si="1444"/>
        <v>1.8482179901735361E-4</v>
      </c>
      <c r="BT196" s="60">
        <f t="shared" si="1445"/>
        <v>2.3059052429386273E-5</v>
      </c>
      <c r="BU196" s="60">
        <f t="shared" si="1446"/>
        <v>3.7732994884450265E-5</v>
      </c>
      <c r="BV196" s="60">
        <f t="shared" si="1447"/>
        <v>1.0813298071053108E-4</v>
      </c>
      <c r="BW196" s="60">
        <f t="shared" si="1448"/>
        <v>1.0757397337890959E-3</v>
      </c>
      <c r="BX196" s="60">
        <f t="shared" si="1449"/>
        <v>4.0178651960294265E-4</v>
      </c>
      <c r="BY196" s="60">
        <f t="shared" si="1450"/>
        <v>6.0634826501817997E-4</v>
      </c>
      <c r="BZ196" s="60">
        <f t="shared" si="1451"/>
        <v>4.0405748688765491E-4</v>
      </c>
      <c r="CA196" s="60">
        <f t="shared" si="1452"/>
        <v>3.0081582032881184E-4</v>
      </c>
      <c r="CB196" s="60">
        <f t="shared" si="1453"/>
        <v>1.746897911317142E-7</v>
      </c>
      <c r="CC196" s="60">
        <f t="shared" si="1454"/>
        <v>9.1886830135281663E-5</v>
      </c>
      <c r="CD196" s="60">
        <f t="shared" si="1455"/>
        <v>7.6514128515690812E-5</v>
      </c>
      <c r="CE196" s="60">
        <f t="shared" si="1456"/>
        <v>1.4831163267082535E-4</v>
      </c>
      <c r="CF196" s="13">
        <f t="shared" si="1457"/>
        <v>5.5376663788753401E-5</v>
      </c>
    </row>
    <row r="197" spans="1:85" hidden="1" x14ac:dyDescent="0.25">
      <c r="A197" s="4" t="s">
        <v>1</v>
      </c>
      <c r="B197" s="56">
        <v>710343.28776711202</v>
      </c>
      <c r="C197" s="57">
        <v>5212</v>
      </c>
      <c r="D197" s="57">
        <v>406</v>
      </c>
      <c r="E197" s="57">
        <v>24</v>
      </c>
      <c r="F197" s="57">
        <v>146</v>
      </c>
      <c r="G197" s="57">
        <v>319</v>
      </c>
      <c r="H197" s="57">
        <v>3335</v>
      </c>
      <c r="I197" s="57">
        <v>1780</v>
      </c>
      <c r="J197" s="57">
        <v>380</v>
      </c>
      <c r="K197" s="57">
        <v>125</v>
      </c>
      <c r="L197" s="57">
        <v>1343</v>
      </c>
      <c r="M197" s="57">
        <v>0</v>
      </c>
      <c r="N197" s="57">
        <v>576</v>
      </c>
      <c r="O197" s="57">
        <v>226</v>
      </c>
      <c r="P197" s="57">
        <v>5</v>
      </c>
      <c r="Q197" s="57">
        <v>161</v>
      </c>
      <c r="S197" s="4">
        <f t="shared" si="1435"/>
        <v>1996</v>
      </c>
      <c r="T197" s="4" t="str">
        <f t="shared" si="1436"/>
        <v>65-74</v>
      </c>
      <c r="U197" s="56">
        <f t="shared" si="1437"/>
        <v>710343.28776711202</v>
      </c>
      <c r="V197" s="4">
        <f t="shared" si="1438"/>
        <v>5212</v>
      </c>
      <c r="W197" s="4">
        <f t="shared" si="1379"/>
        <v>406</v>
      </c>
      <c r="X197" s="4">
        <f t="shared" si="1380"/>
        <v>24</v>
      </c>
      <c r="Y197" s="4">
        <f t="shared" si="1381"/>
        <v>146</v>
      </c>
      <c r="Z197" s="4">
        <f t="shared" si="1382"/>
        <v>319</v>
      </c>
      <c r="AA197" s="4">
        <f t="shared" si="1383"/>
        <v>3335</v>
      </c>
      <c r="AB197" s="4">
        <f t="shared" si="1384"/>
        <v>1780</v>
      </c>
      <c r="AC197" s="4">
        <f t="shared" si="1385"/>
        <v>380</v>
      </c>
      <c r="AD197" s="4">
        <f t="shared" si="1386"/>
        <v>125</v>
      </c>
      <c r="AE197" s="4">
        <f t="shared" si="1387"/>
        <v>1343</v>
      </c>
      <c r="AF197" s="4">
        <f t="shared" si="1388"/>
        <v>0</v>
      </c>
      <c r="AG197" s="4">
        <f t="shared" si="1389"/>
        <v>576</v>
      </c>
      <c r="AH197" s="4">
        <f t="shared" si="1390"/>
        <v>226</v>
      </c>
      <c r="AI197" s="4">
        <f t="shared" si="1391"/>
        <v>5</v>
      </c>
      <c r="AJ197" s="4">
        <f t="shared" si="1392"/>
        <v>161</v>
      </c>
      <c r="AK197" s="4">
        <f t="shared" si="1439"/>
        <v>14038</v>
      </c>
      <c r="AL197" s="58">
        <f t="shared" si="1440"/>
        <v>7.3372974585053981E-3</v>
      </c>
      <c r="AM197" s="58">
        <f t="shared" si="1393"/>
        <v>5.7155463702095004E-4</v>
      </c>
      <c r="AN197" s="58">
        <f t="shared" si="1394"/>
        <v>3.3786481006164537E-5</v>
      </c>
      <c r="AO197" s="58">
        <f t="shared" si="1395"/>
        <v>2.0553442612083426E-4</v>
      </c>
      <c r="AP197" s="58">
        <f t="shared" si="1396"/>
        <v>4.4907864337360363E-4</v>
      </c>
      <c r="AQ197" s="58">
        <f t="shared" si="1397"/>
        <v>4.6949130898149474E-3</v>
      </c>
      <c r="AR197" s="58">
        <f t="shared" si="1398"/>
        <v>2.5058306746238699E-3</v>
      </c>
      <c r="AS197" s="58">
        <f t="shared" si="1399"/>
        <v>5.3495261593093852E-4</v>
      </c>
      <c r="AT197" s="58">
        <f t="shared" si="1400"/>
        <v>1.759712552404403E-4</v>
      </c>
      <c r="AU197" s="58">
        <f t="shared" si="1401"/>
        <v>1.8906351663032905E-3</v>
      </c>
      <c r="AV197" s="58">
        <f t="shared" si="1402"/>
        <v>0</v>
      </c>
      <c r="AW197" s="58">
        <f t="shared" si="1403"/>
        <v>8.1087554414794889E-4</v>
      </c>
      <c r="AX197" s="58">
        <f t="shared" si="1404"/>
        <v>3.1815602947471606E-4</v>
      </c>
      <c r="AY197" s="58">
        <f t="shared" si="1405"/>
        <v>7.0388502096176121E-6</v>
      </c>
      <c r="AZ197" s="58">
        <f t="shared" si="1406"/>
        <v>2.2665097674968711E-4</v>
      </c>
      <c r="BA197" s="58">
        <f t="shared" si="1441"/>
        <v>1.9762275848522408E-2</v>
      </c>
      <c r="BB197" s="4">
        <f t="shared" si="1442"/>
        <v>703324.28776711202</v>
      </c>
      <c r="BC197" s="59">
        <f t="shared" si="1407"/>
        <v>7.4105218469660197E-3</v>
      </c>
      <c r="BD197" s="59">
        <f t="shared" si="1443"/>
        <v>5.772586089539916E-4</v>
      </c>
      <c r="BE197" s="59">
        <f t="shared" si="1408"/>
        <v>3.4123661613043836E-5</v>
      </c>
      <c r="BF197" s="59">
        <f t="shared" si="1409"/>
        <v>2.0758560814601668E-4</v>
      </c>
      <c r="BG197" s="59">
        <f t="shared" si="1410"/>
        <v>4.5356033560670767E-4</v>
      </c>
      <c r="BH197" s="59">
        <f t="shared" si="1411"/>
        <v>4.741767144979217E-3</v>
      </c>
      <c r="BI197" s="59">
        <f t="shared" si="1412"/>
        <v>2.5308382363007516E-3</v>
      </c>
      <c r="BJ197" s="59">
        <f t="shared" si="1413"/>
        <v>5.4029130887319409E-4</v>
      </c>
      <c r="BK197" s="59">
        <f t="shared" si="1414"/>
        <v>1.7772740423460334E-4</v>
      </c>
      <c r="BL197" s="59">
        <f t="shared" si="1415"/>
        <v>1.909503231096578E-3</v>
      </c>
      <c r="BM197" s="59">
        <f t="shared" si="1416"/>
        <v>0</v>
      </c>
      <c r="BN197" s="59">
        <f t="shared" si="1417"/>
        <v>8.1896787871305217E-4</v>
      </c>
      <c r="BO197" s="59">
        <f t="shared" si="1458"/>
        <v>3.2133114685616281E-4</v>
      </c>
      <c r="BP197" s="59">
        <f t="shared" si="1419"/>
        <v>7.1090961693841331E-6</v>
      </c>
      <c r="BQ197" s="59">
        <f t="shared" si="1420"/>
        <v>2.2891289665416908E-4</v>
      </c>
      <c r="BR197" s="60">
        <f t="shared" si="1459"/>
        <v>7.3077342876250043E-3</v>
      </c>
      <c r="BS197" s="60">
        <f t="shared" si="1444"/>
        <v>8.4255037009122813E-4</v>
      </c>
      <c r="BT197" s="60">
        <f t="shared" si="1445"/>
        <v>4.3640871299629196E-5</v>
      </c>
      <c r="BU197" s="60">
        <f t="shared" si="1446"/>
        <v>2.0905385122564307E-4</v>
      </c>
      <c r="BV197" s="60">
        <f t="shared" si="1447"/>
        <v>4.969428247990034E-4</v>
      </c>
      <c r="BW197" s="60">
        <f t="shared" si="1448"/>
        <v>5.461443877642305E-3</v>
      </c>
      <c r="BX197" s="60">
        <f t="shared" si="1449"/>
        <v>2.5079423296867549E-3</v>
      </c>
      <c r="BY197" s="60">
        <f t="shared" si="1450"/>
        <v>1.0262643605622478E-3</v>
      </c>
      <c r="BZ197" s="60">
        <f t="shared" si="1451"/>
        <v>4.4133590814302427E-4</v>
      </c>
      <c r="CA197" s="60">
        <f t="shared" si="1452"/>
        <v>1.9659508635461991E-3</v>
      </c>
      <c r="CB197" s="60">
        <f t="shared" si="1453"/>
        <v>0</v>
      </c>
      <c r="CC197" s="60">
        <f t="shared" si="1454"/>
        <v>7.0599667602464649E-4</v>
      </c>
      <c r="CD197" s="60">
        <f t="shared" si="1455"/>
        <v>3.3293761491491304E-4</v>
      </c>
      <c r="CE197" s="60">
        <f t="shared" si="1456"/>
        <v>9.5024477829837753E-5</v>
      </c>
      <c r="CF197" s="13">
        <f t="shared" si="1457"/>
        <v>2.5832580269296635E-4</v>
      </c>
    </row>
    <row r="198" spans="1:85" hidden="1" x14ac:dyDescent="0.25">
      <c r="A198" s="4" t="s">
        <v>0</v>
      </c>
      <c r="B198" s="56">
        <v>710343.28776711202</v>
      </c>
      <c r="C198" s="57">
        <v>9429</v>
      </c>
      <c r="D198" s="57">
        <v>279</v>
      </c>
      <c r="E198" s="57">
        <v>22</v>
      </c>
      <c r="F198" s="57">
        <v>432</v>
      </c>
      <c r="G198" s="57">
        <v>397</v>
      </c>
      <c r="H198" s="57">
        <v>3401</v>
      </c>
      <c r="I198" s="57">
        <v>3442</v>
      </c>
      <c r="J198" s="57">
        <v>534</v>
      </c>
      <c r="K198" s="57">
        <v>68</v>
      </c>
      <c r="L198" s="57">
        <v>1306</v>
      </c>
      <c r="M198" s="57">
        <v>14</v>
      </c>
      <c r="N198" s="57">
        <v>1141</v>
      </c>
      <c r="O198" s="57">
        <v>974</v>
      </c>
      <c r="P198" s="57">
        <v>7</v>
      </c>
      <c r="Q198" s="57">
        <v>178</v>
      </c>
      <c r="S198" s="4">
        <f t="shared" si="1435"/>
        <v>1996</v>
      </c>
      <c r="T198" s="4" t="str">
        <f t="shared" si="1436"/>
        <v>75+</v>
      </c>
      <c r="U198" s="56">
        <f t="shared" si="1437"/>
        <v>710343.28776711202</v>
      </c>
      <c r="V198" s="4">
        <f t="shared" si="1438"/>
        <v>9429</v>
      </c>
      <c r="W198" s="4">
        <f t="shared" si="1379"/>
        <v>279</v>
      </c>
      <c r="X198" s="4">
        <f t="shared" si="1380"/>
        <v>22</v>
      </c>
      <c r="Y198" s="4">
        <f t="shared" si="1381"/>
        <v>432</v>
      </c>
      <c r="Z198" s="4">
        <f t="shared" si="1382"/>
        <v>397</v>
      </c>
      <c r="AA198" s="4">
        <f t="shared" si="1383"/>
        <v>3401</v>
      </c>
      <c r="AB198" s="4">
        <f t="shared" si="1384"/>
        <v>3442</v>
      </c>
      <c r="AC198" s="4">
        <f t="shared" si="1385"/>
        <v>534</v>
      </c>
      <c r="AD198" s="4">
        <f t="shared" si="1386"/>
        <v>68</v>
      </c>
      <c r="AE198" s="4">
        <f t="shared" si="1387"/>
        <v>1306</v>
      </c>
      <c r="AF198" s="4">
        <f t="shared" si="1388"/>
        <v>14</v>
      </c>
      <c r="AG198" s="4">
        <f t="shared" si="1389"/>
        <v>1141</v>
      </c>
      <c r="AH198" s="4">
        <f t="shared" si="1390"/>
        <v>974</v>
      </c>
      <c r="AI198" s="4">
        <f t="shared" si="1391"/>
        <v>7</v>
      </c>
      <c r="AJ198" s="4">
        <f t="shared" si="1392"/>
        <v>178</v>
      </c>
      <c r="AK198" s="4">
        <f t="shared" si="1439"/>
        <v>21624</v>
      </c>
      <c r="AL198" s="58">
        <f t="shared" si="1440"/>
        <v>1.3273863725296892E-2</v>
      </c>
      <c r="AM198" s="58">
        <f t="shared" si="1393"/>
        <v>3.9276784169666276E-4</v>
      </c>
      <c r="AN198" s="58">
        <f t="shared" si="1394"/>
        <v>3.0970940922317494E-5</v>
      </c>
      <c r="AO198" s="58">
        <f t="shared" si="1395"/>
        <v>6.0815665811096166E-4</v>
      </c>
      <c r="AP198" s="58">
        <f t="shared" si="1396"/>
        <v>5.588847066436384E-4</v>
      </c>
      <c r="AQ198" s="58">
        <f t="shared" si="1397"/>
        <v>4.7878259125818997E-3</v>
      </c>
      <c r="AR198" s="58">
        <f t="shared" si="1398"/>
        <v>4.8455444843007638E-3</v>
      </c>
      <c r="AS198" s="58">
        <f t="shared" si="1399"/>
        <v>7.5174920238716097E-4</v>
      </c>
      <c r="AT198" s="58">
        <f t="shared" si="1400"/>
        <v>9.5728362850799526E-5</v>
      </c>
      <c r="AU198" s="58">
        <f t="shared" si="1401"/>
        <v>1.8385476747521201E-3</v>
      </c>
      <c r="AV198" s="58">
        <f t="shared" si="1402"/>
        <v>1.9708780586929314E-5</v>
      </c>
      <c r="AW198" s="58">
        <f t="shared" si="1403"/>
        <v>1.606265617834739E-3</v>
      </c>
      <c r="AX198" s="58">
        <f t="shared" si="1404"/>
        <v>1.3711680208335108E-3</v>
      </c>
      <c r="AY198" s="58">
        <f t="shared" si="1405"/>
        <v>9.8543902934646572E-6</v>
      </c>
      <c r="AZ198" s="58">
        <f t="shared" si="1406"/>
        <v>2.5058306746238699E-4</v>
      </c>
      <c r="BA198" s="58">
        <f t="shared" si="1441"/>
        <v>3.0441619386554247E-2</v>
      </c>
      <c r="BB198" s="4">
        <f t="shared" si="1442"/>
        <v>699531.28776711202</v>
      </c>
      <c r="BC198" s="59">
        <f t="shared" si="1407"/>
        <v>1.3479025405850185E-2</v>
      </c>
      <c r="BD198" s="59">
        <f t="shared" si="1443"/>
        <v>3.9883848639645793E-4</v>
      </c>
      <c r="BE198" s="59">
        <f t="shared" si="1408"/>
        <v>3.1449629751692027E-5</v>
      </c>
      <c r="BF198" s="59">
        <f t="shared" si="1409"/>
        <v>6.1755636603322511E-4</v>
      </c>
      <c r="BG198" s="59">
        <f t="shared" si="1410"/>
        <v>5.6752286415553336E-4</v>
      </c>
      <c r="BH198" s="59">
        <f t="shared" si="1411"/>
        <v>4.8618268538865713E-3</v>
      </c>
      <c r="BI198" s="59">
        <f t="shared" si="1412"/>
        <v>4.9204375275147243E-3</v>
      </c>
      <c r="BJ198" s="59">
        <f t="shared" si="1413"/>
        <v>7.6336828579107001E-4</v>
      </c>
      <c r="BK198" s="59">
        <f t="shared" si="1414"/>
        <v>9.7207946505229885E-5</v>
      </c>
      <c r="BL198" s="59">
        <f t="shared" si="1415"/>
        <v>1.8669643843504445E-3</v>
      </c>
      <c r="BM198" s="59">
        <f t="shared" si="1416"/>
        <v>2.0013400751076742E-5</v>
      </c>
      <c r="BN198" s="59">
        <f t="shared" si="1417"/>
        <v>1.6310921612127545E-3</v>
      </c>
      <c r="BO198" s="59">
        <f t="shared" si="1458"/>
        <v>1.3923608808249104E-3</v>
      </c>
      <c r="BP198" s="59">
        <f t="shared" si="1419"/>
        <v>1.0006700375538371E-5</v>
      </c>
      <c r="BQ198" s="59">
        <f t="shared" si="1420"/>
        <v>2.5445609526369002E-4</v>
      </c>
      <c r="BR198" s="60">
        <f t="shared" si="1459"/>
        <v>1.0305580591901146E-2</v>
      </c>
      <c r="BS198" s="60">
        <f t="shared" si="1444"/>
        <v>4.8216123935880642E-4</v>
      </c>
      <c r="BT198" s="60">
        <f t="shared" si="1445"/>
        <v>3.2378710964241012E-5</v>
      </c>
      <c r="BU198" s="60">
        <f t="shared" si="1446"/>
        <v>4.0684554211589799E-4</v>
      </c>
      <c r="BV198" s="60">
        <f t="shared" si="1447"/>
        <v>5.0398167500862096E-4</v>
      </c>
      <c r="BW198" s="60">
        <f t="shared" si="1448"/>
        <v>4.7413695011984235E-3</v>
      </c>
      <c r="BX198" s="60">
        <f t="shared" si="1449"/>
        <v>3.6756875794623171E-3</v>
      </c>
      <c r="BY198" s="60">
        <f t="shared" si="1450"/>
        <v>6.4335090915904969E-4</v>
      </c>
      <c r="BZ198" s="60">
        <f t="shared" si="1451"/>
        <v>1.3584980904561992E-4</v>
      </c>
      <c r="CA198" s="60">
        <f t="shared" si="1452"/>
        <v>1.8645914205277054E-3</v>
      </c>
      <c r="CB198" s="60">
        <f t="shared" si="1453"/>
        <v>9.8543902934646572E-6</v>
      </c>
      <c r="CC198" s="60">
        <f t="shared" si="1454"/>
        <v>1.208570580991344E-3</v>
      </c>
      <c r="CD198" s="60">
        <f t="shared" si="1455"/>
        <v>8.4466202515411342E-4</v>
      </c>
      <c r="CE198" s="60">
        <f t="shared" si="1456"/>
        <v>8.4466202515411342E-6</v>
      </c>
      <c r="CF198" s="13">
        <f t="shared" si="1457"/>
        <v>2.3861702210603705E-4</v>
      </c>
    </row>
    <row r="199" spans="1:85" hidden="1" x14ac:dyDescent="0.25">
      <c r="C199" s="4"/>
    </row>
    <row r="200" spans="1:85" hidden="1" x14ac:dyDescent="0.25">
      <c r="C200" s="4"/>
    </row>
    <row r="201" spans="1:85" hidden="1" x14ac:dyDescent="0.25">
      <c r="A201" s="4" t="s">
        <v>23</v>
      </c>
      <c r="B201" s="61">
        <v>1996</v>
      </c>
    </row>
    <row r="202" spans="1:85" hidden="1" x14ac:dyDescent="0.25"/>
    <row r="203" spans="1:85" s="21" customFormat="1" ht="23.25" hidden="1" customHeight="1" x14ac:dyDescent="0.25">
      <c r="A203" s="62" t="s">
        <v>46</v>
      </c>
      <c r="B203" s="62"/>
      <c r="C203" s="4" t="s">
        <v>35</v>
      </c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</row>
    <row r="204" spans="1:85" s="37" customFormat="1" ht="33" hidden="1" customHeight="1" x14ac:dyDescent="0.25">
      <c r="A204" s="63" t="s">
        <v>22</v>
      </c>
      <c r="B204" s="64" t="s">
        <v>24</v>
      </c>
      <c r="C204" s="64">
        <v>1</v>
      </c>
      <c r="D204" s="64">
        <v>10</v>
      </c>
      <c r="E204" s="64">
        <v>11</v>
      </c>
      <c r="F204" s="64">
        <v>12</v>
      </c>
      <c r="G204" s="64">
        <v>13</v>
      </c>
      <c r="H204" s="64">
        <v>2</v>
      </c>
      <c r="I204" s="64">
        <v>3</v>
      </c>
      <c r="J204" s="64">
        <v>4</v>
      </c>
      <c r="K204" s="64">
        <v>5</v>
      </c>
      <c r="L204" s="64">
        <v>6</v>
      </c>
      <c r="M204" s="64">
        <v>7</v>
      </c>
      <c r="N204" s="64">
        <v>8</v>
      </c>
      <c r="O204" s="64">
        <v>9</v>
      </c>
      <c r="P204" s="64">
        <v>14</v>
      </c>
      <c r="Q204" s="64">
        <v>15</v>
      </c>
      <c r="R204" s="64"/>
      <c r="S204" s="65" t="s">
        <v>23</v>
      </c>
      <c r="T204" s="65" t="s">
        <v>22</v>
      </c>
      <c r="U204" s="65" t="s">
        <v>181</v>
      </c>
      <c r="V204" s="66" t="str">
        <f>+CONCATENATE("dx","(",C204,")")</f>
        <v>dx(1)</v>
      </c>
      <c r="W204" s="66" t="str">
        <f t="shared" ref="W204" si="1460">+CONCATENATE("dx","(",D204,")")</f>
        <v>dx(10)</v>
      </c>
      <c r="X204" s="66" t="str">
        <f t="shared" ref="X204" si="1461">+CONCATENATE("dx","(",E204,")")</f>
        <v>dx(11)</v>
      </c>
      <c r="Y204" s="66" t="str">
        <f t="shared" ref="Y204" si="1462">+CONCATENATE("dx","(",F204,")")</f>
        <v>dx(12)</v>
      </c>
      <c r="Z204" s="66" t="str">
        <f t="shared" ref="Z204" si="1463">+CONCATENATE("dx","(",G204,")")</f>
        <v>dx(13)</v>
      </c>
      <c r="AA204" s="66" t="str">
        <f t="shared" ref="AA204" si="1464">+CONCATENATE("dx","(",H204,")")</f>
        <v>dx(2)</v>
      </c>
      <c r="AB204" s="66" t="str">
        <f t="shared" ref="AB204" si="1465">+CONCATENATE("dx","(",I204,")")</f>
        <v>dx(3)</v>
      </c>
      <c r="AC204" s="66" t="str">
        <f t="shared" ref="AC204" si="1466">+CONCATENATE("dx","(",J204,")")</f>
        <v>dx(4)</v>
      </c>
      <c r="AD204" s="66" t="str">
        <f t="shared" ref="AD204" si="1467">+CONCATENATE("dx","(",K204,")")</f>
        <v>dx(5)</v>
      </c>
      <c r="AE204" s="66" t="str">
        <f t="shared" ref="AE204" si="1468">+CONCATENATE("dx","(",L204,")")</f>
        <v>dx(6)</v>
      </c>
      <c r="AF204" s="66" t="str">
        <f t="shared" ref="AF204" si="1469">+CONCATENATE("dx","(",M204,")")</f>
        <v>dx(7)</v>
      </c>
      <c r="AG204" s="66" t="str">
        <f t="shared" ref="AG204" si="1470">+CONCATENATE("dx","(",N204,")")</f>
        <v>dx(8)</v>
      </c>
      <c r="AH204" s="66" t="str">
        <f t="shared" ref="AH204" si="1471">+CONCATENATE("dx","(",O204,")")</f>
        <v>dx(9)</v>
      </c>
      <c r="AI204" s="66" t="str">
        <f t="shared" ref="AI204" si="1472">+CONCATENATE("dx","(",P204,")")</f>
        <v>dx(14)</v>
      </c>
      <c r="AJ204" s="66" t="str">
        <f t="shared" ref="AJ204" si="1473">+CONCATENATE("dx","(",Q204,")")</f>
        <v>dx(15)</v>
      </c>
      <c r="AK204" s="66" t="s">
        <v>182</v>
      </c>
      <c r="AL204" s="66" t="str">
        <f t="shared" ref="AL204:AZ204" si="1474">+CONCATENATE("qx","(",C204,")")</f>
        <v>qx(1)</v>
      </c>
      <c r="AM204" s="66" t="str">
        <f t="shared" si="1474"/>
        <v>qx(10)</v>
      </c>
      <c r="AN204" s="66" t="str">
        <f t="shared" si="1474"/>
        <v>qx(11)</v>
      </c>
      <c r="AO204" s="66" t="str">
        <f t="shared" si="1474"/>
        <v>qx(12)</v>
      </c>
      <c r="AP204" s="66" t="str">
        <f t="shared" si="1474"/>
        <v>qx(13)</v>
      </c>
      <c r="AQ204" s="66" t="str">
        <f t="shared" si="1474"/>
        <v>qx(2)</v>
      </c>
      <c r="AR204" s="66" t="str">
        <f t="shared" si="1474"/>
        <v>qx(3)</v>
      </c>
      <c r="AS204" s="66" t="str">
        <f t="shared" si="1474"/>
        <v>qx(4)</v>
      </c>
      <c r="AT204" s="66" t="str">
        <f t="shared" si="1474"/>
        <v>qx(5)</v>
      </c>
      <c r="AU204" s="66" t="str">
        <f t="shared" si="1474"/>
        <v>qx(6)</v>
      </c>
      <c r="AV204" s="66" t="str">
        <f t="shared" si="1474"/>
        <v>qx(7)</v>
      </c>
      <c r="AW204" s="66" t="str">
        <f t="shared" si="1474"/>
        <v>qx(8)</v>
      </c>
      <c r="AX204" s="66" t="str">
        <f t="shared" si="1474"/>
        <v>qx(9)</v>
      </c>
      <c r="AY204" s="66" t="str">
        <f t="shared" si="1474"/>
        <v>qx(14)</v>
      </c>
      <c r="AZ204" s="66" t="str">
        <f t="shared" si="1474"/>
        <v>qx(15)</v>
      </c>
      <c r="BA204" s="66" t="str">
        <f>+CONCATENATE("qx","(T)")</f>
        <v>qx(T)</v>
      </c>
      <c r="BB204" s="65" t="s">
        <v>184</v>
      </c>
      <c r="BC204" s="66" t="str">
        <f t="shared" ref="BC204:BQ204" si="1475">+CONCATENATE("mx","(",C204,")")</f>
        <v>mx(1)</v>
      </c>
      <c r="BD204" s="66" t="str">
        <f t="shared" si="1475"/>
        <v>mx(10)</v>
      </c>
      <c r="BE204" s="66" t="str">
        <f t="shared" si="1475"/>
        <v>mx(11)</v>
      </c>
      <c r="BF204" s="66" t="str">
        <f t="shared" si="1475"/>
        <v>mx(12)</v>
      </c>
      <c r="BG204" s="66" t="str">
        <f t="shared" si="1475"/>
        <v>mx(13)</v>
      </c>
      <c r="BH204" s="66" t="str">
        <f t="shared" si="1475"/>
        <v>mx(2)</v>
      </c>
      <c r="BI204" s="66" t="str">
        <f t="shared" si="1475"/>
        <v>mx(3)</v>
      </c>
      <c r="BJ204" s="66" t="str">
        <f t="shared" si="1475"/>
        <v>mx(4)</v>
      </c>
      <c r="BK204" s="66" t="str">
        <f t="shared" si="1475"/>
        <v>mx(5)</v>
      </c>
      <c r="BL204" s="66" t="str">
        <f t="shared" si="1475"/>
        <v>mx(6)</v>
      </c>
      <c r="BM204" s="66" t="str">
        <f t="shared" si="1475"/>
        <v>mx(7)</v>
      </c>
      <c r="BN204" s="66" t="str">
        <f t="shared" si="1475"/>
        <v>mx(8)</v>
      </c>
      <c r="BO204" s="66" t="str">
        <f t="shared" si="1475"/>
        <v>mx(9)</v>
      </c>
      <c r="BP204" s="66" t="str">
        <f t="shared" si="1475"/>
        <v>mx(14)</v>
      </c>
      <c r="BQ204" s="66" t="str">
        <f t="shared" si="1475"/>
        <v>mx(15)</v>
      </c>
      <c r="BR204" s="66" t="str">
        <f>+CONCATENATE("µ(X)",C204)</f>
        <v>µ(X)1</v>
      </c>
      <c r="BS204" s="66" t="str">
        <f t="shared" ref="BS204" si="1476">+CONCATENATE("µ(X)",D204)</f>
        <v>µ(X)10</v>
      </c>
      <c r="BT204" s="66" t="str">
        <f t="shared" ref="BT204" si="1477">+CONCATENATE("µ(X)",E204)</f>
        <v>µ(X)11</v>
      </c>
      <c r="BU204" s="66" t="str">
        <f t="shared" ref="BU204" si="1478">+CONCATENATE("µ(X)",F204)</f>
        <v>µ(X)12</v>
      </c>
      <c r="BV204" s="66" t="str">
        <f t="shared" ref="BV204" si="1479">+CONCATENATE("µ(X)",G204)</f>
        <v>µ(X)13</v>
      </c>
      <c r="BW204" s="66" t="str">
        <f t="shared" ref="BW204" si="1480">+CONCATENATE("µ(X)",H204)</f>
        <v>µ(X)2</v>
      </c>
      <c r="BX204" s="66" t="str">
        <f t="shared" ref="BX204" si="1481">+CONCATENATE("µ(X)",I204)</f>
        <v>µ(X)3</v>
      </c>
      <c r="BY204" s="66" t="str">
        <f t="shared" ref="BY204" si="1482">+CONCATENATE("µ(X)",J204)</f>
        <v>µ(X)4</v>
      </c>
      <c r="BZ204" s="66" t="str">
        <f t="shared" ref="BZ204" si="1483">+CONCATENATE("µ(X)",K204)</f>
        <v>µ(X)5</v>
      </c>
      <c r="CA204" s="66" t="str">
        <f t="shared" ref="CA204" si="1484">+CONCATENATE("µ(X)",L204)</f>
        <v>µ(X)6</v>
      </c>
      <c r="CB204" s="66" t="str">
        <f t="shared" ref="CB204" si="1485">+CONCATENATE("µ(X)",M204)</f>
        <v>µ(X)7</v>
      </c>
      <c r="CC204" s="66" t="str">
        <f t="shared" ref="CC204" si="1486">+CONCATENATE("µ(X)",N204)</f>
        <v>µ(X)8</v>
      </c>
      <c r="CD204" s="66" t="str">
        <f t="shared" ref="CD204" si="1487">+CONCATENATE("µ(X)",O204)</f>
        <v>µ(X)9</v>
      </c>
      <c r="CE204" s="66" t="str">
        <f t="shared" ref="CE204" si="1488">+CONCATENATE("µ(X)",P204)</f>
        <v>µ(X)14</v>
      </c>
      <c r="CF204" s="42" t="str">
        <f t="shared" ref="CF204" si="1489">+CONCATENATE("µ(X)",Q204)</f>
        <v>µ(X)15</v>
      </c>
      <c r="CG204" s="36"/>
    </row>
    <row r="205" spans="1:85" hidden="1" x14ac:dyDescent="0.25">
      <c r="A205" s="4" t="s">
        <v>6</v>
      </c>
      <c r="B205" s="56">
        <v>2669011.0638103201</v>
      </c>
      <c r="C205" s="57">
        <v>82</v>
      </c>
      <c r="D205" s="57">
        <v>35</v>
      </c>
      <c r="E205" s="57">
        <v>1552</v>
      </c>
      <c r="F205" s="57">
        <v>2468</v>
      </c>
      <c r="G205" s="57">
        <v>37</v>
      </c>
      <c r="H205" s="57">
        <v>159</v>
      </c>
      <c r="I205" s="57">
        <v>14</v>
      </c>
      <c r="J205" s="57">
        <v>786</v>
      </c>
      <c r="K205" s="57">
        <v>32</v>
      </c>
      <c r="L205" s="57">
        <v>12</v>
      </c>
      <c r="M205" s="57">
        <v>5626</v>
      </c>
      <c r="N205" s="57">
        <v>114</v>
      </c>
      <c r="O205" s="57">
        <v>877</v>
      </c>
      <c r="P205" s="57">
        <v>21</v>
      </c>
      <c r="Q205" s="57">
        <v>29</v>
      </c>
      <c r="S205" s="4">
        <f>+$B$162</f>
        <v>1996</v>
      </c>
      <c r="T205" s="4" t="str">
        <f>+A205</f>
        <v>0-4</v>
      </c>
      <c r="U205" s="56">
        <f>+B205</f>
        <v>2669011.0638103201</v>
      </c>
      <c r="V205" s="4">
        <f>+C205</f>
        <v>82</v>
      </c>
      <c r="W205" s="4">
        <f t="shared" ref="W205:W211" si="1490">+D205</f>
        <v>35</v>
      </c>
      <c r="X205" s="4">
        <f t="shared" ref="X205:X211" si="1491">+E205</f>
        <v>1552</v>
      </c>
      <c r="Y205" s="4">
        <f t="shared" ref="Y205:Y211" si="1492">+F205</f>
        <v>2468</v>
      </c>
      <c r="Z205" s="4">
        <f t="shared" ref="Z205:Z211" si="1493">+G205</f>
        <v>37</v>
      </c>
      <c r="AA205" s="4">
        <f t="shared" ref="AA205:AA211" si="1494">+H205</f>
        <v>159</v>
      </c>
      <c r="AB205" s="4">
        <f t="shared" ref="AB205:AB211" si="1495">+I205</f>
        <v>14</v>
      </c>
      <c r="AC205" s="4">
        <f t="shared" ref="AC205:AC211" si="1496">+J205</f>
        <v>786</v>
      </c>
      <c r="AD205" s="4">
        <f t="shared" ref="AD205:AD211" si="1497">+K205</f>
        <v>32</v>
      </c>
      <c r="AE205" s="4">
        <f t="shared" ref="AE205:AE211" si="1498">+L205</f>
        <v>12</v>
      </c>
      <c r="AF205" s="4">
        <f t="shared" ref="AF205:AF211" si="1499">+M205</f>
        <v>5626</v>
      </c>
      <c r="AG205" s="4">
        <f t="shared" ref="AG205:AG211" si="1500">+N205</f>
        <v>114</v>
      </c>
      <c r="AH205" s="4">
        <f t="shared" ref="AH205:AH211" si="1501">+O205</f>
        <v>877</v>
      </c>
      <c r="AI205" s="4">
        <f t="shared" ref="AI205:AI211" si="1502">+P205</f>
        <v>21</v>
      </c>
      <c r="AJ205" s="4">
        <f t="shared" ref="AJ205:AJ211" si="1503">+Q205</f>
        <v>29</v>
      </c>
      <c r="AK205" s="4">
        <f>+SUM(V205:AJ205)</f>
        <v>11844</v>
      </c>
      <c r="AL205" s="58">
        <f>+V205/$U205</f>
        <v>3.072298991632338E-5</v>
      </c>
      <c r="AM205" s="58">
        <f t="shared" ref="AM205:AM211" si="1504">+W205/$U205</f>
        <v>1.3113471305747784E-5</v>
      </c>
      <c r="AN205" s="58">
        <f t="shared" ref="AN205:AN211" si="1505">+X205/$U205</f>
        <v>5.8148878475773028E-4</v>
      </c>
      <c r="AO205" s="58">
        <f t="shared" ref="AO205:AO211" si="1506">+Y205/$U205</f>
        <v>9.2468706235958656E-4</v>
      </c>
      <c r="AP205" s="58">
        <f t="shared" ref="AP205:AP211" si="1507">+Z205/$U205</f>
        <v>1.3862812523219085E-5</v>
      </c>
      <c r="AQ205" s="58">
        <f t="shared" ref="AQ205:AQ211" si="1508">+AA205/$U205</f>
        <v>5.9572626788968504E-5</v>
      </c>
      <c r="AR205" s="58">
        <f t="shared" ref="AR205:AR211" si="1509">+AB205/$U205</f>
        <v>5.2453885222991139E-6</v>
      </c>
      <c r="AS205" s="58">
        <f t="shared" ref="AS205:AS211" si="1510">+AC205/$U205</f>
        <v>2.9449109846622164E-4</v>
      </c>
      <c r="AT205" s="58">
        <f t="shared" ref="AT205:AT211" si="1511">+AD205/$U205</f>
        <v>1.1989459479540831E-5</v>
      </c>
      <c r="AU205" s="58">
        <f t="shared" ref="AU205:AU211" si="1512">+AE205/$U205</f>
        <v>4.4960473048278115E-6</v>
      </c>
      <c r="AV205" s="58">
        <f t="shared" ref="AV205:AV211" si="1513">+AF205/$U205</f>
        <v>2.1078968447467723E-3</v>
      </c>
      <c r="AW205" s="58">
        <f t="shared" ref="AW205:AW211" si="1514">+AG205/$U205</f>
        <v>4.2712449395864211E-5</v>
      </c>
      <c r="AX205" s="58">
        <f t="shared" ref="AX205:AX211" si="1515">+AH205/$U205</f>
        <v>3.2858612386116591E-4</v>
      </c>
      <c r="AY205" s="58">
        <f t="shared" ref="AY205:AY211" si="1516">+AI205/$U205</f>
        <v>7.86808278344867E-6</v>
      </c>
      <c r="AZ205" s="58">
        <f t="shared" ref="AZ205:AZ211" si="1517">+AJ205/$U205</f>
        <v>1.0865447653333878E-5</v>
      </c>
      <c r="BA205" s="58">
        <f>+AK205/U205</f>
        <v>4.4375986898650497E-3</v>
      </c>
      <c r="BB205" s="4">
        <f>+U205-(0.5*AK205)</f>
        <v>2663089.0638103201</v>
      </c>
      <c r="BC205" s="59">
        <f t="shared" ref="BC205:BC211" si="1518">+AL205/(1-(0.5*$BA205))</f>
        <v>3.0791309654013318E-5</v>
      </c>
      <c r="BD205" s="59">
        <f>+AM205/(1-(0.5*$BA205))</f>
        <v>1.3142632169395928E-5</v>
      </c>
      <c r="BE205" s="59">
        <f t="shared" ref="BE205:BE211" si="1519">+AN205/(1-(0.5*$BA205))</f>
        <v>5.8278186076864233E-4</v>
      </c>
      <c r="BF205" s="59">
        <f t="shared" ref="BF205:BF211" si="1520">+AO205/(1-(0.5*$BA205))</f>
        <v>9.2674331983054719E-4</v>
      </c>
      <c r="BG205" s="59">
        <f t="shared" ref="BG205:BG211" si="1521">+AP205/(1-(0.5*$BA205))</f>
        <v>1.3893639721932839E-5</v>
      </c>
      <c r="BH205" s="59">
        <f t="shared" ref="BH205:BH211" si="1522">+AQ205/(1-(0.5*$BA205))</f>
        <v>5.9705100426684362E-5</v>
      </c>
      <c r="BI205" s="59">
        <f t="shared" ref="BI205:BI211" si="1523">+AR205/(1-(0.5*$BA205))</f>
        <v>5.2570528677583717E-6</v>
      </c>
      <c r="BJ205" s="59">
        <f t="shared" ref="BJ205:BJ211" si="1524">+AS205/(1-(0.5*$BA205))</f>
        <v>2.9514596814700567E-4</v>
      </c>
      <c r="BK205" s="59">
        <f t="shared" ref="BK205:BK211" si="1525">+AT205/(1-(0.5*$BA205))</f>
        <v>1.2016120840590563E-5</v>
      </c>
      <c r="BL205" s="59">
        <f t="shared" ref="BL205:BL211" si="1526">+AU205/(1-(0.5*$BA205))</f>
        <v>4.5060453152214609E-6</v>
      </c>
      <c r="BM205" s="59">
        <f t="shared" ref="BM205:BM211" si="1527">+AV205/(1-(0.5*$BA205))</f>
        <v>2.1125842452863284E-3</v>
      </c>
      <c r="BN205" s="59">
        <f t="shared" ref="BN205:BN211" si="1528">+AW205/(1-(0.5*$BA205))</f>
        <v>4.2807430494603885E-5</v>
      </c>
      <c r="BO205" s="59">
        <f t="shared" ref="BO205" si="1529">+AX205/(1-(0.5*$BA205))</f>
        <v>3.2931681178743514E-4</v>
      </c>
      <c r="BP205" s="59">
        <f t="shared" ref="BP205:BP211" si="1530">+AY205/(1-(0.5*$BA205))</f>
        <v>7.8855793016375572E-6</v>
      </c>
      <c r="BQ205" s="59">
        <f t="shared" ref="BQ205:BQ211" si="1531">+AZ205/(1-(0.5*$BA205))</f>
        <v>1.0889609511785197E-5</v>
      </c>
      <c r="BR205" s="60">
        <f>+V205/(2*$U205)</f>
        <v>1.536149495816169E-5</v>
      </c>
      <c r="BS205" s="60">
        <f t="shared" ref="BS205" si="1532">+W205/(2*$U205)</f>
        <v>6.5567356528738919E-6</v>
      </c>
      <c r="BT205" s="60">
        <f t="shared" ref="BT205" si="1533">+X205/(2*$U205)</f>
        <v>2.9074439237886514E-4</v>
      </c>
      <c r="BU205" s="60">
        <f t="shared" ref="BU205" si="1534">+Y205/(2*$U205)</f>
        <v>4.6234353117979328E-4</v>
      </c>
      <c r="BV205" s="60">
        <f t="shared" ref="BV205" si="1535">+Z205/(2*$U205)</f>
        <v>6.9314062616095427E-6</v>
      </c>
      <c r="BW205" s="60">
        <f t="shared" ref="BW205" si="1536">+AA205/(2*$U205)</f>
        <v>2.9786313394484252E-5</v>
      </c>
      <c r="BX205" s="60">
        <f t="shared" ref="BX205" si="1537">+AB205/(2*$U205)</f>
        <v>2.6226942611495569E-6</v>
      </c>
      <c r="BY205" s="60">
        <f t="shared" ref="BY205" si="1538">+AC205/(2*$U205)</f>
        <v>1.4724554923311082E-4</v>
      </c>
      <c r="BZ205" s="60">
        <f t="shared" ref="BZ205" si="1539">+AD205/(2*$U205)</f>
        <v>5.9947297397704154E-6</v>
      </c>
      <c r="CA205" s="60">
        <f t="shared" ref="CA205" si="1540">+AE205/(2*$U205)</f>
        <v>2.2480236524139058E-6</v>
      </c>
      <c r="CB205" s="60">
        <f t="shared" ref="CB205" si="1541">+AF205/(2*$U205)</f>
        <v>1.0539484223733861E-3</v>
      </c>
      <c r="CC205" s="60">
        <f t="shared" ref="CC205" si="1542">+AG205/(2*$U205)</f>
        <v>2.1356224697932105E-5</v>
      </c>
      <c r="CD205" s="60">
        <f t="shared" ref="CD205" si="1543">+AH205/(2*$U205)</f>
        <v>1.6429306193058296E-4</v>
      </c>
      <c r="CE205" s="60">
        <f t="shared" ref="CE205" si="1544">+AI205/(2*$U205)</f>
        <v>3.934041391724335E-6</v>
      </c>
      <c r="CF205" s="13">
        <f t="shared" ref="CF205" si="1545">+AJ205/(2*$U205)</f>
        <v>5.4327238266669388E-6</v>
      </c>
    </row>
    <row r="206" spans="1:85" hidden="1" x14ac:dyDescent="0.25">
      <c r="A206" s="4" t="s">
        <v>5</v>
      </c>
      <c r="B206" s="56">
        <v>5336689.2615659405</v>
      </c>
      <c r="C206" s="57">
        <v>50</v>
      </c>
      <c r="D206" s="57">
        <v>18</v>
      </c>
      <c r="E206" s="57">
        <v>121</v>
      </c>
      <c r="F206" s="57">
        <v>79</v>
      </c>
      <c r="G206" s="57">
        <v>18</v>
      </c>
      <c r="H206" s="57">
        <v>266</v>
      </c>
      <c r="I206" s="57">
        <v>18</v>
      </c>
      <c r="J206" s="57">
        <v>659</v>
      </c>
      <c r="K206" s="57">
        <v>105</v>
      </c>
      <c r="L206" s="57">
        <v>16</v>
      </c>
      <c r="M206" s="57">
        <v>2</v>
      </c>
      <c r="N206" s="57">
        <v>15</v>
      </c>
      <c r="O206" s="57">
        <v>82</v>
      </c>
      <c r="P206" s="57">
        <v>2</v>
      </c>
      <c r="Q206" s="57">
        <v>34</v>
      </c>
      <c r="S206" s="4">
        <f t="shared" ref="S206:S211" si="1546">+$B$162</f>
        <v>1996</v>
      </c>
      <c r="T206" s="4" t="str">
        <f t="shared" ref="T206:T211" si="1547">+A206</f>
        <v>5-14</v>
      </c>
      <c r="U206" s="56">
        <f t="shared" ref="U206:U211" si="1548">+B206</f>
        <v>5336689.2615659405</v>
      </c>
      <c r="V206" s="4">
        <f t="shared" ref="V206:V211" si="1549">+C206</f>
        <v>50</v>
      </c>
      <c r="W206" s="4">
        <f t="shared" si="1490"/>
        <v>18</v>
      </c>
      <c r="X206" s="4">
        <f t="shared" si="1491"/>
        <v>121</v>
      </c>
      <c r="Y206" s="4">
        <f t="shared" si="1492"/>
        <v>79</v>
      </c>
      <c r="Z206" s="4">
        <f t="shared" si="1493"/>
        <v>18</v>
      </c>
      <c r="AA206" s="4">
        <f t="shared" si="1494"/>
        <v>266</v>
      </c>
      <c r="AB206" s="4">
        <f t="shared" si="1495"/>
        <v>18</v>
      </c>
      <c r="AC206" s="4">
        <f t="shared" si="1496"/>
        <v>659</v>
      </c>
      <c r="AD206" s="4">
        <f t="shared" si="1497"/>
        <v>105</v>
      </c>
      <c r="AE206" s="4">
        <f t="shared" si="1498"/>
        <v>16</v>
      </c>
      <c r="AF206" s="4">
        <f t="shared" si="1499"/>
        <v>2</v>
      </c>
      <c r="AG206" s="4">
        <f t="shared" si="1500"/>
        <v>15</v>
      </c>
      <c r="AH206" s="4">
        <f t="shared" si="1501"/>
        <v>82</v>
      </c>
      <c r="AI206" s="4">
        <f t="shared" si="1502"/>
        <v>2</v>
      </c>
      <c r="AJ206" s="4">
        <f t="shared" si="1503"/>
        <v>34</v>
      </c>
      <c r="AK206" s="4">
        <f t="shared" ref="AK206:AK211" si="1550">+SUM(V206:AJ206)</f>
        <v>1485</v>
      </c>
      <c r="AL206" s="58">
        <f t="shared" ref="AL206:AL211" si="1551">+V206/$U206</f>
        <v>9.3691046169940461E-6</v>
      </c>
      <c r="AM206" s="58">
        <f t="shared" si="1504"/>
        <v>3.3728776621178566E-6</v>
      </c>
      <c r="AN206" s="58">
        <f t="shared" si="1505"/>
        <v>2.2673233173125591E-5</v>
      </c>
      <c r="AO206" s="58">
        <f t="shared" si="1506"/>
        <v>1.4803185294850593E-5</v>
      </c>
      <c r="AP206" s="58">
        <f t="shared" si="1507"/>
        <v>3.3728776621178566E-6</v>
      </c>
      <c r="AQ206" s="58">
        <f t="shared" si="1508"/>
        <v>4.9843636562408325E-5</v>
      </c>
      <c r="AR206" s="58">
        <f t="shared" si="1509"/>
        <v>3.3728776621178566E-6</v>
      </c>
      <c r="AS206" s="58">
        <f t="shared" si="1510"/>
        <v>1.2348479885198154E-4</v>
      </c>
      <c r="AT206" s="58">
        <f t="shared" si="1511"/>
        <v>1.9675119695687498E-5</v>
      </c>
      <c r="AU206" s="58">
        <f t="shared" si="1512"/>
        <v>2.998113477438095E-6</v>
      </c>
      <c r="AV206" s="58">
        <f t="shared" si="1513"/>
        <v>3.7476418467976187E-7</v>
      </c>
      <c r="AW206" s="58">
        <f t="shared" si="1514"/>
        <v>2.8107313850982138E-6</v>
      </c>
      <c r="AX206" s="58">
        <f t="shared" si="1515"/>
        <v>1.5365331571870237E-5</v>
      </c>
      <c r="AY206" s="58">
        <f t="shared" si="1516"/>
        <v>3.7476418467976187E-7</v>
      </c>
      <c r="AZ206" s="58">
        <f t="shared" si="1517"/>
        <v>6.3709911395559516E-6</v>
      </c>
      <c r="BA206" s="58">
        <f t="shared" ref="BA206:BA211" si="1552">+AK206/U206</f>
        <v>2.7826240712472319E-4</v>
      </c>
      <c r="BB206" s="4">
        <f t="shared" ref="BB206:BB211" si="1553">+U206-(0.5*AK206)</f>
        <v>5335946.7615659405</v>
      </c>
      <c r="BC206" s="59">
        <f t="shared" si="1518"/>
        <v>9.3704083331833129E-6</v>
      </c>
      <c r="BD206" s="59">
        <f t="shared" ref="BD206:BD211" si="1554">+AM206/(1-(0.5*$BA206))</f>
        <v>3.3733469999459925E-6</v>
      </c>
      <c r="BE206" s="59">
        <f t="shared" si="1519"/>
        <v>2.2676388166303615E-5</v>
      </c>
      <c r="BF206" s="59">
        <f t="shared" si="1520"/>
        <v>1.4805245166429634E-5</v>
      </c>
      <c r="BG206" s="59">
        <f t="shared" si="1521"/>
        <v>3.3733469999459925E-6</v>
      </c>
      <c r="BH206" s="59">
        <f t="shared" si="1522"/>
        <v>4.9850572332535225E-5</v>
      </c>
      <c r="BI206" s="59">
        <f t="shared" si="1523"/>
        <v>3.3733469999459925E-6</v>
      </c>
      <c r="BJ206" s="59">
        <f t="shared" si="1524"/>
        <v>1.2350198183135608E-4</v>
      </c>
      <c r="BK206" s="59">
        <f t="shared" si="1525"/>
        <v>1.9677857499684958E-5</v>
      </c>
      <c r="BL206" s="59">
        <f t="shared" si="1526"/>
        <v>2.9985306666186604E-6</v>
      </c>
      <c r="BM206" s="59">
        <f t="shared" si="1527"/>
        <v>3.7481633332733255E-7</v>
      </c>
      <c r="BN206" s="59">
        <f t="shared" si="1528"/>
        <v>2.8111224999549937E-6</v>
      </c>
      <c r="BO206" s="59">
        <f>+AX206/(1-(0.5*$BA206))</f>
        <v>1.5367469666420634E-5</v>
      </c>
      <c r="BP206" s="59">
        <f t="shared" si="1530"/>
        <v>3.7481633332733255E-7</v>
      </c>
      <c r="BQ206" s="59">
        <f t="shared" si="1531"/>
        <v>6.3718776665646525E-6</v>
      </c>
      <c r="BR206" s="60">
        <f>+(V205+V206)/(2*$U206)</f>
        <v>1.2367218094432141E-5</v>
      </c>
      <c r="BS206" s="60">
        <f t="shared" ref="BS206:BS211" si="1555">+(W205+W206)/(2*$U206)</f>
        <v>4.9656254470068449E-6</v>
      </c>
      <c r="BT206" s="60">
        <f t="shared" ref="BT206:BT211" si="1556">+(X205+X206)/(2*$U206)</f>
        <v>1.567451202423104E-4</v>
      </c>
      <c r="BU206" s="60">
        <f t="shared" ref="BU206:BU211" si="1557">+(Y205+Y206)/(2*$U206)</f>
        <v>2.3863109459483836E-4</v>
      </c>
      <c r="BV206" s="60">
        <f t="shared" ref="BV206:BV211" si="1558">+(Z205+Z206)/(2*$U206)</f>
        <v>5.1530075393467253E-6</v>
      </c>
      <c r="BW206" s="60">
        <f t="shared" ref="BW206:BW211" si="1559">+(AA205+AA206)/(2*$U206)</f>
        <v>3.98186946222247E-5</v>
      </c>
      <c r="BX206" s="60">
        <f t="shared" ref="BX206:BX211" si="1560">+(AB205+AB206)/(2*$U206)</f>
        <v>2.998113477438095E-6</v>
      </c>
      <c r="BY206" s="60">
        <f t="shared" ref="BY206:BY211" si="1561">+(AC205+AC206)/(2*$U206)</f>
        <v>1.3538356171556397E-4</v>
      </c>
      <c r="BZ206" s="60">
        <f t="shared" ref="BZ206:BZ211" si="1562">+(AD205+AD206)/(2*$U206)</f>
        <v>1.2835673325281844E-5</v>
      </c>
      <c r="CA206" s="60">
        <f t="shared" ref="CA206:CA211" si="1563">+(AE205+AE206)/(2*$U206)</f>
        <v>2.6233492927583329E-6</v>
      </c>
      <c r="CB206" s="60">
        <f t="shared" ref="CB206:CB211" si="1564">+(AF205+AF206)/(2*$U206)</f>
        <v>5.2729320784442491E-4</v>
      </c>
      <c r="CC206" s="60">
        <f t="shared" ref="CC206:CC211" si="1565">+(AG205+AG206)/(2*$U206)</f>
        <v>1.2086144955922319E-5</v>
      </c>
      <c r="CD206" s="60">
        <f t="shared" ref="CD206:CD211" si="1566">+(AH205+AH206)/(2*$U206)</f>
        <v>8.9849713276972899E-5</v>
      </c>
      <c r="CE206" s="60">
        <f t="shared" ref="CE206:CE211" si="1567">+(AI205+AI206)/(2*$U206)</f>
        <v>2.1548940619086307E-6</v>
      </c>
      <c r="CF206" s="13">
        <f t="shared" ref="CF206:CF211" si="1568">+(AJ205+AJ206)/(2*$U206)</f>
        <v>5.9025359087062493E-6</v>
      </c>
    </row>
    <row r="207" spans="1:85" hidden="1" x14ac:dyDescent="0.25">
      <c r="A207" s="4" t="s">
        <v>4</v>
      </c>
      <c r="B207" s="56">
        <v>4328734.7335640304</v>
      </c>
      <c r="C207" s="57">
        <v>101</v>
      </c>
      <c r="D207" s="57">
        <v>34</v>
      </c>
      <c r="E207" s="57">
        <v>66</v>
      </c>
      <c r="F207" s="57">
        <v>36</v>
      </c>
      <c r="G207" s="57">
        <v>71</v>
      </c>
      <c r="H207" s="57">
        <v>301</v>
      </c>
      <c r="I207" s="57">
        <v>64</v>
      </c>
      <c r="J207" s="57">
        <v>1352</v>
      </c>
      <c r="K207" s="57">
        <v>1694</v>
      </c>
      <c r="L207" s="57">
        <v>51</v>
      </c>
      <c r="M207" s="57">
        <v>0</v>
      </c>
      <c r="N207" s="57">
        <v>33</v>
      </c>
      <c r="O207" s="57">
        <v>90</v>
      </c>
      <c r="P207" s="57">
        <v>47</v>
      </c>
      <c r="Q207" s="57">
        <v>27</v>
      </c>
      <c r="S207" s="4">
        <f t="shared" si="1546"/>
        <v>1996</v>
      </c>
      <c r="T207" s="4" t="str">
        <f t="shared" si="1547"/>
        <v>15-24</v>
      </c>
      <c r="U207" s="56">
        <f t="shared" si="1548"/>
        <v>4328734.7335640304</v>
      </c>
      <c r="V207" s="4">
        <f t="shared" si="1549"/>
        <v>101</v>
      </c>
      <c r="W207" s="4">
        <f t="shared" si="1490"/>
        <v>34</v>
      </c>
      <c r="X207" s="4">
        <f t="shared" si="1491"/>
        <v>66</v>
      </c>
      <c r="Y207" s="4">
        <f t="shared" si="1492"/>
        <v>36</v>
      </c>
      <c r="Z207" s="4">
        <f t="shared" si="1493"/>
        <v>71</v>
      </c>
      <c r="AA207" s="4">
        <f t="shared" si="1494"/>
        <v>301</v>
      </c>
      <c r="AB207" s="4">
        <f t="shared" si="1495"/>
        <v>64</v>
      </c>
      <c r="AC207" s="4">
        <f t="shared" si="1496"/>
        <v>1352</v>
      </c>
      <c r="AD207" s="4">
        <f t="shared" si="1497"/>
        <v>1694</v>
      </c>
      <c r="AE207" s="4">
        <f t="shared" si="1498"/>
        <v>51</v>
      </c>
      <c r="AF207" s="4">
        <f t="shared" si="1499"/>
        <v>0</v>
      </c>
      <c r="AG207" s="4">
        <f t="shared" si="1500"/>
        <v>33</v>
      </c>
      <c r="AH207" s="4">
        <f t="shared" si="1501"/>
        <v>90</v>
      </c>
      <c r="AI207" s="4">
        <f t="shared" si="1502"/>
        <v>47</v>
      </c>
      <c r="AJ207" s="4">
        <f t="shared" si="1503"/>
        <v>27</v>
      </c>
      <c r="AK207" s="4">
        <f t="shared" si="1550"/>
        <v>3967</v>
      </c>
      <c r="AL207" s="58">
        <f t="shared" si="1551"/>
        <v>2.3332453064603114E-5</v>
      </c>
      <c r="AM207" s="58">
        <f t="shared" si="1504"/>
        <v>7.8544891504604536E-6</v>
      </c>
      <c r="AN207" s="58">
        <f t="shared" si="1505"/>
        <v>1.5246949527364411E-5</v>
      </c>
      <c r="AO207" s="58">
        <f t="shared" si="1506"/>
        <v>8.3165179240169518E-6</v>
      </c>
      <c r="AP207" s="58">
        <f t="shared" si="1507"/>
        <v>1.6402021461255655E-5</v>
      </c>
      <c r="AQ207" s="58">
        <f t="shared" si="1508"/>
        <v>6.9535330420252836E-5</v>
      </c>
      <c r="AR207" s="58">
        <f t="shared" si="1509"/>
        <v>1.4784920753807913E-5</v>
      </c>
      <c r="AS207" s="58">
        <f t="shared" si="1510"/>
        <v>3.1233145092419214E-4</v>
      </c>
      <c r="AT207" s="58">
        <f t="shared" si="1511"/>
        <v>3.9133837120235322E-4</v>
      </c>
      <c r="AU207" s="58">
        <f t="shared" si="1512"/>
        <v>1.1781733725690681E-5</v>
      </c>
      <c r="AV207" s="58">
        <f t="shared" si="1513"/>
        <v>0</v>
      </c>
      <c r="AW207" s="58">
        <f t="shared" si="1514"/>
        <v>7.6234747636822054E-6</v>
      </c>
      <c r="AX207" s="58">
        <f t="shared" si="1515"/>
        <v>2.0791294810042377E-5</v>
      </c>
      <c r="AY207" s="58">
        <f t="shared" si="1516"/>
        <v>1.0857676178577687E-5</v>
      </c>
      <c r="AZ207" s="58">
        <f t="shared" si="1517"/>
        <v>6.2373884430127134E-6</v>
      </c>
      <c r="BA207" s="58">
        <f t="shared" si="1552"/>
        <v>9.1643407234931235E-4</v>
      </c>
      <c r="BB207" s="4">
        <f t="shared" si="1553"/>
        <v>4326751.2335640304</v>
      </c>
      <c r="BC207" s="59">
        <f t="shared" si="1518"/>
        <v>2.3343149293287266E-5</v>
      </c>
      <c r="BD207" s="59">
        <f t="shared" si="1554"/>
        <v>7.8580898611066048E-6</v>
      </c>
      <c r="BE207" s="59">
        <f t="shared" si="1519"/>
        <v>1.5253939142148115E-5</v>
      </c>
      <c r="BF207" s="59">
        <f t="shared" si="1520"/>
        <v>8.3203304411716991E-6</v>
      </c>
      <c r="BG207" s="59">
        <f t="shared" si="1521"/>
        <v>1.640954059231085E-5</v>
      </c>
      <c r="BH207" s="59">
        <f t="shared" si="1522"/>
        <v>6.9567207299796693E-5</v>
      </c>
      <c r="BI207" s="59">
        <f t="shared" si="1523"/>
        <v>1.4791698562083019E-5</v>
      </c>
      <c r="BJ207" s="59">
        <f t="shared" si="1524"/>
        <v>3.1247463212400378E-4</v>
      </c>
      <c r="BK207" s="59">
        <f t="shared" si="1525"/>
        <v>3.9151777131513494E-4</v>
      </c>
      <c r="BL207" s="59">
        <f t="shared" si="1526"/>
        <v>1.1787134791659907E-5</v>
      </c>
      <c r="BM207" s="59">
        <f t="shared" si="1527"/>
        <v>0</v>
      </c>
      <c r="BN207" s="59">
        <f t="shared" si="1528"/>
        <v>7.6269695710740576E-6</v>
      </c>
      <c r="BO207" s="59">
        <f t="shared" ref="BO207:BO211" si="1569">+AX207/(1-(0.5*$BA207))</f>
        <v>2.0800826102929245E-5</v>
      </c>
      <c r="BP207" s="59">
        <f t="shared" si="1530"/>
        <v>1.0862653631529719E-5</v>
      </c>
      <c r="BQ207" s="59">
        <f t="shared" si="1531"/>
        <v>6.2402478308787739E-6</v>
      </c>
      <c r="BR207" s="60">
        <f t="shared" ref="BR207:BR211" si="1570">+(V206+V207)/(2*$U207)</f>
        <v>1.7441586201757774E-5</v>
      </c>
      <c r="BS207" s="60">
        <f t="shared" si="1555"/>
        <v>6.0063740562344643E-6</v>
      </c>
      <c r="BT207" s="60">
        <f t="shared" si="1556"/>
        <v>2.1599845163766247E-5</v>
      </c>
      <c r="BU207" s="60">
        <f t="shared" si="1557"/>
        <v>1.3283327239749297E-5</v>
      </c>
      <c r="BV207" s="60">
        <f t="shared" si="1558"/>
        <v>1.0280140211632064E-5</v>
      </c>
      <c r="BW207" s="60">
        <f t="shared" si="1559"/>
        <v>6.5492578651633488E-5</v>
      </c>
      <c r="BX207" s="60">
        <f t="shared" si="1560"/>
        <v>9.4715898579081938E-6</v>
      </c>
      <c r="BY207" s="60">
        <f t="shared" si="1561"/>
        <v>2.3228496590552901E-4</v>
      </c>
      <c r="BZ207" s="60">
        <f t="shared" si="1562"/>
        <v>2.0779744090703467E-4</v>
      </c>
      <c r="CA207" s="60">
        <f t="shared" si="1563"/>
        <v>7.7389819570713291E-6</v>
      </c>
      <c r="CB207" s="60">
        <f t="shared" si="1564"/>
        <v>2.3101438677824863E-7</v>
      </c>
      <c r="CC207" s="60">
        <f t="shared" si="1565"/>
        <v>5.544345282677967E-6</v>
      </c>
      <c r="CD207" s="60">
        <f t="shared" si="1566"/>
        <v>1.9867237262929384E-5</v>
      </c>
      <c r="CE207" s="60">
        <f t="shared" si="1567"/>
        <v>5.6598524760670916E-6</v>
      </c>
      <c r="CF207" s="13">
        <f t="shared" si="1568"/>
        <v>7.0459387967365835E-6</v>
      </c>
    </row>
    <row r="208" spans="1:85" hidden="1" x14ac:dyDescent="0.25">
      <c r="A208" s="4" t="s">
        <v>3</v>
      </c>
      <c r="B208" s="56">
        <v>6500086.9398599695</v>
      </c>
      <c r="C208" s="57">
        <v>1265</v>
      </c>
      <c r="D208" s="57">
        <v>267</v>
      </c>
      <c r="E208" s="57">
        <v>94</v>
      </c>
      <c r="F208" s="57">
        <v>65</v>
      </c>
      <c r="G208" s="57">
        <v>232</v>
      </c>
      <c r="H208" s="57">
        <v>1734</v>
      </c>
      <c r="I208" s="57">
        <v>517</v>
      </c>
      <c r="J208" s="57">
        <v>2393</v>
      </c>
      <c r="K208" s="57">
        <v>1811</v>
      </c>
      <c r="L208" s="57">
        <v>272</v>
      </c>
      <c r="M208" s="57">
        <v>1</v>
      </c>
      <c r="N208" s="57">
        <v>99</v>
      </c>
      <c r="O208" s="57">
        <v>191</v>
      </c>
      <c r="P208" s="57">
        <v>719</v>
      </c>
      <c r="Q208" s="57">
        <v>111</v>
      </c>
      <c r="S208" s="4">
        <f t="shared" si="1546"/>
        <v>1996</v>
      </c>
      <c r="T208" s="4" t="str">
        <f t="shared" si="1547"/>
        <v>25-44</v>
      </c>
      <c r="U208" s="56">
        <f t="shared" si="1548"/>
        <v>6500086.9398599695</v>
      </c>
      <c r="V208" s="4">
        <f t="shared" si="1549"/>
        <v>1265</v>
      </c>
      <c r="W208" s="4">
        <f t="shared" si="1490"/>
        <v>267</v>
      </c>
      <c r="X208" s="4">
        <f t="shared" si="1491"/>
        <v>94</v>
      </c>
      <c r="Y208" s="4">
        <f t="shared" si="1492"/>
        <v>65</v>
      </c>
      <c r="Z208" s="4">
        <f t="shared" si="1493"/>
        <v>232</v>
      </c>
      <c r="AA208" s="4">
        <f t="shared" si="1494"/>
        <v>1734</v>
      </c>
      <c r="AB208" s="4">
        <f t="shared" si="1495"/>
        <v>517</v>
      </c>
      <c r="AC208" s="4">
        <f t="shared" si="1496"/>
        <v>2393</v>
      </c>
      <c r="AD208" s="4">
        <f t="shared" si="1497"/>
        <v>1811</v>
      </c>
      <c r="AE208" s="4">
        <f t="shared" si="1498"/>
        <v>272</v>
      </c>
      <c r="AF208" s="4">
        <f t="shared" si="1499"/>
        <v>1</v>
      </c>
      <c r="AG208" s="4">
        <f t="shared" si="1500"/>
        <v>99</v>
      </c>
      <c r="AH208" s="4">
        <f t="shared" si="1501"/>
        <v>191</v>
      </c>
      <c r="AI208" s="4">
        <f t="shared" si="1502"/>
        <v>719</v>
      </c>
      <c r="AJ208" s="4">
        <f t="shared" si="1503"/>
        <v>111</v>
      </c>
      <c r="AK208" s="4">
        <f t="shared" si="1550"/>
        <v>9771</v>
      </c>
      <c r="AL208" s="58">
        <f t="shared" si="1551"/>
        <v>1.9461278159877223E-4</v>
      </c>
      <c r="AM208" s="58">
        <f t="shared" si="1504"/>
        <v>4.107637366551161E-5</v>
      </c>
      <c r="AN208" s="58">
        <f t="shared" si="1505"/>
        <v>1.4461345035798096E-5</v>
      </c>
      <c r="AO208" s="58">
        <f t="shared" si="1506"/>
        <v>9.9998662481582572E-6</v>
      </c>
      <c r="AP208" s="58">
        <f t="shared" si="1507"/>
        <v>3.56918303011187E-5</v>
      </c>
      <c r="AQ208" s="58">
        <f t="shared" si="1508"/>
        <v>2.6676566268163718E-4</v>
      </c>
      <c r="AR208" s="58">
        <f t="shared" si="1509"/>
        <v>7.953739769688952E-5</v>
      </c>
      <c r="AS208" s="58">
        <f t="shared" si="1510"/>
        <v>3.6814892202834939E-4</v>
      </c>
      <c r="AT208" s="58">
        <f t="shared" si="1511"/>
        <v>2.7861165808330162E-4</v>
      </c>
      <c r="AU208" s="58">
        <f t="shared" si="1512"/>
        <v>4.1845594146139165E-5</v>
      </c>
      <c r="AV208" s="58">
        <f t="shared" si="1513"/>
        <v>1.5384409612551164E-7</v>
      </c>
      <c r="AW208" s="58">
        <f t="shared" si="1514"/>
        <v>1.5230565516425653E-5</v>
      </c>
      <c r="AX208" s="58">
        <f t="shared" si="1515"/>
        <v>2.9384222359972725E-5</v>
      </c>
      <c r="AY208" s="58">
        <f t="shared" si="1516"/>
        <v>1.1061390511424288E-4</v>
      </c>
      <c r="AZ208" s="58">
        <f t="shared" si="1517"/>
        <v>1.7076694669931794E-5</v>
      </c>
      <c r="BA208" s="58">
        <f t="shared" si="1552"/>
        <v>1.5032106632423743E-3</v>
      </c>
      <c r="BB208" s="4">
        <f t="shared" si="1553"/>
        <v>6495201.4398599695</v>
      </c>
      <c r="BC208" s="59">
        <f t="shared" si="1518"/>
        <v>1.9475916362453452E-4</v>
      </c>
      <c r="BD208" s="59">
        <f t="shared" si="1554"/>
        <v>4.1107270108893847E-5</v>
      </c>
      <c r="BE208" s="59">
        <f t="shared" si="1519"/>
        <v>1.4472222435340906E-5</v>
      </c>
      <c r="BF208" s="59">
        <f t="shared" si="1520"/>
        <v>1.0007387854225095E-5</v>
      </c>
      <c r="BG208" s="59">
        <f t="shared" si="1521"/>
        <v>3.5718676648926485E-5</v>
      </c>
      <c r="BH208" s="59">
        <f t="shared" si="1522"/>
        <v>2.6696631598809712E-4</v>
      </c>
      <c r="BI208" s="59">
        <f t="shared" si="1523"/>
        <v>7.9597223394374983E-5</v>
      </c>
      <c r="BJ208" s="59">
        <f t="shared" si="1524"/>
        <v>3.6842583284862543E-4</v>
      </c>
      <c r="BK208" s="59">
        <f t="shared" si="1525"/>
        <v>2.7882122160002534E-4</v>
      </c>
      <c r="BL208" s="59">
        <f t="shared" si="1526"/>
        <v>4.187706917460347E-5</v>
      </c>
      <c r="BM208" s="59">
        <f t="shared" si="1527"/>
        <v>1.5395981314192452E-7</v>
      </c>
      <c r="BN208" s="59">
        <f t="shared" si="1528"/>
        <v>1.5242021501050527E-5</v>
      </c>
      <c r="BO208" s="59">
        <f t="shared" si="1569"/>
        <v>2.9406324310107584E-5</v>
      </c>
      <c r="BP208" s="59">
        <f t="shared" si="1530"/>
        <v>1.1069710564904374E-4</v>
      </c>
      <c r="BQ208" s="59">
        <f t="shared" si="1531"/>
        <v>1.7089539258753623E-5</v>
      </c>
      <c r="BR208" s="60">
        <f t="shared" si="1570"/>
        <v>1.0507551765372446E-4</v>
      </c>
      <c r="BS208" s="60">
        <f t="shared" si="1555"/>
        <v>2.3153536466889503E-5</v>
      </c>
      <c r="BT208" s="60">
        <f t="shared" si="1556"/>
        <v>1.2307527690040933E-5</v>
      </c>
      <c r="BU208" s="60">
        <f t="shared" si="1557"/>
        <v>7.7691268543383381E-6</v>
      </c>
      <c r="BV208" s="60">
        <f t="shared" si="1558"/>
        <v>2.3307380563015016E-5</v>
      </c>
      <c r="BW208" s="60">
        <f t="shared" si="1559"/>
        <v>1.565363678077081E-4</v>
      </c>
      <c r="BX208" s="60">
        <f t="shared" si="1560"/>
        <v>4.4691709924461133E-5</v>
      </c>
      <c r="BY208" s="60">
        <f t="shared" si="1561"/>
        <v>2.8807306999502054E-4</v>
      </c>
      <c r="BZ208" s="60">
        <f t="shared" si="1562"/>
        <v>2.6961177845995915E-4</v>
      </c>
      <c r="CA208" s="60">
        <f t="shared" si="1563"/>
        <v>2.4845821524270131E-5</v>
      </c>
      <c r="CB208" s="60">
        <f t="shared" si="1564"/>
        <v>7.6922048062755818E-8</v>
      </c>
      <c r="CC208" s="60">
        <f t="shared" si="1565"/>
        <v>1.0153710344283768E-5</v>
      </c>
      <c r="CD208" s="60">
        <f t="shared" si="1566"/>
        <v>2.1615095505634385E-5</v>
      </c>
      <c r="CE208" s="60">
        <f t="shared" si="1567"/>
        <v>5.8922288816070963E-5</v>
      </c>
      <c r="CF208" s="13">
        <f t="shared" si="1568"/>
        <v>1.0615242632660304E-5</v>
      </c>
    </row>
    <row r="209" spans="1:85" hidden="1" x14ac:dyDescent="0.25">
      <c r="A209" s="4" t="s">
        <v>2</v>
      </c>
      <c r="B209" s="56">
        <v>2862216.4853526298</v>
      </c>
      <c r="C209" s="57">
        <v>5170</v>
      </c>
      <c r="D209" s="57">
        <v>791</v>
      </c>
      <c r="E209" s="57">
        <v>38</v>
      </c>
      <c r="F209" s="57">
        <v>151</v>
      </c>
      <c r="G209" s="57">
        <v>387</v>
      </c>
      <c r="H209" s="57">
        <v>4424</v>
      </c>
      <c r="I209" s="57">
        <v>1783</v>
      </c>
      <c r="J209" s="57">
        <v>1078</v>
      </c>
      <c r="K209" s="57">
        <v>502</v>
      </c>
      <c r="L209" s="57">
        <v>1450</v>
      </c>
      <c r="M209" s="57">
        <v>0</v>
      </c>
      <c r="N209" s="57">
        <v>427</v>
      </c>
      <c r="O209" s="57">
        <v>247</v>
      </c>
      <c r="P209" s="57">
        <v>130</v>
      </c>
      <c r="Q209" s="57">
        <v>206</v>
      </c>
      <c r="S209" s="4">
        <f t="shared" si="1546"/>
        <v>1996</v>
      </c>
      <c r="T209" s="4" t="str">
        <f t="shared" si="1547"/>
        <v>45-64</v>
      </c>
      <c r="U209" s="56">
        <f t="shared" si="1548"/>
        <v>2862216.4853526298</v>
      </c>
      <c r="V209" s="4">
        <f t="shared" si="1549"/>
        <v>5170</v>
      </c>
      <c r="W209" s="4">
        <f t="shared" si="1490"/>
        <v>791</v>
      </c>
      <c r="X209" s="4">
        <f t="shared" si="1491"/>
        <v>38</v>
      </c>
      <c r="Y209" s="4">
        <f t="shared" si="1492"/>
        <v>151</v>
      </c>
      <c r="Z209" s="4">
        <f t="shared" si="1493"/>
        <v>387</v>
      </c>
      <c r="AA209" s="4">
        <f t="shared" si="1494"/>
        <v>4424</v>
      </c>
      <c r="AB209" s="4">
        <f t="shared" si="1495"/>
        <v>1783</v>
      </c>
      <c r="AC209" s="4">
        <f t="shared" si="1496"/>
        <v>1078</v>
      </c>
      <c r="AD209" s="4">
        <f t="shared" si="1497"/>
        <v>502</v>
      </c>
      <c r="AE209" s="4">
        <f t="shared" si="1498"/>
        <v>1450</v>
      </c>
      <c r="AF209" s="4">
        <f t="shared" si="1499"/>
        <v>0</v>
      </c>
      <c r="AG209" s="4">
        <f t="shared" si="1500"/>
        <v>427</v>
      </c>
      <c r="AH209" s="4">
        <f t="shared" si="1501"/>
        <v>247</v>
      </c>
      <c r="AI209" s="4">
        <f t="shared" si="1502"/>
        <v>130</v>
      </c>
      <c r="AJ209" s="4">
        <f t="shared" si="1503"/>
        <v>206</v>
      </c>
      <c r="AK209" s="4">
        <f t="shared" si="1550"/>
        <v>16784</v>
      </c>
      <c r="AL209" s="58">
        <f t="shared" si="1551"/>
        <v>1.8062924403019248E-3</v>
      </c>
      <c r="AM209" s="58">
        <f t="shared" si="1504"/>
        <v>2.7635924957037186E-4</v>
      </c>
      <c r="AN209" s="58">
        <f t="shared" si="1505"/>
        <v>1.3276424126010279E-5</v>
      </c>
      <c r="AO209" s="58">
        <f t="shared" si="1506"/>
        <v>5.2756316921777688E-5</v>
      </c>
      <c r="AP209" s="58">
        <f t="shared" si="1507"/>
        <v>1.3520989833594679E-4</v>
      </c>
      <c r="AQ209" s="58">
        <f t="shared" si="1508"/>
        <v>1.5456552719334072E-3</v>
      </c>
      <c r="AR209" s="58">
        <f t="shared" si="1509"/>
        <v>6.229437951756928E-4</v>
      </c>
      <c r="AS209" s="58">
        <f t="shared" si="1510"/>
        <v>3.7663118967997582E-4</v>
      </c>
      <c r="AT209" s="58">
        <f t="shared" si="1511"/>
        <v>1.7538855029624104E-4</v>
      </c>
      <c r="AU209" s="58">
        <f t="shared" si="1512"/>
        <v>5.0660039428197118E-4</v>
      </c>
      <c r="AV209" s="58">
        <f t="shared" si="1513"/>
        <v>0</v>
      </c>
      <c r="AW209" s="58">
        <f t="shared" si="1514"/>
        <v>1.4918508162648392E-4</v>
      </c>
      <c r="AX209" s="58">
        <f t="shared" si="1515"/>
        <v>8.6296756819066809E-5</v>
      </c>
      <c r="AY209" s="58">
        <f t="shared" si="1516"/>
        <v>4.541934569424569E-5</v>
      </c>
      <c r="AZ209" s="58">
        <f t="shared" si="1517"/>
        <v>7.1972193946266255E-5</v>
      </c>
      <c r="BA209" s="58">
        <f t="shared" si="1552"/>
        <v>5.8639869087093819E-3</v>
      </c>
      <c r="BB209" s="4">
        <f t="shared" si="1553"/>
        <v>2853824.4853526298</v>
      </c>
      <c r="BC209" s="59">
        <f t="shared" si="1518"/>
        <v>1.8116040515228724E-3</v>
      </c>
      <c r="BD209" s="59">
        <f t="shared" si="1554"/>
        <v>2.7717191581326728E-4</v>
      </c>
      <c r="BE209" s="59">
        <f t="shared" si="1519"/>
        <v>1.3315464982179718E-5</v>
      </c>
      <c r="BF209" s="59">
        <f t="shared" si="1520"/>
        <v>5.2911452955503619E-5</v>
      </c>
      <c r="BG209" s="59">
        <f t="shared" si="1521"/>
        <v>1.3560749863430398E-4</v>
      </c>
      <c r="BH209" s="59">
        <f t="shared" si="1522"/>
        <v>1.5502004495042915E-3</v>
      </c>
      <c r="BI209" s="59">
        <f t="shared" si="1523"/>
        <v>6.2477563324280102E-4</v>
      </c>
      <c r="BJ209" s="59">
        <f t="shared" si="1524"/>
        <v>3.7773871712604574E-4</v>
      </c>
      <c r="BK209" s="59">
        <f t="shared" si="1525"/>
        <v>1.7590430055405837E-4</v>
      </c>
      <c r="BL209" s="59">
        <f t="shared" si="1526"/>
        <v>5.0809011116212085E-4</v>
      </c>
      <c r="BM209" s="59">
        <f t="shared" si="1527"/>
        <v>0</v>
      </c>
      <c r="BN209" s="59">
        <f t="shared" si="1528"/>
        <v>1.4962377756291422E-4</v>
      </c>
      <c r="BO209" s="59">
        <f t="shared" si="1569"/>
        <v>8.6550522384168166E-5</v>
      </c>
      <c r="BP209" s="59">
        <f t="shared" si="1530"/>
        <v>4.5552906517983245E-5</v>
      </c>
      <c r="BQ209" s="59">
        <f t="shared" si="1531"/>
        <v>7.2183836482342698E-5</v>
      </c>
      <c r="BR209" s="60">
        <f t="shared" si="1570"/>
        <v>1.1241288059325809E-3</v>
      </c>
      <c r="BS209" s="60">
        <f t="shared" si="1555"/>
        <v>1.8482179901735361E-4</v>
      </c>
      <c r="BT209" s="60">
        <f t="shared" si="1556"/>
        <v>2.3059052429386273E-5</v>
      </c>
      <c r="BU209" s="60">
        <f t="shared" si="1557"/>
        <v>3.7732994884450265E-5</v>
      </c>
      <c r="BV209" s="60">
        <f t="shared" si="1558"/>
        <v>1.0813298071053108E-4</v>
      </c>
      <c r="BW209" s="60">
        <f t="shared" si="1559"/>
        <v>1.0757397337890959E-3</v>
      </c>
      <c r="BX209" s="60">
        <f t="shared" si="1560"/>
        <v>4.0178651960294265E-4</v>
      </c>
      <c r="BY209" s="60">
        <f t="shared" si="1561"/>
        <v>6.0634826501817997E-4</v>
      </c>
      <c r="BZ209" s="60">
        <f t="shared" si="1562"/>
        <v>4.0405748688765491E-4</v>
      </c>
      <c r="CA209" s="60">
        <f t="shared" si="1563"/>
        <v>3.0081582032881184E-4</v>
      </c>
      <c r="CB209" s="60">
        <f t="shared" si="1564"/>
        <v>1.746897911317142E-7</v>
      </c>
      <c r="CC209" s="60">
        <f t="shared" si="1565"/>
        <v>9.1886830135281663E-5</v>
      </c>
      <c r="CD209" s="60">
        <f t="shared" si="1566"/>
        <v>7.6514128515690812E-5</v>
      </c>
      <c r="CE209" s="60">
        <f t="shared" si="1567"/>
        <v>1.4831163267082535E-4</v>
      </c>
      <c r="CF209" s="13">
        <f t="shared" si="1568"/>
        <v>5.5376663788753401E-5</v>
      </c>
    </row>
    <row r="210" spans="1:85" hidden="1" x14ac:dyDescent="0.25">
      <c r="A210" s="4" t="s">
        <v>1</v>
      </c>
      <c r="B210" s="56">
        <v>710343.28776711202</v>
      </c>
      <c r="C210" s="57">
        <v>5212</v>
      </c>
      <c r="D210" s="57">
        <v>406</v>
      </c>
      <c r="E210" s="57">
        <v>24</v>
      </c>
      <c r="F210" s="57">
        <v>146</v>
      </c>
      <c r="G210" s="57">
        <v>319</v>
      </c>
      <c r="H210" s="57">
        <v>3335</v>
      </c>
      <c r="I210" s="57">
        <v>1780</v>
      </c>
      <c r="J210" s="57">
        <v>380</v>
      </c>
      <c r="K210" s="57">
        <v>125</v>
      </c>
      <c r="L210" s="57">
        <v>1343</v>
      </c>
      <c r="M210" s="57">
        <v>0</v>
      </c>
      <c r="N210" s="57">
        <v>576</v>
      </c>
      <c r="O210" s="57">
        <v>226</v>
      </c>
      <c r="P210" s="57">
        <v>5</v>
      </c>
      <c r="Q210" s="57">
        <v>161</v>
      </c>
      <c r="S210" s="4">
        <f t="shared" si="1546"/>
        <v>1996</v>
      </c>
      <c r="T210" s="4" t="str">
        <f t="shared" si="1547"/>
        <v>65-74</v>
      </c>
      <c r="U210" s="56">
        <f t="shared" si="1548"/>
        <v>710343.28776711202</v>
      </c>
      <c r="V210" s="4">
        <f t="shared" si="1549"/>
        <v>5212</v>
      </c>
      <c r="W210" s="4">
        <f t="shared" si="1490"/>
        <v>406</v>
      </c>
      <c r="X210" s="4">
        <f t="shared" si="1491"/>
        <v>24</v>
      </c>
      <c r="Y210" s="4">
        <f t="shared" si="1492"/>
        <v>146</v>
      </c>
      <c r="Z210" s="4">
        <f t="shared" si="1493"/>
        <v>319</v>
      </c>
      <c r="AA210" s="4">
        <f t="shared" si="1494"/>
        <v>3335</v>
      </c>
      <c r="AB210" s="4">
        <f t="shared" si="1495"/>
        <v>1780</v>
      </c>
      <c r="AC210" s="4">
        <f t="shared" si="1496"/>
        <v>380</v>
      </c>
      <c r="AD210" s="4">
        <f t="shared" si="1497"/>
        <v>125</v>
      </c>
      <c r="AE210" s="4">
        <f t="shared" si="1498"/>
        <v>1343</v>
      </c>
      <c r="AF210" s="4">
        <f t="shared" si="1499"/>
        <v>0</v>
      </c>
      <c r="AG210" s="4">
        <f t="shared" si="1500"/>
        <v>576</v>
      </c>
      <c r="AH210" s="4">
        <f t="shared" si="1501"/>
        <v>226</v>
      </c>
      <c r="AI210" s="4">
        <f t="shared" si="1502"/>
        <v>5</v>
      </c>
      <c r="AJ210" s="4">
        <f t="shared" si="1503"/>
        <v>161</v>
      </c>
      <c r="AK210" s="4">
        <f t="shared" si="1550"/>
        <v>14038</v>
      </c>
      <c r="AL210" s="58">
        <f t="shared" si="1551"/>
        <v>7.3372974585053981E-3</v>
      </c>
      <c r="AM210" s="58">
        <f t="shared" si="1504"/>
        <v>5.7155463702095004E-4</v>
      </c>
      <c r="AN210" s="58">
        <f t="shared" si="1505"/>
        <v>3.3786481006164537E-5</v>
      </c>
      <c r="AO210" s="58">
        <f t="shared" si="1506"/>
        <v>2.0553442612083426E-4</v>
      </c>
      <c r="AP210" s="58">
        <f t="shared" si="1507"/>
        <v>4.4907864337360363E-4</v>
      </c>
      <c r="AQ210" s="58">
        <f t="shared" si="1508"/>
        <v>4.6949130898149474E-3</v>
      </c>
      <c r="AR210" s="58">
        <f t="shared" si="1509"/>
        <v>2.5058306746238699E-3</v>
      </c>
      <c r="AS210" s="58">
        <f t="shared" si="1510"/>
        <v>5.3495261593093852E-4</v>
      </c>
      <c r="AT210" s="58">
        <f t="shared" si="1511"/>
        <v>1.759712552404403E-4</v>
      </c>
      <c r="AU210" s="58">
        <f t="shared" si="1512"/>
        <v>1.8906351663032905E-3</v>
      </c>
      <c r="AV210" s="58">
        <f t="shared" si="1513"/>
        <v>0</v>
      </c>
      <c r="AW210" s="58">
        <f t="shared" si="1514"/>
        <v>8.1087554414794889E-4</v>
      </c>
      <c r="AX210" s="58">
        <f t="shared" si="1515"/>
        <v>3.1815602947471606E-4</v>
      </c>
      <c r="AY210" s="58">
        <f t="shared" si="1516"/>
        <v>7.0388502096176121E-6</v>
      </c>
      <c r="AZ210" s="58">
        <f t="shared" si="1517"/>
        <v>2.2665097674968711E-4</v>
      </c>
      <c r="BA210" s="58">
        <f t="shared" si="1552"/>
        <v>1.9762275848522408E-2</v>
      </c>
      <c r="BB210" s="4">
        <f t="shared" si="1553"/>
        <v>703324.28776711202</v>
      </c>
      <c r="BC210" s="59">
        <f t="shared" si="1518"/>
        <v>7.4105218469660197E-3</v>
      </c>
      <c r="BD210" s="59">
        <f t="shared" si="1554"/>
        <v>5.772586089539916E-4</v>
      </c>
      <c r="BE210" s="59">
        <f t="shared" si="1519"/>
        <v>3.4123661613043836E-5</v>
      </c>
      <c r="BF210" s="59">
        <f t="shared" si="1520"/>
        <v>2.0758560814601668E-4</v>
      </c>
      <c r="BG210" s="59">
        <f t="shared" si="1521"/>
        <v>4.5356033560670767E-4</v>
      </c>
      <c r="BH210" s="59">
        <f t="shared" si="1522"/>
        <v>4.741767144979217E-3</v>
      </c>
      <c r="BI210" s="59">
        <f t="shared" si="1523"/>
        <v>2.5308382363007516E-3</v>
      </c>
      <c r="BJ210" s="59">
        <f t="shared" si="1524"/>
        <v>5.4029130887319409E-4</v>
      </c>
      <c r="BK210" s="59">
        <f t="shared" si="1525"/>
        <v>1.7772740423460334E-4</v>
      </c>
      <c r="BL210" s="59">
        <f t="shared" si="1526"/>
        <v>1.909503231096578E-3</v>
      </c>
      <c r="BM210" s="59">
        <f t="shared" si="1527"/>
        <v>0</v>
      </c>
      <c r="BN210" s="59">
        <f t="shared" si="1528"/>
        <v>8.1896787871305217E-4</v>
      </c>
      <c r="BO210" s="59">
        <f t="shared" si="1569"/>
        <v>3.2133114685616281E-4</v>
      </c>
      <c r="BP210" s="59">
        <f t="shared" si="1530"/>
        <v>7.1090961693841331E-6</v>
      </c>
      <c r="BQ210" s="59">
        <f t="shared" si="1531"/>
        <v>2.2891289665416908E-4</v>
      </c>
      <c r="BR210" s="60">
        <f t="shared" si="1570"/>
        <v>7.3077342876250043E-3</v>
      </c>
      <c r="BS210" s="60">
        <f t="shared" si="1555"/>
        <v>8.4255037009122813E-4</v>
      </c>
      <c r="BT210" s="60">
        <f t="shared" si="1556"/>
        <v>4.3640871299629196E-5</v>
      </c>
      <c r="BU210" s="60">
        <f t="shared" si="1557"/>
        <v>2.0905385122564307E-4</v>
      </c>
      <c r="BV210" s="60">
        <f t="shared" si="1558"/>
        <v>4.969428247990034E-4</v>
      </c>
      <c r="BW210" s="60">
        <f t="shared" si="1559"/>
        <v>5.461443877642305E-3</v>
      </c>
      <c r="BX210" s="60">
        <f t="shared" si="1560"/>
        <v>2.5079423296867549E-3</v>
      </c>
      <c r="BY210" s="60">
        <f t="shared" si="1561"/>
        <v>1.0262643605622478E-3</v>
      </c>
      <c r="BZ210" s="60">
        <f t="shared" si="1562"/>
        <v>4.4133590814302427E-4</v>
      </c>
      <c r="CA210" s="60">
        <f t="shared" si="1563"/>
        <v>1.9659508635461991E-3</v>
      </c>
      <c r="CB210" s="60">
        <f t="shared" si="1564"/>
        <v>0</v>
      </c>
      <c r="CC210" s="60">
        <f t="shared" si="1565"/>
        <v>7.0599667602464649E-4</v>
      </c>
      <c r="CD210" s="60">
        <f t="shared" si="1566"/>
        <v>3.3293761491491304E-4</v>
      </c>
      <c r="CE210" s="60">
        <f t="shared" si="1567"/>
        <v>9.5024477829837753E-5</v>
      </c>
      <c r="CF210" s="13">
        <f t="shared" si="1568"/>
        <v>2.5832580269296635E-4</v>
      </c>
    </row>
    <row r="211" spans="1:85" hidden="1" x14ac:dyDescent="0.25">
      <c r="A211" s="4" t="s">
        <v>0</v>
      </c>
      <c r="B211" s="56">
        <v>710343.28776711202</v>
      </c>
      <c r="C211" s="57">
        <v>9429</v>
      </c>
      <c r="D211" s="57">
        <v>279</v>
      </c>
      <c r="E211" s="57">
        <v>22</v>
      </c>
      <c r="F211" s="57">
        <v>432</v>
      </c>
      <c r="G211" s="57">
        <v>397</v>
      </c>
      <c r="H211" s="57">
        <v>3401</v>
      </c>
      <c r="I211" s="57">
        <v>3442</v>
      </c>
      <c r="J211" s="57">
        <v>534</v>
      </c>
      <c r="K211" s="57">
        <v>68</v>
      </c>
      <c r="L211" s="57">
        <v>1306</v>
      </c>
      <c r="M211" s="57">
        <v>14</v>
      </c>
      <c r="N211" s="57">
        <v>1141</v>
      </c>
      <c r="O211" s="57">
        <v>974</v>
      </c>
      <c r="P211" s="57">
        <v>7</v>
      </c>
      <c r="Q211" s="57">
        <v>178</v>
      </c>
      <c r="S211" s="4">
        <f t="shared" si="1546"/>
        <v>1996</v>
      </c>
      <c r="T211" s="4" t="str">
        <f t="shared" si="1547"/>
        <v>75+</v>
      </c>
      <c r="U211" s="56">
        <f t="shared" si="1548"/>
        <v>710343.28776711202</v>
      </c>
      <c r="V211" s="4">
        <f t="shared" si="1549"/>
        <v>9429</v>
      </c>
      <c r="W211" s="4">
        <f t="shared" si="1490"/>
        <v>279</v>
      </c>
      <c r="X211" s="4">
        <f t="shared" si="1491"/>
        <v>22</v>
      </c>
      <c r="Y211" s="4">
        <f t="shared" si="1492"/>
        <v>432</v>
      </c>
      <c r="Z211" s="4">
        <f t="shared" si="1493"/>
        <v>397</v>
      </c>
      <c r="AA211" s="4">
        <f t="shared" si="1494"/>
        <v>3401</v>
      </c>
      <c r="AB211" s="4">
        <f t="shared" si="1495"/>
        <v>3442</v>
      </c>
      <c r="AC211" s="4">
        <f t="shared" si="1496"/>
        <v>534</v>
      </c>
      <c r="AD211" s="4">
        <f t="shared" si="1497"/>
        <v>68</v>
      </c>
      <c r="AE211" s="4">
        <f t="shared" si="1498"/>
        <v>1306</v>
      </c>
      <c r="AF211" s="4">
        <f t="shared" si="1499"/>
        <v>14</v>
      </c>
      <c r="AG211" s="4">
        <f t="shared" si="1500"/>
        <v>1141</v>
      </c>
      <c r="AH211" s="4">
        <f t="shared" si="1501"/>
        <v>974</v>
      </c>
      <c r="AI211" s="4">
        <f t="shared" si="1502"/>
        <v>7</v>
      </c>
      <c r="AJ211" s="4">
        <f t="shared" si="1503"/>
        <v>178</v>
      </c>
      <c r="AK211" s="4">
        <f t="shared" si="1550"/>
        <v>21624</v>
      </c>
      <c r="AL211" s="58">
        <f t="shared" si="1551"/>
        <v>1.3273863725296892E-2</v>
      </c>
      <c r="AM211" s="58">
        <f t="shared" si="1504"/>
        <v>3.9276784169666276E-4</v>
      </c>
      <c r="AN211" s="58">
        <f t="shared" si="1505"/>
        <v>3.0970940922317494E-5</v>
      </c>
      <c r="AO211" s="58">
        <f t="shared" si="1506"/>
        <v>6.0815665811096166E-4</v>
      </c>
      <c r="AP211" s="58">
        <f t="shared" si="1507"/>
        <v>5.588847066436384E-4</v>
      </c>
      <c r="AQ211" s="58">
        <f t="shared" si="1508"/>
        <v>4.7878259125818997E-3</v>
      </c>
      <c r="AR211" s="58">
        <f t="shared" si="1509"/>
        <v>4.8455444843007638E-3</v>
      </c>
      <c r="AS211" s="58">
        <f t="shared" si="1510"/>
        <v>7.5174920238716097E-4</v>
      </c>
      <c r="AT211" s="58">
        <f t="shared" si="1511"/>
        <v>9.5728362850799526E-5</v>
      </c>
      <c r="AU211" s="58">
        <f t="shared" si="1512"/>
        <v>1.8385476747521201E-3</v>
      </c>
      <c r="AV211" s="58">
        <f t="shared" si="1513"/>
        <v>1.9708780586929314E-5</v>
      </c>
      <c r="AW211" s="58">
        <f t="shared" si="1514"/>
        <v>1.606265617834739E-3</v>
      </c>
      <c r="AX211" s="58">
        <f t="shared" si="1515"/>
        <v>1.3711680208335108E-3</v>
      </c>
      <c r="AY211" s="58">
        <f t="shared" si="1516"/>
        <v>9.8543902934646572E-6</v>
      </c>
      <c r="AZ211" s="58">
        <f t="shared" si="1517"/>
        <v>2.5058306746238699E-4</v>
      </c>
      <c r="BA211" s="58">
        <f t="shared" si="1552"/>
        <v>3.0441619386554247E-2</v>
      </c>
      <c r="BB211" s="4">
        <f t="shared" si="1553"/>
        <v>699531.28776711202</v>
      </c>
      <c r="BC211" s="59">
        <f t="shared" si="1518"/>
        <v>1.3479025405850185E-2</v>
      </c>
      <c r="BD211" s="59">
        <f t="shared" si="1554"/>
        <v>3.9883848639645793E-4</v>
      </c>
      <c r="BE211" s="59">
        <f t="shared" si="1519"/>
        <v>3.1449629751692027E-5</v>
      </c>
      <c r="BF211" s="59">
        <f t="shared" si="1520"/>
        <v>6.1755636603322511E-4</v>
      </c>
      <c r="BG211" s="59">
        <f t="shared" si="1521"/>
        <v>5.6752286415553336E-4</v>
      </c>
      <c r="BH211" s="59">
        <f t="shared" si="1522"/>
        <v>4.8618268538865713E-3</v>
      </c>
      <c r="BI211" s="59">
        <f t="shared" si="1523"/>
        <v>4.9204375275147243E-3</v>
      </c>
      <c r="BJ211" s="59">
        <f t="shared" si="1524"/>
        <v>7.6336828579107001E-4</v>
      </c>
      <c r="BK211" s="59">
        <f t="shared" si="1525"/>
        <v>9.7207946505229885E-5</v>
      </c>
      <c r="BL211" s="59">
        <f t="shared" si="1526"/>
        <v>1.8669643843504445E-3</v>
      </c>
      <c r="BM211" s="59">
        <f t="shared" si="1527"/>
        <v>2.0013400751076742E-5</v>
      </c>
      <c r="BN211" s="59">
        <f t="shared" si="1528"/>
        <v>1.6310921612127545E-3</v>
      </c>
      <c r="BO211" s="59">
        <f t="shared" si="1569"/>
        <v>1.3923608808249104E-3</v>
      </c>
      <c r="BP211" s="59">
        <f t="shared" si="1530"/>
        <v>1.0006700375538371E-5</v>
      </c>
      <c r="BQ211" s="59">
        <f t="shared" si="1531"/>
        <v>2.5445609526369002E-4</v>
      </c>
      <c r="BR211" s="60">
        <f t="shared" si="1570"/>
        <v>1.0305580591901146E-2</v>
      </c>
      <c r="BS211" s="60">
        <f t="shared" si="1555"/>
        <v>4.8216123935880642E-4</v>
      </c>
      <c r="BT211" s="60">
        <f t="shared" si="1556"/>
        <v>3.2378710964241012E-5</v>
      </c>
      <c r="BU211" s="60">
        <f t="shared" si="1557"/>
        <v>4.0684554211589799E-4</v>
      </c>
      <c r="BV211" s="60">
        <f t="shared" si="1558"/>
        <v>5.0398167500862096E-4</v>
      </c>
      <c r="BW211" s="60">
        <f t="shared" si="1559"/>
        <v>4.7413695011984235E-3</v>
      </c>
      <c r="BX211" s="60">
        <f t="shared" si="1560"/>
        <v>3.6756875794623171E-3</v>
      </c>
      <c r="BY211" s="60">
        <f t="shared" si="1561"/>
        <v>6.4335090915904969E-4</v>
      </c>
      <c r="BZ211" s="60">
        <f t="shared" si="1562"/>
        <v>1.3584980904561992E-4</v>
      </c>
      <c r="CA211" s="60">
        <f t="shared" si="1563"/>
        <v>1.8645914205277054E-3</v>
      </c>
      <c r="CB211" s="60">
        <f t="shared" si="1564"/>
        <v>9.8543902934646572E-6</v>
      </c>
      <c r="CC211" s="60">
        <f t="shared" si="1565"/>
        <v>1.208570580991344E-3</v>
      </c>
      <c r="CD211" s="60">
        <f t="shared" si="1566"/>
        <v>8.4466202515411342E-4</v>
      </c>
      <c r="CE211" s="60">
        <f t="shared" si="1567"/>
        <v>8.4466202515411342E-6</v>
      </c>
      <c r="CF211" s="13">
        <f t="shared" si="1568"/>
        <v>2.3861702210603705E-4</v>
      </c>
    </row>
    <row r="212" spans="1:85" hidden="1" x14ac:dyDescent="0.25">
      <c r="C212" s="4"/>
    </row>
    <row r="213" spans="1:85" hidden="1" x14ac:dyDescent="0.25">
      <c r="C213" s="4"/>
    </row>
    <row r="214" spans="1:85" hidden="1" x14ac:dyDescent="0.25">
      <c r="A214" s="4" t="s">
        <v>23</v>
      </c>
      <c r="B214" s="61">
        <v>1996</v>
      </c>
    </row>
    <row r="215" spans="1:85" hidden="1" x14ac:dyDescent="0.25"/>
    <row r="216" spans="1:85" s="21" customFormat="1" ht="23.25" hidden="1" customHeight="1" x14ac:dyDescent="0.25">
      <c r="A216" s="62" t="s">
        <v>46</v>
      </c>
      <c r="B216" s="62"/>
      <c r="C216" s="4" t="s">
        <v>35</v>
      </c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2"/>
    </row>
    <row r="217" spans="1:85" s="37" customFormat="1" ht="33" hidden="1" customHeight="1" x14ac:dyDescent="0.25">
      <c r="A217" s="63" t="s">
        <v>22</v>
      </c>
      <c r="B217" s="64" t="s">
        <v>24</v>
      </c>
      <c r="C217" s="64">
        <v>1</v>
      </c>
      <c r="D217" s="64">
        <v>10</v>
      </c>
      <c r="E217" s="64">
        <v>11</v>
      </c>
      <c r="F217" s="64">
        <v>12</v>
      </c>
      <c r="G217" s="64">
        <v>13</v>
      </c>
      <c r="H217" s="64">
        <v>2</v>
      </c>
      <c r="I217" s="64">
        <v>3</v>
      </c>
      <c r="J217" s="64">
        <v>4</v>
      </c>
      <c r="K217" s="64">
        <v>5</v>
      </c>
      <c r="L217" s="64">
        <v>6</v>
      </c>
      <c r="M217" s="64">
        <v>7</v>
      </c>
      <c r="N217" s="64">
        <v>8</v>
      </c>
      <c r="O217" s="64">
        <v>9</v>
      </c>
      <c r="P217" s="64">
        <v>14</v>
      </c>
      <c r="Q217" s="64">
        <v>15</v>
      </c>
      <c r="R217" s="64"/>
      <c r="S217" s="65" t="s">
        <v>23</v>
      </c>
      <c r="T217" s="65" t="s">
        <v>22</v>
      </c>
      <c r="U217" s="65" t="s">
        <v>181</v>
      </c>
      <c r="V217" s="66" t="str">
        <f>+CONCATENATE("dx","(",C217,")")</f>
        <v>dx(1)</v>
      </c>
      <c r="W217" s="66" t="str">
        <f t="shared" ref="W217" si="1571">+CONCATENATE("dx","(",D217,")")</f>
        <v>dx(10)</v>
      </c>
      <c r="X217" s="66" t="str">
        <f t="shared" ref="X217" si="1572">+CONCATENATE("dx","(",E217,")")</f>
        <v>dx(11)</v>
      </c>
      <c r="Y217" s="66" t="str">
        <f t="shared" ref="Y217" si="1573">+CONCATENATE("dx","(",F217,")")</f>
        <v>dx(12)</v>
      </c>
      <c r="Z217" s="66" t="str">
        <f t="shared" ref="Z217" si="1574">+CONCATENATE("dx","(",G217,")")</f>
        <v>dx(13)</v>
      </c>
      <c r="AA217" s="66" t="str">
        <f t="shared" ref="AA217" si="1575">+CONCATENATE("dx","(",H217,")")</f>
        <v>dx(2)</v>
      </c>
      <c r="AB217" s="66" t="str">
        <f t="shared" ref="AB217" si="1576">+CONCATENATE("dx","(",I217,")")</f>
        <v>dx(3)</v>
      </c>
      <c r="AC217" s="66" t="str">
        <f t="shared" ref="AC217" si="1577">+CONCATENATE("dx","(",J217,")")</f>
        <v>dx(4)</v>
      </c>
      <c r="AD217" s="66" t="str">
        <f t="shared" ref="AD217" si="1578">+CONCATENATE("dx","(",K217,")")</f>
        <v>dx(5)</v>
      </c>
      <c r="AE217" s="66" t="str">
        <f t="shared" ref="AE217" si="1579">+CONCATENATE("dx","(",L217,")")</f>
        <v>dx(6)</v>
      </c>
      <c r="AF217" s="66" t="str">
        <f t="shared" ref="AF217" si="1580">+CONCATENATE("dx","(",M217,")")</f>
        <v>dx(7)</v>
      </c>
      <c r="AG217" s="66" t="str">
        <f t="shared" ref="AG217" si="1581">+CONCATENATE("dx","(",N217,")")</f>
        <v>dx(8)</v>
      </c>
      <c r="AH217" s="66" t="str">
        <f t="shared" ref="AH217" si="1582">+CONCATENATE("dx","(",O217,")")</f>
        <v>dx(9)</v>
      </c>
      <c r="AI217" s="66" t="str">
        <f t="shared" ref="AI217" si="1583">+CONCATENATE("dx","(",P217,")")</f>
        <v>dx(14)</v>
      </c>
      <c r="AJ217" s="66" t="str">
        <f t="shared" ref="AJ217" si="1584">+CONCATENATE("dx","(",Q217,")")</f>
        <v>dx(15)</v>
      </c>
      <c r="AK217" s="66" t="s">
        <v>182</v>
      </c>
      <c r="AL217" s="66" t="str">
        <f t="shared" ref="AL217:AZ217" si="1585">+CONCATENATE("qx","(",C217,")")</f>
        <v>qx(1)</v>
      </c>
      <c r="AM217" s="66" t="str">
        <f t="shared" si="1585"/>
        <v>qx(10)</v>
      </c>
      <c r="AN217" s="66" t="str">
        <f t="shared" si="1585"/>
        <v>qx(11)</v>
      </c>
      <c r="AO217" s="66" t="str">
        <f t="shared" si="1585"/>
        <v>qx(12)</v>
      </c>
      <c r="AP217" s="66" t="str">
        <f t="shared" si="1585"/>
        <v>qx(13)</v>
      </c>
      <c r="AQ217" s="66" t="str">
        <f t="shared" si="1585"/>
        <v>qx(2)</v>
      </c>
      <c r="AR217" s="66" t="str">
        <f t="shared" si="1585"/>
        <v>qx(3)</v>
      </c>
      <c r="AS217" s="66" t="str">
        <f t="shared" si="1585"/>
        <v>qx(4)</v>
      </c>
      <c r="AT217" s="66" t="str">
        <f t="shared" si="1585"/>
        <v>qx(5)</v>
      </c>
      <c r="AU217" s="66" t="str">
        <f t="shared" si="1585"/>
        <v>qx(6)</v>
      </c>
      <c r="AV217" s="66" t="str">
        <f t="shared" si="1585"/>
        <v>qx(7)</v>
      </c>
      <c r="AW217" s="66" t="str">
        <f t="shared" si="1585"/>
        <v>qx(8)</v>
      </c>
      <c r="AX217" s="66" t="str">
        <f t="shared" si="1585"/>
        <v>qx(9)</v>
      </c>
      <c r="AY217" s="66" t="str">
        <f t="shared" si="1585"/>
        <v>qx(14)</v>
      </c>
      <c r="AZ217" s="66" t="str">
        <f t="shared" si="1585"/>
        <v>qx(15)</v>
      </c>
      <c r="BA217" s="66" t="str">
        <f>+CONCATENATE("qx","(T)")</f>
        <v>qx(T)</v>
      </c>
      <c r="BB217" s="65" t="s">
        <v>184</v>
      </c>
      <c r="BC217" s="66" t="str">
        <f t="shared" ref="BC217:BQ217" si="1586">+CONCATENATE("mx","(",C217,")")</f>
        <v>mx(1)</v>
      </c>
      <c r="BD217" s="66" t="str">
        <f t="shared" si="1586"/>
        <v>mx(10)</v>
      </c>
      <c r="BE217" s="66" t="str">
        <f t="shared" si="1586"/>
        <v>mx(11)</v>
      </c>
      <c r="BF217" s="66" t="str">
        <f t="shared" si="1586"/>
        <v>mx(12)</v>
      </c>
      <c r="BG217" s="66" t="str">
        <f t="shared" si="1586"/>
        <v>mx(13)</v>
      </c>
      <c r="BH217" s="66" t="str">
        <f t="shared" si="1586"/>
        <v>mx(2)</v>
      </c>
      <c r="BI217" s="66" t="str">
        <f t="shared" si="1586"/>
        <v>mx(3)</v>
      </c>
      <c r="BJ217" s="66" t="str">
        <f t="shared" si="1586"/>
        <v>mx(4)</v>
      </c>
      <c r="BK217" s="66" t="str">
        <f t="shared" si="1586"/>
        <v>mx(5)</v>
      </c>
      <c r="BL217" s="66" t="str">
        <f t="shared" si="1586"/>
        <v>mx(6)</v>
      </c>
      <c r="BM217" s="66" t="str">
        <f t="shared" si="1586"/>
        <v>mx(7)</v>
      </c>
      <c r="BN217" s="66" t="str">
        <f t="shared" si="1586"/>
        <v>mx(8)</v>
      </c>
      <c r="BO217" s="66" t="str">
        <f t="shared" si="1586"/>
        <v>mx(9)</v>
      </c>
      <c r="BP217" s="66" t="str">
        <f t="shared" si="1586"/>
        <v>mx(14)</v>
      </c>
      <c r="BQ217" s="66" t="str">
        <f t="shared" si="1586"/>
        <v>mx(15)</v>
      </c>
      <c r="BR217" s="66" t="str">
        <f>+CONCATENATE("µ(X)",C217)</f>
        <v>µ(X)1</v>
      </c>
      <c r="BS217" s="66" t="str">
        <f t="shared" ref="BS217" si="1587">+CONCATENATE("µ(X)",D217)</f>
        <v>µ(X)10</v>
      </c>
      <c r="BT217" s="66" t="str">
        <f t="shared" ref="BT217" si="1588">+CONCATENATE("µ(X)",E217)</f>
        <v>µ(X)11</v>
      </c>
      <c r="BU217" s="66" t="str">
        <f t="shared" ref="BU217" si="1589">+CONCATENATE("µ(X)",F217)</f>
        <v>µ(X)12</v>
      </c>
      <c r="BV217" s="66" t="str">
        <f t="shared" ref="BV217" si="1590">+CONCATENATE("µ(X)",G217)</f>
        <v>µ(X)13</v>
      </c>
      <c r="BW217" s="66" t="str">
        <f t="shared" ref="BW217" si="1591">+CONCATENATE("µ(X)",H217)</f>
        <v>µ(X)2</v>
      </c>
      <c r="BX217" s="66" t="str">
        <f t="shared" ref="BX217" si="1592">+CONCATENATE("µ(X)",I217)</f>
        <v>µ(X)3</v>
      </c>
      <c r="BY217" s="66" t="str">
        <f t="shared" ref="BY217" si="1593">+CONCATENATE("µ(X)",J217)</f>
        <v>µ(X)4</v>
      </c>
      <c r="BZ217" s="66" t="str">
        <f t="shared" ref="BZ217" si="1594">+CONCATENATE("µ(X)",K217)</f>
        <v>µ(X)5</v>
      </c>
      <c r="CA217" s="66" t="str">
        <f t="shared" ref="CA217" si="1595">+CONCATENATE("µ(X)",L217)</f>
        <v>µ(X)6</v>
      </c>
      <c r="CB217" s="66" t="str">
        <f t="shared" ref="CB217" si="1596">+CONCATENATE("µ(X)",M217)</f>
        <v>µ(X)7</v>
      </c>
      <c r="CC217" s="66" t="str">
        <f t="shared" ref="CC217" si="1597">+CONCATENATE("µ(X)",N217)</f>
        <v>µ(X)8</v>
      </c>
      <c r="CD217" s="66" t="str">
        <f t="shared" ref="CD217" si="1598">+CONCATENATE("µ(X)",O217)</f>
        <v>µ(X)9</v>
      </c>
      <c r="CE217" s="66" t="str">
        <f t="shared" ref="CE217" si="1599">+CONCATENATE("µ(X)",P217)</f>
        <v>µ(X)14</v>
      </c>
      <c r="CF217" s="42" t="str">
        <f t="shared" ref="CF217" si="1600">+CONCATENATE("µ(X)",Q217)</f>
        <v>µ(X)15</v>
      </c>
      <c r="CG217" s="36"/>
    </row>
    <row r="218" spans="1:85" hidden="1" x14ac:dyDescent="0.25">
      <c r="A218" s="4" t="s">
        <v>6</v>
      </c>
      <c r="B218" s="56">
        <v>2669011.0638103201</v>
      </c>
      <c r="C218" s="57">
        <v>82</v>
      </c>
      <c r="D218" s="57">
        <v>35</v>
      </c>
      <c r="E218" s="57">
        <v>1552</v>
      </c>
      <c r="F218" s="57">
        <v>2468</v>
      </c>
      <c r="G218" s="57">
        <v>37</v>
      </c>
      <c r="H218" s="57">
        <v>159</v>
      </c>
      <c r="I218" s="57">
        <v>14</v>
      </c>
      <c r="J218" s="57">
        <v>786</v>
      </c>
      <c r="K218" s="57">
        <v>32</v>
      </c>
      <c r="L218" s="57">
        <v>12</v>
      </c>
      <c r="M218" s="57">
        <v>5626</v>
      </c>
      <c r="N218" s="57">
        <v>114</v>
      </c>
      <c r="O218" s="57">
        <v>877</v>
      </c>
      <c r="P218" s="57">
        <v>21</v>
      </c>
      <c r="Q218" s="57">
        <v>29</v>
      </c>
      <c r="S218" s="4">
        <f>+$B$175</f>
        <v>1996</v>
      </c>
      <c r="T218" s="4" t="str">
        <f>+A218</f>
        <v>0-4</v>
      </c>
      <c r="U218" s="56">
        <f>+B218</f>
        <v>2669011.0638103201</v>
      </c>
      <c r="V218" s="4">
        <f>+C218</f>
        <v>82</v>
      </c>
      <c r="W218" s="4">
        <f t="shared" ref="W218:W224" si="1601">+D218</f>
        <v>35</v>
      </c>
      <c r="X218" s="4">
        <f t="shared" ref="X218:X224" si="1602">+E218</f>
        <v>1552</v>
      </c>
      <c r="Y218" s="4">
        <f t="shared" ref="Y218:Y224" si="1603">+F218</f>
        <v>2468</v>
      </c>
      <c r="Z218" s="4">
        <f t="shared" ref="Z218:Z224" si="1604">+G218</f>
        <v>37</v>
      </c>
      <c r="AA218" s="4">
        <f t="shared" ref="AA218:AA224" si="1605">+H218</f>
        <v>159</v>
      </c>
      <c r="AB218" s="4">
        <f t="shared" ref="AB218:AB224" si="1606">+I218</f>
        <v>14</v>
      </c>
      <c r="AC218" s="4">
        <f t="shared" ref="AC218:AC224" si="1607">+J218</f>
        <v>786</v>
      </c>
      <c r="AD218" s="4">
        <f t="shared" ref="AD218:AD224" si="1608">+K218</f>
        <v>32</v>
      </c>
      <c r="AE218" s="4">
        <f t="shared" ref="AE218:AE224" si="1609">+L218</f>
        <v>12</v>
      </c>
      <c r="AF218" s="4">
        <f t="shared" ref="AF218:AF224" si="1610">+M218</f>
        <v>5626</v>
      </c>
      <c r="AG218" s="4">
        <f t="shared" ref="AG218:AG224" si="1611">+N218</f>
        <v>114</v>
      </c>
      <c r="AH218" s="4">
        <f t="shared" ref="AH218:AH224" si="1612">+O218</f>
        <v>877</v>
      </c>
      <c r="AI218" s="4">
        <f t="shared" ref="AI218:AI224" si="1613">+P218</f>
        <v>21</v>
      </c>
      <c r="AJ218" s="4">
        <f t="shared" ref="AJ218:AJ224" si="1614">+Q218</f>
        <v>29</v>
      </c>
      <c r="AK218" s="4">
        <f>+SUM(V218:AJ218)</f>
        <v>11844</v>
      </c>
      <c r="AL218" s="58">
        <f>+V218/$U218</f>
        <v>3.072298991632338E-5</v>
      </c>
      <c r="AM218" s="58">
        <f t="shared" ref="AM218:AM224" si="1615">+W218/$U218</f>
        <v>1.3113471305747784E-5</v>
      </c>
      <c r="AN218" s="58">
        <f t="shared" ref="AN218:AN224" si="1616">+X218/$U218</f>
        <v>5.8148878475773028E-4</v>
      </c>
      <c r="AO218" s="58">
        <f t="shared" ref="AO218:AO224" si="1617">+Y218/$U218</f>
        <v>9.2468706235958656E-4</v>
      </c>
      <c r="AP218" s="58">
        <f t="shared" ref="AP218:AP224" si="1618">+Z218/$U218</f>
        <v>1.3862812523219085E-5</v>
      </c>
      <c r="AQ218" s="58">
        <f t="shared" ref="AQ218:AQ224" si="1619">+AA218/$U218</f>
        <v>5.9572626788968504E-5</v>
      </c>
      <c r="AR218" s="58">
        <f t="shared" ref="AR218:AR224" si="1620">+AB218/$U218</f>
        <v>5.2453885222991139E-6</v>
      </c>
      <c r="AS218" s="58">
        <f t="shared" ref="AS218:AS224" si="1621">+AC218/$U218</f>
        <v>2.9449109846622164E-4</v>
      </c>
      <c r="AT218" s="58">
        <f t="shared" ref="AT218:AT224" si="1622">+AD218/$U218</f>
        <v>1.1989459479540831E-5</v>
      </c>
      <c r="AU218" s="58">
        <f t="shared" ref="AU218:AU224" si="1623">+AE218/$U218</f>
        <v>4.4960473048278115E-6</v>
      </c>
      <c r="AV218" s="58">
        <f t="shared" ref="AV218:AV224" si="1624">+AF218/$U218</f>
        <v>2.1078968447467723E-3</v>
      </c>
      <c r="AW218" s="58">
        <f t="shared" ref="AW218:AW224" si="1625">+AG218/$U218</f>
        <v>4.2712449395864211E-5</v>
      </c>
      <c r="AX218" s="58">
        <f t="shared" ref="AX218:AX224" si="1626">+AH218/$U218</f>
        <v>3.2858612386116591E-4</v>
      </c>
      <c r="AY218" s="58">
        <f t="shared" ref="AY218:AY224" si="1627">+AI218/$U218</f>
        <v>7.86808278344867E-6</v>
      </c>
      <c r="AZ218" s="58">
        <f t="shared" ref="AZ218:AZ224" si="1628">+AJ218/$U218</f>
        <v>1.0865447653333878E-5</v>
      </c>
      <c r="BA218" s="58">
        <f>+AK218/U218</f>
        <v>4.4375986898650497E-3</v>
      </c>
      <c r="BB218" s="4">
        <f>+U218-(0.5*AK218)</f>
        <v>2663089.0638103201</v>
      </c>
      <c r="BC218" s="59">
        <f t="shared" ref="BC218:BC224" si="1629">+AL218/(1-(0.5*$BA218))</f>
        <v>3.0791309654013318E-5</v>
      </c>
      <c r="BD218" s="59">
        <f>+AM218/(1-(0.5*$BA218))</f>
        <v>1.3142632169395928E-5</v>
      </c>
      <c r="BE218" s="59">
        <f t="shared" ref="BE218:BE224" si="1630">+AN218/(1-(0.5*$BA218))</f>
        <v>5.8278186076864233E-4</v>
      </c>
      <c r="BF218" s="59">
        <f t="shared" ref="BF218:BF224" si="1631">+AO218/(1-(0.5*$BA218))</f>
        <v>9.2674331983054719E-4</v>
      </c>
      <c r="BG218" s="59">
        <f t="shared" ref="BG218:BG224" si="1632">+AP218/(1-(0.5*$BA218))</f>
        <v>1.3893639721932839E-5</v>
      </c>
      <c r="BH218" s="59">
        <f t="shared" ref="BH218:BH224" si="1633">+AQ218/(1-(0.5*$BA218))</f>
        <v>5.9705100426684362E-5</v>
      </c>
      <c r="BI218" s="59">
        <f t="shared" ref="BI218:BI224" si="1634">+AR218/(1-(0.5*$BA218))</f>
        <v>5.2570528677583717E-6</v>
      </c>
      <c r="BJ218" s="59">
        <f t="shared" ref="BJ218:BJ224" si="1635">+AS218/(1-(0.5*$BA218))</f>
        <v>2.9514596814700567E-4</v>
      </c>
      <c r="BK218" s="59">
        <f t="shared" ref="BK218:BK224" si="1636">+AT218/(1-(0.5*$BA218))</f>
        <v>1.2016120840590563E-5</v>
      </c>
      <c r="BL218" s="59">
        <f t="shared" ref="BL218:BL224" si="1637">+AU218/(1-(0.5*$BA218))</f>
        <v>4.5060453152214609E-6</v>
      </c>
      <c r="BM218" s="59">
        <f t="shared" ref="BM218:BM224" si="1638">+AV218/(1-(0.5*$BA218))</f>
        <v>2.1125842452863284E-3</v>
      </c>
      <c r="BN218" s="59">
        <f t="shared" ref="BN218:BN224" si="1639">+AW218/(1-(0.5*$BA218))</f>
        <v>4.2807430494603885E-5</v>
      </c>
      <c r="BO218" s="59">
        <f t="shared" ref="BO218" si="1640">+AX218/(1-(0.5*$BA218))</f>
        <v>3.2931681178743514E-4</v>
      </c>
      <c r="BP218" s="59">
        <f t="shared" ref="BP218:BP224" si="1641">+AY218/(1-(0.5*$BA218))</f>
        <v>7.8855793016375572E-6</v>
      </c>
      <c r="BQ218" s="59">
        <f t="shared" ref="BQ218:BQ224" si="1642">+AZ218/(1-(0.5*$BA218))</f>
        <v>1.0889609511785197E-5</v>
      </c>
      <c r="BR218" s="60">
        <f>+V218/(2*$U218)</f>
        <v>1.536149495816169E-5</v>
      </c>
      <c r="BS218" s="60">
        <f t="shared" ref="BS218" si="1643">+W218/(2*$U218)</f>
        <v>6.5567356528738919E-6</v>
      </c>
      <c r="BT218" s="60">
        <f t="shared" ref="BT218" si="1644">+X218/(2*$U218)</f>
        <v>2.9074439237886514E-4</v>
      </c>
      <c r="BU218" s="60">
        <f t="shared" ref="BU218" si="1645">+Y218/(2*$U218)</f>
        <v>4.6234353117979328E-4</v>
      </c>
      <c r="BV218" s="60">
        <f t="shared" ref="BV218" si="1646">+Z218/(2*$U218)</f>
        <v>6.9314062616095427E-6</v>
      </c>
      <c r="BW218" s="60">
        <f t="shared" ref="BW218" si="1647">+AA218/(2*$U218)</f>
        <v>2.9786313394484252E-5</v>
      </c>
      <c r="BX218" s="60">
        <f t="shared" ref="BX218" si="1648">+AB218/(2*$U218)</f>
        <v>2.6226942611495569E-6</v>
      </c>
      <c r="BY218" s="60">
        <f t="shared" ref="BY218" si="1649">+AC218/(2*$U218)</f>
        <v>1.4724554923311082E-4</v>
      </c>
      <c r="BZ218" s="60">
        <f t="shared" ref="BZ218" si="1650">+AD218/(2*$U218)</f>
        <v>5.9947297397704154E-6</v>
      </c>
      <c r="CA218" s="60">
        <f t="shared" ref="CA218" si="1651">+AE218/(2*$U218)</f>
        <v>2.2480236524139058E-6</v>
      </c>
      <c r="CB218" s="60">
        <f t="shared" ref="CB218" si="1652">+AF218/(2*$U218)</f>
        <v>1.0539484223733861E-3</v>
      </c>
      <c r="CC218" s="60">
        <f t="shared" ref="CC218" si="1653">+AG218/(2*$U218)</f>
        <v>2.1356224697932105E-5</v>
      </c>
      <c r="CD218" s="60">
        <f t="shared" ref="CD218" si="1654">+AH218/(2*$U218)</f>
        <v>1.6429306193058296E-4</v>
      </c>
      <c r="CE218" s="60">
        <f t="shared" ref="CE218" si="1655">+AI218/(2*$U218)</f>
        <v>3.934041391724335E-6</v>
      </c>
      <c r="CF218" s="13">
        <f t="shared" ref="CF218" si="1656">+AJ218/(2*$U218)</f>
        <v>5.4327238266669388E-6</v>
      </c>
    </row>
    <row r="219" spans="1:85" hidden="1" x14ac:dyDescent="0.25">
      <c r="A219" s="4" t="s">
        <v>5</v>
      </c>
      <c r="B219" s="56">
        <v>5336689.2615659405</v>
      </c>
      <c r="C219" s="57">
        <v>50</v>
      </c>
      <c r="D219" s="57">
        <v>18</v>
      </c>
      <c r="E219" s="57">
        <v>121</v>
      </c>
      <c r="F219" s="57">
        <v>79</v>
      </c>
      <c r="G219" s="57">
        <v>18</v>
      </c>
      <c r="H219" s="57">
        <v>266</v>
      </c>
      <c r="I219" s="57">
        <v>18</v>
      </c>
      <c r="J219" s="57">
        <v>659</v>
      </c>
      <c r="K219" s="57">
        <v>105</v>
      </c>
      <c r="L219" s="57">
        <v>16</v>
      </c>
      <c r="M219" s="57">
        <v>2</v>
      </c>
      <c r="N219" s="57">
        <v>15</v>
      </c>
      <c r="O219" s="57">
        <v>82</v>
      </c>
      <c r="P219" s="57">
        <v>2</v>
      </c>
      <c r="Q219" s="57">
        <v>34</v>
      </c>
      <c r="S219" s="4">
        <f t="shared" ref="S219:S224" si="1657">+$B$175</f>
        <v>1996</v>
      </c>
      <c r="T219" s="4" t="str">
        <f t="shared" ref="T219:T224" si="1658">+A219</f>
        <v>5-14</v>
      </c>
      <c r="U219" s="56">
        <f t="shared" ref="U219:U224" si="1659">+B219</f>
        <v>5336689.2615659405</v>
      </c>
      <c r="V219" s="4">
        <f t="shared" ref="V219:V224" si="1660">+C219</f>
        <v>50</v>
      </c>
      <c r="W219" s="4">
        <f t="shared" si="1601"/>
        <v>18</v>
      </c>
      <c r="X219" s="4">
        <f t="shared" si="1602"/>
        <v>121</v>
      </c>
      <c r="Y219" s="4">
        <f t="shared" si="1603"/>
        <v>79</v>
      </c>
      <c r="Z219" s="4">
        <f t="shared" si="1604"/>
        <v>18</v>
      </c>
      <c r="AA219" s="4">
        <f t="shared" si="1605"/>
        <v>266</v>
      </c>
      <c r="AB219" s="4">
        <f t="shared" si="1606"/>
        <v>18</v>
      </c>
      <c r="AC219" s="4">
        <f t="shared" si="1607"/>
        <v>659</v>
      </c>
      <c r="AD219" s="4">
        <f t="shared" si="1608"/>
        <v>105</v>
      </c>
      <c r="AE219" s="4">
        <f t="shared" si="1609"/>
        <v>16</v>
      </c>
      <c r="AF219" s="4">
        <f t="shared" si="1610"/>
        <v>2</v>
      </c>
      <c r="AG219" s="4">
        <f t="shared" si="1611"/>
        <v>15</v>
      </c>
      <c r="AH219" s="4">
        <f t="shared" si="1612"/>
        <v>82</v>
      </c>
      <c r="AI219" s="4">
        <f t="shared" si="1613"/>
        <v>2</v>
      </c>
      <c r="AJ219" s="4">
        <f t="shared" si="1614"/>
        <v>34</v>
      </c>
      <c r="AK219" s="4">
        <f t="shared" ref="AK219:AK224" si="1661">+SUM(V219:AJ219)</f>
        <v>1485</v>
      </c>
      <c r="AL219" s="58">
        <f t="shared" ref="AL219:AL224" si="1662">+V219/$U219</f>
        <v>9.3691046169940461E-6</v>
      </c>
      <c r="AM219" s="58">
        <f t="shared" si="1615"/>
        <v>3.3728776621178566E-6</v>
      </c>
      <c r="AN219" s="58">
        <f t="shared" si="1616"/>
        <v>2.2673233173125591E-5</v>
      </c>
      <c r="AO219" s="58">
        <f t="shared" si="1617"/>
        <v>1.4803185294850593E-5</v>
      </c>
      <c r="AP219" s="58">
        <f t="shared" si="1618"/>
        <v>3.3728776621178566E-6</v>
      </c>
      <c r="AQ219" s="58">
        <f t="shared" si="1619"/>
        <v>4.9843636562408325E-5</v>
      </c>
      <c r="AR219" s="58">
        <f t="shared" si="1620"/>
        <v>3.3728776621178566E-6</v>
      </c>
      <c r="AS219" s="58">
        <f t="shared" si="1621"/>
        <v>1.2348479885198154E-4</v>
      </c>
      <c r="AT219" s="58">
        <f t="shared" si="1622"/>
        <v>1.9675119695687498E-5</v>
      </c>
      <c r="AU219" s="58">
        <f t="shared" si="1623"/>
        <v>2.998113477438095E-6</v>
      </c>
      <c r="AV219" s="58">
        <f t="shared" si="1624"/>
        <v>3.7476418467976187E-7</v>
      </c>
      <c r="AW219" s="58">
        <f t="shared" si="1625"/>
        <v>2.8107313850982138E-6</v>
      </c>
      <c r="AX219" s="58">
        <f t="shared" si="1626"/>
        <v>1.5365331571870237E-5</v>
      </c>
      <c r="AY219" s="58">
        <f t="shared" si="1627"/>
        <v>3.7476418467976187E-7</v>
      </c>
      <c r="AZ219" s="58">
        <f t="shared" si="1628"/>
        <v>6.3709911395559516E-6</v>
      </c>
      <c r="BA219" s="58">
        <f t="shared" ref="BA219:BA224" si="1663">+AK219/U219</f>
        <v>2.7826240712472319E-4</v>
      </c>
      <c r="BB219" s="4">
        <f t="shared" ref="BB219:BB224" si="1664">+U219-(0.5*AK219)</f>
        <v>5335946.7615659405</v>
      </c>
      <c r="BC219" s="59">
        <f t="shared" si="1629"/>
        <v>9.3704083331833129E-6</v>
      </c>
      <c r="BD219" s="59">
        <f t="shared" ref="BD219:BD224" si="1665">+AM219/(1-(0.5*$BA219))</f>
        <v>3.3733469999459925E-6</v>
      </c>
      <c r="BE219" s="59">
        <f t="shared" si="1630"/>
        <v>2.2676388166303615E-5</v>
      </c>
      <c r="BF219" s="59">
        <f t="shared" si="1631"/>
        <v>1.4805245166429634E-5</v>
      </c>
      <c r="BG219" s="59">
        <f t="shared" si="1632"/>
        <v>3.3733469999459925E-6</v>
      </c>
      <c r="BH219" s="59">
        <f t="shared" si="1633"/>
        <v>4.9850572332535225E-5</v>
      </c>
      <c r="BI219" s="59">
        <f t="shared" si="1634"/>
        <v>3.3733469999459925E-6</v>
      </c>
      <c r="BJ219" s="59">
        <f t="shared" si="1635"/>
        <v>1.2350198183135608E-4</v>
      </c>
      <c r="BK219" s="59">
        <f t="shared" si="1636"/>
        <v>1.9677857499684958E-5</v>
      </c>
      <c r="BL219" s="59">
        <f t="shared" si="1637"/>
        <v>2.9985306666186604E-6</v>
      </c>
      <c r="BM219" s="59">
        <f t="shared" si="1638"/>
        <v>3.7481633332733255E-7</v>
      </c>
      <c r="BN219" s="59">
        <f t="shared" si="1639"/>
        <v>2.8111224999549937E-6</v>
      </c>
      <c r="BO219" s="59">
        <f>+AX219/(1-(0.5*$BA219))</f>
        <v>1.5367469666420634E-5</v>
      </c>
      <c r="BP219" s="59">
        <f t="shared" si="1641"/>
        <v>3.7481633332733255E-7</v>
      </c>
      <c r="BQ219" s="59">
        <f t="shared" si="1642"/>
        <v>6.3718776665646525E-6</v>
      </c>
      <c r="BR219" s="60">
        <f>+(V218+V219)/(2*$U219)</f>
        <v>1.2367218094432141E-5</v>
      </c>
      <c r="BS219" s="60">
        <f t="shared" ref="BS219:BS224" si="1666">+(W218+W219)/(2*$U219)</f>
        <v>4.9656254470068449E-6</v>
      </c>
      <c r="BT219" s="60">
        <f t="shared" ref="BT219:BT224" si="1667">+(X218+X219)/(2*$U219)</f>
        <v>1.567451202423104E-4</v>
      </c>
      <c r="BU219" s="60">
        <f t="shared" ref="BU219:BU224" si="1668">+(Y218+Y219)/(2*$U219)</f>
        <v>2.3863109459483836E-4</v>
      </c>
      <c r="BV219" s="60">
        <f t="shared" ref="BV219:BV224" si="1669">+(Z218+Z219)/(2*$U219)</f>
        <v>5.1530075393467253E-6</v>
      </c>
      <c r="BW219" s="60">
        <f t="shared" ref="BW219:BW224" si="1670">+(AA218+AA219)/(2*$U219)</f>
        <v>3.98186946222247E-5</v>
      </c>
      <c r="BX219" s="60">
        <f t="shared" ref="BX219:BX224" si="1671">+(AB218+AB219)/(2*$U219)</f>
        <v>2.998113477438095E-6</v>
      </c>
      <c r="BY219" s="60">
        <f t="shared" ref="BY219:BY224" si="1672">+(AC218+AC219)/(2*$U219)</f>
        <v>1.3538356171556397E-4</v>
      </c>
      <c r="BZ219" s="60">
        <f t="shared" ref="BZ219:BZ224" si="1673">+(AD218+AD219)/(2*$U219)</f>
        <v>1.2835673325281844E-5</v>
      </c>
      <c r="CA219" s="60">
        <f t="shared" ref="CA219:CA224" si="1674">+(AE218+AE219)/(2*$U219)</f>
        <v>2.6233492927583329E-6</v>
      </c>
      <c r="CB219" s="60">
        <f t="shared" ref="CB219:CB224" si="1675">+(AF218+AF219)/(2*$U219)</f>
        <v>5.2729320784442491E-4</v>
      </c>
      <c r="CC219" s="60">
        <f t="shared" ref="CC219:CC224" si="1676">+(AG218+AG219)/(2*$U219)</f>
        <v>1.2086144955922319E-5</v>
      </c>
      <c r="CD219" s="60">
        <f t="shared" ref="CD219:CD224" si="1677">+(AH218+AH219)/(2*$U219)</f>
        <v>8.9849713276972899E-5</v>
      </c>
      <c r="CE219" s="60">
        <f t="shared" ref="CE219:CE224" si="1678">+(AI218+AI219)/(2*$U219)</f>
        <v>2.1548940619086307E-6</v>
      </c>
      <c r="CF219" s="13">
        <f t="shared" ref="CF219:CF224" si="1679">+(AJ218+AJ219)/(2*$U219)</f>
        <v>5.9025359087062493E-6</v>
      </c>
    </row>
    <row r="220" spans="1:85" hidden="1" x14ac:dyDescent="0.25">
      <c r="A220" s="4" t="s">
        <v>4</v>
      </c>
      <c r="B220" s="56">
        <v>4328734.7335640304</v>
      </c>
      <c r="C220" s="57">
        <v>101</v>
      </c>
      <c r="D220" s="57">
        <v>34</v>
      </c>
      <c r="E220" s="57">
        <v>66</v>
      </c>
      <c r="F220" s="57">
        <v>36</v>
      </c>
      <c r="G220" s="57">
        <v>71</v>
      </c>
      <c r="H220" s="57">
        <v>301</v>
      </c>
      <c r="I220" s="57">
        <v>64</v>
      </c>
      <c r="J220" s="57">
        <v>1352</v>
      </c>
      <c r="K220" s="57">
        <v>1694</v>
      </c>
      <c r="L220" s="57">
        <v>51</v>
      </c>
      <c r="M220" s="57">
        <v>0</v>
      </c>
      <c r="N220" s="57">
        <v>33</v>
      </c>
      <c r="O220" s="57">
        <v>90</v>
      </c>
      <c r="P220" s="57">
        <v>47</v>
      </c>
      <c r="Q220" s="57">
        <v>27</v>
      </c>
      <c r="S220" s="4">
        <f t="shared" si="1657"/>
        <v>1996</v>
      </c>
      <c r="T220" s="4" t="str">
        <f t="shared" si="1658"/>
        <v>15-24</v>
      </c>
      <c r="U220" s="56">
        <f t="shared" si="1659"/>
        <v>4328734.7335640304</v>
      </c>
      <c r="V220" s="4">
        <f t="shared" si="1660"/>
        <v>101</v>
      </c>
      <c r="W220" s="4">
        <f t="shared" si="1601"/>
        <v>34</v>
      </c>
      <c r="X220" s="4">
        <f t="shared" si="1602"/>
        <v>66</v>
      </c>
      <c r="Y220" s="4">
        <f t="shared" si="1603"/>
        <v>36</v>
      </c>
      <c r="Z220" s="4">
        <f t="shared" si="1604"/>
        <v>71</v>
      </c>
      <c r="AA220" s="4">
        <f t="shared" si="1605"/>
        <v>301</v>
      </c>
      <c r="AB220" s="4">
        <f t="shared" si="1606"/>
        <v>64</v>
      </c>
      <c r="AC220" s="4">
        <f t="shared" si="1607"/>
        <v>1352</v>
      </c>
      <c r="AD220" s="4">
        <f t="shared" si="1608"/>
        <v>1694</v>
      </c>
      <c r="AE220" s="4">
        <f t="shared" si="1609"/>
        <v>51</v>
      </c>
      <c r="AF220" s="4">
        <f t="shared" si="1610"/>
        <v>0</v>
      </c>
      <c r="AG220" s="4">
        <f t="shared" si="1611"/>
        <v>33</v>
      </c>
      <c r="AH220" s="4">
        <f t="shared" si="1612"/>
        <v>90</v>
      </c>
      <c r="AI220" s="4">
        <f t="shared" si="1613"/>
        <v>47</v>
      </c>
      <c r="AJ220" s="4">
        <f t="shared" si="1614"/>
        <v>27</v>
      </c>
      <c r="AK220" s="4">
        <f t="shared" si="1661"/>
        <v>3967</v>
      </c>
      <c r="AL220" s="58">
        <f t="shared" si="1662"/>
        <v>2.3332453064603114E-5</v>
      </c>
      <c r="AM220" s="58">
        <f t="shared" si="1615"/>
        <v>7.8544891504604536E-6</v>
      </c>
      <c r="AN220" s="58">
        <f t="shared" si="1616"/>
        <v>1.5246949527364411E-5</v>
      </c>
      <c r="AO220" s="58">
        <f t="shared" si="1617"/>
        <v>8.3165179240169518E-6</v>
      </c>
      <c r="AP220" s="58">
        <f t="shared" si="1618"/>
        <v>1.6402021461255655E-5</v>
      </c>
      <c r="AQ220" s="58">
        <f t="shared" si="1619"/>
        <v>6.9535330420252836E-5</v>
      </c>
      <c r="AR220" s="58">
        <f t="shared" si="1620"/>
        <v>1.4784920753807913E-5</v>
      </c>
      <c r="AS220" s="58">
        <f t="shared" si="1621"/>
        <v>3.1233145092419214E-4</v>
      </c>
      <c r="AT220" s="58">
        <f t="shared" si="1622"/>
        <v>3.9133837120235322E-4</v>
      </c>
      <c r="AU220" s="58">
        <f t="shared" si="1623"/>
        <v>1.1781733725690681E-5</v>
      </c>
      <c r="AV220" s="58">
        <f t="shared" si="1624"/>
        <v>0</v>
      </c>
      <c r="AW220" s="58">
        <f t="shared" si="1625"/>
        <v>7.6234747636822054E-6</v>
      </c>
      <c r="AX220" s="58">
        <f t="shared" si="1626"/>
        <v>2.0791294810042377E-5</v>
      </c>
      <c r="AY220" s="58">
        <f t="shared" si="1627"/>
        <v>1.0857676178577687E-5</v>
      </c>
      <c r="AZ220" s="58">
        <f t="shared" si="1628"/>
        <v>6.2373884430127134E-6</v>
      </c>
      <c r="BA220" s="58">
        <f t="shared" si="1663"/>
        <v>9.1643407234931235E-4</v>
      </c>
      <c r="BB220" s="4">
        <f t="shared" si="1664"/>
        <v>4326751.2335640304</v>
      </c>
      <c r="BC220" s="59">
        <f t="shared" si="1629"/>
        <v>2.3343149293287266E-5</v>
      </c>
      <c r="BD220" s="59">
        <f t="shared" si="1665"/>
        <v>7.8580898611066048E-6</v>
      </c>
      <c r="BE220" s="59">
        <f t="shared" si="1630"/>
        <v>1.5253939142148115E-5</v>
      </c>
      <c r="BF220" s="59">
        <f t="shared" si="1631"/>
        <v>8.3203304411716991E-6</v>
      </c>
      <c r="BG220" s="59">
        <f t="shared" si="1632"/>
        <v>1.640954059231085E-5</v>
      </c>
      <c r="BH220" s="59">
        <f t="shared" si="1633"/>
        <v>6.9567207299796693E-5</v>
      </c>
      <c r="BI220" s="59">
        <f t="shared" si="1634"/>
        <v>1.4791698562083019E-5</v>
      </c>
      <c r="BJ220" s="59">
        <f t="shared" si="1635"/>
        <v>3.1247463212400378E-4</v>
      </c>
      <c r="BK220" s="59">
        <f t="shared" si="1636"/>
        <v>3.9151777131513494E-4</v>
      </c>
      <c r="BL220" s="59">
        <f t="shared" si="1637"/>
        <v>1.1787134791659907E-5</v>
      </c>
      <c r="BM220" s="59">
        <f t="shared" si="1638"/>
        <v>0</v>
      </c>
      <c r="BN220" s="59">
        <f t="shared" si="1639"/>
        <v>7.6269695710740576E-6</v>
      </c>
      <c r="BO220" s="59">
        <f t="shared" ref="BO220:BO224" si="1680">+AX220/(1-(0.5*$BA220))</f>
        <v>2.0800826102929245E-5</v>
      </c>
      <c r="BP220" s="59">
        <f t="shared" si="1641"/>
        <v>1.0862653631529719E-5</v>
      </c>
      <c r="BQ220" s="59">
        <f t="shared" si="1642"/>
        <v>6.2402478308787739E-6</v>
      </c>
      <c r="BR220" s="60">
        <f t="shared" ref="BR220:BR224" si="1681">+(V219+V220)/(2*$U220)</f>
        <v>1.7441586201757774E-5</v>
      </c>
      <c r="BS220" s="60">
        <f t="shared" si="1666"/>
        <v>6.0063740562344643E-6</v>
      </c>
      <c r="BT220" s="60">
        <f t="shared" si="1667"/>
        <v>2.1599845163766247E-5</v>
      </c>
      <c r="BU220" s="60">
        <f t="shared" si="1668"/>
        <v>1.3283327239749297E-5</v>
      </c>
      <c r="BV220" s="60">
        <f t="shared" si="1669"/>
        <v>1.0280140211632064E-5</v>
      </c>
      <c r="BW220" s="60">
        <f t="shared" si="1670"/>
        <v>6.5492578651633488E-5</v>
      </c>
      <c r="BX220" s="60">
        <f t="shared" si="1671"/>
        <v>9.4715898579081938E-6</v>
      </c>
      <c r="BY220" s="60">
        <f t="shared" si="1672"/>
        <v>2.3228496590552901E-4</v>
      </c>
      <c r="BZ220" s="60">
        <f t="shared" si="1673"/>
        <v>2.0779744090703467E-4</v>
      </c>
      <c r="CA220" s="60">
        <f t="shared" si="1674"/>
        <v>7.7389819570713291E-6</v>
      </c>
      <c r="CB220" s="60">
        <f t="shared" si="1675"/>
        <v>2.3101438677824863E-7</v>
      </c>
      <c r="CC220" s="60">
        <f t="shared" si="1676"/>
        <v>5.544345282677967E-6</v>
      </c>
      <c r="CD220" s="60">
        <f t="shared" si="1677"/>
        <v>1.9867237262929384E-5</v>
      </c>
      <c r="CE220" s="60">
        <f t="shared" si="1678"/>
        <v>5.6598524760670916E-6</v>
      </c>
      <c r="CF220" s="13">
        <f t="shared" si="1679"/>
        <v>7.0459387967365835E-6</v>
      </c>
    </row>
    <row r="221" spans="1:85" hidden="1" x14ac:dyDescent="0.25">
      <c r="A221" s="4" t="s">
        <v>3</v>
      </c>
      <c r="B221" s="56">
        <v>6500086.9398599695</v>
      </c>
      <c r="C221" s="57">
        <v>1265</v>
      </c>
      <c r="D221" s="57">
        <v>267</v>
      </c>
      <c r="E221" s="57">
        <v>94</v>
      </c>
      <c r="F221" s="57">
        <v>65</v>
      </c>
      <c r="G221" s="57">
        <v>232</v>
      </c>
      <c r="H221" s="57">
        <v>1734</v>
      </c>
      <c r="I221" s="57">
        <v>517</v>
      </c>
      <c r="J221" s="57">
        <v>2393</v>
      </c>
      <c r="K221" s="57">
        <v>1811</v>
      </c>
      <c r="L221" s="57">
        <v>272</v>
      </c>
      <c r="M221" s="57">
        <v>1</v>
      </c>
      <c r="N221" s="57">
        <v>99</v>
      </c>
      <c r="O221" s="57">
        <v>191</v>
      </c>
      <c r="P221" s="57">
        <v>719</v>
      </c>
      <c r="Q221" s="57">
        <v>111</v>
      </c>
      <c r="S221" s="4">
        <f t="shared" si="1657"/>
        <v>1996</v>
      </c>
      <c r="T221" s="4" t="str">
        <f t="shared" si="1658"/>
        <v>25-44</v>
      </c>
      <c r="U221" s="56">
        <f t="shared" si="1659"/>
        <v>6500086.9398599695</v>
      </c>
      <c r="V221" s="4">
        <f t="shared" si="1660"/>
        <v>1265</v>
      </c>
      <c r="W221" s="4">
        <f t="shared" si="1601"/>
        <v>267</v>
      </c>
      <c r="X221" s="4">
        <f t="shared" si="1602"/>
        <v>94</v>
      </c>
      <c r="Y221" s="4">
        <f t="shared" si="1603"/>
        <v>65</v>
      </c>
      <c r="Z221" s="4">
        <f t="shared" si="1604"/>
        <v>232</v>
      </c>
      <c r="AA221" s="4">
        <f t="shared" si="1605"/>
        <v>1734</v>
      </c>
      <c r="AB221" s="4">
        <f t="shared" si="1606"/>
        <v>517</v>
      </c>
      <c r="AC221" s="4">
        <f t="shared" si="1607"/>
        <v>2393</v>
      </c>
      <c r="AD221" s="4">
        <f t="shared" si="1608"/>
        <v>1811</v>
      </c>
      <c r="AE221" s="4">
        <f t="shared" si="1609"/>
        <v>272</v>
      </c>
      <c r="AF221" s="4">
        <f t="shared" si="1610"/>
        <v>1</v>
      </c>
      <c r="AG221" s="4">
        <f t="shared" si="1611"/>
        <v>99</v>
      </c>
      <c r="AH221" s="4">
        <f t="shared" si="1612"/>
        <v>191</v>
      </c>
      <c r="AI221" s="4">
        <f t="shared" si="1613"/>
        <v>719</v>
      </c>
      <c r="AJ221" s="4">
        <f t="shared" si="1614"/>
        <v>111</v>
      </c>
      <c r="AK221" s="4">
        <f t="shared" si="1661"/>
        <v>9771</v>
      </c>
      <c r="AL221" s="58">
        <f t="shared" si="1662"/>
        <v>1.9461278159877223E-4</v>
      </c>
      <c r="AM221" s="58">
        <f t="shared" si="1615"/>
        <v>4.107637366551161E-5</v>
      </c>
      <c r="AN221" s="58">
        <f t="shared" si="1616"/>
        <v>1.4461345035798096E-5</v>
      </c>
      <c r="AO221" s="58">
        <f t="shared" si="1617"/>
        <v>9.9998662481582572E-6</v>
      </c>
      <c r="AP221" s="58">
        <f t="shared" si="1618"/>
        <v>3.56918303011187E-5</v>
      </c>
      <c r="AQ221" s="58">
        <f t="shared" si="1619"/>
        <v>2.6676566268163718E-4</v>
      </c>
      <c r="AR221" s="58">
        <f t="shared" si="1620"/>
        <v>7.953739769688952E-5</v>
      </c>
      <c r="AS221" s="58">
        <f t="shared" si="1621"/>
        <v>3.6814892202834939E-4</v>
      </c>
      <c r="AT221" s="58">
        <f t="shared" si="1622"/>
        <v>2.7861165808330162E-4</v>
      </c>
      <c r="AU221" s="58">
        <f t="shared" si="1623"/>
        <v>4.1845594146139165E-5</v>
      </c>
      <c r="AV221" s="58">
        <f t="shared" si="1624"/>
        <v>1.5384409612551164E-7</v>
      </c>
      <c r="AW221" s="58">
        <f t="shared" si="1625"/>
        <v>1.5230565516425653E-5</v>
      </c>
      <c r="AX221" s="58">
        <f t="shared" si="1626"/>
        <v>2.9384222359972725E-5</v>
      </c>
      <c r="AY221" s="58">
        <f t="shared" si="1627"/>
        <v>1.1061390511424288E-4</v>
      </c>
      <c r="AZ221" s="58">
        <f t="shared" si="1628"/>
        <v>1.7076694669931794E-5</v>
      </c>
      <c r="BA221" s="58">
        <f t="shared" si="1663"/>
        <v>1.5032106632423743E-3</v>
      </c>
      <c r="BB221" s="4">
        <f t="shared" si="1664"/>
        <v>6495201.4398599695</v>
      </c>
      <c r="BC221" s="59">
        <f t="shared" si="1629"/>
        <v>1.9475916362453452E-4</v>
      </c>
      <c r="BD221" s="59">
        <f t="shared" si="1665"/>
        <v>4.1107270108893847E-5</v>
      </c>
      <c r="BE221" s="59">
        <f t="shared" si="1630"/>
        <v>1.4472222435340906E-5</v>
      </c>
      <c r="BF221" s="59">
        <f t="shared" si="1631"/>
        <v>1.0007387854225095E-5</v>
      </c>
      <c r="BG221" s="59">
        <f t="shared" si="1632"/>
        <v>3.5718676648926485E-5</v>
      </c>
      <c r="BH221" s="59">
        <f t="shared" si="1633"/>
        <v>2.6696631598809712E-4</v>
      </c>
      <c r="BI221" s="59">
        <f t="shared" si="1634"/>
        <v>7.9597223394374983E-5</v>
      </c>
      <c r="BJ221" s="59">
        <f t="shared" si="1635"/>
        <v>3.6842583284862543E-4</v>
      </c>
      <c r="BK221" s="59">
        <f t="shared" si="1636"/>
        <v>2.7882122160002534E-4</v>
      </c>
      <c r="BL221" s="59">
        <f t="shared" si="1637"/>
        <v>4.187706917460347E-5</v>
      </c>
      <c r="BM221" s="59">
        <f t="shared" si="1638"/>
        <v>1.5395981314192452E-7</v>
      </c>
      <c r="BN221" s="59">
        <f t="shared" si="1639"/>
        <v>1.5242021501050527E-5</v>
      </c>
      <c r="BO221" s="59">
        <f t="shared" si="1680"/>
        <v>2.9406324310107584E-5</v>
      </c>
      <c r="BP221" s="59">
        <f t="shared" si="1641"/>
        <v>1.1069710564904374E-4</v>
      </c>
      <c r="BQ221" s="59">
        <f t="shared" si="1642"/>
        <v>1.7089539258753623E-5</v>
      </c>
      <c r="BR221" s="60">
        <f t="shared" si="1681"/>
        <v>1.0507551765372446E-4</v>
      </c>
      <c r="BS221" s="60">
        <f t="shared" si="1666"/>
        <v>2.3153536466889503E-5</v>
      </c>
      <c r="BT221" s="60">
        <f t="shared" si="1667"/>
        <v>1.2307527690040933E-5</v>
      </c>
      <c r="BU221" s="60">
        <f t="shared" si="1668"/>
        <v>7.7691268543383381E-6</v>
      </c>
      <c r="BV221" s="60">
        <f t="shared" si="1669"/>
        <v>2.3307380563015016E-5</v>
      </c>
      <c r="BW221" s="60">
        <f t="shared" si="1670"/>
        <v>1.565363678077081E-4</v>
      </c>
      <c r="BX221" s="60">
        <f t="shared" si="1671"/>
        <v>4.4691709924461133E-5</v>
      </c>
      <c r="BY221" s="60">
        <f t="shared" si="1672"/>
        <v>2.8807306999502054E-4</v>
      </c>
      <c r="BZ221" s="60">
        <f t="shared" si="1673"/>
        <v>2.6961177845995915E-4</v>
      </c>
      <c r="CA221" s="60">
        <f t="shared" si="1674"/>
        <v>2.4845821524270131E-5</v>
      </c>
      <c r="CB221" s="60">
        <f t="shared" si="1675"/>
        <v>7.6922048062755818E-8</v>
      </c>
      <c r="CC221" s="60">
        <f t="shared" si="1676"/>
        <v>1.0153710344283768E-5</v>
      </c>
      <c r="CD221" s="60">
        <f t="shared" si="1677"/>
        <v>2.1615095505634385E-5</v>
      </c>
      <c r="CE221" s="60">
        <f t="shared" si="1678"/>
        <v>5.8922288816070963E-5</v>
      </c>
      <c r="CF221" s="13">
        <f t="shared" si="1679"/>
        <v>1.0615242632660304E-5</v>
      </c>
    </row>
    <row r="222" spans="1:85" hidden="1" x14ac:dyDescent="0.25">
      <c r="A222" s="4" t="s">
        <v>2</v>
      </c>
      <c r="B222" s="56">
        <v>2862216.4853526298</v>
      </c>
      <c r="C222" s="57">
        <v>5170</v>
      </c>
      <c r="D222" s="57">
        <v>791</v>
      </c>
      <c r="E222" s="57">
        <v>38</v>
      </c>
      <c r="F222" s="57">
        <v>151</v>
      </c>
      <c r="G222" s="57">
        <v>387</v>
      </c>
      <c r="H222" s="57">
        <v>4424</v>
      </c>
      <c r="I222" s="57">
        <v>1783</v>
      </c>
      <c r="J222" s="57">
        <v>1078</v>
      </c>
      <c r="K222" s="57">
        <v>502</v>
      </c>
      <c r="L222" s="57">
        <v>1450</v>
      </c>
      <c r="M222" s="57">
        <v>0</v>
      </c>
      <c r="N222" s="57">
        <v>427</v>
      </c>
      <c r="O222" s="57">
        <v>247</v>
      </c>
      <c r="P222" s="57">
        <v>130</v>
      </c>
      <c r="Q222" s="57">
        <v>206</v>
      </c>
      <c r="S222" s="4">
        <f t="shared" si="1657"/>
        <v>1996</v>
      </c>
      <c r="T222" s="4" t="str">
        <f t="shared" si="1658"/>
        <v>45-64</v>
      </c>
      <c r="U222" s="56">
        <f t="shared" si="1659"/>
        <v>2862216.4853526298</v>
      </c>
      <c r="V222" s="4">
        <f t="shared" si="1660"/>
        <v>5170</v>
      </c>
      <c r="W222" s="4">
        <f t="shared" si="1601"/>
        <v>791</v>
      </c>
      <c r="X222" s="4">
        <f t="shared" si="1602"/>
        <v>38</v>
      </c>
      <c r="Y222" s="4">
        <f t="shared" si="1603"/>
        <v>151</v>
      </c>
      <c r="Z222" s="4">
        <f t="shared" si="1604"/>
        <v>387</v>
      </c>
      <c r="AA222" s="4">
        <f t="shared" si="1605"/>
        <v>4424</v>
      </c>
      <c r="AB222" s="4">
        <f t="shared" si="1606"/>
        <v>1783</v>
      </c>
      <c r="AC222" s="4">
        <f t="shared" si="1607"/>
        <v>1078</v>
      </c>
      <c r="AD222" s="4">
        <f t="shared" si="1608"/>
        <v>502</v>
      </c>
      <c r="AE222" s="4">
        <f t="shared" si="1609"/>
        <v>1450</v>
      </c>
      <c r="AF222" s="4">
        <f t="shared" si="1610"/>
        <v>0</v>
      </c>
      <c r="AG222" s="4">
        <f t="shared" si="1611"/>
        <v>427</v>
      </c>
      <c r="AH222" s="4">
        <f t="shared" si="1612"/>
        <v>247</v>
      </c>
      <c r="AI222" s="4">
        <f t="shared" si="1613"/>
        <v>130</v>
      </c>
      <c r="AJ222" s="4">
        <f t="shared" si="1614"/>
        <v>206</v>
      </c>
      <c r="AK222" s="4">
        <f t="shared" si="1661"/>
        <v>16784</v>
      </c>
      <c r="AL222" s="58">
        <f t="shared" si="1662"/>
        <v>1.8062924403019248E-3</v>
      </c>
      <c r="AM222" s="58">
        <f t="shared" si="1615"/>
        <v>2.7635924957037186E-4</v>
      </c>
      <c r="AN222" s="58">
        <f t="shared" si="1616"/>
        <v>1.3276424126010279E-5</v>
      </c>
      <c r="AO222" s="58">
        <f t="shared" si="1617"/>
        <v>5.2756316921777688E-5</v>
      </c>
      <c r="AP222" s="58">
        <f t="shared" si="1618"/>
        <v>1.3520989833594679E-4</v>
      </c>
      <c r="AQ222" s="58">
        <f t="shared" si="1619"/>
        <v>1.5456552719334072E-3</v>
      </c>
      <c r="AR222" s="58">
        <f t="shared" si="1620"/>
        <v>6.229437951756928E-4</v>
      </c>
      <c r="AS222" s="58">
        <f t="shared" si="1621"/>
        <v>3.7663118967997582E-4</v>
      </c>
      <c r="AT222" s="58">
        <f t="shared" si="1622"/>
        <v>1.7538855029624104E-4</v>
      </c>
      <c r="AU222" s="58">
        <f t="shared" si="1623"/>
        <v>5.0660039428197118E-4</v>
      </c>
      <c r="AV222" s="58">
        <f t="shared" si="1624"/>
        <v>0</v>
      </c>
      <c r="AW222" s="58">
        <f t="shared" si="1625"/>
        <v>1.4918508162648392E-4</v>
      </c>
      <c r="AX222" s="58">
        <f t="shared" si="1626"/>
        <v>8.6296756819066809E-5</v>
      </c>
      <c r="AY222" s="58">
        <f t="shared" si="1627"/>
        <v>4.541934569424569E-5</v>
      </c>
      <c r="AZ222" s="58">
        <f t="shared" si="1628"/>
        <v>7.1972193946266255E-5</v>
      </c>
      <c r="BA222" s="58">
        <f t="shared" si="1663"/>
        <v>5.8639869087093819E-3</v>
      </c>
      <c r="BB222" s="4">
        <f t="shared" si="1664"/>
        <v>2853824.4853526298</v>
      </c>
      <c r="BC222" s="59">
        <f t="shared" si="1629"/>
        <v>1.8116040515228724E-3</v>
      </c>
      <c r="BD222" s="59">
        <f t="shared" si="1665"/>
        <v>2.7717191581326728E-4</v>
      </c>
      <c r="BE222" s="59">
        <f t="shared" si="1630"/>
        <v>1.3315464982179718E-5</v>
      </c>
      <c r="BF222" s="59">
        <f t="shared" si="1631"/>
        <v>5.2911452955503619E-5</v>
      </c>
      <c r="BG222" s="59">
        <f t="shared" si="1632"/>
        <v>1.3560749863430398E-4</v>
      </c>
      <c r="BH222" s="59">
        <f t="shared" si="1633"/>
        <v>1.5502004495042915E-3</v>
      </c>
      <c r="BI222" s="59">
        <f t="shared" si="1634"/>
        <v>6.2477563324280102E-4</v>
      </c>
      <c r="BJ222" s="59">
        <f t="shared" si="1635"/>
        <v>3.7773871712604574E-4</v>
      </c>
      <c r="BK222" s="59">
        <f t="shared" si="1636"/>
        <v>1.7590430055405837E-4</v>
      </c>
      <c r="BL222" s="59">
        <f t="shared" si="1637"/>
        <v>5.0809011116212085E-4</v>
      </c>
      <c r="BM222" s="59">
        <f t="shared" si="1638"/>
        <v>0</v>
      </c>
      <c r="BN222" s="59">
        <f t="shared" si="1639"/>
        <v>1.4962377756291422E-4</v>
      </c>
      <c r="BO222" s="59">
        <f t="shared" si="1680"/>
        <v>8.6550522384168166E-5</v>
      </c>
      <c r="BP222" s="59">
        <f t="shared" si="1641"/>
        <v>4.5552906517983245E-5</v>
      </c>
      <c r="BQ222" s="59">
        <f t="shared" si="1642"/>
        <v>7.2183836482342698E-5</v>
      </c>
      <c r="BR222" s="60">
        <f t="shared" si="1681"/>
        <v>1.1241288059325809E-3</v>
      </c>
      <c r="BS222" s="60">
        <f t="shared" si="1666"/>
        <v>1.8482179901735361E-4</v>
      </c>
      <c r="BT222" s="60">
        <f t="shared" si="1667"/>
        <v>2.3059052429386273E-5</v>
      </c>
      <c r="BU222" s="60">
        <f t="shared" si="1668"/>
        <v>3.7732994884450265E-5</v>
      </c>
      <c r="BV222" s="60">
        <f t="shared" si="1669"/>
        <v>1.0813298071053108E-4</v>
      </c>
      <c r="BW222" s="60">
        <f t="shared" si="1670"/>
        <v>1.0757397337890959E-3</v>
      </c>
      <c r="BX222" s="60">
        <f t="shared" si="1671"/>
        <v>4.0178651960294265E-4</v>
      </c>
      <c r="BY222" s="60">
        <f t="shared" si="1672"/>
        <v>6.0634826501817997E-4</v>
      </c>
      <c r="BZ222" s="60">
        <f t="shared" si="1673"/>
        <v>4.0405748688765491E-4</v>
      </c>
      <c r="CA222" s="60">
        <f t="shared" si="1674"/>
        <v>3.0081582032881184E-4</v>
      </c>
      <c r="CB222" s="60">
        <f t="shared" si="1675"/>
        <v>1.746897911317142E-7</v>
      </c>
      <c r="CC222" s="60">
        <f t="shared" si="1676"/>
        <v>9.1886830135281663E-5</v>
      </c>
      <c r="CD222" s="60">
        <f t="shared" si="1677"/>
        <v>7.6514128515690812E-5</v>
      </c>
      <c r="CE222" s="60">
        <f t="shared" si="1678"/>
        <v>1.4831163267082535E-4</v>
      </c>
      <c r="CF222" s="13">
        <f t="shared" si="1679"/>
        <v>5.5376663788753401E-5</v>
      </c>
    </row>
    <row r="223" spans="1:85" hidden="1" x14ac:dyDescent="0.25">
      <c r="A223" s="4" t="s">
        <v>1</v>
      </c>
      <c r="B223" s="56">
        <v>710343.28776711202</v>
      </c>
      <c r="C223" s="57">
        <v>5212</v>
      </c>
      <c r="D223" s="57">
        <v>406</v>
      </c>
      <c r="E223" s="57">
        <v>24</v>
      </c>
      <c r="F223" s="57">
        <v>146</v>
      </c>
      <c r="G223" s="57">
        <v>319</v>
      </c>
      <c r="H223" s="57">
        <v>3335</v>
      </c>
      <c r="I223" s="57">
        <v>1780</v>
      </c>
      <c r="J223" s="57">
        <v>380</v>
      </c>
      <c r="K223" s="57">
        <v>125</v>
      </c>
      <c r="L223" s="57">
        <v>1343</v>
      </c>
      <c r="M223" s="57">
        <v>0</v>
      </c>
      <c r="N223" s="57">
        <v>576</v>
      </c>
      <c r="O223" s="57">
        <v>226</v>
      </c>
      <c r="P223" s="57">
        <v>5</v>
      </c>
      <c r="Q223" s="57">
        <v>161</v>
      </c>
      <c r="S223" s="4">
        <f t="shared" si="1657"/>
        <v>1996</v>
      </c>
      <c r="T223" s="4" t="str">
        <f t="shared" si="1658"/>
        <v>65-74</v>
      </c>
      <c r="U223" s="56">
        <f t="shared" si="1659"/>
        <v>710343.28776711202</v>
      </c>
      <c r="V223" s="4">
        <f t="shared" si="1660"/>
        <v>5212</v>
      </c>
      <c r="W223" s="4">
        <f t="shared" si="1601"/>
        <v>406</v>
      </c>
      <c r="X223" s="4">
        <f t="shared" si="1602"/>
        <v>24</v>
      </c>
      <c r="Y223" s="4">
        <f t="shared" si="1603"/>
        <v>146</v>
      </c>
      <c r="Z223" s="4">
        <f t="shared" si="1604"/>
        <v>319</v>
      </c>
      <c r="AA223" s="4">
        <f t="shared" si="1605"/>
        <v>3335</v>
      </c>
      <c r="AB223" s="4">
        <f t="shared" si="1606"/>
        <v>1780</v>
      </c>
      <c r="AC223" s="4">
        <f t="shared" si="1607"/>
        <v>380</v>
      </c>
      <c r="AD223" s="4">
        <f t="shared" si="1608"/>
        <v>125</v>
      </c>
      <c r="AE223" s="4">
        <f t="shared" si="1609"/>
        <v>1343</v>
      </c>
      <c r="AF223" s="4">
        <f t="shared" si="1610"/>
        <v>0</v>
      </c>
      <c r="AG223" s="4">
        <f t="shared" si="1611"/>
        <v>576</v>
      </c>
      <c r="AH223" s="4">
        <f t="shared" si="1612"/>
        <v>226</v>
      </c>
      <c r="AI223" s="4">
        <f t="shared" si="1613"/>
        <v>5</v>
      </c>
      <c r="AJ223" s="4">
        <f t="shared" si="1614"/>
        <v>161</v>
      </c>
      <c r="AK223" s="4">
        <f t="shared" si="1661"/>
        <v>14038</v>
      </c>
      <c r="AL223" s="58">
        <f t="shared" si="1662"/>
        <v>7.3372974585053981E-3</v>
      </c>
      <c r="AM223" s="58">
        <f t="shared" si="1615"/>
        <v>5.7155463702095004E-4</v>
      </c>
      <c r="AN223" s="58">
        <f t="shared" si="1616"/>
        <v>3.3786481006164537E-5</v>
      </c>
      <c r="AO223" s="58">
        <f t="shared" si="1617"/>
        <v>2.0553442612083426E-4</v>
      </c>
      <c r="AP223" s="58">
        <f t="shared" si="1618"/>
        <v>4.4907864337360363E-4</v>
      </c>
      <c r="AQ223" s="58">
        <f t="shared" si="1619"/>
        <v>4.6949130898149474E-3</v>
      </c>
      <c r="AR223" s="58">
        <f t="shared" si="1620"/>
        <v>2.5058306746238699E-3</v>
      </c>
      <c r="AS223" s="58">
        <f t="shared" si="1621"/>
        <v>5.3495261593093852E-4</v>
      </c>
      <c r="AT223" s="58">
        <f t="shared" si="1622"/>
        <v>1.759712552404403E-4</v>
      </c>
      <c r="AU223" s="58">
        <f t="shared" si="1623"/>
        <v>1.8906351663032905E-3</v>
      </c>
      <c r="AV223" s="58">
        <f t="shared" si="1624"/>
        <v>0</v>
      </c>
      <c r="AW223" s="58">
        <f t="shared" si="1625"/>
        <v>8.1087554414794889E-4</v>
      </c>
      <c r="AX223" s="58">
        <f t="shared" si="1626"/>
        <v>3.1815602947471606E-4</v>
      </c>
      <c r="AY223" s="58">
        <f t="shared" si="1627"/>
        <v>7.0388502096176121E-6</v>
      </c>
      <c r="AZ223" s="58">
        <f t="shared" si="1628"/>
        <v>2.2665097674968711E-4</v>
      </c>
      <c r="BA223" s="58">
        <f t="shared" si="1663"/>
        <v>1.9762275848522408E-2</v>
      </c>
      <c r="BB223" s="4">
        <f t="shared" si="1664"/>
        <v>703324.28776711202</v>
      </c>
      <c r="BC223" s="59">
        <f t="shared" si="1629"/>
        <v>7.4105218469660197E-3</v>
      </c>
      <c r="BD223" s="59">
        <f t="shared" si="1665"/>
        <v>5.772586089539916E-4</v>
      </c>
      <c r="BE223" s="59">
        <f t="shared" si="1630"/>
        <v>3.4123661613043836E-5</v>
      </c>
      <c r="BF223" s="59">
        <f t="shared" si="1631"/>
        <v>2.0758560814601668E-4</v>
      </c>
      <c r="BG223" s="59">
        <f t="shared" si="1632"/>
        <v>4.5356033560670767E-4</v>
      </c>
      <c r="BH223" s="59">
        <f t="shared" si="1633"/>
        <v>4.741767144979217E-3</v>
      </c>
      <c r="BI223" s="59">
        <f t="shared" si="1634"/>
        <v>2.5308382363007516E-3</v>
      </c>
      <c r="BJ223" s="59">
        <f t="shared" si="1635"/>
        <v>5.4029130887319409E-4</v>
      </c>
      <c r="BK223" s="59">
        <f t="shared" si="1636"/>
        <v>1.7772740423460334E-4</v>
      </c>
      <c r="BL223" s="59">
        <f t="shared" si="1637"/>
        <v>1.909503231096578E-3</v>
      </c>
      <c r="BM223" s="59">
        <f t="shared" si="1638"/>
        <v>0</v>
      </c>
      <c r="BN223" s="59">
        <f t="shared" si="1639"/>
        <v>8.1896787871305217E-4</v>
      </c>
      <c r="BO223" s="59">
        <f t="shared" si="1680"/>
        <v>3.2133114685616281E-4</v>
      </c>
      <c r="BP223" s="59">
        <f t="shared" si="1641"/>
        <v>7.1090961693841331E-6</v>
      </c>
      <c r="BQ223" s="59">
        <f t="shared" si="1642"/>
        <v>2.2891289665416908E-4</v>
      </c>
      <c r="BR223" s="60">
        <f t="shared" si="1681"/>
        <v>7.3077342876250043E-3</v>
      </c>
      <c r="BS223" s="60">
        <f t="shared" si="1666"/>
        <v>8.4255037009122813E-4</v>
      </c>
      <c r="BT223" s="60">
        <f t="shared" si="1667"/>
        <v>4.3640871299629196E-5</v>
      </c>
      <c r="BU223" s="60">
        <f t="shared" si="1668"/>
        <v>2.0905385122564307E-4</v>
      </c>
      <c r="BV223" s="60">
        <f t="shared" si="1669"/>
        <v>4.969428247990034E-4</v>
      </c>
      <c r="BW223" s="60">
        <f t="shared" si="1670"/>
        <v>5.461443877642305E-3</v>
      </c>
      <c r="BX223" s="60">
        <f t="shared" si="1671"/>
        <v>2.5079423296867549E-3</v>
      </c>
      <c r="BY223" s="60">
        <f t="shared" si="1672"/>
        <v>1.0262643605622478E-3</v>
      </c>
      <c r="BZ223" s="60">
        <f t="shared" si="1673"/>
        <v>4.4133590814302427E-4</v>
      </c>
      <c r="CA223" s="60">
        <f t="shared" si="1674"/>
        <v>1.9659508635461991E-3</v>
      </c>
      <c r="CB223" s="60">
        <f t="shared" si="1675"/>
        <v>0</v>
      </c>
      <c r="CC223" s="60">
        <f t="shared" si="1676"/>
        <v>7.0599667602464649E-4</v>
      </c>
      <c r="CD223" s="60">
        <f t="shared" si="1677"/>
        <v>3.3293761491491304E-4</v>
      </c>
      <c r="CE223" s="60">
        <f t="shared" si="1678"/>
        <v>9.5024477829837753E-5</v>
      </c>
      <c r="CF223" s="13">
        <f t="shared" si="1679"/>
        <v>2.5832580269296635E-4</v>
      </c>
    </row>
    <row r="224" spans="1:85" hidden="1" x14ac:dyDescent="0.25">
      <c r="A224" s="4" t="s">
        <v>0</v>
      </c>
      <c r="B224" s="56">
        <v>710343.28776711202</v>
      </c>
      <c r="C224" s="57">
        <v>9429</v>
      </c>
      <c r="D224" s="57">
        <v>279</v>
      </c>
      <c r="E224" s="57">
        <v>22</v>
      </c>
      <c r="F224" s="57">
        <v>432</v>
      </c>
      <c r="G224" s="57">
        <v>397</v>
      </c>
      <c r="H224" s="57">
        <v>3401</v>
      </c>
      <c r="I224" s="57">
        <v>3442</v>
      </c>
      <c r="J224" s="57">
        <v>534</v>
      </c>
      <c r="K224" s="57">
        <v>68</v>
      </c>
      <c r="L224" s="57">
        <v>1306</v>
      </c>
      <c r="M224" s="57">
        <v>14</v>
      </c>
      <c r="N224" s="57">
        <v>1141</v>
      </c>
      <c r="O224" s="57">
        <v>974</v>
      </c>
      <c r="P224" s="57">
        <v>7</v>
      </c>
      <c r="Q224" s="57">
        <v>178</v>
      </c>
      <c r="S224" s="4">
        <f t="shared" si="1657"/>
        <v>1996</v>
      </c>
      <c r="T224" s="4" t="str">
        <f t="shared" si="1658"/>
        <v>75+</v>
      </c>
      <c r="U224" s="56">
        <f t="shared" si="1659"/>
        <v>710343.28776711202</v>
      </c>
      <c r="V224" s="4">
        <f t="shared" si="1660"/>
        <v>9429</v>
      </c>
      <c r="W224" s="4">
        <f t="shared" si="1601"/>
        <v>279</v>
      </c>
      <c r="X224" s="4">
        <f t="shared" si="1602"/>
        <v>22</v>
      </c>
      <c r="Y224" s="4">
        <f t="shared" si="1603"/>
        <v>432</v>
      </c>
      <c r="Z224" s="4">
        <f t="shared" si="1604"/>
        <v>397</v>
      </c>
      <c r="AA224" s="4">
        <f t="shared" si="1605"/>
        <v>3401</v>
      </c>
      <c r="AB224" s="4">
        <f t="shared" si="1606"/>
        <v>3442</v>
      </c>
      <c r="AC224" s="4">
        <f t="shared" si="1607"/>
        <v>534</v>
      </c>
      <c r="AD224" s="4">
        <f t="shared" si="1608"/>
        <v>68</v>
      </c>
      <c r="AE224" s="4">
        <f t="shared" si="1609"/>
        <v>1306</v>
      </c>
      <c r="AF224" s="4">
        <f t="shared" si="1610"/>
        <v>14</v>
      </c>
      <c r="AG224" s="4">
        <f t="shared" si="1611"/>
        <v>1141</v>
      </c>
      <c r="AH224" s="4">
        <f t="shared" si="1612"/>
        <v>974</v>
      </c>
      <c r="AI224" s="4">
        <f t="shared" si="1613"/>
        <v>7</v>
      </c>
      <c r="AJ224" s="4">
        <f t="shared" si="1614"/>
        <v>178</v>
      </c>
      <c r="AK224" s="4">
        <f t="shared" si="1661"/>
        <v>21624</v>
      </c>
      <c r="AL224" s="58">
        <f t="shared" si="1662"/>
        <v>1.3273863725296892E-2</v>
      </c>
      <c r="AM224" s="58">
        <f t="shared" si="1615"/>
        <v>3.9276784169666276E-4</v>
      </c>
      <c r="AN224" s="58">
        <f t="shared" si="1616"/>
        <v>3.0970940922317494E-5</v>
      </c>
      <c r="AO224" s="58">
        <f t="shared" si="1617"/>
        <v>6.0815665811096166E-4</v>
      </c>
      <c r="AP224" s="58">
        <f t="shared" si="1618"/>
        <v>5.588847066436384E-4</v>
      </c>
      <c r="AQ224" s="58">
        <f t="shared" si="1619"/>
        <v>4.7878259125818997E-3</v>
      </c>
      <c r="AR224" s="58">
        <f t="shared" si="1620"/>
        <v>4.8455444843007638E-3</v>
      </c>
      <c r="AS224" s="58">
        <f t="shared" si="1621"/>
        <v>7.5174920238716097E-4</v>
      </c>
      <c r="AT224" s="58">
        <f t="shared" si="1622"/>
        <v>9.5728362850799526E-5</v>
      </c>
      <c r="AU224" s="58">
        <f t="shared" si="1623"/>
        <v>1.8385476747521201E-3</v>
      </c>
      <c r="AV224" s="58">
        <f t="shared" si="1624"/>
        <v>1.9708780586929314E-5</v>
      </c>
      <c r="AW224" s="58">
        <f t="shared" si="1625"/>
        <v>1.606265617834739E-3</v>
      </c>
      <c r="AX224" s="58">
        <f t="shared" si="1626"/>
        <v>1.3711680208335108E-3</v>
      </c>
      <c r="AY224" s="58">
        <f t="shared" si="1627"/>
        <v>9.8543902934646572E-6</v>
      </c>
      <c r="AZ224" s="58">
        <f t="shared" si="1628"/>
        <v>2.5058306746238699E-4</v>
      </c>
      <c r="BA224" s="58">
        <f t="shared" si="1663"/>
        <v>3.0441619386554247E-2</v>
      </c>
      <c r="BB224" s="4">
        <f t="shared" si="1664"/>
        <v>699531.28776711202</v>
      </c>
      <c r="BC224" s="59">
        <f t="shared" si="1629"/>
        <v>1.3479025405850185E-2</v>
      </c>
      <c r="BD224" s="59">
        <f t="shared" si="1665"/>
        <v>3.9883848639645793E-4</v>
      </c>
      <c r="BE224" s="59">
        <f t="shared" si="1630"/>
        <v>3.1449629751692027E-5</v>
      </c>
      <c r="BF224" s="59">
        <f t="shared" si="1631"/>
        <v>6.1755636603322511E-4</v>
      </c>
      <c r="BG224" s="59">
        <f t="shared" si="1632"/>
        <v>5.6752286415553336E-4</v>
      </c>
      <c r="BH224" s="59">
        <f t="shared" si="1633"/>
        <v>4.8618268538865713E-3</v>
      </c>
      <c r="BI224" s="59">
        <f t="shared" si="1634"/>
        <v>4.9204375275147243E-3</v>
      </c>
      <c r="BJ224" s="59">
        <f t="shared" si="1635"/>
        <v>7.6336828579107001E-4</v>
      </c>
      <c r="BK224" s="59">
        <f t="shared" si="1636"/>
        <v>9.7207946505229885E-5</v>
      </c>
      <c r="BL224" s="59">
        <f t="shared" si="1637"/>
        <v>1.8669643843504445E-3</v>
      </c>
      <c r="BM224" s="59">
        <f t="shared" si="1638"/>
        <v>2.0013400751076742E-5</v>
      </c>
      <c r="BN224" s="59">
        <f t="shared" si="1639"/>
        <v>1.6310921612127545E-3</v>
      </c>
      <c r="BO224" s="59">
        <f t="shared" si="1680"/>
        <v>1.3923608808249104E-3</v>
      </c>
      <c r="BP224" s="59">
        <f t="shared" si="1641"/>
        <v>1.0006700375538371E-5</v>
      </c>
      <c r="BQ224" s="59">
        <f t="shared" si="1642"/>
        <v>2.5445609526369002E-4</v>
      </c>
      <c r="BR224" s="60">
        <f t="shared" si="1681"/>
        <v>1.0305580591901146E-2</v>
      </c>
      <c r="BS224" s="60">
        <f t="shared" si="1666"/>
        <v>4.8216123935880642E-4</v>
      </c>
      <c r="BT224" s="60">
        <f t="shared" si="1667"/>
        <v>3.2378710964241012E-5</v>
      </c>
      <c r="BU224" s="60">
        <f t="shared" si="1668"/>
        <v>4.0684554211589799E-4</v>
      </c>
      <c r="BV224" s="60">
        <f t="shared" si="1669"/>
        <v>5.0398167500862096E-4</v>
      </c>
      <c r="BW224" s="60">
        <f t="shared" si="1670"/>
        <v>4.7413695011984235E-3</v>
      </c>
      <c r="BX224" s="60">
        <f t="shared" si="1671"/>
        <v>3.6756875794623171E-3</v>
      </c>
      <c r="BY224" s="60">
        <f t="shared" si="1672"/>
        <v>6.4335090915904969E-4</v>
      </c>
      <c r="BZ224" s="60">
        <f t="shared" si="1673"/>
        <v>1.3584980904561992E-4</v>
      </c>
      <c r="CA224" s="60">
        <f t="shared" si="1674"/>
        <v>1.8645914205277054E-3</v>
      </c>
      <c r="CB224" s="60">
        <f t="shared" si="1675"/>
        <v>9.8543902934646572E-6</v>
      </c>
      <c r="CC224" s="60">
        <f t="shared" si="1676"/>
        <v>1.208570580991344E-3</v>
      </c>
      <c r="CD224" s="60">
        <f t="shared" si="1677"/>
        <v>8.4466202515411342E-4</v>
      </c>
      <c r="CE224" s="60">
        <f t="shared" si="1678"/>
        <v>8.4466202515411342E-6</v>
      </c>
      <c r="CF224" s="13">
        <f t="shared" si="1679"/>
        <v>2.3861702210603705E-4</v>
      </c>
    </row>
    <row r="225" spans="1:85" hidden="1" x14ac:dyDescent="0.25">
      <c r="C225" s="4"/>
    </row>
    <row r="226" spans="1:85" hidden="1" x14ac:dyDescent="0.25">
      <c r="C226" s="4"/>
    </row>
    <row r="227" spans="1:85" hidden="1" x14ac:dyDescent="0.25">
      <c r="A227" s="4" t="s">
        <v>23</v>
      </c>
      <c r="B227" s="61">
        <v>1996</v>
      </c>
    </row>
    <row r="228" spans="1:85" hidden="1" x14ac:dyDescent="0.25"/>
    <row r="229" spans="1:85" s="21" customFormat="1" ht="23.25" hidden="1" customHeight="1" x14ac:dyDescent="0.25">
      <c r="A229" s="62" t="s">
        <v>46</v>
      </c>
      <c r="B229" s="62"/>
      <c r="C229" s="4" t="s">
        <v>35</v>
      </c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  <c r="CC229" s="62"/>
      <c r="CD229" s="62"/>
      <c r="CE229" s="62"/>
    </row>
    <row r="230" spans="1:85" s="37" customFormat="1" ht="33" hidden="1" customHeight="1" x14ac:dyDescent="0.25">
      <c r="A230" s="63" t="s">
        <v>22</v>
      </c>
      <c r="B230" s="64" t="s">
        <v>24</v>
      </c>
      <c r="C230" s="64">
        <v>1</v>
      </c>
      <c r="D230" s="64">
        <v>10</v>
      </c>
      <c r="E230" s="64">
        <v>11</v>
      </c>
      <c r="F230" s="64">
        <v>12</v>
      </c>
      <c r="G230" s="64">
        <v>13</v>
      </c>
      <c r="H230" s="64">
        <v>2</v>
      </c>
      <c r="I230" s="64">
        <v>3</v>
      </c>
      <c r="J230" s="64">
        <v>4</v>
      </c>
      <c r="K230" s="64">
        <v>5</v>
      </c>
      <c r="L230" s="64">
        <v>6</v>
      </c>
      <c r="M230" s="64">
        <v>7</v>
      </c>
      <c r="N230" s="64">
        <v>8</v>
      </c>
      <c r="O230" s="64">
        <v>9</v>
      </c>
      <c r="P230" s="64">
        <v>14</v>
      </c>
      <c r="Q230" s="64">
        <v>15</v>
      </c>
      <c r="R230" s="64"/>
      <c r="S230" s="65" t="s">
        <v>23</v>
      </c>
      <c r="T230" s="65" t="s">
        <v>22</v>
      </c>
      <c r="U230" s="65" t="s">
        <v>181</v>
      </c>
      <c r="V230" s="66" t="str">
        <f>+CONCATENATE("dx","(",C230,")")</f>
        <v>dx(1)</v>
      </c>
      <c r="W230" s="66" t="str">
        <f t="shared" ref="W230" si="1682">+CONCATENATE("dx","(",D230,")")</f>
        <v>dx(10)</v>
      </c>
      <c r="X230" s="66" t="str">
        <f t="shared" ref="X230" si="1683">+CONCATENATE("dx","(",E230,")")</f>
        <v>dx(11)</v>
      </c>
      <c r="Y230" s="66" t="str">
        <f t="shared" ref="Y230" si="1684">+CONCATENATE("dx","(",F230,")")</f>
        <v>dx(12)</v>
      </c>
      <c r="Z230" s="66" t="str">
        <f t="shared" ref="Z230" si="1685">+CONCATENATE("dx","(",G230,")")</f>
        <v>dx(13)</v>
      </c>
      <c r="AA230" s="66" t="str">
        <f t="shared" ref="AA230" si="1686">+CONCATENATE("dx","(",H230,")")</f>
        <v>dx(2)</v>
      </c>
      <c r="AB230" s="66" t="str">
        <f t="shared" ref="AB230" si="1687">+CONCATENATE("dx","(",I230,")")</f>
        <v>dx(3)</v>
      </c>
      <c r="AC230" s="66" t="str">
        <f t="shared" ref="AC230" si="1688">+CONCATENATE("dx","(",J230,")")</f>
        <v>dx(4)</v>
      </c>
      <c r="AD230" s="66" t="str">
        <f t="shared" ref="AD230" si="1689">+CONCATENATE("dx","(",K230,")")</f>
        <v>dx(5)</v>
      </c>
      <c r="AE230" s="66" t="str">
        <f t="shared" ref="AE230" si="1690">+CONCATENATE("dx","(",L230,")")</f>
        <v>dx(6)</v>
      </c>
      <c r="AF230" s="66" t="str">
        <f t="shared" ref="AF230" si="1691">+CONCATENATE("dx","(",M230,")")</f>
        <v>dx(7)</v>
      </c>
      <c r="AG230" s="66" t="str">
        <f t="shared" ref="AG230" si="1692">+CONCATENATE("dx","(",N230,")")</f>
        <v>dx(8)</v>
      </c>
      <c r="AH230" s="66" t="str">
        <f t="shared" ref="AH230" si="1693">+CONCATENATE("dx","(",O230,")")</f>
        <v>dx(9)</v>
      </c>
      <c r="AI230" s="66" t="str">
        <f t="shared" ref="AI230" si="1694">+CONCATENATE("dx","(",P230,")")</f>
        <v>dx(14)</v>
      </c>
      <c r="AJ230" s="66" t="str">
        <f t="shared" ref="AJ230" si="1695">+CONCATENATE("dx","(",Q230,")")</f>
        <v>dx(15)</v>
      </c>
      <c r="AK230" s="66" t="s">
        <v>182</v>
      </c>
      <c r="AL230" s="66" t="str">
        <f t="shared" ref="AL230:AZ230" si="1696">+CONCATENATE("qx","(",C230,")")</f>
        <v>qx(1)</v>
      </c>
      <c r="AM230" s="66" t="str">
        <f t="shared" si="1696"/>
        <v>qx(10)</v>
      </c>
      <c r="AN230" s="66" t="str">
        <f t="shared" si="1696"/>
        <v>qx(11)</v>
      </c>
      <c r="AO230" s="66" t="str">
        <f t="shared" si="1696"/>
        <v>qx(12)</v>
      </c>
      <c r="AP230" s="66" t="str">
        <f t="shared" si="1696"/>
        <v>qx(13)</v>
      </c>
      <c r="AQ230" s="66" t="str">
        <f t="shared" si="1696"/>
        <v>qx(2)</v>
      </c>
      <c r="AR230" s="66" t="str">
        <f t="shared" si="1696"/>
        <v>qx(3)</v>
      </c>
      <c r="AS230" s="66" t="str">
        <f t="shared" si="1696"/>
        <v>qx(4)</v>
      </c>
      <c r="AT230" s="66" t="str">
        <f t="shared" si="1696"/>
        <v>qx(5)</v>
      </c>
      <c r="AU230" s="66" t="str">
        <f t="shared" si="1696"/>
        <v>qx(6)</v>
      </c>
      <c r="AV230" s="66" t="str">
        <f t="shared" si="1696"/>
        <v>qx(7)</v>
      </c>
      <c r="AW230" s="66" t="str">
        <f t="shared" si="1696"/>
        <v>qx(8)</v>
      </c>
      <c r="AX230" s="66" t="str">
        <f t="shared" si="1696"/>
        <v>qx(9)</v>
      </c>
      <c r="AY230" s="66" t="str">
        <f t="shared" si="1696"/>
        <v>qx(14)</v>
      </c>
      <c r="AZ230" s="66" t="str">
        <f t="shared" si="1696"/>
        <v>qx(15)</v>
      </c>
      <c r="BA230" s="66" t="str">
        <f>+CONCATENATE("qx","(T)")</f>
        <v>qx(T)</v>
      </c>
      <c r="BB230" s="65" t="s">
        <v>184</v>
      </c>
      <c r="BC230" s="66" t="str">
        <f t="shared" ref="BC230:BQ230" si="1697">+CONCATENATE("mx","(",C230,")")</f>
        <v>mx(1)</v>
      </c>
      <c r="BD230" s="66" t="str">
        <f t="shared" si="1697"/>
        <v>mx(10)</v>
      </c>
      <c r="BE230" s="66" t="str">
        <f t="shared" si="1697"/>
        <v>mx(11)</v>
      </c>
      <c r="BF230" s="66" t="str">
        <f t="shared" si="1697"/>
        <v>mx(12)</v>
      </c>
      <c r="BG230" s="66" t="str">
        <f t="shared" si="1697"/>
        <v>mx(13)</v>
      </c>
      <c r="BH230" s="66" t="str">
        <f t="shared" si="1697"/>
        <v>mx(2)</v>
      </c>
      <c r="BI230" s="66" t="str">
        <f t="shared" si="1697"/>
        <v>mx(3)</v>
      </c>
      <c r="BJ230" s="66" t="str">
        <f t="shared" si="1697"/>
        <v>mx(4)</v>
      </c>
      <c r="BK230" s="66" t="str">
        <f t="shared" si="1697"/>
        <v>mx(5)</v>
      </c>
      <c r="BL230" s="66" t="str">
        <f t="shared" si="1697"/>
        <v>mx(6)</v>
      </c>
      <c r="BM230" s="66" t="str">
        <f t="shared" si="1697"/>
        <v>mx(7)</v>
      </c>
      <c r="BN230" s="66" t="str">
        <f t="shared" si="1697"/>
        <v>mx(8)</v>
      </c>
      <c r="BO230" s="66" t="str">
        <f t="shared" si="1697"/>
        <v>mx(9)</v>
      </c>
      <c r="BP230" s="66" t="str">
        <f t="shared" si="1697"/>
        <v>mx(14)</v>
      </c>
      <c r="BQ230" s="66" t="str">
        <f t="shared" si="1697"/>
        <v>mx(15)</v>
      </c>
      <c r="BR230" s="66" t="str">
        <f>+CONCATENATE("µ(X)",C230)</f>
        <v>µ(X)1</v>
      </c>
      <c r="BS230" s="66" t="str">
        <f t="shared" ref="BS230" si="1698">+CONCATENATE("µ(X)",D230)</f>
        <v>µ(X)10</v>
      </c>
      <c r="BT230" s="66" t="str">
        <f t="shared" ref="BT230" si="1699">+CONCATENATE("µ(X)",E230)</f>
        <v>µ(X)11</v>
      </c>
      <c r="BU230" s="66" t="str">
        <f t="shared" ref="BU230" si="1700">+CONCATENATE("µ(X)",F230)</f>
        <v>µ(X)12</v>
      </c>
      <c r="BV230" s="66" t="str">
        <f t="shared" ref="BV230" si="1701">+CONCATENATE("µ(X)",G230)</f>
        <v>µ(X)13</v>
      </c>
      <c r="BW230" s="66" t="str">
        <f t="shared" ref="BW230" si="1702">+CONCATENATE("µ(X)",H230)</f>
        <v>µ(X)2</v>
      </c>
      <c r="BX230" s="66" t="str">
        <f t="shared" ref="BX230" si="1703">+CONCATENATE("µ(X)",I230)</f>
        <v>µ(X)3</v>
      </c>
      <c r="BY230" s="66" t="str">
        <f t="shared" ref="BY230" si="1704">+CONCATENATE("µ(X)",J230)</f>
        <v>µ(X)4</v>
      </c>
      <c r="BZ230" s="66" t="str">
        <f t="shared" ref="BZ230" si="1705">+CONCATENATE("µ(X)",K230)</f>
        <v>µ(X)5</v>
      </c>
      <c r="CA230" s="66" t="str">
        <f t="shared" ref="CA230" si="1706">+CONCATENATE("µ(X)",L230)</f>
        <v>µ(X)6</v>
      </c>
      <c r="CB230" s="66" t="str">
        <f t="shared" ref="CB230" si="1707">+CONCATENATE("µ(X)",M230)</f>
        <v>µ(X)7</v>
      </c>
      <c r="CC230" s="66" t="str">
        <f t="shared" ref="CC230" si="1708">+CONCATENATE("µ(X)",N230)</f>
        <v>µ(X)8</v>
      </c>
      <c r="CD230" s="66" t="str">
        <f t="shared" ref="CD230" si="1709">+CONCATENATE("µ(X)",O230)</f>
        <v>µ(X)9</v>
      </c>
      <c r="CE230" s="66" t="str">
        <f t="shared" ref="CE230" si="1710">+CONCATENATE("µ(X)",P230)</f>
        <v>µ(X)14</v>
      </c>
      <c r="CF230" s="42" t="str">
        <f t="shared" ref="CF230" si="1711">+CONCATENATE("µ(X)",Q230)</f>
        <v>µ(X)15</v>
      </c>
      <c r="CG230" s="36"/>
    </row>
    <row r="231" spans="1:85" hidden="1" x14ac:dyDescent="0.25">
      <c r="A231" s="4" t="s">
        <v>6</v>
      </c>
      <c r="B231" s="56">
        <v>2669011.0638103201</v>
      </c>
      <c r="C231" s="57">
        <v>82</v>
      </c>
      <c r="D231" s="57">
        <v>35</v>
      </c>
      <c r="E231" s="57">
        <v>1552</v>
      </c>
      <c r="F231" s="57">
        <v>2468</v>
      </c>
      <c r="G231" s="57">
        <v>37</v>
      </c>
      <c r="H231" s="57">
        <v>159</v>
      </c>
      <c r="I231" s="57">
        <v>14</v>
      </c>
      <c r="J231" s="57">
        <v>786</v>
      </c>
      <c r="K231" s="57">
        <v>32</v>
      </c>
      <c r="L231" s="57">
        <v>12</v>
      </c>
      <c r="M231" s="57">
        <v>5626</v>
      </c>
      <c r="N231" s="57">
        <v>114</v>
      </c>
      <c r="O231" s="57">
        <v>877</v>
      </c>
      <c r="P231" s="57">
        <v>21</v>
      </c>
      <c r="Q231" s="57">
        <v>29</v>
      </c>
      <c r="S231" s="4">
        <f>+$B$149</f>
        <v>1996</v>
      </c>
      <c r="T231" s="4" t="str">
        <f>+A231</f>
        <v>0-4</v>
      </c>
      <c r="U231" s="56">
        <f>+B231</f>
        <v>2669011.0638103201</v>
      </c>
      <c r="V231" s="4">
        <f>+C231</f>
        <v>82</v>
      </c>
      <c r="W231" s="4">
        <f t="shared" ref="W231:W237" si="1712">+D231</f>
        <v>35</v>
      </c>
      <c r="X231" s="4">
        <f t="shared" ref="X231:X237" si="1713">+E231</f>
        <v>1552</v>
      </c>
      <c r="Y231" s="4">
        <f t="shared" ref="Y231:Y237" si="1714">+F231</f>
        <v>2468</v>
      </c>
      <c r="Z231" s="4">
        <f t="shared" ref="Z231:Z237" si="1715">+G231</f>
        <v>37</v>
      </c>
      <c r="AA231" s="4">
        <f t="shared" ref="AA231:AA237" si="1716">+H231</f>
        <v>159</v>
      </c>
      <c r="AB231" s="4">
        <f t="shared" ref="AB231:AB237" si="1717">+I231</f>
        <v>14</v>
      </c>
      <c r="AC231" s="4">
        <f t="shared" ref="AC231:AC237" si="1718">+J231</f>
        <v>786</v>
      </c>
      <c r="AD231" s="4">
        <f t="shared" ref="AD231:AD237" si="1719">+K231</f>
        <v>32</v>
      </c>
      <c r="AE231" s="4">
        <f t="shared" ref="AE231:AE237" si="1720">+L231</f>
        <v>12</v>
      </c>
      <c r="AF231" s="4">
        <f t="shared" ref="AF231:AF237" si="1721">+M231</f>
        <v>5626</v>
      </c>
      <c r="AG231" s="4">
        <f t="shared" ref="AG231:AG237" si="1722">+N231</f>
        <v>114</v>
      </c>
      <c r="AH231" s="4">
        <f t="shared" ref="AH231:AH237" si="1723">+O231</f>
        <v>877</v>
      </c>
      <c r="AI231" s="4">
        <f t="shared" ref="AI231:AI237" si="1724">+P231</f>
        <v>21</v>
      </c>
      <c r="AJ231" s="4">
        <f t="shared" ref="AJ231:AJ237" si="1725">+Q231</f>
        <v>29</v>
      </c>
      <c r="AK231" s="4">
        <f>+SUM(V231:AJ231)</f>
        <v>11844</v>
      </c>
      <c r="AL231" s="58">
        <f>+V231/$U231</f>
        <v>3.072298991632338E-5</v>
      </c>
      <c r="AM231" s="58">
        <f t="shared" ref="AM231:AM237" si="1726">+W231/$U231</f>
        <v>1.3113471305747784E-5</v>
      </c>
      <c r="AN231" s="58">
        <f t="shared" ref="AN231:AN237" si="1727">+X231/$U231</f>
        <v>5.8148878475773028E-4</v>
      </c>
      <c r="AO231" s="58">
        <f t="shared" ref="AO231:AO237" si="1728">+Y231/$U231</f>
        <v>9.2468706235958656E-4</v>
      </c>
      <c r="AP231" s="58">
        <f t="shared" ref="AP231:AP237" si="1729">+Z231/$U231</f>
        <v>1.3862812523219085E-5</v>
      </c>
      <c r="AQ231" s="58">
        <f t="shared" ref="AQ231:AQ237" si="1730">+AA231/$U231</f>
        <v>5.9572626788968504E-5</v>
      </c>
      <c r="AR231" s="58">
        <f t="shared" ref="AR231:AR237" si="1731">+AB231/$U231</f>
        <v>5.2453885222991139E-6</v>
      </c>
      <c r="AS231" s="58">
        <f t="shared" ref="AS231:AS237" si="1732">+AC231/$U231</f>
        <v>2.9449109846622164E-4</v>
      </c>
      <c r="AT231" s="58">
        <f t="shared" ref="AT231:AT237" si="1733">+AD231/$U231</f>
        <v>1.1989459479540831E-5</v>
      </c>
      <c r="AU231" s="58">
        <f t="shared" ref="AU231:AU237" si="1734">+AE231/$U231</f>
        <v>4.4960473048278115E-6</v>
      </c>
      <c r="AV231" s="58">
        <f t="shared" ref="AV231:AV237" si="1735">+AF231/$U231</f>
        <v>2.1078968447467723E-3</v>
      </c>
      <c r="AW231" s="58">
        <f t="shared" ref="AW231:AW237" si="1736">+AG231/$U231</f>
        <v>4.2712449395864211E-5</v>
      </c>
      <c r="AX231" s="58">
        <f t="shared" ref="AX231:AX237" si="1737">+AH231/$U231</f>
        <v>3.2858612386116591E-4</v>
      </c>
      <c r="AY231" s="58">
        <f t="shared" ref="AY231:AY237" si="1738">+AI231/$U231</f>
        <v>7.86808278344867E-6</v>
      </c>
      <c r="AZ231" s="58">
        <f t="shared" ref="AZ231:AZ237" si="1739">+AJ231/$U231</f>
        <v>1.0865447653333878E-5</v>
      </c>
      <c r="BA231" s="58">
        <f>+AK231/U231</f>
        <v>4.4375986898650497E-3</v>
      </c>
      <c r="BB231" s="4">
        <f>+U231-(0.5*AK231)</f>
        <v>2663089.0638103201</v>
      </c>
      <c r="BC231" s="59">
        <f t="shared" ref="BC231:BC237" si="1740">+AL231/(1-(0.5*$BA231))</f>
        <v>3.0791309654013318E-5</v>
      </c>
      <c r="BD231" s="59">
        <f>+AM231/(1-(0.5*$BA231))</f>
        <v>1.3142632169395928E-5</v>
      </c>
      <c r="BE231" s="59">
        <f t="shared" ref="BE231:BE237" si="1741">+AN231/(1-(0.5*$BA231))</f>
        <v>5.8278186076864233E-4</v>
      </c>
      <c r="BF231" s="59">
        <f t="shared" ref="BF231:BF237" si="1742">+AO231/(1-(0.5*$BA231))</f>
        <v>9.2674331983054719E-4</v>
      </c>
      <c r="BG231" s="59">
        <f t="shared" ref="BG231:BG237" si="1743">+AP231/(1-(0.5*$BA231))</f>
        <v>1.3893639721932839E-5</v>
      </c>
      <c r="BH231" s="59">
        <f t="shared" ref="BH231:BH237" si="1744">+AQ231/(1-(0.5*$BA231))</f>
        <v>5.9705100426684362E-5</v>
      </c>
      <c r="BI231" s="59">
        <f t="shared" ref="BI231:BI237" si="1745">+AR231/(1-(0.5*$BA231))</f>
        <v>5.2570528677583717E-6</v>
      </c>
      <c r="BJ231" s="59">
        <f t="shared" ref="BJ231:BJ237" si="1746">+AS231/(1-(0.5*$BA231))</f>
        <v>2.9514596814700567E-4</v>
      </c>
      <c r="BK231" s="59">
        <f t="shared" ref="BK231:BK237" si="1747">+AT231/(1-(0.5*$BA231))</f>
        <v>1.2016120840590563E-5</v>
      </c>
      <c r="BL231" s="59">
        <f t="shared" ref="BL231:BL237" si="1748">+AU231/(1-(0.5*$BA231))</f>
        <v>4.5060453152214609E-6</v>
      </c>
      <c r="BM231" s="59">
        <f t="shared" ref="BM231:BM237" si="1749">+AV231/(1-(0.5*$BA231))</f>
        <v>2.1125842452863284E-3</v>
      </c>
      <c r="BN231" s="59">
        <f t="shared" ref="BN231:BN237" si="1750">+AW231/(1-(0.5*$BA231))</f>
        <v>4.2807430494603885E-5</v>
      </c>
      <c r="BO231" s="59">
        <f t="shared" ref="BO231" si="1751">+AX231/(1-(0.5*$BA231))</f>
        <v>3.2931681178743514E-4</v>
      </c>
      <c r="BP231" s="59">
        <f t="shared" ref="BP231:BP237" si="1752">+AY231/(1-(0.5*$BA231))</f>
        <v>7.8855793016375572E-6</v>
      </c>
      <c r="BQ231" s="59">
        <f t="shared" ref="BQ231:BQ237" si="1753">+AZ231/(1-(0.5*$BA231))</f>
        <v>1.0889609511785197E-5</v>
      </c>
      <c r="BR231" s="60">
        <f>+V231/(2*$U231)</f>
        <v>1.536149495816169E-5</v>
      </c>
      <c r="BS231" s="60">
        <f t="shared" ref="BS231" si="1754">+W231/(2*$U231)</f>
        <v>6.5567356528738919E-6</v>
      </c>
      <c r="BT231" s="60">
        <f t="shared" ref="BT231" si="1755">+X231/(2*$U231)</f>
        <v>2.9074439237886514E-4</v>
      </c>
      <c r="BU231" s="60">
        <f t="shared" ref="BU231" si="1756">+Y231/(2*$U231)</f>
        <v>4.6234353117979328E-4</v>
      </c>
      <c r="BV231" s="60">
        <f t="shared" ref="BV231" si="1757">+Z231/(2*$U231)</f>
        <v>6.9314062616095427E-6</v>
      </c>
      <c r="BW231" s="60">
        <f t="shared" ref="BW231" si="1758">+AA231/(2*$U231)</f>
        <v>2.9786313394484252E-5</v>
      </c>
      <c r="BX231" s="60">
        <f t="shared" ref="BX231" si="1759">+AB231/(2*$U231)</f>
        <v>2.6226942611495569E-6</v>
      </c>
      <c r="BY231" s="60">
        <f t="shared" ref="BY231" si="1760">+AC231/(2*$U231)</f>
        <v>1.4724554923311082E-4</v>
      </c>
      <c r="BZ231" s="60">
        <f t="shared" ref="BZ231" si="1761">+AD231/(2*$U231)</f>
        <v>5.9947297397704154E-6</v>
      </c>
      <c r="CA231" s="60">
        <f t="shared" ref="CA231" si="1762">+AE231/(2*$U231)</f>
        <v>2.2480236524139058E-6</v>
      </c>
      <c r="CB231" s="60">
        <f t="shared" ref="CB231" si="1763">+AF231/(2*$U231)</f>
        <v>1.0539484223733861E-3</v>
      </c>
      <c r="CC231" s="60">
        <f t="shared" ref="CC231" si="1764">+AG231/(2*$U231)</f>
        <v>2.1356224697932105E-5</v>
      </c>
      <c r="CD231" s="60">
        <f t="shared" ref="CD231" si="1765">+AH231/(2*$U231)</f>
        <v>1.6429306193058296E-4</v>
      </c>
      <c r="CE231" s="60">
        <f t="shared" ref="CE231" si="1766">+AI231/(2*$U231)</f>
        <v>3.934041391724335E-6</v>
      </c>
      <c r="CF231" s="13">
        <f t="shared" ref="CF231" si="1767">+AJ231/(2*$U231)</f>
        <v>5.4327238266669388E-6</v>
      </c>
    </row>
    <row r="232" spans="1:85" hidden="1" x14ac:dyDescent="0.25">
      <c r="A232" s="4" t="s">
        <v>5</v>
      </c>
      <c r="B232" s="56">
        <v>5336689.2615659405</v>
      </c>
      <c r="C232" s="57">
        <v>50</v>
      </c>
      <c r="D232" s="57">
        <v>18</v>
      </c>
      <c r="E232" s="57">
        <v>121</v>
      </c>
      <c r="F232" s="57">
        <v>79</v>
      </c>
      <c r="G232" s="57">
        <v>18</v>
      </c>
      <c r="H232" s="57">
        <v>266</v>
      </c>
      <c r="I232" s="57">
        <v>18</v>
      </c>
      <c r="J232" s="57">
        <v>659</v>
      </c>
      <c r="K232" s="57">
        <v>105</v>
      </c>
      <c r="L232" s="57">
        <v>16</v>
      </c>
      <c r="M232" s="57">
        <v>2</v>
      </c>
      <c r="N232" s="57">
        <v>15</v>
      </c>
      <c r="O232" s="57">
        <v>82</v>
      </c>
      <c r="P232" s="57">
        <v>2</v>
      </c>
      <c r="Q232" s="57">
        <v>34</v>
      </c>
      <c r="S232" s="4">
        <f t="shared" ref="S232:S237" si="1768">+$B$149</f>
        <v>1996</v>
      </c>
      <c r="T232" s="4" t="str">
        <f t="shared" ref="T232:T237" si="1769">+A232</f>
        <v>5-14</v>
      </c>
      <c r="U232" s="56">
        <f t="shared" ref="U232:U237" si="1770">+B232</f>
        <v>5336689.2615659405</v>
      </c>
      <c r="V232" s="4">
        <f t="shared" ref="V232:V237" si="1771">+C232</f>
        <v>50</v>
      </c>
      <c r="W232" s="4">
        <f t="shared" si="1712"/>
        <v>18</v>
      </c>
      <c r="X232" s="4">
        <f t="shared" si="1713"/>
        <v>121</v>
      </c>
      <c r="Y232" s="4">
        <f t="shared" si="1714"/>
        <v>79</v>
      </c>
      <c r="Z232" s="4">
        <f t="shared" si="1715"/>
        <v>18</v>
      </c>
      <c r="AA232" s="4">
        <f t="shared" si="1716"/>
        <v>266</v>
      </c>
      <c r="AB232" s="4">
        <f t="shared" si="1717"/>
        <v>18</v>
      </c>
      <c r="AC232" s="4">
        <f t="shared" si="1718"/>
        <v>659</v>
      </c>
      <c r="AD232" s="4">
        <f t="shared" si="1719"/>
        <v>105</v>
      </c>
      <c r="AE232" s="4">
        <f t="shared" si="1720"/>
        <v>16</v>
      </c>
      <c r="AF232" s="4">
        <f t="shared" si="1721"/>
        <v>2</v>
      </c>
      <c r="AG232" s="4">
        <f t="shared" si="1722"/>
        <v>15</v>
      </c>
      <c r="AH232" s="4">
        <f t="shared" si="1723"/>
        <v>82</v>
      </c>
      <c r="AI232" s="4">
        <f t="shared" si="1724"/>
        <v>2</v>
      </c>
      <c r="AJ232" s="4">
        <f t="shared" si="1725"/>
        <v>34</v>
      </c>
      <c r="AK232" s="4">
        <f t="shared" ref="AK232:AK237" si="1772">+SUM(V232:AJ232)</f>
        <v>1485</v>
      </c>
      <c r="AL232" s="58">
        <f t="shared" ref="AL232:AL237" si="1773">+V232/$U232</f>
        <v>9.3691046169940461E-6</v>
      </c>
      <c r="AM232" s="58">
        <f t="shared" si="1726"/>
        <v>3.3728776621178566E-6</v>
      </c>
      <c r="AN232" s="58">
        <f t="shared" si="1727"/>
        <v>2.2673233173125591E-5</v>
      </c>
      <c r="AO232" s="58">
        <f t="shared" si="1728"/>
        <v>1.4803185294850593E-5</v>
      </c>
      <c r="AP232" s="58">
        <f t="shared" si="1729"/>
        <v>3.3728776621178566E-6</v>
      </c>
      <c r="AQ232" s="58">
        <f t="shared" si="1730"/>
        <v>4.9843636562408325E-5</v>
      </c>
      <c r="AR232" s="58">
        <f t="shared" si="1731"/>
        <v>3.3728776621178566E-6</v>
      </c>
      <c r="AS232" s="58">
        <f t="shared" si="1732"/>
        <v>1.2348479885198154E-4</v>
      </c>
      <c r="AT232" s="58">
        <f t="shared" si="1733"/>
        <v>1.9675119695687498E-5</v>
      </c>
      <c r="AU232" s="58">
        <f t="shared" si="1734"/>
        <v>2.998113477438095E-6</v>
      </c>
      <c r="AV232" s="58">
        <f t="shared" si="1735"/>
        <v>3.7476418467976187E-7</v>
      </c>
      <c r="AW232" s="58">
        <f t="shared" si="1736"/>
        <v>2.8107313850982138E-6</v>
      </c>
      <c r="AX232" s="58">
        <f t="shared" si="1737"/>
        <v>1.5365331571870237E-5</v>
      </c>
      <c r="AY232" s="58">
        <f t="shared" si="1738"/>
        <v>3.7476418467976187E-7</v>
      </c>
      <c r="AZ232" s="58">
        <f t="shared" si="1739"/>
        <v>6.3709911395559516E-6</v>
      </c>
      <c r="BA232" s="58">
        <f t="shared" ref="BA232:BA237" si="1774">+AK232/U232</f>
        <v>2.7826240712472319E-4</v>
      </c>
      <c r="BB232" s="4">
        <f t="shared" ref="BB232:BB237" si="1775">+U232-(0.5*AK232)</f>
        <v>5335946.7615659405</v>
      </c>
      <c r="BC232" s="59">
        <f t="shared" si="1740"/>
        <v>9.3704083331833129E-6</v>
      </c>
      <c r="BD232" s="59">
        <f t="shared" ref="BD232:BD237" si="1776">+AM232/(1-(0.5*$BA232))</f>
        <v>3.3733469999459925E-6</v>
      </c>
      <c r="BE232" s="59">
        <f t="shared" si="1741"/>
        <v>2.2676388166303615E-5</v>
      </c>
      <c r="BF232" s="59">
        <f t="shared" si="1742"/>
        <v>1.4805245166429634E-5</v>
      </c>
      <c r="BG232" s="59">
        <f t="shared" si="1743"/>
        <v>3.3733469999459925E-6</v>
      </c>
      <c r="BH232" s="59">
        <f t="shared" si="1744"/>
        <v>4.9850572332535225E-5</v>
      </c>
      <c r="BI232" s="59">
        <f t="shared" si="1745"/>
        <v>3.3733469999459925E-6</v>
      </c>
      <c r="BJ232" s="59">
        <f t="shared" si="1746"/>
        <v>1.2350198183135608E-4</v>
      </c>
      <c r="BK232" s="59">
        <f t="shared" si="1747"/>
        <v>1.9677857499684958E-5</v>
      </c>
      <c r="BL232" s="59">
        <f t="shared" si="1748"/>
        <v>2.9985306666186604E-6</v>
      </c>
      <c r="BM232" s="59">
        <f t="shared" si="1749"/>
        <v>3.7481633332733255E-7</v>
      </c>
      <c r="BN232" s="59">
        <f t="shared" si="1750"/>
        <v>2.8111224999549937E-6</v>
      </c>
      <c r="BO232" s="59">
        <f>+AX232/(1-(0.5*$BA232))</f>
        <v>1.5367469666420634E-5</v>
      </c>
      <c r="BP232" s="59">
        <f t="shared" si="1752"/>
        <v>3.7481633332733255E-7</v>
      </c>
      <c r="BQ232" s="59">
        <f t="shared" si="1753"/>
        <v>6.3718776665646525E-6</v>
      </c>
      <c r="BR232" s="60">
        <f>+(V231+V232)/(2*$U232)</f>
        <v>1.2367218094432141E-5</v>
      </c>
      <c r="BS232" s="60">
        <f t="shared" ref="BS232:BS237" si="1777">+(W231+W232)/(2*$U232)</f>
        <v>4.9656254470068449E-6</v>
      </c>
      <c r="BT232" s="60">
        <f t="shared" ref="BT232:BT237" si="1778">+(X231+X232)/(2*$U232)</f>
        <v>1.567451202423104E-4</v>
      </c>
      <c r="BU232" s="60">
        <f t="shared" ref="BU232:BU237" si="1779">+(Y231+Y232)/(2*$U232)</f>
        <v>2.3863109459483836E-4</v>
      </c>
      <c r="BV232" s="60">
        <f t="shared" ref="BV232:BV237" si="1780">+(Z231+Z232)/(2*$U232)</f>
        <v>5.1530075393467253E-6</v>
      </c>
      <c r="BW232" s="60">
        <f t="shared" ref="BW232:BW237" si="1781">+(AA231+AA232)/(2*$U232)</f>
        <v>3.98186946222247E-5</v>
      </c>
      <c r="BX232" s="60">
        <f t="shared" ref="BX232:BX237" si="1782">+(AB231+AB232)/(2*$U232)</f>
        <v>2.998113477438095E-6</v>
      </c>
      <c r="BY232" s="60">
        <f t="shared" ref="BY232:BY237" si="1783">+(AC231+AC232)/(2*$U232)</f>
        <v>1.3538356171556397E-4</v>
      </c>
      <c r="BZ232" s="60">
        <f t="shared" ref="BZ232:BZ237" si="1784">+(AD231+AD232)/(2*$U232)</f>
        <v>1.2835673325281844E-5</v>
      </c>
      <c r="CA232" s="60">
        <f t="shared" ref="CA232:CA237" si="1785">+(AE231+AE232)/(2*$U232)</f>
        <v>2.6233492927583329E-6</v>
      </c>
      <c r="CB232" s="60">
        <f t="shared" ref="CB232:CB237" si="1786">+(AF231+AF232)/(2*$U232)</f>
        <v>5.2729320784442491E-4</v>
      </c>
      <c r="CC232" s="60">
        <f t="shared" ref="CC232:CC237" si="1787">+(AG231+AG232)/(2*$U232)</f>
        <v>1.2086144955922319E-5</v>
      </c>
      <c r="CD232" s="60">
        <f t="shared" ref="CD232:CD237" si="1788">+(AH231+AH232)/(2*$U232)</f>
        <v>8.9849713276972899E-5</v>
      </c>
      <c r="CE232" s="60">
        <f t="shared" ref="CE232:CE237" si="1789">+(AI231+AI232)/(2*$U232)</f>
        <v>2.1548940619086307E-6</v>
      </c>
      <c r="CF232" s="13">
        <f t="shared" ref="CF232:CF237" si="1790">+(AJ231+AJ232)/(2*$U232)</f>
        <v>5.9025359087062493E-6</v>
      </c>
    </row>
    <row r="233" spans="1:85" hidden="1" x14ac:dyDescent="0.25">
      <c r="A233" s="4" t="s">
        <v>4</v>
      </c>
      <c r="B233" s="56">
        <v>4328734.7335640304</v>
      </c>
      <c r="C233" s="57">
        <v>101</v>
      </c>
      <c r="D233" s="57">
        <v>34</v>
      </c>
      <c r="E233" s="57">
        <v>66</v>
      </c>
      <c r="F233" s="57">
        <v>36</v>
      </c>
      <c r="G233" s="57">
        <v>71</v>
      </c>
      <c r="H233" s="57">
        <v>301</v>
      </c>
      <c r="I233" s="57">
        <v>64</v>
      </c>
      <c r="J233" s="57">
        <v>1352</v>
      </c>
      <c r="K233" s="57">
        <v>1694</v>
      </c>
      <c r="L233" s="57">
        <v>51</v>
      </c>
      <c r="M233" s="57">
        <v>0</v>
      </c>
      <c r="N233" s="57">
        <v>33</v>
      </c>
      <c r="O233" s="57">
        <v>90</v>
      </c>
      <c r="P233" s="57">
        <v>47</v>
      </c>
      <c r="Q233" s="57">
        <v>27</v>
      </c>
      <c r="S233" s="4">
        <f t="shared" si="1768"/>
        <v>1996</v>
      </c>
      <c r="T233" s="4" t="str">
        <f t="shared" si="1769"/>
        <v>15-24</v>
      </c>
      <c r="U233" s="56">
        <f t="shared" si="1770"/>
        <v>4328734.7335640304</v>
      </c>
      <c r="V233" s="4">
        <f t="shared" si="1771"/>
        <v>101</v>
      </c>
      <c r="W233" s="4">
        <f t="shared" si="1712"/>
        <v>34</v>
      </c>
      <c r="X233" s="4">
        <f t="shared" si="1713"/>
        <v>66</v>
      </c>
      <c r="Y233" s="4">
        <f t="shared" si="1714"/>
        <v>36</v>
      </c>
      <c r="Z233" s="4">
        <f t="shared" si="1715"/>
        <v>71</v>
      </c>
      <c r="AA233" s="4">
        <f t="shared" si="1716"/>
        <v>301</v>
      </c>
      <c r="AB233" s="4">
        <f t="shared" si="1717"/>
        <v>64</v>
      </c>
      <c r="AC233" s="4">
        <f t="shared" si="1718"/>
        <v>1352</v>
      </c>
      <c r="AD233" s="4">
        <f t="shared" si="1719"/>
        <v>1694</v>
      </c>
      <c r="AE233" s="4">
        <f t="shared" si="1720"/>
        <v>51</v>
      </c>
      <c r="AF233" s="4">
        <f t="shared" si="1721"/>
        <v>0</v>
      </c>
      <c r="AG233" s="4">
        <f t="shared" si="1722"/>
        <v>33</v>
      </c>
      <c r="AH233" s="4">
        <f t="shared" si="1723"/>
        <v>90</v>
      </c>
      <c r="AI233" s="4">
        <f t="shared" si="1724"/>
        <v>47</v>
      </c>
      <c r="AJ233" s="4">
        <f t="shared" si="1725"/>
        <v>27</v>
      </c>
      <c r="AK233" s="4">
        <f t="shared" si="1772"/>
        <v>3967</v>
      </c>
      <c r="AL233" s="58">
        <f t="shared" si="1773"/>
        <v>2.3332453064603114E-5</v>
      </c>
      <c r="AM233" s="58">
        <f t="shared" si="1726"/>
        <v>7.8544891504604536E-6</v>
      </c>
      <c r="AN233" s="58">
        <f t="shared" si="1727"/>
        <v>1.5246949527364411E-5</v>
      </c>
      <c r="AO233" s="58">
        <f t="shared" si="1728"/>
        <v>8.3165179240169518E-6</v>
      </c>
      <c r="AP233" s="58">
        <f t="shared" si="1729"/>
        <v>1.6402021461255655E-5</v>
      </c>
      <c r="AQ233" s="58">
        <f t="shared" si="1730"/>
        <v>6.9535330420252836E-5</v>
      </c>
      <c r="AR233" s="58">
        <f t="shared" si="1731"/>
        <v>1.4784920753807913E-5</v>
      </c>
      <c r="AS233" s="58">
        <f t="shared" si="1732"/>
        <v>3.1233145092419214E-4</v>
      </c>
      <c r="AT233" s="58">
        <f t="shared" si="1733"/>
        <v>3.9133837120235322E-4</v>
      </c>
      <c r="AU233" s="58">
        <f t="shared" si="1734"/>
        <v>1.1781733725690681E-5</v>
      </c>
      <c r="AV233" s="58">
        <f t="shared" si="1735"/>
        <v>0</v>
      </c>
      <c r="AW233" s="58">
        <f t="shared" si="1736"/>
        <v>7.6234747636822054E-6</v>
      </c>
      <c r="AX233" s="58">
        <f t="shared" si="1737"/>
        <v>2.0791294810042377E-5</v>
      </c>
      <c r="AY233" s="58">
        <f t="shared" si="1738"/>
        <v>1.0857676178577687E-5</v>
      </c>
      <c r="AZ233" s="58">
        <f t="shared" si="1739"/>
        <v>6.2373884430127134E-6</v>
      </c>
      <c r="BA233" s="58">
        <f t="shared" si="1774"/>
        <v>9.1643407234931235E-4</v>
      </c>
      <c r="BB233" s="4">
        <f t="shared" si="1775"/>
        <v>4326751.2335640304</v>
      </c>
      <c r="BC233" s="59">
        <f t="shared" si="1740"/>
        <v>2.3343149293287266E-5</v>
      </c>
      <c r="BD233" s="59">
        <f t="shared" si="1776"/>
        <v>7.8580898611066048E-6</v>
      </c>
      <c r="BE233" s="59">
        <f t="shared" si="1741"/>
        <v>1.5253939142148115E-5</v>
      </c>
      <c r="BF233" s="59">
        <f t="shared" si="1742"/>
        <v>8.3203304411716991E-6</v>
      </c>
      <c r="BG233" s="59">
        <f t="shared" si="1743"/>
        <v>1.640954059231085E-5</v>
      </c>
      <c r="BH233" s="59">
        <f t="shared" si="1744"/>
        <v>6.9567207299796693E-5</v>
      </c>
      <c r="BI233" s="59">
        <f t="shared" si="1745"/>
        <v>1.4791698562083019E-5</v>
      </c>
      <c r="BJ233" s="59">
        <f t="shared" si="1746"/>
        <v>3.1247463212400378E-4</v>
      </c>
      <c r="BK233" s="59">
        <f t="shared" si="1747"/>
        <v>3.9151777131513494E-4</v>
      </c>
      <c r="BL233" s="59">
        <f t="shared" si="1748"/>
        <v>1.1787134791659907E-5</v>
      </c>
      <c r="BM233" s="59">
        <f t="shared" si="1749"/>
        <v>0</v>
      </c>
      <c r="BN233" s="59">
        <f t="shared" si="1750"/>
        <v>7.6269695710740576E-6</v>
      </c>
      <c r="BO233" s="59">
        <f t="shared" ref="BO233:BO237" si="1791">+AX233/(1-(0.5*$BA233))</f>
        <v>2.0800826102929245E-5</v>
      </c>
      <c r="BP233" s="59">
        <f t="shared" si="1752"/>
        <v>1.0862653631529719E-5</v>
      </c>
      <c r="BQ233" s="59">
        <f t="shared" si="1753"/>
        <v>6.2402478308787739E-6</v>
      </c>
      <c r="BR233" s="60">
        <f t="shared" ref="BR233:BR237" si="1792">+(V232+V233)/(2*$U233)</f>
        <v>1.7441586201757774E-5</v>
      </c>
      <c r="BS233" s="60">
        <f t="shared" si="1777"/>
        <v>6.0063740562344643E-6</v>
      </c>
      <c r="BT233" s="60">
        <f t="shared" si="1778"/>
        <v>2.1599845163766247E-5</v>
      </c>
      <c r="BU233" s="60">
        <f t="shared" si="1779"/>
        <v>1.3283327239749297E-5</v>
      </c>
      <c r="BV233" s="60">
        <f t="shared" si="1780"/>
        <v>1.0280140211632064E-5</v>
      </c>
      <c r="BW233" s="60">
        <f t="shared" si="1781"/>
        <v>6.5492578651633488E-5</v>
      </c>
      <c r="BX233" s="60">
        <f t="shared" si="1782"/>
        <v>9.4715898579081938E-6</v>
      </c>
      <c r="BY233" s="60">
        <f t="shared" si="1783"/>
        <v>2.3228496590552901E-4</v>
      </c>
      <c r="BZ233" s="60">
        <f t="shared" si="1784"/>
        <v>2.0779744090703467E-4</v>
      </c>
      <c r="CA233" s="60">
        <f t="shared" si="1785"/>
        <v>7.7389819570713291E-6</v>
      </c>
      <c r="CB233" s="60">
        <f t="shared" si="1786"/>
        <v>2.3101438677824863E-7</v>
      </c>
      <c r="CC233" s="60">
        <f t="shared" si="1787"/>
        <v>5.544345282677967E-6</v>
      </c>
      <c r="CD233" s="60">
        <f t="shared" si="1788"/>
        <v>1.9867237262929384E-5</v>
      </c>
      <c r="CE233" s="60">
        <f t="shared" si="1789"/>
        <v>5.6598524760670916E-6</v>
      </c>
      <c r="CF233" s="13">
        <f t="shared" si="1790"/>
        <v>7.0459387967365835E-6</v>
      </c>
    </row>
    <row r="234" spans="1:85" hidden="1" x14ac:dyDescent="0.25">
      <c r="A234" s="4" t="s">
        <v>3</v>
      </c>
      <c r="B234" s="56">
        <v>6500086.9398599695</v>
      </c>
      <c r="C234" s="57">
        <v>1265</v>
      </c>
      <c r="D234" s="57">
        <v>267</v>
      </c>
      <c r="E234" s="57">
        <v>94</v>
      </c>
      <c r="F234" s="57">
        <v>65</v>
      </c>
      <c r="G234" s="57">
        <v>232</v>
      </c>
      <c r="H234" s="57">
        <v>1734</v>
      </c>
      <c r="I234" s="57">
        <v>517</v>
      </c>
      <c r="J234" s="57">
        <v>2393</v>
      </c>
      <c r="K234" s="57">
        <v>1811</v>
      </c>
      <c r="L234" s="57">
        <v>272</v>
      </c>
      <c r="M234" s="57">
        <v>1</v>
      </c>
      <c r="N234" s="57">
        <v>99</v>
      </c>
      <c r="O234" s="57">
        <v>191</v>
      </c>
      <c r="P234" s="57">
        <v>719</v>
      </c>
      <c r="Q234" s="57">
        <v>111</v>
      </c>
      <c r="S234" s="4">
        <f t="shared" si="1768"/>
        <v>1996</v>
      </c>
      <c r="T234" s="4" t="str">
        <f t="shared" si="1769"/>
        <v>25-44</v>
      </c>
      <c r="U234" s="56">
        <f t="shared" si="1770"/>
        <v>6500086.9398599695</v>
      </c>
      <c r="V234" s="4">
        <f t="shared" si="1771"/>
        <v>1265</v>
      </c>
      <c r="W234" s="4">
        <f t="shared" si="1712"/>
        <v>267</v>
      </c>
      <c r="X234" s="4">
        <f t="shared" si="1713"/>
        <v>94</v>
      </c>
      <c r="Y234" s="4">
        <f t="shared" si="1714"/>
        <v>65</v>
      </c>
      <c r="Z234" s="4">
        <f t="shared" si="1715"/>
        <v>232</v>
      </c>
      <c r="AA234" s="4">
        <f t="shared" si="1716"/>
        <v>1734</v>
      </c>
      <c r="AB234" s="4">
        <f t="shared" si="1717"/>
        <v>517</v>
      </c>
      <c r="AC234" s="4">
        <f t="shared" si="1718"/>
        <v>2393</v>
      </c>
      <c r="AD234" s="4">
        <f t="shared" si="1719"/>
        <v>1811</v>
      </c>
      <c r="AE234" s="4">
        <f t="shared" si="1720"/>
        <v>272</v>
      </c>
      <c r="AF234" s="4">
        <f t="shared" si="1721"/>
        <v>1</v>
      </c>
      <c r="AG234" s="4">
        <f t="shared" si="1722"/>
        <v>99</v>
      </c>
      <c r="AH234" s="4">
        <f t="shared" si="1723"/>
        <v>191</v>
      </c>
      <c r="AI234" s="4">
        <f t="shared" si="1724"/>
        <v>719</v>
      </c>
      <c r="AJ234" s="4">
        <f t="shared" si="1725"/>
        <v>111</v>
      </c>
      <c r="AK234" s="4">
        <f t="shared" si="1772"/>
        <v>9771</v>
      </c>
      <c r="AL234" s="58">
        <f t="shared" si="1773"/>
        <v>1.9461278159877223E-4</v>
      </c>
      <c r="AM234" s="58">
        <f t="shared" si="1726"/>
        <v>4.107637366551161E-5</v>
      </c>
      <c r="AN234" s="58">
        <f t="shared" si="1727"/>
        <v>1.4461345035798096E-5</v>
      </c>
      <c r="AO234" s="58">
        <f t="shared" si="1728"/>
        <v>9.9998662481582572E-6</v>
      </c>
      <c r="AP234" s="58">
        <f t="shared" si="1729"/>
        <v>3.56918303011187E-5</v>
      </c>
      <c r="AQ234" s="58">
        <f t="shared" si="1730"/>
        <v>2.6676566268163718E-4</v>
      </c>
      <c r="AR234" s="58">
        <f t="shared" si="1731"/>
        <v>7.953739769688952E-5</v>
      </c>
      <c r="AS234" s="58">
        <f t="shared" si="1732"/>
        <v>3.6814892202834939E-4</v>
      </c>
      <c r="AT234" s="58">
        <f t="shared" si="1733"/>
        <v>2.7861165808330162E-4</v>
      </c>
      <c r="AU234" s="58">
        <f t="shared" si="1734"/>
        <v>4.1845594146139165E-5</v>
      </c>
      <c r="AV234" s="58">
        <f t="shared" si="1735"/>
        <v>1.5384409612551164E-7</v>
      </c>
      <c r="AW234" s="58">
        <f t="shared" si="1736"/>
        <v>1.5230565516425653E-5</v>
      </c>
      <c r="AX234" s="58">
        <f t="shared" si="1737"/>
        <v>2.9384222359972725E-5</v>
      </c>
      <c r="AY234" s="58">
        <f t="shared" si="1738"/>
        <v>1.1061390511424288E-4</v>
      </c>
      <c r="AZ234" s="58">
        <f t="shared" si="1739"/>
        <v>1.7076694669931794E-5</v>
      </c>
      <c r="BA234" s="58">
        <f t="shared" si="1774"/>
        <v>1.5032106632423743E-3</v>
      </c>
      <c r="BB234" s="4">
        <f t="shared" si="1775"/>
        <v>6495201.4398599695</v>
      </c>
      <c r="BC234" s="59">
        <f t="shared" si="1740"/>
        <v>1.9475916362453452E-4</v>
      </c>
      <c r="BD234" s="59">
        <f t="shared" si="1776"/>
        <v>4.1107270108893847E-5</v>
      </c>
      <c r="BE234" s="59">
        <f t="shared" si="1741"/>
        <v>1.4472222435340906E-5</v>
      </c>
      <c r="BF234" s="59">
        <f t="shared" si="1742"/>
        <v>1.0007387854225095E-5</v>
      </c>
      <c r="BG234" s="59">
        <f t="shared" si="1743"/>
        <v>3.5718676648926485E-5</v>
      </c>
      <c r="BH234" s="59">
        <f t="shared" si="1744"/>
        <v>2.6696631598809712E-4</v>
      </c>
      <c r="BI234" s="59">
        <f t="shared" si="1745"/>
        <v>7.9597223394374983E-5</v>
      </c>
      <c r="BJ234" s="59">
        <f t="shared" si="1746"/>
        <v>3.6842583284862543E-4</v>
      </c>
      <c r="BK234" s="59">
        <f t="shared" si="1747"/>
        <v>2.7882122160002534E-4</v>
      </c>
      <c r="BL234" s="59">
        <f t="shared" si="1748"/>
        <v>4.187706917460347E-5</v>
      </c>
      <c r="BM234" s="59">
        <f t="shared" si="1749"/>
        <v>1.5395981314192452E-7</v>
      </c>
      <c r="BN234" s="59">
        <f t="shared" si="1750"/>
        <v>1.5242021501050527E-5</v>
      </c>
      <c r="BO234" s="59">
        <f t="shared" si="1791"/>
        <v>2.9406324310107584E-5</v>
      </c>
      <c r="BP234" s="59">
        <f t="shared" si="1752"/>
        <v>1.1069710564904374E-4</v>
      </c>
      <c r="BQ234" s="59">
        <f t="shared" si="1753"/>
        <v>1.7089539258753623E-5</v>
      </c>
      <c r="BR234" s="60">
        <f t="shared" si="1792"/>
        <v>1.0507551765372446E-4</v>
      </c>
      <c r="BS234" s="60">
        <f t="shared" si="1777"/>
        <v>2.3153536466889503E-5</v>
      </c>
      <c r="BT234" s="60">
        <f t="shared" si="1778"/>
        <v>1.2307527690040933E-5</v>
      </c>
      <c r="BU234" s="60">
        <f t="shared" si="1779"/>
        <v>7.7691268543383381E-6</v>
      </c>
      <c r="BV234" s="60">
        <f t="shared" si="1780"/>
        <v>2.3307380563015016E-5</v>
      </c>
      <c r="BW234" s="60">
        <f t="shared" si="1781"/>
        <v>1.565363678077081E-4</v>
      </c>
      <c r="BX234" s="60">
        <f t="shared" si="1782"/>
        <v>4.4691709924461133E-5</v>
      </c>
      <c r="BY234" s="60">
        <f t="shared" si="1783"/>
        <v>2.8807306999502054E-4</v>
      </c>
      <c r="BZ234" s="60">
        <f t="shared" si="1784"/>
        <v>2.6961177845995915E-4</v>
      </c>
      <c r="CA234" s="60">
        <f t="shared" si="1785"/>
        <v>2.4845821524270131E-5</v>
      </c>
      <c r="CB234" s="60">
        <f t="shared" si="1786"/>
        <v>7.6922048062755818E-8</v>
      </c>
      <c r="CC234" s="60">
        <f t="shared" si="1787"/>
        <v>1.0153710344283768E-5</v>
      </c>
      <c r="CD234" s="60">
        <f t="shared" si="1788"/>
        <v>2.1615095505634385E-5</v>
      </c>
      <c r="CE234" s="60">
        <f t="shared" si="1789"/>
        <v>5.8922288816070963E-5</v>
      </c>
      <c r="CF234" s="13">
        <f t="shared" si="1790"/>
        <v>1.0615242632660304E-5</v>
      </c>
    </row>
    <row r="235" spans="1:85" hidden="1" x14ac:dyDescent="0.25">
      <c r="A235" s="4" t="s">
        <v>2</v>
      </c>
      <c r="B235" s="56">
        <v>2862216.4853526298</v>
      </c>
      <c r="C235" s="57">
        <v>5170</v>
      </c>
      <c r="D235" s="57">
        <v>791</v>
      </c>
      <c r="E235" s="57">
        <v>38</v>
      </c>
      <c r="F235" s="57">
        <v>151</v>
      </c>
      <c r="G235" s="57">
        <v>387</v>
      </c>
      <c r="H235" s="57">
        <v>4424</v>
      </c>
      <c r="I235" s="57">
        <v>1783</v>
      </c>
      <c r="J235" s="57">
        <v>1078</v>
      </c>
      <c r="K235" s="57">
        <v>502</v>
      </c>
      <c r="L235" s="57">
        <v>1450</v>
      </c>
      <c r="M235" s="57">
        <v>0</v>
      </c>
      <c r="N235" s="57">
        <v>427</v>
      </c>
      <c r="O235" s="57">
        <v>247</v>
      </c>
      <c r="P235" s="57">
        <v>130</v>
      </c>
      <c r="Q235" s="57">
        <v>206</v>
      </c>
      <c r="S235" s="4">
        <f t="shared" si="1768"/>
        <v>1996</v>
      </c>
      <c r="T235" s="4" t="str">
        <f t="shared" si="1769"/>
        <v>45-64</v>
      </c>
      <c r="U235" s="56">
        <f t="shared" si="1770"/>
        <v>2862216.4853526298</v>
      </c>
      <c r="V235" s="4">
        <f t="shared" si="1771"/>
        <v>5170</v>
      </c>
      <c r="W235" s="4">
        <f t="shared" si="1712"/>
        <v>791</v>
      </c>
      <c r="X235" s="4">
        <f t="shared" si="1713"/>
        <v>38</v>
      </c>
      <c r="Y235" s="4">
        <f t="shared" si="1714"/>
        <v>151</v>
      </c>
      <c r="Z235" s="4">
        <f t="shared" si="1715"/>
        <v>387</v>
      </c>
      <c r="AA235" s="4">
        <f t="shared" si="1716"/>
        <v>4424</v>
      </c>
      <c r="AB235" s="4">
        <f t="shared" si="1717"/>
        <v>1783</v>
      </c>
      <c r="AC235" s="4">
        <f t="shared" si="1718"/>
        <v>1078</v>
      </c>
      <c r="AD235" s="4">
        <f t="shared" si="1719"/>
        <v>502</v>
      </c>
      <c r="AE235" s="4">
        <f t="shared" si="1720"/>
        <v>1450</v>
      </c>
      <c r="AF235" s="4">
        <f t="shared" si="1721"/>
        <v>0</v>
      </c>
      <c r="AG235" s="4">
        <f t="shared" si="1722"/>
        <v>427</v>
      </c>
      <c r="AH235" s="4">
        <f t="shared" si="1723"/>
        <v>247</v>
      </c>
      <c r="AI235" s="4">
        <f t="shared" si="1724"/>
        <v>130</v>
      </c>
      <c r="AJ235" s="4">
        <f t="shared" si="1725"/>
        <v>206</v>
      </c>
      <c r="AK235" s="4">
        <f t="shared" si="1772"/>
        <v>16784</v>
      </c>
      <c r="AL235" s="58">
        <f t="shared" si="1773"/>
        <v>1.8062924403019248E-3</v>
      </c>
      <c r="AM235" s="58">
        <f t="shared" si="1726"/>
        <v>2.7635924957037186E-4</v>
      </c>
      <c r="AN235" s="58">
        <f t="shared" si="1727"/>
        <v>1.3276424126010279E-5</v>
      </c>
      <c r="AO235" s="58">
        <f t="shared" si="1728"/>
        <v>5.2756316921777688E-5</v>
      </c>
      <c r="AP235" s="58">
        <f t="shared" si="1729"/>
        <v>1.3520989833594679E-4</v>
      </c>
      <c r="AQ235" s="58">
        <f t="shared" si="1730"/>
        <v>1.5456552719334072E-3</v>
      </c>
      <c r="AR235" s="58">
        <f t="shared" si="1731"/>
        <v>6.229437951756928E-4</v>
      </c>
      <c r="AS235" s="58">
        <f t="shared" si="1732"/>
        <v>3.7663118967997582E-4</v>
      </c>
      <c r="AT235" s="58">
        <f t="shared" si="1733"/>
        <v>1.7538855029624104E-4</v>
      </c>
      <c r="AU235" s="58">
        <f t="shared" si="1734"/>
        <v>5.0660039428197118E-4</v>
      </c>
      <c r="AV235" s="58">
        <f t="shared" si="1735"/>
        <v>0</v>
      </c>
      <c r="AW235" s="58">
        <f t="shared" si="1736"/>
        <v>1.4918508162648392E-4</v>
      </c>
      <c r="AX235" s="58">
        <f t="shared" si="1737"/>
        <v>8.6296756819066809E-5</v>
      </c>
      <c r="AY235" s="58">
        <f t="shared" si="1738"/>
        <v>4.541934569424569E-5</v>
      </c>
      <c r="AZ235" s="58">
        <f t="shared" si="1739"/>
        <v>7.1972193946266255E-5</v>
      </c>
      <c r="BA235" s="58">
        <f t="shared" si="1774"/>
        <v>5.8639869087093819E-3</v>
      </c>
      <c r="BB235" s="4">
        <f t="shared" si="1775"/>
        <v>2853824.4853526298</v>
      </c>
      <c r="BC235" s="59">
        <f t="shared" si="1740"/>
        <v>1.8116040515228724E-3</v>
      </c>
      <c r="BD235" s="59">
        <f t="shared" si="1776"/>
        <v>2.7717191581326728E-4</v>
      </c>
      <c r="BE235" s="59">
        <f t="shared" si="1741"/>
        <v>1.3315464982179718E-5</v>
      </c>
      <c r="BF235" s="59">
        <f t="shared" si="1742"/>
        <v>5.2911452955503619E-5</v>
      </c>
      <c r="BG235" s="59">
        <f t="shared" si="1743"/>
        <v>1.3560749863430398E-4</v>
      </c>
      <c r="BH235" s="59">
        <f t="shared" si="1744"/>
        <v>1.5502004495042915E-3</v>
      </c>
      <c r="BI235" s="59">
        <f t="shared" si="1745"/>
        <v>6.2477563324280102E-4</v>
      </c>
      <c r="BJ235" s="59">
        <f t="shared" si="1746"/>
        <v>3.7773871712604574E-4</v>
      </c>
      <c r="BK235" s="59">
        <f t="shared" si="1747"/>
        <v>1.7590430055405837E-4</v>
      </c>
      <c r="BL235" s="59">
        <f t="shared" si="1748"/>
        <v>5.0809011116212085E-4</v>
      </c>
      <c r="BM235" s="59">
        <f t="shared" si="1749"/>
        <v>0</v>
      </c>
      <c r="BN235" s="59">
        <f t="shared" si="1750"/>
        <v>1.4962377756291422E-4</v>
      </c>
      <c r="BO235" s="59">
        <f t="shared" si="1791"/>
        <v>8.6550522384168166E-5</v>
      </c>
      <c r="BP235" s="59">
        <f t="shared" si="1752"/>
        <v>4.5552906517983245E-5</v>
      </c>
      <c r="BQ235" s="59">
        <f t="shared" si="1753"/>
        <v>7.2183836482342698E-5</v>
      </c>
      <c r="BR235" s="60">
        <f t="shared" si="1792"/>
        <v>1.1241288059325809E-3</v>
      </c>
      <c r="BS235" s="60">
        <f t="shared" si="1777"/>
        <v>1.8482179901735361E-4</v>
      </c>
      <c r="BT235" s="60">
        <f t="shared" si="1778"/>
        <v>2.3059052429386273E-5</v>
      </c>
      <c r="BU235" s="60">
        <f t="shared" si="1779"/>
        <v>3.7732994884450265E-5</v>
      </c>
      <c r="BV235" s="60">
        <f t="shared" si="1780"/>
        <v>1.0813298071053108E-4</v>
      </c>
      <c r="BW235" s="60">
        <f t="shared" si="1781"/>
        <v>1.0757397337890959E-3</v>
      </c>
      <c r="BX235" s="60">
        <f t="shared" si="1782"/>
        <v>4.0178651960294265E-4</v>
      </c>
      <c r="BY235" s="60">
        <f t="shared" si="1783"/>
        <v>6.0634826501817997E-4</v>
      </c>
      <c r="BZ235" s="60">
        <f t="shared" si="1784"/>
        <v>4.0405748688765491E-4</v>
      </c>
      <c r="CA235" s="60">
        <f t="shared" si="1785"/>
        <v>3.0081582032881184E-4</v>
      </c>
      <c r="CB235" s="60">
        <f t="shared" si="1786"/>
        <v>1.746897911317142E-7</v>
      </c>
      <c r="CC235" s="60">
        <f t="shared" si="1787"/>
        <v>9.1886830135281663E-5</v>
      </c>
      <c r="CD235" s="60">
        <f t="shared" si="1788"/>
        <v>7.6514128515690812E-5</v>
      </c>
      <c r="CE235" s="60">
        <f t="shared" si="1789"/>
        <v>1.4831163267082535E-4</v>
      </c>
      <c r="CF235" s="13">
        <f t="shared" si="1790"/>
        <v>5.5376663788753401E-5</v>
      </c>
    </row>
    <row r="236" spans="1:85" hidden="1" x14ac:dyDescent="0.25">
      <c r="A236" s="4" t="s">
        <v>1</v>
      </c>
      <c r="B236" s="56">
        <v>710343.28776711202</v>
      </c>
      <c r="C236" s="57">
        <v>5212</v>
      </c>
      <c r="D236" s="57">
        <v>406</v>
      </c>
      <c r="E236" s="57">
        <v>24</v>
      </c>
      <c r="F236" s="57">
        <v>146</v>
      </c>
      <c r="G236" s="57">
        <v>319</v>
      </c>
      <c r="H236" s="57">
        <v>3335</v>
      </c>
      <c r="I236" s="57">
        <v>1780</v>
      </c>
      <c r="J236" s="57">
        <v>380</v>
      </c>
      <c r="K236" s="57">
        <v>125</v>
      </c>
      <c r="L236" s="57">
        <v>1343</v>
      </c>
      <c r="M236" s="57">
        <v>0</v>
      </c>
      <c r="N236" s="57">
        <v>576</v>
      </c>
      <c r="O236" s="57">
        <v>226</v>
      </c>
      <c r="P236" s="57">
        <v>5</v>
      </c>
      <c r="Q236" s="57">
        <v>161</v>
      </c>
      <c r="S236" s="4">
        <f t="shared" si="1768"/>
        <v>1996</v>
      </c>
      <c r="T236" s="4" t="str">
        <f t="shared" si="1769"/>
        <v>65-74</v>
      </c>
      <c r="U236" s="56">
        <f t="shared" si="1770"/>
        <v>710343.28776711202</v>
      </c>
      <c r="V236" s="4">
        <f t="shared" si="1771"/>
        <v>5212</v>
      </c>
      <c r="W236" s="4">
        <f t="shared" si="1712"/>
        <v>406</v>
      </c>
      <c r="X236" s="4">
        <f t="shared" si="1713"/>
        <v>24</v>
      </c>
      <c r="Y236" s="4">
        <f t="shared" si="1714"/>
        <v>146</v>
      </c>
      <c r="Z236" s="4">
        <f t="shared" si="1715"/>
        <v>319</v>
      </c>
      <c r="AA236" s="4">
        <f t="shared" si="1716"/>
        <v>3335</v>
      </c>
      <c r="AB236" s="4">
        <f t="shared" si="1717"/>
        <v>1780</v>
      </c>
      <c r="AC236" s="4">
        <f t="shared" si="1718"/>
        <v>380</v>
      </c>
      <c r="AD236" s="4">
        <f t="shared" si="1719"/>
        <v>125</v>
      </c>
      <c r="AE236" s="4">
        <f t="shared" si="1720"/>
        <v>1343</v>
      </c>
      <c r="AF236" s="4">
        <f t="shared" si="1721"/>
        <v>0</v>
      </c>
      <c r="AG236" s="4">
        <f t="shared" si="1722"/>
        <v>576</v>
      </c>
      <c r="AH236" s="4">
        <f t="shared" si="1723"/>
        <v>226</v>
      </c>
      <c r="AI236" s="4">
        <f t="shared" si="1724"/>
        <v>5</v>
      </c>
      <c r="AJ236" s="4">
        <f t="shared" si="1725"/>
        <v>161</v>
      </c>
      <c r="AK236" s="4">
        <f t="shared" si="1772"/>
        <v>14038</v>
      </c>
      <c r="AL236" s="58">
        <f t="shared" si="1773"/>
        <v>7.3372974585053981E-3</v>
      </c>
      <c r="AM236" s="58">
        <f t="shared" si="1726"/>
        <v>5.7155463702095004E-4</v>
      </c>
      <c r="AN236" s="58">
        <f t="shared" si="1727"/>
        <v>3.3786481006164537E-5</v>
      </c>
      <c r="AO236" s="58">
        <f t="shared" si="1728"/>
        <v>2.0553442612083426E-4</v>
      </c>
      <c r="AP236" s="58">
        <f t="shared" si="1729"/>
        <v>4.4907864337360363E-4</v>
      </c>
      <c r="AQ236" s="58">
        <f t="shared" si="1730"/>
        <v>4.6949130898149474E-3</v>
      </c>
      <c r="AR236" s="58">
        <f t="shared" si="1731"/>
        <v>2.5058306746238699E-3</v>
      </c>
      <c r="AS236" s="58">
        <f t="shared" si="1732"/>
        <v>5.3495261593093852E-4</v>
      </c>
      <c r="AT236" s="58">
        <f t="shared" si="1733"/>
        <v>1.759712552404403E-4</v>
      </c>
      <c r="AU236" s="58">
        <f t="shared" si="1734"/>
        <v>1.8906351663032905E-3</v>
      </c>
      <c r="AV236" s="58">
        <f t="shared" si="1735"/>
        <v>0</v>
      </c>
      <c r="AW236" s="58">
        <f t="shared" si="1736"/>
        <v>8.1087554414794889E-4</v>
      </c>
      <c r="AX236" s="58">
        <f t="shared" si="1737"/>
        <v>3.1815602947471606E-4</v>
      </c>
      <c r="AY236" s="58">
        <f t="shared" si="1738"/>
        <v>7.0388502096176121E-6</v>
      </c>
      <c r="AZ236" s="58">
        <f t="shared" si="1739"/>
        <v>2.2665097674968711E-4</v>
      </c>
      <c r="BA236" s="58">
        <f t="shared" si="1774"/>
        <v>1.9762275848522408E-2</v>
      </c>
      <c r="BB236" s="4">
        <f t="shared" si="1775"/>
        <v>703324.28776711202</v>
      </c>
      <c r="BC236" s="59">
        <f t="shared" si="1740"/>
        <v>7.4105218469660197E-3</v>
      </c>
      <c r="BD236" s="59">
        <f t="shared" si="1776"/>
        <v>5.772586089539916E-4</v>
      </c>
      <c r="BE236" s="59">
        <f t="shared" si="1741"/>
        <v>3.4123661613043836E-5</v>
      </c>
      <c r="BF236" s="59">
        <f t="shared" si="1742"/>
        <v>2.0758560814601668E-4</v>
      </c>
      <c r="BG236" s="59">
        <f t="shared" si="1743"/>
        <v>4.5356033560670767E-4</v>
      </c>
      <c r="BH236" s="59">
        <f t="shared" si="1744"/>
        <v>4.741767144979217E-3</v>
      </c>
      <c r="BI236" s="59">
        <f t="shared" si="1745"/>
        <v>2.5308382363007516E-3</v>
      </c>
      <c r="BJ236" s="59">
        <f t="shared" si="1746"/>
        <v>5.4029130887319409E-4</v>
      </c>
      <c r="BK236" s="59">
        <f t="shared" si="1747"/>
        <v>1.7772740423460334E-4</v>
      </c>
      <c r="BL236" s="59">
        <f t="shared" si="1748"/>
        <v>1.909503231096578E-3</v>
      </c>
      <c r="BM236" s="59">
        <f t="shared" si="1749"/>
        <v>0</v>
      </c>
      <c r="BN236" s="59">
        <f t="shared" si="1750"/>
        <v>8.1896787871305217E-4</v>
      </c>
      <c r="BO236" s="59">
        <f t="shared" si="1791"/>
        <v>3.2133114685616281E-4</v>
      </c>
      <c r="BP236" s="59">
        <f t="shared" si="1752"/>
        <v>7.1090961693841331E-6</v>
      </c>
      <c r="BQ236" s="59">
        <f t="shared" si="1753"/>
        <v>2.2891289665416908E-4</v>
      </c>
      <c r="BR236" s="60">
        <f t="shared" si="1792"/>
        <v>7.3077342876250043E-3</v>
      </c>
      <c r="BS236" s="60">
        <f t="shared" si="1777"/>
        <v>8.4255037009122813E-4</v>
      </c>
      <c r="BT236" s="60">
        <f t="shared" si="1778"/>
        <v>4.3640871299629196E-5</v>
      </c>
      <c r="BU236" s="60">
        <f t="shared" si="1779"/>
        <v>2.0905385122564307E-4</v>
      </c>
      <c r="BV236" s="60">
        <f t="shared" si="1780"/>
        <v>4.969428247990034E-4</v>
      </c>
      <c r="BW236" s="60">
        <f t="shared" si="1781"/>
        <v>5.461443877642305E-3</v>
      </c>
      <c r="BX236" s="60">
        <f t="shared" si="1782"/>
        <v>2.5079423296867549E-3</v>
      </c>
      <c r="BY236" s="60">
        <f t="shared" si="1783"/>
        <v>1.0262643605622478E-3</v>
      </c>
      <c r="BZ236" s="60">
        <f t="shared" si="1784"/>
        <v>4.4133590814302427E-4</v>
      </c>
      <c r="CA236" s="60">
        <f t="shared" si="1785"/>
        <v>1.9659508635461991E-3</v>
      </c>
      <c r="CB236" s="60">
        <f t="shared" si="1786"/>
        <v>0</v>
      </c>
      <c r="CC236" s="60">
        <f t="shared" si="1787"/>
        <v>7.0599667602464649E-4</v>
      </c>
      <c r="CD236" s="60">
        <f t="shared" si="1788"/>
        <v>3.3293761491491304E-4</v>
      </c>
      <c r="CE236" s="60">
        <f t="shared" si="1789"/>
        <v>9.5024477829837753E-5</v>
      </c>
      <c r="CF236" s="13">
        <f t="shared" si="1790"/>
        <v>2.5832580269296635E-4</v>
      </c>
    </row>
    <row r="237" spans="1:85" hidden="1" x14ac:dyDescent="0.25">
      <c r="A237" s="4" t="s">
        <v>0</v>
      </c>
      <c r="B237" s="56">
        <v>710343.28776711202</v>
      </c>
      <c r="C237" s="57">
        <v>9429</v>
      </c>
      <c r="D237" s="57">
        <v>279</v>
      </c>
      <c r="E237" s="57">
        <v>22</v>
      </c>
      <c r="F237" s="57">
        <v>432</v>
      </c>
      <c r="G237" s="57">
        <v>397</v>
      </c>
      <c r="H237" s="57">
        <v>3401</v>
      </c>
      <c r="I237" s="57">
        <v>3442</v>
      </c>
      <c r="J237" s="57">
        <v>534</v>
      </c>
      <c r="K237" s="57">
        <v>68</v>
      </c>
      <c r="L237" s="57">
        <v>1306</v>
      </c>
      <c r="M237" s="57">
        <v>14</v>
      </c>
      <c r="N237" s="57">
        <v>1141</v>
      </c>
      <c r="O237" s="57">
        <v>974</v>
      </c>
      <c r="P237" s="57">
        <v>7</v>
      </c>
      <c r="Q237" s="57">
        <v>178</v>
      </c>
      <c r="S237" s="4">
        <f t="shared" si="1768"/>
        <v>1996</v>
      </c>
      <c r="T237" s="4" t="str">
        <f t="shared" si="1769"/>
        <v>75+</v>
      </c>
      <c r="U237" s="56">
        <f t="shared" si="1770"/>
        <v>710343.28776711202</v>
      </c>
      <c r="V237" s="4">
        <f t="shared" si="1771"/>
        <v>9429</v>
      </c>
      <c r="W237" s="4">
        <f t="shared" si="1712"/>
        <v>279</v>
      </c>
      <c r="X237" s="4">
        <f t="shared" si="1713"/>
        <v>22</v>
      </c>
      <c r="Y237" s="4">
        <f t="shared" si="1714"/>
        <v>432</v>
      </c>
      <c r="Z237" s="4">
        <f t="shared" si="1715"/>
        <v>397</v>
      </c>
      <c r="AA237" s="4">
        <f t="shared" si="1716"/>
        <v>3401</v>
      </c>
      <c r="AB237" s="4">
        <f t="shared" si="1717"/>
        <v>3442</v>
      </c>
      <c r="AC237" s="4">
        <f t="shared" si="1718"/>
        <v>534</v>
      </c>
      <c r="AD237" s="4">
        <f t="shared" si="1719"/>
        <v>68</v>
      </c>
      <c r="AE237" s="4">
        <f t="shared" si="1720"/>
        <v>1306</v>
      </c>
      <c r="AF237" s="4">
        <f t="shared" si="1721"/>
        <v>14</v>
      </c>
      <c r="AG237" s="4">
        <f t="shared" si="1722"/>
        <v>1141</v>
      </c>
      <c r="AH237" s="4">
        <f t="shared" si="1723"/>
        <v>974</v>
      </c>
      <c r="AI237" s="4">
        <f t="shared" si="1724"/>
        <v>7</v>
      </c>
      <c r="AJ237" s="4">
        <f t="shared" si="1725"/>
        <v>178</v>
      </c>
      <c r="AK237" s="4">
        <f t="shared" si="1772"/>
        <v>21624</v>
      </c>
      <c r="AL237" s="58">
        <f t="shared" si="1773"/>
        <v>1.3273863725296892E-2</v>
      </c>
      <c r="AM237" s="58">
        <f t="shared" si="1726"/>
        <v>3.9276784169666276E-4</v>
      </c>
      <c r="AN237" s="58">
        <f t="shared" si="1727"/>
        <v>3.0970940922317494E-5</v>
      </c>
      <c r="AO237" s="58">
        <f t="shared" si="1728"/>
        <v>6.0815665811096166E-4</v>
      </c>
      <c r="AP237" s="58">
        <f t="shared" si="1729"/>
        <v>5.588847066436384E-4</v>
      </c>
      <c r="AQ237" s="58">
        <f t="shared" si="1730"/>
        <v>4.7878259125818997E-3</v>
      </c>
      <c r="AR237" s="58">
        <f t="shared" si="1731"/>
        <v>4.8455444843007638E-3</v>
      </c>
      <c r="AS237" s="58">
        <f t="shared" si="1732"/>
        <v>7.5174920238716097E-4</v>
      </c>
      <c r="AT237" s="58">
        <f t="shared" si="1733"/>
        <v>9.5728362850799526E-5</v>
      </c>
      <c r="AU237" s="58">
        <f t="shared" si="1734"/>
        <v>1.8385476747521201E-3</v>
      </c>
      <c r="AV237" s="58">
        <f t="shared" si="1735"/>
        <v>1.9708780586929314E-5</v>
      </c>
      <c r="AW237" s="58">
        <f t="shared" si="1736"/>
        <v>1.606265617834739E-3</v>
      </c>
      <c r="AX237" s="58">
        <f t="shared" si="1737"/>
        <v>1.3711680208335108E-3</v>
      </c>
      <c r="AY237" s="58">
        <f t="shared" si="1738"/>
        <v>9.8543902934646572E-6</v>
      </c>
      <c r="AZ237" s="58">
        <f t="shared" si="1739"/>
        <v>2.5058306746238699E-4</v>
      </c>
      <c r="BA237" s="58">
        <f t="shared" si="1774"/>
        <v>3.0441619386554247E-2</v>
      </c>
      <c r="BB237" s="4">
        <f t="shared" si="1775"/>
        <v>699531.28776711202</v>
      </c>
      <c r="BC237" s="59">
        <f t="shared" si="1740"/>
        <v>1.3479025405850185E-2</v>
      </c>
      <c r="BD237" s="59">
        <f t="shared" si="1776"/>
        <v>3.9883848639645793E-4</v>
      </c>
      <c r="BE237" s="59">
        <f t="shared" si="1741"/>
        <v>3.1449629751692027E-5</v>
      </c>
      <c r="BF237" s="59">
        <f t="shared" si="1742"/>
        <v>6.1755636603322511E-4</v>
      </c>
      <c r="BG237" s="59">
        <f t="shared" si="1743"/>
        <v>5.6752286415553336E-4</v>
      </c>
      <c r="BH237" s="59">
        <f t="shared" si="1744"/>
        <v>4.8618268538865713E-3</v>
      </c>
      <c r="BI237" s="59">
        <f t="shared" si="1745"/>
        <v>4.9204375275147243E-3</v>
      </c>
      <c r="BJ237" s="59">
        <f t="shared" si="1746"/>
        <v>7.6336828579107001E-4</v>
      </c>
      <c r="BK237" s="59">
        <f t="shared" si="1747"/>
        <v>9.7207946505229885E-5</v>
      </c>
      <c r="BL237" s="59">
        <f t="shared" si="1748"/>
        <v>1.8669643843504445E-3</v>
      </c>
      <c r="BM237" s="59">
        <f t="shared" si="1749"/>
        <v>2.0013400751076742E-5</v>
      </c>
      <c r="BN237" s="59">
        <f t="shared" si="1750"/>
        <v>1.6310921612127545E-3</v>
      </c>
      <c r="BO237" s="59">
        <f t="shared" si="1791"/>
        <v>1.3923608808249104E-3</v>
      </c>
      <c r="BP237" s="59">
        <f t="shared" si="1752"/>
        <v>1.0006700375538371E-5</v>
      </c>
      <c r="BQ237" s="59">
        <f t="shared" si="1753"/>
        <v>2.5445609526369002E-4</v>
      </c>
      <c r="BR237" s="60">
        <f t="shared" si="1792"/>
        <v>1.0305580591901146E-2</v>
      </c>
      <c r="BS237" s="60">
        <f t="shared" si="1777"/>
        <v>4.8216123935880642E-4</v>
      </c>
      <c r="BT237" s="60">
        <f t="shared" si="1778"/>
        <v>3.2378710964241012E-5</v>
      </c>
      <c r="BU237" s="60">
        <f t="shared" si="1779"/>
        <v>4.0684554211589799E-4</v>
      </c>
      <c r="BV237" s="60">
        <f t="shared" si="1780"/>
        <v>5.0398167500862096E-4</v>
      </c>
      <c r="BW237" s="60">
        <f t="shared" si="1781"/>
        <v>4.7413695011984235E-3</v>
      </c>
      <c r="BX237" s="60">
        <f t="shared" si="1782"/>
        <v>3.6756875794623171E-3</v>
      </c>
      <c r="BY237" s="60">
        <f t="shared" si="1783"/>
        <v>6.4335090915904969E-4</v>
      </c>
      <c r="BZ237" s="60">
        <f t="shared" si="1784"/>
        <v>1.3584980904561992E-4</v>
      </c>
      <c r="CA237" s="60">
        <f t="shared" si="1785"/>
        <v>1.8645914205277054E-3</v>
      </c>
      <c r="CB237" s="60">
        <f t="shared" si="1786"/>
        <v>9.8543902934646572E-6</v>
      </c>
      <c r="CC237" s="60">
        <f t="shared" si="1787"/>
        <v>1.208570580991344E-3</v>
      </c>
      <c r="CD237" s="60">
        <f t="shared" si="1788"/>
        <v>8.4466202515411342E-4</v>
      </c>
      <c r="CE237" s="60">
        <f t="shared" si="1789"/>
        <v>8.4466202515411342E-6</v>
      </c>
      <c r="CF237" s="13">
        <f t="shared" si="1790"/>
        <v>2.3861702210603705E-4</v>
      </c>
    </row>
    <row r="238" spans="1:85" hidden="1" x14ac:dyDescent="0.25">
      <c r="C238" s="4"/>
    </row>
    <row r="239" spans="1:85" hidden="1" x14ac:dyDescent="0.25">
      <c r="C239" s="4"/>
    </row>
    <row r="240" spans="1:85" hidden="1" x14ac:dyDescent="0.25">
      <c r="A240" s="4" t="s">
        <v>23</v>
      </c>
      <c r="B240" s="61">
        <v>1996</v>
      </c>
    </row>
    <row r="241" spans="1:85" hidden="1" x14ac:dyDescent="0.25"/>
    <row r="242" spans="1:85" s="21" customFormat="1" ht="23.25" hidden="1" customHeight="1" x14ac:dyDescent="0.25">
      <c r="A242" s="62" t="s">
        <v>46</v>
      </c>
      <c r="B242" s="62"/>
      <c r="C242" s="4" t="s">
        <v>35</v>
      </c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</row>
    <row r="243" spans="1:85" s="37" customFormat="1" ht="33" hidden="1" customHeight="1" x14ac:dyDescent="0.25">
      <c r="A243" s="63" t="s">
        <v>22</v>
      </c>
      <c r="B243" s="64" t="s">
        <v>24</v>
      </c>
      <c r="C243" s="64">
        <v>1</v>
      </c>
      <c r="D243" s="64">
        <v>10</v>
      </c>
      <c r="E243" s="64">
        <v>11</v>
      </c>
      <c r="F243" s="64">
        <v>12</v>
      </c>
      <c r="G243" s="64">
        <v>13</v>
      </c>
      <c r="H243" s="64">
        <v>2</v>
      </c>
      <c r="I243" s="64">
        <v>3</v>
      </c>
      <c r="J243" s="64">
        <v>4</v>
      </c>
      <c r="K243" s="64">
        <v>5</v>
      </c>
      <c r="L243" s="64">
        <v>6</v>
      </c>
      <c r="M243" s="64">
        <v>7</v>
      </c>
      <c r="N243" s="64">
        <v>8</v>
      </c>
      <c r="O243" s="64">
        <v>9</v>
      </c>
      <c r="P243" s="64">
        <v>14</v>
      </c>
      <c r="Q243" s="64">
        <v>15</v>
      </c>
      <c r="R243" s="64"/>
      <c r="S243" s="65" t="s">
        <v>23</v>
      </c>
      <c r="T243" s="65" t="s">
        <v>22</v>
      </c>
      <c r="U243" s="65" t="s">
        <v>181</v>
      </c>
      <c r="V243" s="66" t="str">
        <f>+CONCATENATE("dx","(",C243,")")</f>
        <v>dx(1)</v>
      </c>
      <c r="W243" s="66" t="str">
        <f t="shared" ref="W243" si="1793">+CONCATENATE("dx","(",D243,")")</f>
        <v>dx(10)</v>
      </c>
      <c r="X243" s="66" t="str">
        <f t="shared" ref="X243" si="1794">+CONCATENATE("dx","(",E243,")")</f>
        <v>dx(11)</v>
      </c>
      <c r="Y243" s="66" t="str">
        <f t="shared" ref="Y243" si="1795">+CONCATENATE("dx","(",F243,")")</f>
        <v>dx(12)</v>
      </c>
      <c r="Z243" s="66" t="str">
        <f t="shared" ref="Z243" si="1796">+CONCATENATE("dx","(",G243,")")</f>
        <v>dx(13)</v>
      </c>
      <c r="AA243" s="66" t="str">
        <f t="shared" ref="AA243" si="1797">+CONCATENATE("dx","(",H243,")")</f>
        <v>dx(2)</v>
      </c>
      <c r="AB243" s="66" t="str">
        <f t="shared" ref="AB243" si="1798">+CONCATENATE("dx","(",I243,")")</f>
        <v>dx(3)</v>
      </c>
      <c r="AC243" s="66" t="str">
        <f t="shared" ref="AC243" si="1799">+CONCATENATE("dx","(",J243,")")</f>
        <v>dx(4)</v>
      </c>
      <c r="AD243" s="66" t="str">
        <f t="shared" ref="AD243" si="1800">+CONCATENATE("dx","(",K243,")")</f>
        <v>dx(5)</v>
      </c>
      <c r="AE243" s="66" t="str">
        <f t="shared" ref="AE243" si="1801">+CONCATENATE("dx","(",L243,")")</f>
        <v>dx(6)</v>
      </c>
      <c r="AF243" s="66" t="str">
        <f t="shared" ref="AF243" si="1802">+CONCATENATE("dx","(",M243,")")</f>
        <v>dx(7)</v>
      </c>
      <c r="AG243" s="66" t="str">
        <f t="shared" ref="AG243" si="1803">+CONCATENATE("dx","(",N243,")")</f>
        <v>dx(8)</v>
      </c>
      <c r="AH243" s="66" t="str">
        <f t="shared" ref="AH243" si="1804">+CONCATENATE("dx","(",O243,")")</f>
        <v>dx(9)</v>
      </c>
      <c r="AI243" s="66" t="str">
        <f t="shared" ref="AI243" si="1805">+CONCATENATE("dx","(",P243,")")</f>
        <v>dx(14)</v>
      </c>
      <c r="AJ243" s="66" t="str">
        <f t="shared" ref="AJ243" si="1806">+CONCATENATE("dx","(",Q243,")")</f>
        <v>dx(15)</v>
      </c>
      <c r="AK243" s="66" t="s">
        <v>182</v>
      </c>
      <c r="AL243" s="66" t="str">
        <f t="shared" ref="AL243:AZ243" si="1807">+CONCATENATE("qx","(",C243,")")</f>
        <v>qx(1)</v>
      </c>
      <c r="AM243" s="66" t="str">
        <f t="shared" si="1807"/>
        <v>qx(10)</v>
      </c>
      <c r="AN243" s="66" t="str">
        <f t="shared" si="1807"/>
        <v>qx(11)</v>
      </c>
      <c r="AO243" s="66" t="str">
        <f t="shared" si="1807"/>
        <v>qx(12)</v>
      </c>
      <c r="AP243" s="66" t="str">
        <f t="shared" si="1807"/>
        <v>qx(13)</v>
      </c>
      <c r="AQ243" s="66" t="str">
        <f t="shared" si="1807"/>
        <v>qx(2)</v>
      </c>
      <c r="AR243" s="66" t="str">
        <f t="shared" si="1807"/>
        <v>qx(3)</v>
      </c>
      <c r="AS243" s="66" t="str">
        <f t="shared" si="1807"/>
        <v>qx(4)</v>
      </c>
      <c r="AT243" s="66" t="str">
        <f t="shared" si="1807"/>
        <v>qx(5)</v>
      </c>
      <c r="AU243" s="66" t="str">
        <f t="shared" si="1807"/>
        <v>qx(6)</v>
      </c>
      <c r="AV243" s="66" t="str">
        <f t="shared" si="1807"/>
        <v>qx(7)</v>
      </c>
      <c r="AW243" s="66" t="str">
        <f t="shared" si="1807"/>
        <v>qx(8)</v>
      </c>
      <c r="AX243" s="66" t="str">
        <f t="shared" si="1807"/>
        <v>qx(9)</v>
      </c>
      <c r="AY243" s="66" t="str">
        <f t="shared" si="1807"/>
        <v>qx(14)</v>
      </c>
      <c r="AZ243" s="66" t="str">
        <f t="shared" si="1807"/>
        <v>qx(15)</v>
      </c>
      <c r="BA243" s="66" t="str">
        <f>+CONCATENATE("qx","(T)")</f>
        <v>qx(T)</v>
      </c>
      <c r="BB243" s="65" t="s">
        <v>184</v>
      </c>
      <c r="BC243" s="66" t="str">
        <f t="shared" ref="BC243:BQ243" si="1808">+CONCATENATE("mx","(",C243,")")</f>
        <v>mx(1)</v>
      </c>
      <c r="BD243" s="66" t="str">
        <f t="shared" si="1808"/>
        <v>mx(10)</v>
      </c>
      <c r="BE243" s="66" t="str">
        <f t="shared" si="1808"/>
        <v>mx(11)</v>
      </c>
      <c r="BF243" s="66" t="str">
        <f t="shared" si="1808"/>
        <v>mx(12)</v>
      </c>
      <c r="BG243" s="66" t="str">
        <f t="shared" si="1808"/>
        <v>mx(13)</v>
      </c>
      <c r="BH243" s="66" t="str">
        <f t="shared" si="1808"/>
        <v>mx(2)</v>
      </c>
      <c r="BI243" s="66" t="str">
        <f t="shared" si="1808"/>
        <v>mx(3)</v>
      </c>
      <c r="BJ243" s="66" t="str">
        <f t="shared" si="1808"/>
        <v>mx(4)</v>
      </c>
      <c r="BK243" s="66" t="str">
        <f t="shared" si="1808"/>
        <v>mx(5)</v>
      </c>
      <c r="BL243" s="66" t="str">
        <f t="shared" si="1808"/>
        <v>mx(6)</v>
      </c>
      <c r="BM243" s="66" t="str">
        <f t="shared" si="1808"/>
        <v>mx(7)</v>
      </c>
      <c r="BN243" s="66" t="str">
        <f t="shared" si="1808"/>
        <v>mx(8)</v>
      </c>
      <c r="BO243" s="66" t="str">
        <f t="shared" si="1808"/>
        <v>mx(9)</v>
      </c>
      <c r="BP243" s="66" t="str">
        <f t="shared" si="1808"/>
        <v>mx(14)</v>
      </c>
      <c r="BQ243" s="66" t="str">
        <f t="shared" si="1808"/>
        <v>mx(15)</v>
      </c>
      <c r="BR243" s="66" t="str">
        <f>+CONCATENATE("µ(X)",C243)</f>
        <v>µ(X)1</v>
      </c>
      <c r="BS243" s="66" t="str">
        <f t="shared" ref="BS243" si="1809">+CONCATENATE("µ(X)",D243)</f>
        <v>µ(X)10</v>
      </c>
      <c r="BT243" s="66" t="str">
        <f t="shared" ref="BT243" si="1810">+CONCATENATE("µ(X)",E243)</f>
        <v>µ(X)11</v>
      </c>
      <c r="BU243" s="66" t="str">
        <f t="shared" ref="BU243" si="1811">+CONCATENATE("µ(X)",F243)</f>
        <v>µ(X)12</v>
      </c>
      <c r="BV243" s="66" t="str">
        <f t="shared" ref="BV243" si="1812">+CONCATENATE("µ(X)",G243)</f>
        <v>µ(X)13</v>
      </c>
      <c r="BW243" s="66" t="str">
        <f t="shared" ref="BW243" si="1813">+CONCATENATE("µ(X)",H243)</f>
        <v>µ(X)2</v>
      </c>
      <c r="BX243" s="66" t="str">
        <f t="shared" ref="BX243" si="1814">+CONCATENATE("µ(X)",I243)</f>
        <v>µ(X)3</v>
      </c>
      <c r="BY243" s="66" t="str">
        <f t="shared" ref="BY243" si="1815">+CONCATENATE("µ(X)",J243)</f>
        <v>µ(X)4</v>
      </c>
      <c r="BZ243" s="66" t="str">
        <f t="shared" ref="BZ243" si="1816">+CONCATENATE("µ(X)",K243)</f>
        <v>µ(X)5</v>
      </c>
      <c r="CA243" s="66" t="str">
        <f t="shared" ref="CA243" si="1817">+CONCATENATE("µ(X)",L243)</f>
        <v>µ(X)6</v>
      </c>
      <c r="CB243" s="66" t="str">
        <f t="shared" ref="CB243" si="1818">+CONCATENATE("µ(X)",M243)</f>
        <v>µ(X)7</v>
      </c>
      <c r="CC243" s="66" t="str">
        <f t="shared" ref="CC243" si="1819">+CONCATENATE("µ(X)",N243)</f>
        <v>µ(X)8</v>
      </c>
      <c r="CD243" s="66" t="str">
        <f t="shared" ref="CD243" si="1820">+CONCATENATE("µ(X)",O243)</f>
        <v>µ(X)9</v>
      </c>
      <c r="CE243" s="66" t="str">
        <f t="shared" ref="CE243" si="1821">+CONCATENATE("µ(X)",P243)</f>
        <v>µ(X)14</v>
      </c>
      <c r="CF243" s="42" t="str">
        <f t="shared" ref="CF243" si="1822">+CONCATENATE("µ(X)",Q243)</f>
        <v>µ(X)15</v>
      </c>
      <c r="CG243" s="36"/>
    </row>
    <row r="244" spans="1:85" hidden="1" x14ac:dyDescent="0.25">
      <c r="A244" s="4" t="s">
        <v>6</v>
      </c>
      <c r="B244" s="56">
        <v>2669011.0638103201</v>
      </c>
      <c r="C244" s="57">
        <v>82</v>
      </c>
      <c r="D244" s="57">
        <v>35</v>
      </c>
      <c r="E244" s="57">
        <v>1552</v>
      </c>
      <c r="F244" s="57">
        <v>2468</v>
      </c>
      <c r="G244" s="57">
        <v>37</v>
      </c>
      <c r="H244" s="57">
        <v>159</v>
      </c>
      <c r="I244" s="57">
        <v>14</v>
      </c>
      <c r="J244" s="57">
        <v>786</v>
      </c>
      <c r="K244" s="57">
        <v>32</v>
      </c>
      <c r="L244" s="57">
        <v>12</v>
      </c>
      <c r="M244" s="57">
        <v>5626</v>
      </c>
      <c r="N244" s="57">
        <v>114</v>
      </c>
      <c r="O244" s="57">
        <v>877</v>
      </c>
      <c r="P244" s="57">
        <v>21</v>
      </c>
      <c r="Q244" s="57">
        <v>29</v>
      </c>
      <c r="S244" s="4">
        <f>+$B$162</f>
        <v>1996</v>
      </c>
      <c r="T244" s="4" t="str">
        <f>+A244</f>
        <v>0-4</v>
      </c>
      <c r="U244" s="56">
        <f>+B244</f>
        <v>2669011.0638103201</v>
      </c>
      <c r="V244" s="4">
        <f>+C244</f>
        <v>82</v>
      </c>
      <c r="W244" s="4">
        <f t="shared" ref="W244:W250" si="1823">+D244</f>
        <v>35</v>
      </c>
      <c r="X244" s="4">
        <f t="shared" ref="X244:X250" si="1824">+E244</f>
        <v>1552</v>
      </c>
      <c r="Y244" s="4">
        <f t="shared" ref="Y244:Y250" si="1825">+F244</f>
        <v>2468</v>
      </c>
      <c r="Z244" s="4">
        <f t="shared" ref="Z244:Z250" si="1826">+G244</f>
        <v>37</v>
      </c>
      <c r="AA244" s="4">
        <f t="shared" ref="AA244:AA250" si="1827">+H244</f>
        <v>159</v>
      </c>
      <c r="AB244" s="4">
        <f t="shared" ref="AB244:AB250" si="1828">+I244</f>
        <v>14</v>
      </c>
      <c r="AC244" s="4">
        <f t="shared" ref="AC244:AC250" si="1829">+J244</f>
        <v>786</v>
      </c>
      <c r="AD244" s="4">
        <f t="shared" ref="AD244:AD250" si="1830">+K244</f>
        <v>32</v>
      </c>
      <c r="AE244" s="4">
        <f t="shared" ref="AE244:AE250" si="1831">+L244</f>
        <v>12</v>
      </c>
      <c r="AF244" s="4">
        <f t="shared" ref="AF244:AF250" si="1832">+M244</f>
        <v>5626</v>
      </c>
      <c r="AG244" s="4">
        <f t="shared" ref="AG244:AG250" si="1833">+N244</f>
        <v>114</v>
      </c>
      <c r="AH244" s="4">
        <f t="shared" ref="AH244:AH250" si="1834">+O244</f>
        <v>877</v>
      </c>
      <c r="AI244" s="4">
        <f t="shared" ref="AI244:AI250" si="1835">+P244</f>
        <v>21</v>
      </c>
      <c r="AJ244" s="4">
        <f t="shared" ref="AJ244:AJ250" si="1836">+Q244</f>
        <v>29</v>
      </c>
      <c r="AK244" s="4">
        <f>+SUM(V244:AJ244)</f>
        <v>11844</v>
      </c>
      <c r="AL244" s="58">
        <f>+V244/$U244</f>
        <v>3.072298991632338E-5</v>
      </c>
      <c r="AM244" s="58">
        <f t="shared" ref="AM244:AM250" si="1837">+W244/$U244</f>
        <v>1.3113471305747784E-5</v>
      </c>
      <c r="AN244" s="58">
        <f t="shared" ref="AN244:AN250" si="1838">+X244/$U244</f>
        <v>5.8148878475773028E-4</v>
      </c>
      <c r="AO244" s="58">
        <f t="shared" ref="AO244:AO250" si="1839">+Y244/$U244</f>
        <v>9.2468706235958656E-4</v>
      </c>
      <c r="AP244" s="58">
        <f t="shared" ref="AP244:AP250" si="1840">+Z244/$U244</f>
        <v>1.3862812523219085E-5</v>
      </c>
      <c r="AQ244" s="58">
        <f t="shared" ref="AQ244:AQ250" si="1841">+AA244/$U244</f>
        <v>5.9572626788968504E-5</v>
      </c>
      <c r="AR244" s="58">
        <f t="shared" ref="AR244:AR250" si="1842">+AB244/$U244</f>
        <v>5.2453885222991139E-6</v>
      </c>
      <c r="AS244" s="58">
        <f t="shared" ref="AS244:AS250" si="1843">+AC244/$U244</f>
        <v>2.9449109846622164E-4</v>
      </c>
      <c r="AT244" s="58">
        <f t="shared" ref="AT244:AT250" si="1844">+AD244/$U244</f>
        <v>1.1989459479540831E-5</v>
      </c>
      <c r="AU244" s="58">
        <f t="shared" ref="AU244:AU250" si="1845">+AE244/$U244</f>
        <v>4.4960473048278115E-6</v>
      </c>
      <c r="AV244" s="58">
        <f t="shared" ref="AV244:AV250" si="1846">+AF244/$U244</f>
        <v>2.1078968447467723E-3</v>
      </c>
      <c r="AW244" s="58">
        <f t="shared" ref="AW244:AW250" si="1847">+AG244/$U244</f>
        <v>4.2712449395864211E-5</v>
      </c>
      <c r="AX244" s="58">
        <f t="shared" ref="AX244:AX250" si="1848">+AH244/$U244</f>
        <v>3.2858612386116591E-4</v>
      </c>
      <c r="AY244" s="58">
        <f t="shared" ref="AY244:AY250" si="1849">+AI244/$U244</f>
        <v>7.86808278344867E-6</v>
      </c>
      <c r="AZ244" s="58">
        <f t="shared" ref="AZ244:AZ250" si="1850">+AJ244/$U244</f>
        <v>1.0865447653333878E-5</v>
      </c>
      <c r="BA244" s="58">
        <f>+AK244/U244</f>
        <v>4.4375986898650497E-3</v>
      </c>
      <c r="BB244" s="4">
        <f>+U244-(0.5*AK244)</f>
        <v>2663089.0638103201</v>
      </c>
      <c r="BC244" s="59">
        <f t="shared" ref="BC244:BC250" si="1851">+AL244/(1-(0.5*$BA244))</f>
        <v>3.0791309654013318E-5</v>
      </c>
      <c r="BD244" s="59">
        <f>+AM244/(1-(0.5*$BA244))</f>
        <v>1.3142632169395928E-5</v>
      </c>
      <c r="BE244" s="59">
        <f t="shared" ref="BE244:BE250" si="1852">+AN244/(1-(0.5*$BA244))</f>
        <v>5.8278186076864233E-4</v>
      </c>
      <c r="BF244" s="59">
        <f t="shared" ref="BF244:BF250" si="1853">+AO244/(1-(0.5*$BA244))</f>
        <v>9.2674331983054719E-4</v>
      </c>
      <c r="BG244" s="59">
        <f t="shared" ref="BG244:BG250" si="1854">+AP244/(1-(0.5*$BA244))</f>
        <v>1.3893639721932839E-5</v>
      </c>
      <c r="BH244" s="59">
        <f t="shared" ref="BH244:BH250" si="1855">+AQ244/(1-(0.5*$BA244))</f>
        <v>5.9705100426684362E-5</v>
      </c>
      <c r="BI244" s="59">
        <f t="shared" ref="BI244:BI250" si="1856">+AR244/(1-(0.5*$BA244))</f>
        <v>5.2570528677583717E-6</v>
      </c>
      <c r="BJ244" s="59">
        <f t="shared" ref="BJ244:BJ250" si="1857">+AS244/(1-(0.5*$BA244))</f>
        <v>2.9514596814700567E-4</v>
      </c>
      <c r="BK244" s="59">
        <f t="shared" ref="BK244:BK250" si="1858">+AT244/(1-(0.5*$BA244))</f>
        <v>1.2016120840590563E-5</v>
      </c>
      <c r="BL244" s="59">
        <f t="shared" ref="BL244:BL250" si="1859">+AU244/(1-(0.5*$BA244))</f>
        <v>4.5060453152214609E-6</v>
      </c>
      <c r="BM244" s="59">
        <f t="shared" ref="BM244:BM250" si="1860">+AV244/(1-(0.5*$BA244))</f>
        <v>2.1125842452863284E-3</v>
      </c>
      <c r="BN244" s="59">
        <f t="shared" ref="BN244:BN250" si="1861">+AW244/(1-(0.5*$BA244))</f>
        <v>4.2807430494603885E-5</v>
      </c>
      <c r="BO244" s="59">
        <f t="shared" ref="BO244" si="1862">+AX244/(1-(0.5*$BA244))</f>
        <v>3.2931681178743514E-4</v>
      </c>
      <c r="BP244" s="59">
        <f t="shared" ref="BP244:BP250" si="1863">+AY244/(1-(0.5*$BA244))</f>
        <v>7.8855793016375572E-6</v>
      </c>
      <c r="BQ244" s="59">
        <f t="shared" ref="BQ244:BQ250" si="1864">+AZ244/(1-(0.5*$BA244))</f>
        <v>1.0889609511785197E-5</v>
      </c>
      <c r="BR244" s="60">
        <f>+V244/(2*$U244)</f>
        <v>1.536149495816169E-5</v>
      </c>
      <c r="BS244" s="60">
        <f t="shared" ref="BS244" si="1865">+W244/(2*$U244)</f>
        <v>6.5567356528738919E-6</v>
      </c>
      <c r="BT244" s="60">
        <f t="shared" ref="BT244" si="1866">+X244/(2*$U244)</f>
        <v>2.9074439237886514E-4</v>
      </c>
      <c r="BU244" s="60">
        <f t="shared" ref="BU244" si="1867">+Y244/(2*$U244)</f>
        <v>4.6234353117979328E-4</v>
      </c>
      <c r="BV244" s="60">
        <f t="shared" ref="BV244" si="1868">+Z244/(2*$U244)</f>
        <v>6.9314062616095427E-6</v>
      </c>
      <c r="BW244" s="60">
        <f t="shared" ref="BW244" si="1869">+AA244/(2*$U244)</f>
        <v>2.9786313394484252E-5</v>
      </c>
      <c r="BX244" s="60">
        <f t="shared" ref="BX244" si="1870">+AB244/(2*$U244)</f>
        <v>2.6226942611495569E-6</v>
      </c>
      <c r="BY244" s="60">
        <f t="shared" ref="BY244" si="1871">+AC244/(2*$U244)</f>
        <v>1.4724554923311082E-4</v>
      </c>
      <c r="BZ244" s="60">
        <f t="shared" ref="BZ244" si="1872">+AD244/(2*$U244)</f>
        <v>5.9947297397704154E-6</v>
      </c>
      <c r="CA244" s="60">
        <f t="shared" ref="CA244" si="1873">+AE244/(2*$U244)</f>
        <v>2.2480236524139058E-6</v>
      </c>
      <c r="CB244" s="60">
        <f t="shared" ref="CB244" si="1874">+AF244/(2*$U244)</f>
        <v>1.0539484223733861E-3</v>
      </c>
      <c r="CC244" s="60">
        <f t="shared" ref="CC244" si="1875">+AG244/(2*$U244)</f>
        <v>2.1356224697932105E-5</v>
      </c>
      <c r="CD244" s="60">
        <f t="shared" ref="CD244" si="1876">+AH244/(2*$U244)</f>
        <v>1.6429306193058296E-4</v>
      </c>
      <c r="CE244" s="60">
        <f t="shared" ref="CE244" si="1877">+AI244/(2*$U244)</f>
        <v>3.934041391724335E-6</v>
      </c>
      <c r="CF244" s="13">
        <f t="shared" ref="CF244" si="1878">+AJ244/(2*$U244)</f>
        <v>5.4327238266669388E-6</v>
      </c>
    </row>
    <row r="245" spans="1:85" hidden="1" x14ac:dyDescent="0.25">
      <c r="A245" s="4" t="s">
        <v>5</v>
      </c>
      <c r="B245" s="56">
        <v>5336689.2615659405</v>
      </c>
      <c r="C245" s="57">
        <v>50</v>
      </c>
      <c r="D245" s="57">
        <v>18</v>
      </c>
      <c r="E245" s="57">
        <v>121</v>
      </c>
      <c r="F245" s="57">
        <v>79</v>
      </c>
      <c r="G245" s="57">
        <v>18</v>
      </c>
      <c r="H245" s="57">
        <v>266</v>
      </c>
      <c r="I245" s="57">
        <v>18</v>
      </c>
      <c r="J245" s="57">
        <v>659</v>
      </c>
      <c r="K245" s="57">
        <v>105</v>
      </c>
      <c r="L245" s="57">
        <v>16</v>
      </c>
      <c r="M245" s="57">
        <v>2</v>
      </c>
      <c r="N245" s="57">
        <v>15</v>
      </c>
      <c r="O245" s="57">
        <v>82</v>
      </c>
      <c r="P245" s="57">
        <v>2</v>
      </c>
      <c r="Q245" s="57">
        <v>34</v>
      </c>
      <c r="S245" s="4">
        <f t="shared" ref="S245:S250" si="1879">+$B$162</f>
        <v>1996</v>
      </c>
      <c r="T245" s="4" t="str">
        <f t="shared" ref="T245:T250" si="1880">+A245</f>
        <v>5-14</v>
      </c>
      <c r="U245" s="56">
        <f t="shared" ref="U245:U250" si="1881">+B245</f>
        <v>5336689.2615659405</v>
      </c>
      <c r="V245" s="4">
        <f t="shared" ref="V245:V250" si="1882">+C245</f>
        <v>50</v>
      </c>
      <c r="W245" s="4">
        <f t="shared" si="1823"/>
        <v>18</v>
      </c>
      <c r="X245" s="4">
        <f t="shared" si="1824"/>
        <v>121</v>
      </c>
      <c r="Y245" s="4">
        <f t="shared" si="1825"/>
        <v>79</v>
      </c>
      <c r="Z245" s="4">
        <f t="shared" si="1826"/>
        <v>18</v>
      </c>
      <c r="AA245" s="4">
        <f t="shared" si="1827"/>
        <v>266</v>
      </c>
      <c r="AB245" s="4">
        <f t="shared" si="1828"/>
        <v>18</v>
      </c>
      <c r="AC245" s="4">
        <f t="shared" si="1829"/>
        <v>659</v>
      </c>
      <c r="AD245" s="4">
        <f t="shared" si="1830"/>
        <v>105</v>
      </c>
      <c r="AE245" s="4">
        <f t="shared" si="1831"/>
        <v>16</v>
      </c>
      <c r="AF245" s="4">
        <f t="shared" si="1832"/>
        <v>2</v>
      </c>
      <c r="AG245" s="4">
        <f t="shared" si="1833"/>
        <v>15</v>
      </c>
      <c r="AH245" s="4">
        <f t="shared" si="1834"/>
        <v>82</v>
      </c>
      <c r="AI245" s="4">
        <f t="shared" si="1835"/>
        <v>2</v>
      </c>
      <c r="AJ245" s="4">
        <f t="shared" si="1836"/>
        <v>34</v>
      </c>
      <c r="AK245" s="4">
        <f t="shared" ref="AK245:AK250" si="1883">+SUM(V245:AJ245)</f>
        <v>1485</v>
      </c>
      <c r="AL245" s="58">
        <f t="shared" ref="AL245:AL250" si="1884">+V245/$U245</f>
        <v>9.3691046169940461E-6</v>
      </c>
      <c r="AM245" s="58">
        <f t="shared" si="1837"/>
        <v>3.3728776621178566E-6</v>
      </c>
      <c r="AN245" s="58">
        <f t="shared" si="1838"/>
        <v>2.2673233173125591E-5</v>
      </c>
      <c r="AO245" s="58">
        <f t="shared" si="1839"/>
        <v>1.4803185294850593E-5</v>
      </c>
      <c r="AP245" s="58">
        <f t="shared" si="1840"/>
        <v>3.3728776621178566E-6</v>
      </c>
      <c r="AQ245" s="58">
        <f t="shared" si="1841"/>
        <v>4.9843636562408325E-5</v>
      </c>
      <c r="AR245" s="58">
        <f t="shared" si="1842"/>
        <v>3.3728776621178566E-6</v>
      </c>
      <c r="AS245" s="58">
        <f t="shared" si="1843"/>
        <v>1.2348479885198154E-4</v>
      </c>
      <c r="AT245" s="58">
        <f t="shared" si="1844"/>
        <v>1.9675119695687498E-5</v>
      </c>
      <c r="AU245" s="58">
        <f t="shared" si="1845"/>
        <v>2.998113477438095E-6</v>
      </c>
      <c r="AV245" s="58">
        <f t="shared" si="1846"/>
        <v>3.7476418467976187E-7</v>
      </c>
      <c r="AW245" s="58">
        <f t="shared" si="1847"/>
        <v>2.8107313850982138E-6</v>
      </c>
      <c r="AX245" s="58">
        <f t="shared" si="1848"/>
        <v>1.5365331571870237E-5</v>
      </c>
      <c r="AY245" s="58">
        <f t="shared" si="1849"/>
        <v>3.7476418467976187E-7</v>
      </c>
      <c r="AZ245" s="58">
        <f t="shared" si="1850"/>
        <v>6.3709911395559516E-6</v>
      </c>
      <c r="BA245" s="58">
        <f t="shared" ref="BA245:BA250" si="1885">+AK245/U245</f>
        <v>2.7826240712472319E-4</v>
      </c>
      <c r="BB245" s="4">
        <f t="shared" ref="BB245:BB250" si="1886">+U245-(0.5*AK245)</f>
        <v>5335946.7615659405</v>
      </c>
      <c r="BC245" s="59">
        <f t="shared" si="1851"/>
        <v>9.3704083331833129E-6</v>
      </c>
      <c r="BD245" s="59">
        <f t="shared" ref="BD245:BD250" si="1887">+AM245/(1-(0.5*$BA245))</f>
        <v>3.3733469999459925E-6</v>
      </c>
      <c r="BE245" s="59">
        <f t="shared" si="1852"/>
        <v>2.2676388166303615E-5</v>
      </c>
      <c r="BF245" s="59">
        <f t="shared" si="1853"/>
        <v>1.4805245166429634E-5</v>
      </c>
      <c r="BG245" s="59">
        <f t="shared" si="1854"/>
        <v>3.3733469999459925E-6</v>
      </c>
      <c r="BH245" s="59">
        <f t="shared" si="1855"/>
        <v>4.9850572332535225E-5</v>
      </c>
      <c r="BI245" s="59">
        <f t="shared" si="1856"/>
        <v>3.3733469999459925E-6</v>
      </c>
      <c r="BJ245" s="59">
        <f t="shared" si="1857"/>
        <v>1.2350198183135608E-4</v>
      </c>
      <c r="BK245" s="59">
        <f t="shared" si="1858"/>
        <v>1.9677857499684958E-5</v>
      </c>
      <c r="BL245" s="59">
        <f t="shared" si="1859"/>
        <v>2.9985306666186604E-6</v>
      </c>
      <c r="BM245" s="59">
        <f t="shared" si="1860"/>
        <v>3.7481633332733255E-7</v>
      </c>
      <c r="BN245" s="59">
        <f t="shared" si="1861"/>
        <v>2.8111224999549937E-6</v>
      </c>
      <c r="BO245" s="59">
        <f>+AX245/(1-(0.5*$BA245))</f>
        <v>1.5367469666420634E-5</v>
      </c>
      <c r="BP245" s="59">
        <f t="shared" si="1863"/>
        <v>3.7481633332733255E-7</v>
      </c>
      <c r="BQ245" s="59">
        <f t="shared" si="1864"/>
        <v>6.3718776665646525E-6</v>
      </c>
      <c r="BR245" s="60">
        <f>+(V244+V245)/(2*$U245)</f>
        <v>1.2367218094432141E-5</v>
      </c>
      <c r="BS245" s="60">
        <f t="shared" ref="BS245:BS250" si="1888">+(W244+W245)/(2*$U245)</f>
        <v>4.9656254470068449E-6</v>
      </c>
      <c r="BT245" s="60">
        <f t="shared" ref="BT245:BT250" si="1889">+(X244+X245)/(2*$U245)</f>
        <v>1.567451202423104E-4</v>
      </c>
      <c r="BU245" s="60">
        <f t="shared" ref="BU245:BU250" si="1890">+(Y244+Y245)/(2*$U245)</f>
        <v>2.3863109459483836E-4</v>
      </c>
      <c r="BV245" s="60">
        <f t="shared" ref="BV245:BV250" si="1891">+(Z244+Z245)/(2*$U245)</f>
        <v>5.1530075393467253E-6</v>
      </c>
      <c r="BW245" s="60">
        <f t="shared" ref="BW245:BW250" si="1892">+(AA244+AA245)/(2*$U245)</f>
        <v>3.98186946222247E-5</v>
      </c>
      <c r="BX245" s="60">
        <f t="shared" ref="BX245:BX250" si="1893">+(AB244+AB245)/(2*$U245)</f>
        <v>2.998113477438095E-6</v>
      </c>
      <c r="BY245" s="60">
        <f t="shared" ref="BY245:BY250" si="1894">+(AC244+AC245)/(2*$U245)</f>
        <v>1.3538356171556397E-4</v>
      </c>
      <c r="BZ245" s="60">
        <f t="shared" ref="BZ245:BZ250" si="1895">+(AD244+AD245)/(2*$U245)</f>
        <v>1.2835673325281844E-5</v>
      </c>
      <c r="CA245" s="60">
        <f t="shared" ref="CA245:CA250" si="1896">+(AE244+AE245)/(2*$U245)</f>
        <v>2.6233492927583329E-6</v>
      </c>
      <c r="CB245" s="60">
        <f t="shared" ref="CB245:CB250" si="1897">+(AF244+AF245)/(2*$U245)</f>
        <v>5.2729320784442491E-4</v>
      </c>
      <c r="CC245" s="60">
        <f t="shared" ref="CC245:CC250" si="1898">+(AG244+AG245)/(2*$U245)</f>
        <v>1.2086144955922319E-5</v>
      </c>
      <c r="CD245" s="60">
        <f t="shared" ref="CD245:CD250" si="1899">+(AH244+AH245)/(2*$U245)</f>
        <v>8.9849713276972899E-5</v>
      </c>
      <c r="CE245" s="60">
        <f t="shared" ref="CE245:CE250" si="1900">+(AI244+AI245)/(2*$U245)</f>
        <v>2.1548940619086307E-6</v>
      </c>
      <c r="CF245" s="13">
        <f t="shared" ref="CF245:CF250" si="1901">+(AJ244+AJ245)/(2*$U245)</f>
        <v>5.9025359087062493E-6</v>
      </c>
    </row>
    <row r="246" spans="1:85" hidden="1" x14ac:dyDescent="0.25">
      <c r="A246" s="4" t="s">
        <v>4</v>
      </c>
      <c r="B246" s="56">
        <v>4328734.7335640304</v>
      </c>
      <c r="C246" s="57">
        <v>101</v>
      </c>
      <c r="D246" s="57">
        <v>34</v>
      </c>
      <c r="E246" s="57">
        <v>66</v>
      </c>
      <c r="F246" s="57">
        <v>36</v>
      </c>
      <c r="G246" s="57">
        <v>71</v>
      </c>
      <c r="H246" s="57">
        <v>301</v>
      </c>
      <c r="I246" s="57">
        <v>64</v>
      </c>
      <c r="J246" s="57">
        <v>1352</v>
      </c>
      <c r="K246" s="57">
        <v>1694</v>
      </c>
      <c r="L246" s="57">
        <v>51</v>
      </c>
      <c r="M246" s="57">
        <v>0</v>
      </c>
      <c r="N246" s="57">
        <v>33</v>
      </c>
      <c r="O246" s="57">
        <v>90</v>
      </c>
      <c r="P246" s="57">
        <v>47</v>
      </c>
      <c r="Q246" s="57">
        <v>27</v>
      </c>
      <c r="S246" s="4">
        <f t="shared" si="1879"/>
        <v>1996</v>
      </c>
      <c r="T246" s="4" t="str">
        <f t="shared" si="1880"/>
        <v>15-24</v>
      </c>
      <c r="U246" s="56">
        <f t="shared" si="1881"/>
        <v>4328734.7335640304</v>
      </c>
      <c r="V246" s="4">
        <f t="shared" si="1882"/>
        <v>101</v>
      </c>
      <c r="W246" s="4">
        <f t="shared" si="1823"/>
        <v>34</v>
      </c>
      <c r="X246" s="4">
        <f t="shared" si="1824"/>
        <v>66</v>
      </c>
      <c r="Y246" s="4">
        <f t="shared" si="1825"/>
        <v>36</v>
      </c>
      <c r="Z246" s="4">
        <f t="shared" si="1826"/>
        <v>71</v>
      </c>
      <c r="AA246" s="4">
        <f t="shared" si="1827"/>
        <v>301</v>
      </c>
      <c r="AB246" s="4">
        <f t="shared" si="1828"/>
        <v>64</v>
      </c>
      <c r="AC246" s="4">
        <f t="shared" si="1829"/>
        <v>1352</v>
      </c>
      <c r="AD246" s="4">
        <f t="shared" si="1830"/>
        <v>1694</v>
      </c>
      <c r="AE246" s="4">
        <f t="shared" si="1831"/>
        <v>51</v>
      </c>
      <c r="AF246" s="4">
        <f t="shared" si="1832"/>
        <v>0</v>
      </c>
      <c r="AG246" s="4">
        <f t="shared" si="1833"/>
        <v>33</v>
      </c>
      <c r="AH246" s="4">
        <f t="shared" si="1834"/>
        <v>90</v>
      </c>
      <c r="AI246" s="4">
        <f t="shared" si="1835"/>
        <v>47</v>
      </c>
      <c r="AJ246" s="4">
        <f t="shared" si="1836"/>
        <v>27</v>
      </c>
      <c r="AK246" s="4">
        <f t="shared" si="1883"/>
        <v>3967</v>
      </c>
      <c r="AL246" s="58">
        <f t="shared" si="1884"/>
        <v>2.3332453064603114E-5</v>
      </c>
      <c r="AM246" s="58">
        <f t="shared" si="1837"/>
        <v>7.8544891504604536E-6</v>
      </c>
      <c r="AN246" s="58">
        <f t="shared" si="1838"/>
        <v>1.5246949527364411E-5</v>
      </c>
      <c r="AO246" s="58">
        <f t="shared" si="1839"/>
        <v>8.3165179240169518E-6</v>
      </c>
      <c r="AP246" s="58">
        <f t="shared" si="1840"/>
        <v>1.6402021461255655E-5</v>
      </c>
      <c r="AQ246" s="58">
        <f t="shared" si="1841"/>
        <v>6.9535330420252836E-5</v>
      </c>
      <c r="AR246" s="58">
        <f t="shared" si="1842"/>
        <v>1.4784920753807913E-5</v>
      </c>
      <c r="AS246" s="58">
        <f t="shared" si="1843"/>
        <v>3.1233145092419214E-4</v>
      </c>
      <c r="AT246" s="58">
        <f t="shared" si="1844"/>
        <v>3.9133837120235322E-4</v>
      </c>
      <c r="AU246" s="58">
        <f t="shared" si="1845"/>
        <v>1.1781733725690681E-5</v>
      </c>
      <c r="AV246" s="58">
        <f t="shared" si="1846"/>
        <v>0</v>
      </c>
      <c r="AW246" s="58">
        <f t="shared" si="1847"/>
        <v>7.6234747636822054E-6</v>
      </c>
      <c r="AX246" s="58">
        <f t="shared" si="1848"/>
        <v>2.0791294810042377E-5</v>
      </c>
      <c r="AY246" s="58">
        <f t="shared" si="1849"/>
        <v>1.0857676178577687E-5</v>
      </c>
      <c r="AZ246" s="58">
        <f t="shared" si="1850"/>
        <v>6.2373884430127134E-6</v>
      </c>
      <c r="BA246" s="58">
        <f t="shared" si="1885"/>
        <v>9.1643407234931235E-4</v>
      </c>
      <c r="BB246" s="4">
        <f t="shared" si="1886"/>
        <v>4326751.2335640304</v>
      </c>
      <c r="BC246" s="59">
        <f t="shared" si="1851"/>
        <v>2.3343149293287266E-5</v>
      </c>
      <c r="BD246" s="59">
        <f t="shared" si="1887"/>
        <v>7.8580898611066048E-6</v>
      </c>
      <c r="BE246" s="59">
        <f t="shared" si="1852"/>
        <v>1.5253939142148115E-5</v>
      </c>
      <c r="BF246" s="59">
        <f t="shared" si="1853"/>
        <v>8.3203304411716991E-6</v>
      </c>
      <c r="BG246" s="59">
        <f t="shared" si="1854"/>
        <v>1.640954059231085E-5</v>
      </c>
      <c r="BH246" s="59">
        <f t="shared" si="1855"/>
        <v>6.9567207299796693E-5</v>
      </c>
      <c r="BI246" s="59">
        <f t="shared" si="1856"/>
        <v>1.4791698562083019E-5</v>
      </c>
      <c r="BJ246" s="59">
        <f t="shared" si="1857"/>
        <v>3.1247463212400378E-4</v>
      </c>
      <c r="BK246" s="59">
        <f t="shared" si="1858"/>
        <v>3.9151777131513494E-4</v>
      </c>
      <c r="BL246" s="59">
        <f t="shared" si="1859"/>
        <v>1.1787134791659907E-5</v>
      </c>
      <c r="BM246" s="59">
        <f t="shared" si="1860"/>
        <v>0</v>
      </c>
      <c r="BN246" s="59">
        <f t="shared" si="1861"/>
        <v>7.6269695710740576E-6</v>
      </c>
      <c r="BO246" s="59">
        <f t="shared" ref="BO246:BO250" si="1902">+AX246/(1-(0.5*$BA246))</f>
        <v>2.0800826102929245E-5</v>
      </c>
      <c r="BP246" s="59">
        <f t="shared" si="1863"/>
        <v>1.0862653631529719E-5</v>
      </c>
      <c r="BQ246" s="59">
        <f t="shared" si="1864"/>
        <v>6.2402478308787739E-6</v>
      </c>
      <c r="BR246" s="60">
        <f t="shared" ref="BR246:BR250" si="1903">+(V245+V246)/(2*$U246)</f>
        <v>1.7441586201757774E-5</v>
      </c>
      <c r="BS246" s="60">
        <f t="shared" si="1888"/>
        <v>6.0063740562344643E-6</v>
      </c>
      <c r="BT246" s="60">
        <f t="shared" si="1889"/>
        <v>2.1599845163766247E-5</v>
      </c>
      <c r="BU246" s="60">
        <f t="shared" si="1890"/>
        <v>1.3283327239749297E-5</v>
      </c>
      <c r="BV246" s="60">
        <f t="shared" si="1891"/>
        <v>1.0280140211632064E-5</v>
      </c>
      <c r="BW246" s="60">
        <f t="shared" si="1892"/>
        <v>6.5492578651633488E-5</v>
      </c>
      <c r="BX246" s="60">
        <f t="shared" si="1893"/>
        <v>9.4715898579081938E-6</v>
      </c>
      <c r="BY246" s="60">
        <f t="shared" si="1894"/>
        <v>2.3228496590552901E-4</v>
      </c>
      <c r="BZ246" s="60">
        <f t="shared" si="1895"/>
        <v>2.0779744090703467E-4</v>
      </c>
      <c r="CA246" s="60">
        <f t="shared" si="1896"/>
        <v>7.7389819570713291E-6</v>
      </c>
      <c r="CB246" s="60">
        <f t="shared" si="1897"/>
        <v>2.3101438677824863E-7</v>
      </c>
      <c r="CC246" s="60">
        <f t="shared" si="1898"/>
        <v>5.544345282677967E-6</v>
      </c>
      <c r="CD246" s="60">
        <f t="shared" si="1899"/>
        <v>1.9867237262929384E-5</v>
      </c>
      <c r="CE246" s="60">
        <f t="shared" si="1900"/>
        <v>5.6598524760670916E-6</v>
      </c>
      <c r="CF246" s="13">
        <f t="shared" si="1901"/>
        <v>7.0459387967365835E-6</v>
      </c>
    </row>
    <row r="247" spans="1:85" hidden="1" x14ac:dyDescent="0.25">
      <c r="A247" s="4" t="s">
        <v>3</v>
      </c>
      <c r="B247" s="56">
        <v>6500086.9398599695</v>
      </c>
      <c r="C247" s="57">
        <v>1265</v>
      </c>
      <c r="D247" s="57">
        <v>267</v>
      </c>
      <c r="E247" s="57">
        <v>94</v>
      </c>
      <c r="F247" s="57">
        <v>65</v>
      </c>
      <c r="G247" s="57">
        <v>232</v>
      </c>
      <c r="H247" s="57">
        <v>1734</v>
      </c>
      <c r="I247" s="57">
        <v>517</v>
      </c>
      <c r="J247" s="57">
        <v>2393</v>
      </c>
      <c r="K247" s="57">
        <v>1811</v>
      </c>
      <c r="L247" s="57">
        <v>272</v>
      </c>
      <c r="M247" s="57">
        <v>1</v>
      </c>
      <c r="N247" s="57">
        <v>99</v>
      </c>
      <c r="O247" s="57">
        <v>191</v>
      </c>
      <c r="P247" s="57">
        <v>719</v>
      </c>
      <c r="Q247" s="57">
        <v>111</v>
      </c>
      <c r="S247" s="4">
        <f t="shared" si="1879"/>
        <v>1996</v>
      </c>
      <c r="T247" s="4" t="str">
        <f t="shared" si="1880"/>
        <v>25-44</v>
      </c>
      <c r="U247" s="56">
        <f t="shared" si="1881"/>
        <v>6500086.9398599695</v>
      </c>
      <c r="V247" s="4">
        <f t="shared" si="1882"/>
        <v>1265</v>
      </c>
      <c r="W247" s="4">
        <f t="shared" si="1823"/>
        <v>267</v>
      </c>
      <c r="X247" s="4">
        <f t="shared" si="1824"/>
        <v>94</v>
      </c>
      <c r="Y247" s="4">
        <f t="shared" si="1825"/>
        <v>65</v>
      </c>
      <c r="Z247" s="4">
        <f t="shared" si="1826"/>
        <v>232</v>
      </c>
      <c r="AA247" s="4">
        <f t="shared" si="1827"/>
        <v>1734</v>
      </c>
      <c r="AB247" s="4">
        <f t="shared" si="1828"/>
        <v>517</v>
      </c>
      <c r="AC247" s="4">
        <f t="shared" si="1829"/>
        <v>2393</v>
      </c>
      <c r="AD247" s="4">
        <f t="shared" si="1830"/>
        <v>1811</v>
      </c>
      <c r="AE247" s="4">
        <f t="shared" si="1831"/>
        <v>272</v>
      </c>
      <c r="AF247" s="4">
        <f t="shared" si="1832"/>
        <v>1</v>
      </c>
      <c r="AG247" s="4">
        <f t="shared" si="1833"/>
        <v>99</v>
      </c>
      <c r="AH247" s="4">
        <f t="shared" si="1834"/>
        <v>191</v>
      </c>
      <c r="AI247" s="4">
        <f t="shared" si="1835"/>
        <v>719</v>
      </c>
      <c r="AJ247" s="4">
        <f t="shared" si="1836"/>
        <v>111</v>
      </c>
      <c r="AK247" s="4">
        <f t="shared" si="1883"/>
        <v>9771</v>
      </c>
      <c r="AL247" s="58">
        <f t="shared" si="1884"/>
        <v>1.9461278159877223E-4</v>
      </c>
      <c r="AM247" s="58">
        <f t="shared" si="1837"/>
        <v>4.107637366551161E-5</v>
      </c>
      <c r="AN247" s="58">
        <f t="shared" si="1838"/>
        <v>1.4461345035798096E-5</v>
      </c>
      <c r="AO247" s="58">
        <f t="shared" si="1839"/>
        <v>9.9998662481582572E-6</v>
      </c>
      <c r="AP247" s="58">
        <f t="shared" si="1840"/>
        <v>3.56918303011187E-5</v>
      </c>
      <c r="AQ247" s="58">
        <f t="shared" si="1841"/>
        <v>2.6676566268163718E-4</v>
      </c>
      <c r="AR247" s="58">
        <f t="shared" si="1842"/>
        <v>7.953739769688952E-5</v>
      </c>
      <c r="AS247" s="58">
        <f t="shared" si="1843"/>
        <v>3.6814892202834939E-4</v>
      </c>
      <c r="AT247" s="58">
        <f t="shared" si="1844"/>
        <v>2.7861165808330162E-4</v>
      </c>
      <c r="AU247" s="58">
        <f t="shared" si="1845"/>
        <v>4.1845594146139165E-5</v>
      </c>
      <c r="AV247" s="58">
        <f t="shared" si="1846"/>
        <v>1.5384409612551164E-7</v>
      </c>
      <c r="AW247" s="58">
        <f t="shared" si="1847"/>
        <v>1.5230565516425653E-5</v>
      </c>
      <c r="AX247" s="58">
        <f t="shared" si="1848"/>
        <v>2.9384222359972725E-5</v>
      </c>
      <c r="AY247" s="58">
        <f t="shared" si="1849"/>
        <v>1.1061390511424288E-4</v>
      </c>
      <c r="AZ247" s="58">
        <f t="shared" si="1850"/>
        <v>1.7076694669931794E-5</v>
      </c>
      <c r="BA247" s="58">
        <f t="shared" si="1885"/>
        <v>1.5032106632423743E-3</v>
      </c>
      <c r="BB247" s="4">
        <f t="shared" si="1886"/>
        <v>6495201.4398599695</v>
      </c>
      <c r="BC247" s="59">
        <f t="shared" si="1851"/>
        <v>1.9475916362453452E-4</v>
      </c>
      <c r="BD247" s="59">
        <f t="shared" si="1887"/>
        <v>4.1107270108893847E-5</v>
      </c>
      <c r="BE247" s="59">
        <f t="shared" si="1852"/>
        <v>1.4472222435340906E-5</v>
      </c>
      <c r="BF247" s="59">
        <f t="shared" si="1853"/>
        <v>1.0007387854225095E-5</v>
      </c>
      <c r="BG247" s="59">
        <f t="shared" si="1854"/>
        <v>3.5718676648926485E-5</v>
      </c>
      <c r="BH247" s="59">
        <f t="shared" si="1855"/>
        <v>2.6696631598809712E-4</v>
      </c>
      <c r="BI247" s="59">
        <f t="shared" si="1856"/>
        <v>7.9597223394374983E-5</v>
      </c>
      <c r="BJ247" s="59">
        <f t="shared" si="1857"/>
        <v>3.6842583284862543E-4</v>
      </c>
      <c r="BK247" s="59">
        <f t="shared" si="1858"/>
        <v>2.7882122160002534E-4</v>
      </c>
      <c r="BL247" s="59">
        <f t="shared" si="1859"/>
        <v>4.187706917460347E-5</v>
      </c>
      <c r="BM247" s="59">
        <f t="shared" si="1860"/>
        <v>1.5395981314192452E-7</v>
      </c>
      <c r="BN247" s="59">
        <f t="shared" si="1861"/>
        <v>1.5242021501050527E-5</v>
      </c>
      <c r="BO247" s="59">
        <f t="shared" si="1902"/>
        <v>2.9406324310107584E-5</v>
      </c>
      <c r="BP247" s="59">
        <f t="shared" si="1863"/>
        <v>1.1069710564904374E-4</v>
      </c>
      <c r="BQ247" s="59">
        <f t="shared" si="1864"/>
        <v>1.7089539258753623E-5</v>
      </c>
      <c r="BR247" s="60">
        <f t="shared" si="1903"/>
        <v>1.0507551765372446E-4</v>
      </c>
      <c r="BS247" s="60">
        <f t="shared" si="1888"/>
        <v>2.3153536466889503E-5</v>
      </c>
      <c r="BT247" s="60">
        <f t="shared" si="1889"/>
        <v>1.2307527690040933E-5</v>
      </c>
      <c r="BU247" s="60">
        <f t="shared" si="1890"/>
        <v>7.7691268543383381E-6</v>
      </c>
      <c r="BV247" s="60">
        <f t="shared" si="1891"/>
        <v>2.3307380563015016E-5</v>
      </c>
      <c r="BW247" s="60">
        <f t="shared" si="1892"/>
        <v>1.565363678077081E-4</v>
      </c>
      <c r="BX247" s="60">
        <f t="shared" si="1893"/>
        <v>4.4691709924461133E-5</v>
      </c>
      <c r="BY247" s="60">
        <f t="shared" si="1894"/>
        <v>2.8807306999502054E-4</v>
      </c>
      <c r="BZ247" s="60">
        <f t="shared" si="1895"/>
        <v>2.6961177845995915E-4</v>
      </c>
      <c r="CA247" s="60">
        <f t="shared" si="1896"/>
        <v>2.4845821524270131E-5</v>
      </c>
      <c r="CB247" s="60">
        <f t="shared" si="1897"/>
        <v>7.6922048062755818E-8</v>
      </c>
      <c r="CC247" s="60">
        <f t="shared" si="1898"/>
        <v>1.0153710344283768E-5</v>
      </c>
      <c r="CD247" s="60">
        <f t="shared" si="1899"/>
        <v>2.1615095505634385E-5</v>
      </c>
      <c r="CE247" s="60">
        <f t="shared" si="1900"/>
        <v>5.8922288816070963E-5</v>
      </c>
      <c r="CF247" s="13">
        <f t="shared" si="1901"/>
        <v>1.0615242632660304E-5</v>
      </c>
    </row>
    <row r="248" spans="1:85" hidden="1" x14ac:dyDescent="0.25">
      <c r="A248" s="4" t="s">
        <v>2</v>
      </c>
      <c r="B248" s="56">
        <v>2862216.4853526298</v>
      </c>
      <c r="C248" s="57">
        <v>5170</v>
      </c>
      <c r="D248" s="57">
        <v>791</v>
      </c>
      <c r="E248" s="57">
        <v>38</v>
      </c>
      <c r="F248" s="57">
        <v>151</v>
      </c>
      <c r="G248" s="57">
        <v>387</v>
      </c>
      <c r="H248" s="57">
        <v>4424</v>
      </c>
      <c r="I248" s="57">
        <v>1783</v>
      </c>
      <c r="J248" s="57">
        <v>1078</v>
      </c>
      <c r="K248" s="57">
        <v>502</v>
      </c>
      <c r="L248" s="57">
        <v>1450</v>
      </c>
      <c r="M248" s="57">
        <v>0</v>
      </c>
      <c r="N248" s="57">
        <v>427</v>
      </c>
      <c r="O248" s="57">
        <v>247</v>
      </c>
      <c r="P248" s="57">
        <v>130</v>
      </c>
      <c r="Q248" s="57">
        <v>206</v>
      </c>
      <c r="S248" s="4">
        <f t="shared" si="1879"/>
        <v>1996</v>
      </c>
      <c r="T248" s="4" t="str">
        <f t="shared" si="1880"/>
        <v>45-64</v>
      </c>
      <c r="U248" s="56">
        <f t="shared" si="1881"/>
        <v>2862216.4853526298</v>
      </c>
      <c r="V248" s="4">
        <f t="shared" si="1882"/>
        <v>5170</v>
      </c>
      <c r="W248" s="4">
        <f t="shared" si="1823"/>
        <v>791</v>
      </c>
      <c r="X248" s="4">
        <f t="shared" si="1824"/>
        <v>38</v>
      </c>
      <c r="Y248" s="4">
        <f t="shared" si="1825"/>
        <v>151</v>
      </c>
      <c r="Z248" s="4">
        <f t="shared" si="1826"/>
        <v>387</v>
      </c>
      <c r="AA248" s="4">
        <f t="shared" si="1827"/>
        <v>4424</v>
      </c>
      <c r="AB248" s="4">
        <f t="shared" si="1828"/>
        <v>1783</v>
      </c>
      <c r="AC248" s="4">
        <f t="shared" si="1829"/>
        <v>1078</v>
      </c>
      <c r="AD248" s="4">
        <f t="shared" si="1830"/>
        <v>502</v>
      </c>
      <c r="AE248" s="4">
        <f t="shared" si="1831"/>
        <v>1450</v>
      </c>
      <c r="AF248" s="4">
        <f t="shared" si="1832"/>
        <v>0</v>
      </c>
      <c r="AG248" s="4">
        <f t="shared" si="1833"/>
        <v>427</v>
      </c>
      <c r="AH248" s="4">
        <f t="shared" si="1834"/>
        <v>247</v>
      </c>
      <c r="AI248" s="4">
        <f t="shared" si="1835"/>
        <v>130</v>
      </c>
      <c r="AJ248" s="4">
        <f t="shared" si="1836"/>
        <v>206</v>
      </c>
      <c r="AK248" s="4">
        <f t="shared" si="1883"/>
        <v>16784</v>
      </c>
      <c r="AL248" s="58">
        <f t="shared" si="1884"/>
        <v>1.8062924403019248E-3</v>
      </c>
      <c r="AM248" s="58">
        <f t="shared" si="1837"/>
        <v>2.7635924957037186E-4</v>
      </c>
      <c r="AN248" s="58">
        <f t="shared" si="1838"/>
        <v>1.3276424126010279E-5</v>
      </c>
      <c r="AO248" s="58">
        <f t="shared" si="1839"/>
        <v>5.2756316921777688E-5</v>
      </c>
      <c r="AP248" s="58">
        <f t="shared" si="1840"/>
        <v>1.3520989833594679E-4</v>
      </c>
      <c r="AQ248" s="58">
        <f t="shared" si="1841"/>
        <v>1.5456552719334072E-3</v>
      </c>
      <c r="AR248" s="58">
        <f t="shared" si="1842"/>
        <v>6.229437951756928E-4</v>
      </c>
      <c r="AS248" s="58">
        <f t="shared" si="1843"/>
        <v>3.7663118967997582E-4</v>
      </c>
      <c r="AT248" s="58">
        <f t="shared" si="1844"/>
        <v>1.7538855029624104E-4</v>
      </c>
      <c r="AU248" s="58">
        <f t="shared" si="1845"/>
        <v>5.0660039428197118E-4</v>
      </c>
      <c r="AV248" s="58">
        <f t="shared" si="1846"/>
        <v>0</v>
      </c>
      <c r="AW248" s="58">
        <f t="shared" si="1847"/>
        <v>1.4918508162648392E-4</v>
      </c>
      <c r="AX248" s="58">
        <f t="shared" si="1848"/>
        <v>8.6296756819066809E-5</v>
      </c>
      <c r="AY248" s="58">
        <f t="shared" si="1849"/>
        <v>4.541934569424569E-5</v>
      </c>
      <c r="AZ248" s="58">
        <f t="shared" si="1850"/>
        <v>7.1972193946266255E-5</v>
      </c>
      <c r="BA248" s="58">
        <f t="shared" si="1885"/>
        <v>5.8639869087093819E-3</v>
      </c>
      <c r="BB248" s="4">
        <f t="shared" si="1886"/>
        <v>2853824.4853526298</v>
      </c>
      <c r="BC248" s="59">
        <f t="shared" si="1851"/>
        <v>1.8116040515228724E-3</v>
      </c>
      <c r="BD248" s="59">
        <f t="shared" si="1887"/>
        <v>2.7717191581326728E-4</v>
      </c>
      <c r="BE248" s="59">
        <f t="shared" si="1852"/>
        <v>1.3315464982179718E-5</v>
      </c>
      <c r="BF248" s="59">
        <f t="shared" si="1853"/>
        <v>5.2911452955503619E-5</v>
      </c>
      <c r="BG248" s="59">
        <f t="shared" si="1854"/>
        <v>1.3560749863430398E-4</v>
      </c>
      <c r="BH248" s="59">
        <f t="shared" si="1855"/>
        <v>1.5502004495042915E-3</v>
      </c>
      <c r="BI248" s="59">
        <f t="shared" si="1856"/>
        <v>6.2477563324280102E-4</v>
      </c>
      <c r="BJ248" s="59">
        <f t="shared" si="1857"/>
        <v>3.7773871712604574E-4</v>
      </c>
      <c r="BK248" s="59">
        <f t="shared" si="1858"/>
        <v>1.7590430055405837E-4</v>
      </c>
      <c r="BL248" s="59">
        <f t="shared" si="1859"/>
        <v>5.0809011116212085E-4</v>
      </c>
      <c r="BM248" s="59">
        <f t="shared" si="1860"/>
        <v>0</v>
      </c>
      <c r="BN248" s="59">
        <f t="shared" si="1861"/>
        <v>1.4962377756291422E-4</v>
      </c>
      <c r="BO248" s="59">
        <f t="shared" si="1902"/>
        <v>8.6550522384168166E-5</v>
      </c>
      <c r="BP248" s="59">
        <f t="shared" si="1863"/>
        <v>4.5552906517983245E-5</v>
      </c>
      <c r="BQ248" s="59">
        <f t="shared" si="1864"/>
        <v>7.2183836482342698E-5</v>
      </c>
      <c r="BR248" s="60">
        <f t="shared" si="1903"/>
        <v>1.1241288059325809E-3</v>
      </c>
      <c r="BS248" s="60">
        <f t="shared" si="1888"/>
        <v>1.8482179901735361E-4</v>
      </c>
      <c r="BT248" s="60">
        <f t="shared" si="1889"/>
        <v>2.3059052429386273E-5</v>
      </c>
      <c r="BU248" s="60">
        <f t="shared" si="1890"/>
        <v>3.7732994884450265E-5</v>
      </c>
      <c r="BV248" s="60">
        <f t="shared" si="1891"/>
        <v>1.0813298071053108E-4</v>
      </c>
      <c r="BW248" s="60">
        <f t="shared" si="1892"/>
        <v>1.0757397337890959E-3</v>
      </c>
      <c r="BX248" s="60">
        <f t="shared" si="1893"/>
        <v>4.0178651960294265E-4</v>
      </c>
      <c r="BY248" s="60">
        <f t="shared" si="1894"/>
        <v>6.0634826501817997E-4</v>
      </c>
      <c r="BZ248" s="60">
        <f t="shared" si="1895"/>
        <v>4.0405748688765491E-4</v>
      </c>
      <c r="CA248" s="60">
        <f t="shared" si="1896"/>
        <v>3.0081582032881184E-4</v>
      </c>
      <c r="CB248" s="60">
        <f t="shared" si="1897"/>
        <v>1.746897911317142E-7</v>
      </c>
      <c r="CC248" s="60">
        <f t="shared" si="1898"/>
        <v>9.1886830135281663E-5</v>
      </c>
      <c r="CD248" s="60">
        <f t="shared" si="1899"/>
        <v>7.6514128515690812E-5</v>
      </c>
      <c r="CE248" s="60">
        <f t="shared" si="1900"/>
        <v>1.4831163267082535E-4</v>
      </c>
      <c r="CF248" s="13">
        <f t="shared" si="1901"/>
        <v>5.5376663788753401E-5</v>
      </c>
    </row>
    <row r="249" spans="1:85" hidden="1" x14ac:dyDescent="0.25">
      <c r="A249" s="4" t="s">
        <v>1</v>
      </c>
      <c r="B249" s="56">
        <v>710343.28776711202</v>
      </c>
      <c r="C249" s="57">
        <v>5212</v>
      </c>
      <c r="D249" s="57">
        <v>406</v>
      </c>
      <c r="E249" s="57">
        <v>24</v>
      </c>
      <c r="F249" s="57">
        <v>146</v>
      </c>
      <c r="G249" s="57">
        <v>319</v>
      </c>
      <c r="H249" s="57">
        <v>3335</v>
      </c>
      <c r="I249" s="57">
        <v>1780</v>
      </c>
      <c r="J249" s="57">
        <v>380</v>
      </c>
      <c r="K249" s="57">
        <v>125</v>
      </c>
      <c r="L249" s="57">
        <v>1343</v>
      </c>
      <c r="M249" s="57">
        <v>0</v>
      </c>
      <c r="N249" s="57">
        <v>576</v>
      </c>
      <c r="O249" s="57">
        <v>226</v>
      </c>
      <c r="P249" s="57">
        <v>5</v>
      </c>
      <c r="Q249" s="57">
        <v>161</v>
      </c>
      <c r="S249" s="4">
        <f t="shared" si="1879"/>
        <v>1996</v>
      </c>
      <c r="T249" s="4" t="str">
        <f t="shared" si="1880"/>
        <v>65-74</v>
      </c>
      <c r="U249" s="56">
        <f t="shared" si="1881"/>
        <v>710343.28776711202</v>
      </c>
      <c r="V249" s="4">
        <f t="shared" si="1882"/>
        <v>5212</v>
      </c>
      <c r="W249" s="4">
        <f t="shared" si="1823"/>
        <v>406</v>
      </c>
      <c r="X249" s="4">
        <f t="shared" si="1824"/>
        <v>24</v>
      </c>
      <c r="Y249" s="4">
        <f t="shared" si="1825"/>
        <v>146</v>
      </c>
      <c r="Z249" s="4">
        <f t="shared" si="1826"/>
        <v>319</v>
      </c>
      <c r="AA249" s="4">
        <f t="shared" si="1827"/>
        <v>3335</v>
      </c>
      <c r="AB249" s="4">
        <f t="shared" si="1828"/>
        <v>1780</v>
      </c>
      <c r="AC249" s="4">
        <f t="shared" si="1829"/>
        <v>380</v>
      </c>
      <c r="AD249" s="4">
        <f t="shared" si="1830"/>
        <v>125</v>
      </c>
      <c r="AE249" s="4">
        <f t="shared" si="1831"/>
        <v>1343</v>
      </c>
      <c r="AF249" s="4">
        <f t="shared" si="1832"/>
        <v>0</v>
      </c>
      <c r="AG249" s="4">
        <f t="shared" si="1833"/>
        <v>576</v>
      </c>
      <c r="AH249" s="4">
        <f t="shared" si="1834"/>
        <v>226</v>
      </c>
      <c r="AI249" s="4">
        <f t="shared" si="1835"/>
        <v>5</v>
      </c>
      <c r="AJ249" s="4">
        <f t="shared" si="1836"/>
        <v>161</v>
      </c>
      <c r="AK249" s="4">
        <f t="shared" si="1883"/>
        <v>14038</v>
      </c>
      <c r="AL249" s="58">
        <f t="shared" si="1884"/>
        <v>7.3372974585053981E-3</v>
      </c>
      <c r="AM249" s="58">
        <f t="shared" si="1837"/>
        <v>5.7155463702095004E-4</v>
      </c>
      <c r="AN249" s="58">
        <f t="shared" si="1838"/>
        <v>3.3786481006164537E-5</v>
      </c>
      <c r="AO249" s="58">
        <f t="shared" si="1839"/>
        <v>2.0553442612083426E-4</v>
      </c>
      <c r="AP249" s="58">
        <f t="shared" si="1840"/>
        <v>4.4907864337360363E-4</v>
      </c>
      <c r="AQ249" s="58">
        <f t="shared" si="1841"/>
        <v>4.6949130898149474E-3</v>
      </c>
      <c r="AR249" s="58">
        <f t="shared" si="1842"/>
        <v>2.5058306746238699E-3</v>
      </c>
      <c r="AS249" s="58">
        <f t="shared" si="1843"/>
        <v>5.3495261593093852E-4</v>
      </c>
      <c r="AT249" s="58">
        <f t="shared" si="1844"/>
        <v>1.759712552404403E-4</v>
      </c>
      <c r="AU249" s="58">
        <f t="shared" si="1845"/>
        <v>1.8906351663032905E-3</v>
      </c>
      <c r="AV249" s="58">
        <f t="shared" si="1846"/>
        <v>0</v>
      </c>
      <c r="AW249" s="58">
        <f t="shared" si="1847"/>
        <v>8.1087554414794889E-4</v>
      </c>
      <c r="AX249" s="58">
        <f t="shared" si="1848"/>
        <v>3.1815602947471606E-4</v>
      </c>
      <c r="AY249" s="58">
        <f t="shared" si="1849"/>
        <v>7.0388502096176121E-6</v>
      </c>
      <c r="AZ249" s="58">
        <f t="shared" si="1850"/>
        <v>2.2665097674968711E-4</v>
      </c>
      <c r="BA249" s="58">
        <f t="shared" si="1885"/>
        <v>1.9762275848522408E-2</v>
      </c>
      <c r="BB249" s="4">
        <f t="shared" si="1886"/>
        <v>703324.28776711202</v>
      </c>
      <c r="BC249" s="59">
        <f t="shared" si="1851"/>
        <v>7.4105218469660197E-3</v>
      </c>
      <c r="BD249" s="59">
        <f t="shared" si="1887"/>
        <v>5.772586089539916E-4</v>
      </c>
      <c r="BE249" s="59">
        <f t="shared" si="1852"/>
        <v>3.4123661613043836E-5</v>
      </c>
      <c r="BF249" s="59">
        <f t="shared" si="1853"/>
        <v>2.0758560814601668E-4</v>
      </c>
      <c r="BG249" s="59">
        <f t="shared" si="1854"/>
        <v>4.5356033560670767E-4</v>
      </c>
      <c r="BH249" s="59">
        <f t="shared" si="1855"/>
        <v>4.741767144979217E-3</v>
      </c>
      <c r="BI249" s="59">
        <f t="shared" si="1856"/>
        <v>2.5308382363007516E-3</v>
      </c>
      <c r="BJ249" s="59">
        <f t="shared" si="1857"/>
        <v>5.4029130887319409E-4</v>
      </c>
      <c r="BK249" s="59">
        <f t="shared" si="1858"/>
        <v>1.7772740423460334E-4</v>
      </c>
      <c r="BL249" s="59">
        <f t="shared" si="1859"/>
        <v>1.909503231096578E-3</v>
      </c>
      <c r="BM249" s="59">
        <f t="shared" si="1860"/>
        <v>0</v>
      </c>
      <c r="BN249" s="59">
        <f t="shared" si="1861"/>
        <v>8.1896787871305217E-4</v>
      </c>
      <c r="BO249" s="59">
        <f t="shared" si="1902"/>
        <v>3.2133114685616281E-4</v>
      </c>
      <c r="BP249" s="59">
        <f t="shared" si="1863"/>
        <v>7.1090961693841331E-6</v>
      </c>
      <c r="BQ249" s="59">
        <f t="shared" si="1864"/>
        <v>2.2891289665416908E-4</v>
      </c>
      <c r="BR249" s="60">
        <f t="shared" si="1903"/>
        <v>7.3077342876250043E-3</v>
      </c>
      <c r="BS249" s="60">
        <f t="shared" si="1888"/>
        <v>8.4255037009122813E-4</v>
      </c>
      <c r="BT249" s="60">
        <f t="shared" si="1889"/>
        <v>4.3640871299629196E-5</v>
      </c>
      <c r="BU249" s="60">
        <f t="shared" si="1890"/>
        <v>2.0905385122564307E-4</v>
      </c>
      <c r="BV249" s="60">
        <f t="shared" si="1891"/>
        <v>4.969428247990034E-4</v>
      </c>
      <c r="BW249" s="60">
        <f t="shared" si="1892"/>
        <v>5.461443877642305E-3</v>
      </c>
      <c r="BX249" s="60">
        <f t="shared" si="1893"/>
        <v>2.5079423296867549E-3</v>
      </c>
      <c r="BY249" s="60">
        <f t="shared" si="1894"/>
        <v>1.0262643605622478E-3</v>
      </c>
      <c r="BZ249" s="60">
        <f t="shared" si="1895"/>
        <v>4.4133590814302427E-4</v>
      </c>
      <c r="CA249" s="60">
        <f t="shared" si="1896"/>
        <v>1.9659508635461991E-3</v>
      </c>
      <c r="CB249" s="60">
        <f t="shared" si="1897"/>
        <v>0</v>
      </c>
      <c r="CC249" s="60">
        <f t="shared" si="1898"/>
        <v>7.0599667602464649E-4</v>
      </c>
      <c r="CD249" s="60">
        <f t="shared" si="1899"/>
        <v>3.3293761491491304E-4</v>
      </c>
      <c r="CE249" s="60">
        <f t="shared" si="1900"/>
        <v>9.5024477829837753E-5</v>
      </c>
      <c r="CF249" s="13">
        <f t="shared" si="1901"/>
        <v>2.5832580269296635E-4</v>
      </c>
    </row>
    <row r="250" spans="1:85" hidden="1" x14ac:dyDescent="0.25">
      <c r="A250" s="4" t="s">
        <v>0</v>
      </c>
      <c r="B250" s="56">
        <v>710343.28776711202</v>
      </c>
      <c r="C250" s="57">
        <v>9429</v>
      </c>
      <c r="D250" s="57">
        <v>279</v>
      </c>
      <c r="E250" s="57">
        <v>22</v>
      </c>
      <c r="F250" s="57">
        <v>432</v>
      </c>
      <c r="G250" s="57">
        <v>397</v>
      </c>
      <c r="H250" s="57">
        <v>3401</v>
      </c>
      <c r="I250" s="57">
        <v>3442</v>
      </c>
      <c r="J250" s="57">
        <v>534</v>
      </c>
      <c r="K250" s="57">
        <v>68</v>
      </c>
      <c r="L250" s="57">
        <v>1306</v>
      </c>
      <c r="M250" s="57">
        <v>14</v>
      </c>
      <c r="N250" s="57">
        <v>1141</v>
      </c>
      <c r="O250" s="57">
        <v>974</v>
      </c>
      <c r="P250" s="57">
        <v>7</v>
      </c>
      <c r="Q250" s="57">
        <v>178</v>
      </c>
      <c r="S250" s="4">
        <f t="shared" si="1879"/>
        <v>1996</v>
      </c>
      <c r="T250" s="4" t="str">
        <f t="shared" si="1880"/>
        <v>75+</v>
      </c>
      <c r="U250" s="56">
        <f t="shared" si="1881"/>
        <v>710343.28776711202</v>
      </c>
      <c r="V250" s="4">
        <f t="shared" si="1882"/>
        <v>9429</v>
      </c>
      <c r="W250" s="4">
        <f t="shared" si="1823"/>
        <v>279</v>
      </c>
      <c r="X250" s="4">
        <f t="shared" si="1824"/>
        <v>22</v>
      </c>
      <c r="Y250" s="4">
        <f t="shared" si="1825"/>
        <v>432</v>
      </c>
      <c r="Z250" s="4">
        <f t="shared" si="1826"/>
        <v>397</v>
      </c>
      <c r="AA250" s="4">
        <f t="shared" si="1827"/>
        <v>3401</v>
      </c>
      <c r="AB250" s="4">
        <f t="shared" si="1828"/>
        <v>3442</v>
      </c>
      <c r="AC250" s="4">
        <f t="shared" si="1829"/>
        <v>534</v>
      </c>
      <c r="AD250" s="4">
        <f t="shared" si="1830"/>
        <v>68</v>
      </c>
      <c r="AE250" s="4">
        <f t="shared" si="1831"/>
        <v>1306</v>
      </c>
      <c r="AF250" s="4">
        <f t="shared" si="1832"/>
        <v>14</v>
      </c>
      <c r="AG250" s="4">
        <f t="shared" si="1833"/>
        <v>1141</v>
      </c>
      <c r="AH250" s="4">
        <f t="shared" si="1834"/>
        <v>974</v>
      </c>
      <c r="AI250" s="4">
        <f t="shared" si="1835"/>
        <v>7</v>
      </c>
      <c r="AJ250" s="4">
        <f t="shared" si="1836"/>
        <v>178</v>
      </c>
      <c r="AK250" s="4">
        <f t="shared" si="1883"/>
        <v>21624</v>
      </c>
      <c r="AL250" s="58">
        <f t="shared" si="1884"/>
        <v>1.3273863725296892E-2</v>
      </c>
      <c r="AM250" s="58">
        <f t="shared" si="1837"/>
        <v>3.9276784169666276E-4</v>
      </c>
      <c r="AN250" s="58">
        <f t="shared" si="1838"/>
        <v>3.0970940922317494E-5</v>
      </c>
      <c r="AO250" s="58">
        <f t="shared" si="1839"/>
        <v>6.0815665811096166E-4</v>
      </c>
      <c r="AP250" s="58">
        <f t="shared" si="1840"/>
        <v>5.588847066436384E-4</v>
      </c>
      <c r="AQ250" s="58">
        <f t="shared" si="1841"/>
        <v>4.7878259125818997E-3</v>
      </c>
      <c r="AR250" s="58">
        <f t="shared" si="1842"/>
        <v>4.8455444843007638E-3</v>
      </c>
      <c r="AS250" s="58">
        <f t="shared" si="1843"/>
        <v>7.5174920238716097E-4</v>
      </c>
      <c r="AT250" s="58">
        <f t="shared" si="1844"/>
        <v>9.5728362850799526E-5</v>
      </c>
      <c r="AU250" s="58">
        <f t="shared" si="1845"/>
        <v>1.8385476747521201E-3</v>
      </c>
      <c r="AV250" s="58">
        <f t="shared" si="1846"/>
        <v>1.9708780586929314E-5</v>
      </c>
      <c r="AW250" s="58">
        <f t="shared" si="1847"/>
        <v>1.606265617834739E-3</v>
      </c>
      <c r="AX250" s="58">
        <f t="shared" si="1848"/>
        <v>1.3711680208335108E-3</v>
      </c>
      <c r="AY250" s="58">
        <f t="shared" si="1849"/>
        <v>9.8543902934646572E-6</v>
      </c>
      <c r="AZ250" s="58">
        <f t="shared" si="1850"/>
        <v>2.5058306746238699E-4</v>
      </c>
      <c r="BA250" s="58">
        <f t="shared" si="1885"/>
        <v>3.0441619386554247E-2</v>
      </c>
      <c r="BB250" s="4">
        <f t="shared" si="1886"/>
        <v>699531.28776711202</v>
      </c>
      <c r="BC250" s="59">
        <f t="shared" si="1851"/>
        <v>1.3479025405850185E-2</v>
      </c>
      <c r="BD250" s="59">
        <f t="shared" si="1887"/>
        <v>3.9883848639645793E-4</v>
      </c>
      <c r="BE250" s="59">
        <f t="shared" si="1852"/>
        <v>3.1449629751692027E-5</v>
      </c>
      <c r="BF250" s="59">
        <f t="shared" si="1853"/>
        <v>6.1755636603322511E-4</v>
      </c>
      <c r="BG250" s="59">
        <f t="shared" si="1854"/>
        <v>5.6752286415553336E-4</v>
      </c>
      <c r="BH250" s="59">
        <f t="shared" si="1855"/>
        <v>4.8618268538865713E-3</v>
      </c>
      <c r="BI250" s="59">
        <f t="shared" si="1856"/>
        <v>4.9204375275147243E-3</v>
      </c>
      <c r="BJ250" s="59">
        <f t="shared" si="1857"/>
        <v>7.6336828579107001E-4</v>
      </c>
      <c r="BK250" s="59">
        <f t="shared" si="1858"/>
        <v>9.7207946505229885E-5</v>
      </c>
      <c r="BL250" s="59">
        <f t="shared" si="1859"/>
        <v>1.8669643843504445E-3</v>
      </c>
      <c r="BM250" s="59">
        <f t="shared" si="1860"/>
        <v>2.0013400751076742E-5</v>
      </c>
      <c r="BN250" s="59">
        <f t="shared" si="1861"/>
        <v>1.6310921612127545E-3</v>
      </c>
      <c r="BO250" s="59">
        <f t="shared" si="1902"/>
        <v>1.3923608808249104E-3</v>
      </c>
      <c r="BP250" s="59">
        <f t="shared" si="1863"/>
        <v>1.0006700375538371E-5</v>
      </c>
      <c r="BQ250" s="59">
        <f t="shared" si="1864"/>
        <v>2.5445609526369002E-4</v>
      </c>
      <c r="BR250" s="60">
        <f t="shared" si="1903"/>
        <v>1.0305580591901146E-2</v>
      </c>
      <c r="BS250" s="60">
        <f t="shared" si="1888"/>
        <v>4.8216123935880642E-4</v>
      </c>
      <c r="BT250" s="60">
        <f t="shared" si="1889"/>
        <v>3.2378710964241012E-5</v>
      </c>
      <c r="BU250" s="60">
        <f t="shared" si="1890"/>
        <v>4.0684554211589799E-4</v>
      </c>
      <c r="BV250" s="60">
        <f t="shared" si="1891"/>
        <v>5.0398167500862096E-4</v>
      </c>
      <c r="BW250" s="60">
        <f t="shared" si="1892"/>
        <v>4.7413695011984235E-3</v>
      </c>
      <c r="BX250" s="60">
        <f t="shared" si="1893"/>
        <v>3.6756875794623171E-3</v>
      </c>
      <c r="BY250" s="60">
        <f t="shared" si="1894"/>
        <v>6.4335090915904969E-4</v>
      </c>
      <c r="BZ250" s="60">
        <f t="shared" si="1895"/>
        <v>1.3584980904561992E-4</v>
      </c>
      <c r="CA250" s="60">
        <f t="shared" si="1896"/>
        <v>1.8645914205277054E-3</v>
      </c>
      <c r="CB250" s="60">
        <f t="shared" si="1897"/>
        <v>9.8543902934646572E-6</v>
      </c>
      <c r="CC250" s="60">
        <f t="shared" si="1898"/>
        <v>1.208570580991344E-3</v>
      </c>
      <c r="CD250" s="60">
        <f t="shared" si="1899"/>
        <v>8.4466202515411342E-4</v>
      </c>
      <c r="CE250" s="60">
        <f t="shared" si="1900"/>
        <v>8.4466202515411342E-6</v>
      </c>
      <c r="CF250" s="13">
        <f t="shared" si="1901"/>
        <v>2.3861702210603705E-4</v>
      </c>
    </row>
    <row r="251" spans="1:85" hidden="1" x14ac:dyDescent="0.25">
      <c r="C251" s="4"/>
    </row>
    <row r="252" spans="1:85" hidden="1" x14ac:dyDescent="0.25">
      <c r="C252" s="4"/>
    </row>
    <row r="253" spans="1:85" hidden="1" x14ac:dyDescent="0.25">
      <c r="A253" s="4" t="s">
        <v>23</v>
      </c>
      <c r="B253" s="61">
        <v>1996</v>
      </c>
    </row>
    <row r="254" spans="1:85" hidden="1" x14ac:dyDescent="0.25"/>
    <row r="255" spans="1:85" s="21" customFormat="1" ht="23.25" hidden="1" customHeight="1" x14ac:dyDescent="0.25">
      <c r="A255" s="62" t="s">
        <v>46</v>
      </c>
      <c r="B255" s="62"/>
      <c r="C255" s="4" t="s">
        <v>35</v>
      </c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  <c r="BT255" s="62"/>
      <c r="BU255" s="62"/>
      <c r="BV255" s="62"/>
      <c r="BW255" s="62"/>
      <c r="BX255" s="62"/>
      <c r="BY255" s="62"/>
      <c r="BZ255" s="62"/>
      <c r="CA255" s="62"/>
      <c r="CB255" s="62"/>
      <c r="CC255" s="62"/>
      <c r="CD255" s="62"/>
      <c r="CE255" s="62"/>
    </row>
    <row r="256" spans="1:85" s="37" customFormat="1" ht="33" hidden="1" customHeight="1" x14ac:dyDescent="0.25">
      <c r="A256" s="63" t="s">
        <v>22</v>
      </c>
      <c r="B256" s="64" t="s">
        <v>24</v>
      </c>
      <c r="C256" s="64">
        <v>1</v>
      </c>
      <c r="D256" s="64">
        <v>10</v>
      </c>
      <c r="E256" s="64">
        <v>11</v>
      </c>
      <c r="F256" s="64">
        <v>12</v>
      </c>
      <c r="G256" s="64">
        <v>13</v>
      </c>
      <c r="H256" s="64">
        <v>2</v>
      </c>
      <c r="I256" s="64">
        <v>3</v>
      </c>
      <c r="J256" s="64">
        <v>4</v>
      </c>
      <c r="K256" s="64">
        <v>5</v>
      </c>
      <c r="L256" s="64">
        <v>6</v>
      </c>
      <c r="M256" s="64">
        <v>7</v>
      </c>
      <c r="N256" s="64">
        <v>8</v>
      </c>
      <c r="O256" s="64">
        <v>9</v>
      </c>
      <c r="P256" s="64">
        <v>14</v>
      </c>
      <c r="Q256" s="64">
        <v>15</v>
      </c>
      <c r="R256" s="64"/>
      <c r="S256" s="65" t="s">
        <v>23</v>
      </c>
      <c r="T256" s="65" t="s">
        <v>22</v>
      </c>
      <c r="U256" s="65" t="s">
        <v>181</v>
      </c>
      <c r="V256" s="66" t="str">
        <f>+CONCATENATE("dx","(",C256,")")</f>
        <v>dx(1)</v>
      </c>
      <c r="W256" s="66" t="str">
        <f t="shared" ref="W256" si="1904">+CONCATENATE("dx","(",D256,")")</f>
        <v>dx(10)</v>
      </c>
      <c r="X256" s="66" t="str">
        <f t="shared" ref="X256" si="1905">+CONCATENATE("dx","(",E256,")")</f>
        <v>dx(11)</v>
      </c>
      <c r="Y256" s="66" t="str">
        <f t="shared" ref="Y256" si="1906">+CONCATENATE("dx","(",F256,")")</f>
        <v>dx(12)</v>
      </c>
      <c r="Z256" s="66" t="str">
        <f t="shared" ref="Z256" si="1907">+CONCATENATE("dx","(",G256,")")</f>
        <v>dx(13)</v>
      </c>
      <c r="AA256" s="66" t="str">
        <f t="shared" ref="AA256" si="1908">+CONCATENATE("dx","(",H256,")")</f>
        <v>dx(2)</v>
      </c>
      <c r="AB256" s="66" t="str">
        <f t="shared" ref="AB256" si="1909">+CONCATENATE("dx","(",I256,")")</f>
        <v>dx(3)</v>
      </c>
      <c r="AC256" s="66" t="str">
        <f t="shared" ref="AC256" si="1910">+CONCATENATE("dx","(",J256,")")</f>
        <v>dx(4)</v>
      </c>
      <c r="AD256" s="66" t="str">
        <f t="shared" ref="AD256" si="1911">+CONCATENATE("dx","(",K256,")")</f>
        <v>dx(5)</v>
      </c>
      <c r="AE256" s="66" t="str">
        <f t="shared" ref="AE256" si="1912">+CONCATENATE("dx","(",L256,")")</f>
        <v>dx(6)</v>
      </c>
      <c r="AF256" s="66" t="str">
        <f t="shared" ref="AF256" si="1913">+CONCATENATE("dx","(",M256,")")</f>
        <v>dx(7)</v>
      </c>
      <c r="AG256" s="66" t="str">
        <f t="shared" ref="AG256" si="1914">+CONCATENATE("dx","(",N256,")")</f>
        <v>dx(8)</v>
      </c>
      <c r="AH256" s="66" t="str">
        <f t="shared" ref="AH256" si="1915">+CONCATENATE("dx","(",O256,")")</f>
        <v>dx(9)</v>
      </c>
      <c r="AI256" s="66" t="str">
        <f t="shared" ref="AI256" si="1916">+CONCATENATE("dx","(",P256,")")</f>
        <v>dx(14)</v>
      </c>
      <c r="AJ256" s="66" t="str">
        <f t="shared" ref="AJ256" si="1917">+CONCATENATE("dx","(",Q256,")")</f>
        <v>dx(15)</v>
      </c>
      <c r="AK256" s="66" t="s">
        <v>182</v>
      </c>
      <c r="AL256" s="66" t="str">
        <f t="shared" ref="AL256:AZ256" si="1918">+CONCATENATE("qx","(",C256,")")</f>
        <v>qx(1)</v>
      </c>
      <c r="AM256" s="66" t="str">
        <f t="shared" si="1918"/>
        <v>qx(10)</v>
      </c>
      <c r="AN256" s="66" t="str">
        <f t="shared" si="1918"/>
        <v>qx(11)</v>
      </c>
      <c r="AO256" s="66" t="str">
        <f t="shared" si="1918"/>
        <v>qx(12)</v>
      </c>
      <c r="AP256" s="66" t="str">
        <f t="shared" si="1918"/>
        <v>qx(13)</v>
      </c>
      <c r="AQ256" s="66" t="str">
        <f t="shared" si="1918"/>
        <v>qx(2)</v>
      </c>
      <c r="AR256" s="66" t="str">
        <f t="shared" si="1918"/>
        <v>qx(3)</v>
      </c>
      <c r="AS256" s="66" t="str">
        <f t="shared" si="1918"/>
        <v>qx(4)</v>
      </c>
      <c r="AT256" s="66" t="str">
        <f t="shared" si="1918"/>
        <v>qx(5)</v>
      </c>
      <c r="AU256" s="66" t="str">
        <f t="shared" si="1918"/>
        <v>qx(6)</v>
      </c>
      <c r="AV256" s="66" t="str">
        <f t="shared" si="1918"/>
        <v>qx(7)</v>
      </c>
      <c r="AW256" s="66" t="str">
        <f t="shared" si="1918"/>
        <v>qx(8)</v>
      </c>
      <c r="AX256" s="66" t="str">
        <f t="shared" si="1918"/>
        <v>qx(9)</v>
      </c>
      <c r="AY256" s="66" t="str">
        <f t="shared" si="1918"/>
        <v>qx(14)</v>
      </c>
      <c r="AZ256" s="66" t="str">
        <f t="shared" si="1918"/>
        <v>qx(15)</v>
      </c>
      <c r="BA256" s="66" t="str">
        <f>+CONCATENATE("qx","(T)")</f>
        <v>qx(T)</v>
      </c>
      <c r="BB256" s="65" t="s">
        <v>184</v>
      </c>
      <c r="BC256" s="66" t="str">
        <f t="shared" ref="BC256:BQ256" si="1919">+CONCATENATE("mx","(",C256,")")</f>
        <v>mx(1)</v>
      </c>
      <c r="BD256" s="66" t="str">
        <f t="shared" si="1919"/>
        <v>mx(10)</v>
      </c>
      <c r="BE256" s="66" t="str">
        <f t="shared" si="1919"/>
        <v>mx(11)</v>
      </c>
      <c r="BF256" s="66" t="str">
        <f t="shared" si="1919"/>
        <v>mx(12)</v>
      </c>
      <c r="BG256" s="66" t="str">
        <f t="shared" si="1919"/>
        <v>mx(13)</v>
      </c>
      <c r="BH256" s="66" t="str">
        <f t="shared" si="1919"/>
        <v>mx(2)</v>
      </c>
      <c r="BI256" s="66" t="str">
        <f t="shared" si="1919"/>
        <v>mx(3)</v>
      </c>
      <c r="BJ256" s="66" t="str">
        <f t="shared" si="1919"/>
        <v>mx(4)</v>
      </c>
      <c r="BK256" s="66" t="str">
        <f t="shared" si="1919"/>
        <v>mx(5)</v>
      </c>
      <c r="BL256" s="66" t="str">
        <f t="shared" si="1919"/>
        <v>mx(6)</v>
      </c>
      <c r="BM256" s="66" t="str">
        <f t="shared" si="1919"/>
        <v>mx(7)</v>
      </c>
      <c r="BN256" s="66" t="str">
        <f t="shared" si="1919"/>
        <v>mx(8)</v>
      </c>
      <c r="BO256" s="66" t="str">
        <f t="shared" si="1919"/>
        <v>mx(9)</v>
      </c>
      <c r="BP256" s="66" t="str">
        <f t="shared" si="1919"/>
        <v>mx(14)</v>
      </c>
      <c r="BQ256" s="66" t="str">
        <f t="shared" si="1919"/>
        <v>mx(15)</v>
      </c>
      <c r="BR256" s="66" t="str">
        <f>+CONCATENATE("µ(X)",C256)</f>
        <v>µ(X)1</v>
      </c>
      <c r="BS256" s="66" t="str">
        <f t="shared" ref="BS256" si="1920">+CONCATENATE("µ(X)",D256)</f>
        <v>µ(X)10</v>
      </c>
      <c r="BT256" s="66" t="str">
        <f t="shared" ref="BT256" si="1921">+CONCATENATE("µ(X)",E256)</f>
        <v>µ(X)11</v>
      </c>
      <c r="BU256" s="66" t="str">
        <f t="shared" ref="BU256" si="1922">+CONCATENATE("µ(X)",F256)</f>
        <v>µ(X)12</v>
      </c>
      <c r="BV256" s="66" t="str">
        <f t="shared" ref="BV256" si="1923">+CONCATENATE("µ(X)",G256)</f>
        <v>µ(X)13</v>
      </c>
      <c r="BW256" s="66" t="str">
        <f t="shared" ref="BW256" si="1924">+CONCATENATE("µ(X)",H256)</f>
        <v>µ(X)2</v>
      </c>
      <c r="BX256" s="66" t="str">
        <f t="shared" ref="BX256" si="1925">+CONCATENATE("µ(X)",I256)</f>
        <v>µ(X)3</v>
      </c>
      <c r="BY256" s="66" t="str">
        <f t="shared" ref="BY256" si="1926">+CONCATENATE("µ(X)",J256)</f>
        <v>µ(X)4</v>
      </c>
      <c r="BZ256" s="66" t="str">
        <f t="shared" ref="BZ256" si="1927">+CONCATENATE("µ(X)",K256)</f>
        <v>µ(X)5</v>
      </c>
      <c r="CA256" s="66" t="str">
        <f t="shared" ref="CA256" si="1928">+CONCATENATE("µ(X)",L256)</f>
        <v>µ(X)6</v>
      </c>
      <c r="CB256" s="66" t="str">
        <f t="shared" ref="CB256" si="1929">+CONCATENATE("µ(X)",M256)</f>
        <v>µ(X)7</v>
      </c>
      <c r="CC256" s="66" t="str">
        <f t="shared" ref="CC256" si="1930">+CONCATENATE("µ(X)",N256)</f>
        <v>µ(X)8</v>
      </c>
      <c r="CD256" s="66" t="str">
        <f t="shared" ref="CD256" si="1931">+CONCATENATE("µ(X)",O256)</f>
        <v>µ(X)9</v>
      </c>
      <c r="CE256" s="66" t="str">
        <f t="shared" ref="CE256" si="1932">+CONCATENATE("µ(X)",P256)</f>
        <v>µ(X)14</v>
      </c>
      <c r="CF256" s="42" t="str">
        <f t="shared" ref="CF256" si="1933">+CONCATENATE("µ(X)",Q256)</f>
        <v>µ(X)15</v>
      </c>
      <c r="CG256" s="36"/>
    </row>
    <row r="257" spans="1:84" hidden="1" x14ac:dyDescent="0.25">
      <c r="A257" s="4" t="s">
        <v>6</v>
      </c>
      <c r="B257" s="56">
        <v>2669011.0638103201</v>
      </c>
      <c r="C257" s="57">
        <v>82</v>
      </c>
      <c r="D257" s="57">
        <v>35</v>
      </c>
      <c r="E257" s="57">
        <v>1552</v>
      </c>
      <c r="F257" s="57">
        <v>2468</v>
      </c>
      <c r="G257" s="57">
        <v>37</v>
      </c>
      <c r="H257" s="57">
        <v>159</v>
      </c>
      <c r="I257" s="57">
        <v>14</v>
      </c>
      <c r="J257" s="57">
        <v>786</v>
      </c>
      <c r="K257" s="57">
        <v>32</v>
      </c>
      <c r="L257" s="57">
        <v>12</v>
      </c>
      <c r="M257" s="57">
        <v>5626</v>
      </c>
      <c r="N257" s="57">
        <v>114</v>
      </c>
      <c r="O257" s="57">
        <v>877</v>
      </c>
      <c r="P257" s="57">
        <v>21</v>
      </c>
      <c r="Q257" s="57">
        <v>29</v>
      </c>
      <c r="S257" s="4">
        <f>+$B$175</f>
        <v>1996</v>
      </c>
      <c r="T257" s="4" t="str">
        <f>+A257</f>
        <v>0-4</v>
      </c>
      <c r="U257" s="56">
        <f>+B257</f>
        <v>2669011.0638103201</v>
      </c>
      <c r="V257" s="4">
        <f>+C257</f>
        <v>82</v>
      </c>
      <c r="W257" s="4">
        <f t="shared" ref="W257:W263" si="1934">+D257</f>
        <v>35</v>
      </c>
      <c r="X257" s="4">
        <f t="shared" ref="X257:X263" si="1935">+E257</f>
        <v>1552</v>
      </c>
      <c r="Y257" s="4">
        <f t="shared" ref="Y257:Y263" si="1936">+F257</f>
        <v>2468</v>
      </c>
      <c r="Z257" s="4">
        <f t="shared" ref="Z257:Z263" si="1937">+G257</f>
        <v>37</v>
      </c>
      <c r="AA257" s="4">
        <f t="shared" ref="AA257:AA263" si="1938">+H257</f>
        <v>159</v>
      </c>
      <c r="AB257" s="4">
        <f t="shared" ref="AB257:AB263" si="1939">+I257</f>
        <v>14</v>
      </c>
      <c r="AC257" s="4">
        <f t="shared" ref="AC257:AC263" si="1940">+J257</f>
        <v>786</v>
      </c>
      <c r="AD257" s="4">
        <f t="shared" ref="AD257:AD263" si="1941">+K257</f>
        <v>32</v>
      </c>
      <c r="AE257" s="4">
        <f t="shared" ref="AE257:AE263" si="1942">+L257</f>
        <v>12</v>
      </c>
      <c r="AF257" s="4">
        <f t="shared" ref="AF257:AF263" si="1943">+M257</f>
        <v>5626</v>
      </c>
      <c r="AG257" s="4">
        <f t="shared" ref="AG257:AG263" si="1944">+N257</f>
        <v>114</v>
      </c>
      <c r="AH257" s="4">
        <f t="shared" ref="AH257:AH263" si="1945">+O257</f>
        <v>877</v>
      </c>
      <c r="AI257" s="4">
        <f t="shared" ref="AI257:AI263" si="1946">+P257</f>
        <v>21</v>
      </c>
      <c r="AJ257" s="4">
        <f t="shared" ref="AJ257:AJ263" si="1947">+Q257</f>
        <v>29</v>
      </c>
      <c r="AK257" s="4">
        <f>+SUM(V257:AJ257)</f>
        <v>11844</v>
      </c>
      <c r="AL257" s="58">
        <f>+V257/$U257</f>
        <v>3.072298991632338E-5</v>
      </c>
      <c r="AM257" s="58">
        <f t="shared" ref="AM257:AM263" si="1948">+W257/$U257</f>
        <v>1.3113471305747784E-5</v>
      </c>
      <c r="AN257" s="58">
        <f t="shared" ref="AN257:AN263" si="1949">+X257/$U257</f>
        <v>5.8148878475773028E-4</v>
      </c>
      <c r="AO257" s="58">
        <f t="shared" ref="AO257:AO263" si="1950">+Y257/$U257</f>
        <v>9.2468706235958656E-4</v>
      </c>
      <c r="AP257" s="58">
        <f t="shared" ref="AP257:AP263" si="1951">+Z257/$U257</f>
        <v>1.3862812523219085E-5</v>
      </c>
      <c r="AQ257" s="58">
        <f t="shared" ref="AQ257:AQ263" si="1952">+AA257/$U257</f>
        <v>5.9572626788968504E-5</v>
      </c>
      <c r="AR257" s="58">
        <f t="shared" ref="AR257:AR263" si="1953">+AB257/$U257</f>
        <v>5.2453885222991139E-6</v>
      </c>
      <c r="AS257" s="58">
        <f t="shared" ref="AS257:AS263" si="1954">+AC257/$U257</f>
        <v>2.9449109846622164E-4</v>
      </c>
      <c r="AT257" s="58">
        <f t="shared" ref="AT257:AT263" si="1955">+AD257/$U257</f>
        <v>1.1989459479540831E-5</v>
      </c>
      <c r="AU257" s="58">
        <f t="shared" ref="AU257:AU263" si="1956">+AE257/$U257</f>
        <v>4.4960473048278115E-6</v>
      </c>
      <c r="AV257" s="58">
        <f t="shared" ref="AV257:AV263" si="1957">+AF257/$U257</f>
        <v>2.1078968447467723E-3</v>
      </c>
      <c r="AW257" s="58">
        <f t="shared" ref="AW257:AW263" si="1958">+AG257/$U257</f>
        <v>4.2712449395864211E-5</v>
      </c>
      <c r="AX257" s="58">
        <f t="shared" ref="AX257:AX263" si="1959">+AH257/$U257</f>
        <v>3.2858612386116591E-4</v>
      </c>
      <c r="AY257" s="58">
        <f t="shared" ref="AY257:AY263" si="1960">+AI257/$U257</f>
        <v>7.86808278344867E-6</v>
      </c>
      <c r="AZ257" s="58">
        <f t="shared" ref="AZ257:AZ263" si="1961">+AJ257/$U257</f>
        <v>1.0865447653333878E-5</v>
      </c>
      <c r="BA257" s="58">
        <f>+AK257/U257</f>
        <v>4.4375986898650497E-3</v>
      </c>
      <c r="BB257" s="4">
        <f>+U257-(0.5*AK257)</f>
        <v>2663089.0638103201</v>
      </c>
      <c r="BC257" s="59">
        <f t="shared" ref="BC257:BC263" si="1962">+AL257/(1-(0.5*$BA257))</f>
        <v>3.0791309654013318E-5</v>
      </c>
      <c r="BD257" s="59">
        <f>+AM257/(1-(0.5*$BA257))</f>
        <v>1.3142632169395928E-5</v>
      </c>
      <c r="BE257" s="59">
        <f t="shared" ref="BE257:BE263" si="1963">+AN257/(1-(0.5*$BA257))</f>
        <v>5.8278186076864233E-4</v>
      </c>
      <c r="BF257" s="59">
        <f t="shared" ref="BF257:BF263" si="1964">+AO257/(1-(0.5*$BA257))</f>
        <v>9.2674331983054719E-4</v>
      </c>
      <c r="BG257" s="59">
        <f t="shared" ref="BG257:BG263" si="1965">+AP257/(1-(0.5*$BA257))</f>
        <v>1.3893639721932839E-5</v>
      </c>
      <c r="BH257" s="59">
        <f t="shared" ref="BH257:BH263" si="1966">+AQ257/(1-(0.5*$BA257))</f>
        <v>5.9705100426684362E-5</v>
      </c>
      <c r="BI257" s="59">
        <f t="shared" ref="BI257:BI263" si="1967">+AR257/(1-(0.5*$BA257))</f>
        <v>5.2570528677583717E-6</v>
      </c>
      <c r="BJ257" s="59">
        <f t="shared" ref="BJ257:BJ263" si="1968">+AS257/(1-(0.5*$BA257))</f>
        <v>2.9514596814700567E-4</v>
      </c>
      <c r="BK257" s="59">
        <f t="shared" ref="BK257:BK263" si="1969">+AT257/(1-(0.5*$BA257))</f>
        <v>1.2016120840590563E-5</v>
      </c>
      <c r="BL257" s="59">
        <f t="shared" ref="BL257:BL263" si="1970">+AU257/(1-(0.5*$BA257))</f>
        <v>4.5060453152214609E-6</v>
      </c>
      <c r="BM257" s="59">
        <f t="shared" ref="BM257:BM263" si="1971">+AV257/(1-(0.5*$BA257))</f>
        <v>2.1125842452863284E-3</v>
      </c>
      <c r="BN257" s="59">
        <f t="shared" ref="BN257:BN263" si="1972">+AW257/(1-(0.5*$BA257))</f>
        <v>4.2807430494603885E-5</v>
      </c>
      <c r="BO257" s="59">
        <f t="shared" ref="BO257" si="1973">+AX257/(1-(0.5*$BA257))</f>
        <v>3.2931681178743514E-4</v>
      </c>
      <c r="BP257" s="59">
        <f t="shared" ref="BP257:BP263" si="1974">+AY257/(1-(0.5*$BA257))</f>
        <v>7.8855793016375572E-6</v>
      </c>
      <c r="BQ257" s="59">
        <f t="shared" ref="BQ257:BQ263" si="1975">+AZ257/(1-(0.5*$BA257))</f>
        <v>1.0889609511785197E-5</v>
      </c>
      <c r="BR257" s="60">
        <f>+V257/(2*$U257)</f>
        <v>1.536149495816169E-5</v>
      </c>
      <c r="BS257" s="60">
        <f t="shared" ref="BS257" si="1976">+W257/(2*$U257)</f>
        <v>6.5567356528738919E-6</v>
      </c>
      <c r="BT257" s="60">
        <f t="shared" ref="BT257" si="1977">+X257/(2*$U257)</f>
        <v>2.9074439237886514E-4</v>
      </c>
      <c r="BU257" s="60">
        <f t="shared" ref="BU257" si="1978">+Y257/(2*$U257)</f>
        <v>4.6234353117979328E-4</v>
      </c>
      <c r="BV257" s="60">
        <f t="shared" ref="BV257" si="1979">+Z257/(2*$U257)</f>
        <v>6.9314062616095427E-6</v>
      </c>
      <c r="BW257" s="60">
        <f t="shared" ref="BW257" si="1980">+AA257/(2*$U257)</f>
        <v>2.9786313394484252E-5</v>
      </c>
      <c r="BX257" s="60">
        <f t="shared" ref="BX257" si="1981">+AB257/(2*$U257)</f>
        <v>2.6226942611495569E-6</v>
      </c>
      <c r="BY257" s="60">
        <f t="shared" ref="BY257" si="1982">+AC257/(2*$U257)</f>
        <v>1.4724554923311082E-4</v>
      </c>
      <c r="BZ257" s="60">
        <f t="shared" ref="BZ257" si="1983">+AD257/(2*$U257)</f>
        <v>5.9947297397704154E-6</v>
      </c>
      <c r="CA257" s="60">
        <f t="shared" ref="CA257" si="1984">+AE257/(2*$U257)</f>
        <v>2.2480236524139058E-6</v>
      </c>
      <c r="CB257" s="60">
        <f t="shared" ref="CB257" si="1985">+AF257/(2*$U257)</f>
        <v>1.0539484223733861E-3</v>
      </c>
      <c r="CC257" s="60">
        <f t="shared" ref="CC257" si="1986">+AG257/(2*$U257)</f>
        <v>2.1356224697932105E-5</v>
      </c>
      <c r="CD257" s="60">
        <f t="shared" ref="CD257" si="1987">+AH257/(2*$U257)</f>
        <v>1.6429306193058296E-4</v>
      </c>
      <c r="CE257" s="60">
        <f t="shared" ref="CE257" si="1988">+AI257/(2*$U257)</f>
        <v>3.934041391724335E-6</v>
      </c>
      <c r="CF257" s="13">
        <f t="shared" ref="CF257" si="1989">+AJ257/(2*$U257)</f>
        <v>5.4327238266669388E-6</v>
      </c>
    </row>
    <row r="258" spans="1:84" hidden="1" x14ac:dyDescent="0.25">
      <c r="A258" s="4" t="s">
        <v>5</v>
      </c>
      <c r="B258" s="56">
        <v>5336689.2615659405</v>
      </c>
      <c r="C258" s="57">
        <v>50</v>
      </c>
      <c r="D258" s="57">
        <v>18</v>
      </c>
      <c r="E258" s="57">
        <v>121</v>
      </c>
      <c r="F258" s="57">
        <v>79</v>
      </c>
      <c r="G258" s="57">
        <v>18</v>
      </c>
      <c r="H258" s="57">
        <v>266</v>
      </c>
      <c r="I258" s="57">
        <v>18</v>
      </c>
      <c r="J258" s="57">
        <v>659</v>
      </c>
      <c r="K258" s="57">
        <v>105</v>
      </c>
      <c r="L258" s="57">
        <v>16</v>
      </c>
      <c r="M258" s="57">
        <v>2</v>
      </c>
      <c r="N258" s="57">
        <v>15</v>
      </c>
      <c r="O258" s="57">
        <v>82</v>
      </c>
      <c r="P258" s="57">
        <v>2</v>
      </c>
      <c r="Q258" s="57">
        <v>34</v>
      </c>
      <c r="S258" s="4">
        <f t="shared" ref="S258:S263" si="1990">+$B$175</f>
        <v>1996</v>
      </c>
      <c r="T258" s="4" t="str">
        <f t="shared" ref="T258:T263" si="1991">+A258</f>
        <v>5-14</v>
      </c>
      <c r="U258" s="56">
        <f t="shared" ref="U258:U263" si="1992">+B258</f>
        <v>5336689.2615659405</v>
      </c>
      <c r="V258" s="4">
        <f t="shared" ref="V258:V263" si="1993">+C258</f>
        <v>50</v>
      </c>
      <c r="W258" s="4">
        <f t="shared" si="1934"/>
        <v>18</v>
      </c>
      <c r="X258" s="4">
        <f t="shared" si="1935"/>
        <v>121</v>
      </c>
      <c r="Y258" s="4">
        <f t="shared" si="1936"/>
        <v>79</v>
      </c>
      <c r="Z258" s="4">
        <f t="shared" si="1937"/>
        <v>18</v>
      </c>
      <c r="AA258" s="4">
        <f t="shared" si="1938"/>
        <v>266</v>
      </c>
      <c r="AB258" s="4">
        <f t="shared" si="1939"/>
        <v>18</v>
      </c>
      <c r="AC258" s="4">
        <f t="shared" si="1940"/>
        <v>659</v>
      </c>
      <c r="AD258" s="4">
        <f t="shared" si="1941"/>
        <v>105</v>
      </c>
      <c r="AE258" s="4">
        <f t="shared" si="1942"/>
        <v>16</v>
      </c>
      <c r="AF258" s="4">
        <f t="shared" si="1943"/>
        <v>2</v>
      </c>
      <c r="AG258" s="4">
        <f t="shared" si="1944"/>
        <v>15</v>
      </c>
      <c r="AH258" s="4">
        <f t="shared" si="1945"/>
        <v>82</v>
      </c>
      <c r="AI258" s="4">
        <f t="shared" si="1946"/>
        <v>2</v>
      </c>
      <c r="AJ258" s="4">
        <f t="shared" si="1947"/>
        <v>34</v>
      </c>
      <c r="AK258" s="4">
        <f t="shared" ref="AK258:AK263" si="1994">+SUM(V258:AJ258)</f>
        <v>1485</v>
      </c>
      <c r="AL258" s="58">
        <f t="shared" ref="AL258:AL263" si="1995">+V258/$U258</f>
        <v>9.3691046169940461E-6</v>
      </c>
      <c r="AM258" s="58">
        <f t="shared" si="1948"/>
        <v>3.3728776621178566E-6</v>
      </c>
      <c r="AN258" s="58">
        <f t="shared" si="1949"/>
        <v>2.2673233173125591E-5</v>
      </c>
      <c r="AO258" s="58">
        <f t="shared" si="1950"/>
        <v>1.4803185294850593E-5</v>
      </c>
      <c r="AP258" s="58">
        <f t="shared" si="1951"/>
        <v>3.3728776621178566E-6</v>
      </c>
      <c r="AQ258" s="58">
        <f t="shared" si="1952"/>
        <v>4.9843636562408325E-5</v>
      </c>
      <c r="AR258" s="58">
        <f t="shared" si="1953"/>
        <v>3.3728776621178566E-6</v>
      </c>
      <c r="AS258" s="58">
        <f t="shared" si="1954"/>
        <v>1.2348479885198154E-4</v>
      </c>
      <c r="AT258" s="58">
        <f t="shared" si="1955"/>
        <v>1.9675119695687498E-5</v>
      </c>
      <c r="AU258" s="58">
        <f t="shared" si="1956"/>
        <v>2.998113477438095E-6</v>
      </c>
      <c r="AV258" s="58">
        <f t="shared" si="1957"/>
        <v>3.7476418467976187E-7</v>
      </c>
      <c r="AW258" s="58">
        <f t="shared" si="1958"/>
        <v>2.8107313850982138E-6</v>
      </c>
      <c r="AX258" s="58">
        <f t="shared" si="1959"/>
        <v>1.5365331571870237E-5</v>
      </c>
      <c r="AY258" s="58">
        <f t="shared" si="1960"/>
        <v>3.7476418467976187E-7</v>
      </c>
      <c r="AZ258" s="58">
        <f t="shared" si="1961"/>
        <v>6.3709911395559516E-6</v>
      </c>
      <c r="BA258" s="58">
        <f t="shared" ref="BA258:BA263" si="1996">+AK258/U258</f>
        <v>2.7826240712472319E-4</v>
      </c>
      <c r="BB258" s="4">
        <f t="shared" ref="BB258:BB263" si="1997">+U258-(0.5*AK258)</f>
        <v>5335946.7615659405</v>
      </c>
      <c r="BC258" s="59">
        <f t="shared" si="1962"/>
        <v>9.3704083331833129E-6</v>
      </c>
      <c r="BD258" s="59">
        <f t="shared" ref="BD258:BD263" si="1998">+AM258/(1-(0.5*$BA258))</f>
        <v>3.3733469999459925E-6</v>
      </c>
      <c r="BE258" s="59">
        <f t="shared" si="1963"/>
        <v>2.2676388166303615E-5</v>
      </c>
      <c r="BF258" s="59">
        <f t="shared" si="1964"/>
        <v>1.4805245166429634E-5</v>
      </c>
      <c r="BG258" s="59">
        <f t="shared" si="1965"/>
        <v>3.3733469999459925E-6</v>
      </c>
      <c r="BH258" s="59">
        <f t="shared" si="1966"/>
        <v>4.9850572332535225E-5</v>
      </c>
      <c r="BI258" s="59">
        <f t="shared" si="1967"/>
        <v>3.3733469999459925E-6</v>
      </c>
      <c r="BJ258" s="59">
        <f t="shared" si="1968"/>
        <v>1.2350198183135608E-4</v>
      </c>
      <c r="BK258" s="59">
        <f t="shared" si="1969"/>
        <v>1.9677857499684958E-5</v>
      </c>
      <c r="BL258" s="59">
        <f t="shared" si="1970"/>
        <v>2.9985306666186604E-6</v>
      </c>
      <c r="BM258" s="59">
        <f t="shared" si="1971"/>
        <v>3.7481633332733255E-7</v>
      </c>
      <c r="BN258" s="59">
        <f t="shared" si="1972"/>
        <v>2.8111224999549937E-6</v>
      </c>
      <c r="BO258" s="59">
        <f>+AX258/(1-(0.5*$BA258))</f>
        <v>1.5367469666420634E-5</v>
      </c>
      <c r="BP258" s="59">
        <f t="shared" si="1974"/>
        <v>3.7481633332733255E-7</v>
      </c>
      <c r="BQ258" s="59">
        <f t="shared" si="1975"/>
        <v>6.3718776665646525E-6</v>
      </c>
      <c r="BR258" s="60">
        <f>+(V257+V258)/(2*$U258)</f>
        <v>1.2367218094432141E-5</v>
      </c>
      <c r="BS258" s="60">
        <f t="shared" ref="BS258:BS263" si="1999">+(W257+W258)/(2*$U258)</f>
        <v>4.9656254470068449E-6</v>
      </c>
      <c r="BT258" s="60">
        <f t="shared" ref="BT258:BT263" si="2000">+(X257+X258)/(2*$U258)</f>
        <v>1.567451202423104E-4</v>
      </c>
      <c r="BU258" s="60">
        <f t="shared" ref="BU258:BU263" si="2001">+(Y257+Y258)/(2*$U258)</f>
        <v>2.3863109459483836E-4</v>
      </c>
      <c r="BV258" s="60">
        <f t="shared" ref="BV258:BV263" si="2002">+(Z257+Z258)/(2*$U258)</f>
        <v>5.1530075393467253E-6</v>
      </c>
      <c r="BW258" s="60">
        <f t="shared" ref="BW258:BW263" si="2003">+(AA257+AA258)/(2*$U258)</f>
        <v>3.98186946222247E-5</v>
      </c>
      <c r="BX258" s="60">
        <f t="shared" ref="BX258:BX263" si="2004">+(AB257+AB258)/(2*$U258)</f>
        <v>2.998113477438095E-6</v>
      </c>
      <c r="BY258" s="60">
        <f t="shared" ref="BY258:BY263" si="2005">+(AC257+AC258)/(2*$U258)</f>
        <v>1.3538356171556397E-4</v>
      </c>
      <c r="BZ258" s="60">
        <f t="shared" ref="BZ258:BZ263" si="2006">+(AD257+AD258)/(2*$U258)</f>
        <v>1.2835673325281844E-5</v>
      </c>
      <c r="CA258" s="60">
        <f t="shared" ref="CA258:CA263" si="2007">+(AE257+AE258)/(2*$U258)</f>
        <v>2.6233492927583329E-6</v>
      </c>
      <c r="CB258" s="60">
        <f t="shared" ref="CB258:CB263" si="2008">+(AF257+AF258)/(2*$U258)</f>
        <v>5.2729320784442491E-4</v>
      </c>
      <c r="CC258" s="60">
        <f t="shared" ref="CC258:CC263" si="2009">+(AG257+AG258)/(2*$U258)</f>
        <v>1.2086144955922319E-5</v>
      </c>
      <c r="CD258" s="60">
        <f t="shared" ref="CD258:CD263" si="2010">+(AH257+AH258)/(2*$U258)</f>
        <v>8.9849713276972899E-5</v>
      </c>
      <c r="CE258" s="60">
        <f t="shared" ref="CE258:CE263" si="2011">+(AI257+AI258)/(2*$U258)</f>
        <v>2.1548940619086307E-6</v>
      </c>
      <c r="CF258" s="13">
        <f t="shared" ref="CF258:CF263" si="2012">+(AJ257+AJ258)/(2*$U258)</f>
        <v>5.9025359087062493E-6</v>
      </c>
    </row>
    <row r="259" spans="1:84" hidden="1" x14ac:dyDescent="0.25">
      <c r="A259" s="4" t="s">
        <v>4</v>
      </c>
      <c r="B259" s="56">
        <v>4328734.7335640304</v>
      </c>
      <c r="C259" s="57">
        <v>101</v>
      </c>
      <c r="D259" s="57">
        <v>34</v>
      </c>
      <c r="E259" s="57">
        <v>66</v>
      </c>
      <c r="F259" s="57">
        <v>36</v>
      </c>
      <c r="G259" s="57">
        <v>71</v>
      </c>
      <c r="H259" s="57">
        <v>301</v>
      </c>
      <c r="I259" s="57">
        <v>64</v>
      </c>
      <c r="J259" s="57">
        <v>1352</v>
      </c>
      <c r="K259" s="57">
        <v>1694</v>
      </c>
      <c r="L259" s="57">
        <v>51</v>
      </c>
      <c r="M259" s="57">
        <v>0</v>
      </c>
      <c r="N259" s="57">
        <v>33</v>
      </c>
      <c r="O259" s="57">
        <v>90</v>
      </c>
      <c r="P259" s="57">
        <v>47</v>
      </c>
      <c r="Q259" s="57">
        <v>27</v>
      </c>
      <c r="S259" s="4">
        <f t="shared" si="1990"/>
        <v>1996</v>
      </c>
      <c r="T259" s="4" t="str">
        <f t="shared" si="1991"/>
        <v>15-24</v>
      </c>
      <c r="U259" s="56">
        <f t="shared" si="1992"/>
        <v>4328734.7335640304</v>
      </c>
      <c r="V259" s="4">
        <f t="shared" si="1993"/>
        <v>101</v>
      </c>
      <c r="W259" s="4">
        <f t="shared" si="1934"/>
        <v>34</v>
      </c>
      <c r="X259" s="4">
        <f t="shared" si="1935"/>
        <v>66</v>
      </c>
      <c r="Y259" s="4">
        <f t="shared" si="1936"/>
        <v>36</v>
      </c>
      <c r="Z259" s="4">
        <f t="shared" si="1937"/>
        <v>71</v>
      </c>
      <c r="AA259" s="4">
        <f t="shared" si="1938"/>
        <v>301</v>
      </c>
      <c r="AB259" s="4">
        <f t="shared" si="1939"/>
        <v>64</v>
      </c>
      <c r="AC259" s="4">
        <f t="shared" si="1940"/>
        <v>1352</v>
      </c>
      <c r="AD259" s="4">
        <f t="shared" si="1941"/>
        <v>1694</v>
      </c>
      <c r="AE259" s="4">
        <f t="shared" si="1942"/>
        <v>51</v>
      </c>
      <c r="AF259" s="4">
        <f t="shared" si="1943"/>
        <v>0</v>
      </c>
      <c r="AG259" s="4">
        <f t="shared" si="1944"/>
        <v>33</v>
      </c>
      <c r="AH259" s="4">
        <f t="shared" si="1945"/>
        <v>90</v>
      </c>
      <c r="AI259" s="4">
        <f t="shared" si="1946"/>
        <v>47</v>
      </c>
      <c r="AJ259" s="4">
        <f t="shared" si="1947"/>
        <v>27</v>
      </c>
      <c r="AK259" s="4">
        <f t="shared" si="1994"/>
        <v>3967</v>
      </c>
      <c r="AL259" s="58">
        <f t="shared" si="1995"/>
        <v>2.3332453064603114E-5</v>
      </c>
      <c r="AM259" s="58">
        <f t="shared" si="1948"/>
        <v>7.8544891504604536E-6</v>
      </c>
      <c r="AN259" s="58">
        <f t="shared" si="1949"/>
        <v>1.5246949527364411E-5</v>
      </c>
      <c r="AO259" s="58">
        <f t="shared" si="1950"/>
        <v>8.3165179240169518E-6</v>
      </c>
      <c r="AP259" s="58">
        <f t="shared" si="1951"/>
        <v>1.6402021461255655E-5</v>
      </c>
      <c r="AQ259" s="58">
        <f t="shared" si="1952"/>
        <v>6.9535330420252836E-5</v>
      </c>
      <c r="AR259" s="58">
        <f t="shared" si="1953"/>
        <v>1.4784920753807913E-5</v>
      </c>
      <c r="AS259" s="58">
        <f t="shared" si="1954"/>
        <v>3.1233145092419214E-4</v>
      </c>
      <c r="AT259" s="58">
        <f t="shared" si="1955"/>
        <v>3.9133837120235322E-4</v>
      </c>
      <c r="AU259" s="58">
        <f t="shared" si="1956"/>
        <v>1.1781733725690681E-5</v>
      </c>
      <c r="AV259" s="58">
        <f t="shared" si="1957"/>
        <v>0</v>
      </c>
      <c r="AW259" s="58">
        <f t="shared" si="1958"/>
        <v>7.6234747636822054E-6</v>
      </c>
      <c r="AX259" s="58">
        <f t="shared" si="1959"/>
        <v>2.0791294810042377E-5</v>
      </c>
      <c r="AY259" s="58">
        <f t="shared" si="1960"/>
        <v>1.0857676178577687E-5</v>
      </c>
      <c r="AZ259" s="58">
        <f t="shared" si="1961"/>
        <v>6.2373884430127134E-6</v>
      </c>
      <c r="BA259" s="58">
        <f t="shared" si="1996"/>
        <v>9.1643407234931235E-4</v>
      </c>
      <c r="BB259" s="4">
        <f t="shared" si="1997"/>
        <v>4326751.2335640304</v>
      </c>
      <c r="BC259" s="59">
        <f t="shared" si="1962"/>
        <v>2.3343149293287266E-5</v>
      </c>
      <c r="BD259" s="59">
        <f t="shared" si="1998"/>
        <v>7.8580898611066048E-6</v>
      </c>
      <c r="BE259" s="59">
        <f t="shared" si="1963"/>
        <v>1.5253939142148115E-5</v>
      </c>
      <c r="BF259" s="59">
        <f t="shared" si="1964"/>
        <v>8.3203304411716991E-6</v>
      </c>
      <c r="BG259" s="59">
        <f t="shared" si="1965"/>
        <v>1.640954059231085E-5</v>
      </c>
      <c r="BH259" s="59">
        <f t="shared" si="1966"/>
        <v>6.9567207299796693E-5</v>
      </c>
      <c r="BI259" s="59">
        <f t="shared" si="1967"/>
        <v>1.4791698562083019E-5</v>
      </c>
      <c r="BJ259" s="59">
        <f t="shared" si="1968"/>
        <v>3.1247463212400378E-4</v>
      </c>
      <c r="BK259" s="59">
        <f t="shared" si="1969"/>
        <v>3.9151777131513494E-4</v>
      </c>
      <c r="BL259" s="59">
        <f t="shared" si="1970"/>
        <v>1.1787134791659907E-5</v>
      </c>
      <c r="BM259" s="59">
        <f t="shared" si="1971"/>
        <v>0</v>
      </c>
      <c r="BN259" s="59">
        <f t="shared" si="1972"/>
        <v>7.6269695710740576E-6</v>
      </c>
      <c r="BO259" s="59">
        <f t="shared" ref="BO259:BO263" si="2013">+AX259/(1-(0.5*$BA259))</f>
        <v>2.0800826102929245E-5</v>
      </c>
      <c r="BP259" s="59">
        <f t="shared" si="1974"/>
        <v>1.0862653631529719E-5</v>
      </c>
      <c r="BQ259" s="59">
        <f t="shared" si="1975"/>
        <v>6.2402478308787739E-6</v>
      </c>
      <c r="BR259" s="60">
        <f t="shared" ref="BR259:BR263" si="2014">+(V258+V259)/(2*$U259)</f>
        <v>1.7441586201757774E-5</v>
      </c>
      <c r="BS259" s="60">
        <f t="shared" si="1999"/>
        <v>6.0063740562344643E-6</v>
      </c>
      <c r="BT259" s="60">
        <f t="shared" si="2000"/>
        <v>2.1599845163766247E-5</v>
      </c>
      <c r="BU259" s="60">
        <f t="shared" si="2001"/>
        <v>1.3283327239749297E-5</v>
      </c>
      <c r="BV259" s="60">
        <f t="shared" si="2002"/>
        <v>1.0280140211632064E-5</v>
      </c>
      <c r="BW259" s="60">
        <f t="shared" si="2003"/>
        <v>6.5492578651633488E-5</v>
      </c>
      <c r="BX259" s="60">
        <f t="shared" si="2004"/>
        <v>9.4715898579081938E-6</v>
      </c>
      <c r="BY259" s="60">
        <f t="shared" si="2005"/>
        <v>2.3228496590552901E-4</v>
      </c>
      <c r="BZ259" s="60">
        <f t="shared" si="2006"/>
        <v>2.0779744090703467E-4</v>
      </c>
      <c r="CA259" s="60">
        <f t="shared" si="2007"/>
        <v>7.7389819570713291E-6</v>
      </c>
      <c r="CB259" s="60">
        <f t="shared" si="2008"/>
        <v>2.3101438677824863E-7</v>
      </c>
      <c r="CC259" s="60">
        <f t="shared" si="2009"/>
        <v>5.544345282677967E-6</v>
      </c>
      <c r="CD259" s="60">
        <f t="shared" si="2010"/>
        <v>1.9867237262929384E-5</v>
      </c>
      <c r="CE259" s="60">
        <f t="shared" si="2011"/>
        <v>5.6598524760670916E-6</v>
      </c>
      <c r="CF259" s="13">
        <f t="shared" si="2012"/>
        <v>7.0459387967365835E-6</v>
      </c>
    </row>
    <row r="260" spans="1:84" hidden="1" x14ac:dyDescent="0.25">
      <c r="A260" s="4" t="s">
        <v>3</v>
      </c>
      <c r="B260" s="56">
        <v>6500086.9398599695</v>
      </c>
      <c r="C260" s="57">
        <v>1265</v>
      </c>
      <c r="D260" s="57">
        <v>267</v>
      </c>
      <c r="E260" s="57">
        <v>94</v>
      </c>
      <c r="F260" s="57">
        <v>65</v>
      </c>
      <c r="G260" s="57">
        <v>232</v>
      </c>
      <c r="H260" s="57">
        <v>1734</v>
      </c>
      <c r="I260" s="57">
        <v>517</v>
      </c>
      <c r="J260" s="57">
        <v>2393</v>
      </c>
      <c r="K260" s="57">
        <v>1811</v>
      </c>
      <c r="L260" s="57">
        <v>272</v>
      </c>
      <c r="M260" s="57">
        <v>1</v>
      </c>
      <c r="N260" s="57">
        <v>99</v>
      </c>
      <c r="O260" s="57">
        <v>191</v>
      </c>
      <c r="P260" s="57">
        <v>719</v>
      </c>
      <c r="Q260" s="57">
        <v>111</v>
      </c>
      <c r="S260" s="4">
        <f t="shared" si="1990"/>
        <v>1996</v>
      </c>
      <c r="T260" s="4" t="str">
        <f t="shared" si="1991"/>
        <v>25-44</v>
      </c>
      <c r="U260" s="56">
        <f t="shared" si="1992"/>
        <v>6500086.9398599695</v>
      </c>
      <c r="V260" s="4">
        <f t="shared" si="1993"/>
        <v>1265</v>
      </c>
      <c r="W260" s="4">
        <f t="shared" si="1934"/>
        <v>267</v>
      </c>
      <c r="X260" s="4">
        <f t="shared" si="1935"/>
        <v>94</v>
      </c>
      <c r="Y260" s="4">
        <f t="shared" si="1936"/>
        <v>65</v>
      </c>
      <c r="Z260" s="4">
        <f t="shared" si="1937"/>
        <v>232</v>
      </c>
      <c r="AA260" s="4">
        <f t="shared" si="1938"/>
        <v>1734</v>
      </c>
      <c r="AB260" s="4">
        <f t="shared" si="1939"/>
        <v>517</v>
      </c>
      <c r="AC260" s="4">
        <f t="shared" si="1940"/>
        <v>2393</v>
      </c>
      <c r="AD260" s="4">
        <f t="shared" si="1941"/>
        <v>1811</v>
      </c>
      <c r="AE260" s="4">
        <f t="shared" si="1942"/>
        <v>272</v>
      </c>
      <c r="AF260" s="4">
        <f t="shared" si="1943"/>
        <v>1</v>
      </c>
      <c r="AG260" s="4">
        <f t="shared" si="1944"/>
        <v>99</v>
      </c>
      <c r="AH260" s="4">
        <f t="shared" si="1945"/>
        <v>191</v>
      </c>
      <c r="AI260" s="4">
        <f t="shared" si="1946"/>
        <v>719</v>
      </c>
      <c r="AJ260" s="4">
        <f t="shared" si="1947"/>
        <v>111</v>
      </c>
      <c r="AK260" s="4">
        <f t="shared" si="1994"/>
        <v>9771</v>
      </c>
      <c r="AL260" s="58">
        <f t="shared" si="1995"/>
        <v>1.9461278159877223E-4</v>
      </c>
      <c r="AM260" s="58">
        <f t="shared" si="1948"/>
        <v>4.107637366551161E-5</v>
      </c>
      <c r="AN260" s="58">
        <f t="shared" si="1949"/>
        <v>1.4461345035798096E-5</v>
      </c>
      <c r="AO260" s="58">
        <f t="shared" si="1950"/>
        <v>9.9998662481582572E-6</v>
      </c>
      <c r="AP260" s="58">
        <f t="shared" si="1951"/>
        <v>3.56918303011187E-5</v>
      </c>
      <c r="AQ260" s="58">
        <f t="shared" si="1952"/>
        <v>2.6676566268163718E-4</v>
      </c>
      <c r="AR260" s="58">
        <f t="shared" si="1953"/>
        <v>7.953739769688952E-5</v>
      </c>
      <c r="AS260" s="58">
        <f t="shared" si="1954"/>
        <v>3.6814892202834939E-4</v>
      </c>
      <c r="AT260" s="58">
        <f t="shared" si="1955"/>
        <v>2.7861165808330162E-4</v>
      </c>
      <c r="AU260" s="58">
        <f t="shared" si="1956"/>
        <v>4.1845594146139165E-5</v>
      </c>
      <c r="AV260" s="58">
        <f t="shared" si="1957"/>
        <v>1.5384409612551164E-7</v>
      </c>
      <c r="AW260" s="58">
        <f t="shared" si="1958"/>
        <v>1.5230565516425653E-5</v>
      </c>
      <c r="AX260" s="58">
        <f t="shared" si="1959"/>
        <v>2.9384222359972725E-5</v>
      </c>
      <c r="AY260" s="58">
        <f t="shared" si="1960"/>
        <v>1.1061390511424288E-4</v>
      </c>
      <c r="AZ260" s="58">
        <f t="shared" si="1961"/>
        <v>1.7076694669931794E-5</v>
      </c>
      <c r="BA260" s="58">
        <f t="shared" si="1996"/>
        <v>1.5032106632423743E-3</v>
      </c>
      <c r="BB260" s="4">
        <f t="shared" si="1997"/>
        <v>6495201.4398599695</v>
      </c>
      <c r="BC260" s="59">
        <f t="shared" si="1962"/>
        <v>1.9475916362453452E-4</v>
      </c>
      <c r="BD260" s="59">
        <f t="shared" si="1998"/>
        <v>4.1107270108893847E-5</v>
      </c>
      <c r="BE260" s="59">
        <f t="shared" si="1963"/>
        <v>1.4472222435340906E-5</v>
      </c>
      <c r="BF260" s="59">
        <f t="shared" si="1964"/>
        <v>1.0007387854225095E-5</v>
      </c>
      <c r="BG260" s="59">
        <f t="shared" si="1965"/>
        <v>3.5718676648926485E-5</v>
      </c>
      <c r="BH260" s="59">
        <f t="shared" si="1966"/>
        <v>2.6696631598809712E-4</v>
      </c>
      <c r="BI260" s="59">
        <f t="shared" si="1967"/>
        <v>7.9597223394374983E-5</v>
      </c>
      <c r="BJ260" s="59">
        <f t="shared" si="1968"/>
        <v>3.6842583284862543E-4</v>
      </c>
      <c r="BK260" s="59">
        <f t="shared" si="1969"/>
        <v>2.7882122160002534E-4</v>
      </c>
      <c r="BL260" s="59">
        <f t="shared" si="1970"/>
        <v>4.187706917460347E-5</v>
      </c>
      <c r="BM260" s="59">
        <f t="shared" si="1971"/>
        <v>1.5395981314192452E-7</v>
      </c>
      <c r="BN260" s="59">
        <f t="shared" si="1972"/>
        <v>1.5242021501050527E-5</v>
      </c>
      <c r="BO260" s="59">
        <f t="shared" si="2013"/>
        <v>2.9406324310107584E-5</v>
      </c>
      <c r="BP260" s="59">
        <f t="shared" si="1974"/>
        <v>1.1069710564904374E-4</v>
      </c>
      <c r="BQ260" s="59">
        <f t="shared" si="1975"/>
        <v>1.7089539258753623E-5</v>
      </c>
      <c r="BR260" s="60">
        <f t="shared" si="2014"/>
        <v>1.0507551765372446E-4</v>
      </c>
      <c r="BS260" s="60">
        <f t="shared" si="1999"/>
        <v>2.3153536466889503E-5</v>
      </c>
      <c r="BT260" s="60">
        <f t="shared" si="2000"/>
        <v>1.2307527690040933E-5</v>
      </c>
      <c r="BU260" s="60">
        <f t="shared" si="2001"/>
        <v>7.7691268543383381E-6</v>
      </c>
      <c r="BV260" s="60">
        <f t="shared" si="2002"/>
        <v>2.3307380563015016E-5</v>
      </c>
      <c r="BW260" s="60">
        <f t="shared" si="2003"/>
        <v>1.565363678077081E-4</v>
      </c>
      <c r="BX260" s="60">
        <f t="shared" si="2004"/>
        <v>4.4691709924461133E-5</v>
      </c>
      <c r="BY260" s="60">
        <f t="shared" si="2005"/>
        <v>2.8807306999502054E-4</v>
      </c>
      <c r="BZ260" s="60">
        <f t="shared" si="2006"/>
        <v>2.6961177845995915E-4</v>
      </c>
      <c r="CA260" s="60">
        <f t="shared" si="2007"/>
        <v>2.4845821524270131E-5</v>
      </c>
      <c r="CB260" s="60">
        <f t="shared" si="2008"/>
        <v>7.6922048062755818E-8</v>
      </c>
      <c r="CC260" s="60">
        <f t="shared" si="2009"/>
        <v>1.0153710344283768E-5</v>
      </c>
      <c r="CD260" s="60">
        <f t="shared" si="2010"/>
        <v>2.1615095505634385E-5</v>
      </c>
      <c r="CE260" s="60">
        <f t="shared" si="2011"/>
        <v>5.8922288816070963E-5</v>
      </c>
      <c r="CF260" s="13">
        <f t="shared" si="2012"/>
        <v>1.0615242632660304E-5</v>
      </c>
    </row>
    <row r="261" spans="1:84" hidden="1" x14ac:dyDescent="0.25">
      <c r="A261" s="4" t="s">
        <v>2</v>
      </c>
      <c r="B261" s="56">
        <v>2862216.4853526298</v>
      </c>
      <c r="C261" s="57">
        <v>5170</v>
      </c>
      <c r="D261" s="57">
        <v>791</v>
      </c>
      <c r="E261" s="57">
        <v>38</v>
      </c>
      <c r="F261" s="57">
        <v>151</v>
      </c>
      <c r="G261" s="57">
        <v>387</v>
      </c>
      <c r="H261" s="57">
        <v>4424</v>
      </c>
      <c r="I261" s="57">
        <v>1783</v>
      </c>
      <c r="J261" s="57">
        <v>1078</v>
      </c>
      <c r="K261" s="57">
        <v>502</v>
      </c>
      <c r="L261" s="57">
        <v>1450</v>
      </c>
      <c r="M261" s="57">
        <v>0</v>
      </c>
      <c r="N261" s="57">
        <v>427</v>
      </c>
      <c r="O261" s="57">
        <v>247</v>
      </c>
      <c r="P261" s="57">
        <v>130</v>
      </c>
      <c r="Q261" s="57">
        <v>206</v>
      </c>
      <c r="S261" s="4">
        <f t="shared" si="1990"/>
        <v>1996</v>
      </c>
      <c r="T261" s="4" t="str">
        <f t="shared" si="1991"/>
        <v>45-64</v>
      </c>
      <c r="U261" s="56">
        <f t="shared" si="1992"/>
        <v>2862216.4853526298</v>
      </c>
      <c r="V261" s="4">
        <f t="shared" si="1993"/>
        <v>5170</v>
      </c>
      <c r="W261" s="4">
        <f t="shared" si="1934"/>
        <v>791</v>
      </c>
      <c r="X261" s="4">
        <f t="shared" si="1935"/>
        <v>38</v>
      </c>
      <c r="Y261" s="4">
        <f t="shared" si="1936"/>
        <v>151</v>
      </c>
      <c r="Z261" s="4">
        <f t="shared" si="1937"/>
        <v>387</v>
      </c>
      <c r="AA261" s="4">
        <f t="shared" si="1938"/>
        <v>4424</v>
      </c>
      <c r="AB261" s="4">
        <f t="shared" si="1939"/>
        <v>1783</v>
      </c>
      <c r="AC261" s="4">
        <f t="shared" si="1940"/>
        <v>1078</v>
      </c>
      <c r="AD261" s="4">
        <f t="shared" si="1941"/>
        <v>502</v>
      </c>
      <c r="AE261" s="4">
        <f t="shared" si="1942"/>
        <v>1450</v>
      </c>
      <c r="AF261" s="4">
        <f t="shared" si="1943"/>
        <v>0</v>
      </c>
      <c r="AG261" s="4">
        <f t="shared" si="1944"/>
        <v>427</v>
      </c>
      <c r="AH261" s="4">
        <f t="shared" si="1945"/>
        <v>247</v>
      </c>
      <c r="AI261" s="4">
        <f t="shared" si="1946"/>
        <v>130</v>
      </c>
      <c r="AJ261" s="4">
        <f t="shared" si="1947"/>
        <v>206</v>
      </c>
      <c r="AK261" s="4">
        <f t="shared" si="1994"/>
        <v>16784</v>
      </c>
      <c r="AL261" s="58">
        <f t="shared" si="1995"/>
        <v>1.8062924403019248E-3</v>
      </c>
      <c r="AM261" s="58">
        <f t="shared" si="1948"/>
        <v>2.7635924957037186E-4</v>
      </c>
      <c r="AN261" s="58">
        <f t="shared" si="1949"/>
        <v>1.3276424126010279E-5</v>
      </c>
      <c r="AO261" s="58">
        <f t="shared" si="1950"/>
        <v>5.2756316921777688E-5</v>
      </c>
      <c r="AP261" s="58">
        <f t="shared" si="1951"/>
        <v>1.3520989833594679E-4</v>
      </c>
      <c r="AQ261" s="58">
        <f t="shared" si="1952"/>
        <v>1.5456552719334072E-3</v>
      </c>
      <c r="AR261" s="58">
        <f t="shared" si="1953"/>
        <v>6.229437951756928E-4</v>
      </c>
      <c r="AS261" s="58">
        <f t="shared" si="1954"/>
        <v>3.7663118967997582E-4</v>
      </c>
      <c r="AT261" s="58">
        <f t="shared" si="1955"/>
        <v>1.7538855029624104E-4</v>
      </c>
      <c r="AU261" s="58">
        <f t="shared" si="1956"/>
        <v>5.0660039428197118E-4</v>
      </c>
      <c r="AV261" s="58">
        <f t="shared" si="1957"/>
        <v>0</v>
      </c>
      <c r="AW261" s="58">
        <f t="shared" si="1958"/>
        <v>1.4918508162648392E-4</v>
      </c>
      <c r="AX261" s="58">
        <f t="shared" si="1959"/>
        <v>8.6296756819066809E-5</v>
      </c>
      <c r="AY261" s="58">
        <f t="shared" si="1960"/>
        <v>4.541934569424569E-5</v>
      </c>
      <c r="AZ261" s="58">
        <f t="shared" si="1961"/>
        <v>7.1972193946266255E-5</v>
      </c>
      <c r="BA261" s="58">
        <f t="shared" si="1996"/>
        <v>5.8639869087093819E-3</v>
      </c>
      <c r="BB261" s="4">
        <f t="shared" si="1997"/>
        <v>2853824.4853526298</v>
      </c>
      <c r="BC261" s="59">
        <f t="shared" si="1962"/>
        <v>1.8116040515228724E-3</v>
      </c>
      <c r="BD261" s="59">
        <f t="shared" si="1998"/>
        <v>2.7717191581326728E-4</v>
      </c>
      <c r="BE261" s="59">
        <f t="shared" si="1963"/>
        <v>1.3315464982179718E-5</v>
      </c>
      <c r="BF261" s="59">
        <f t="shared" si="1964"/>
        <v>5.2911452955503619E-5</v>
      </c>
      <c r="BG261" s="59">
        <f t="shared" si="1965"/>
        <v>1.3560749863430398E-4</v>
      </c>
      <c r="BH261" s="59">
        <f t="shared" si="1966"/>
        <v>1.5502004495042915E-3</v>
      </c>
      <c r="BI261" s="59">
        <f t="shared" si="1967"/>
        <v>6.2477563324280102E-4</v>
      </c>
      <c r="BJ261" s="59">
        <f t="shared" si="1968"/>
        <v>3.7773871712604574E-4</v>
      </c>
      <c r="BK261" s="59">
        <f t="shared" si="1969"/>
        <v>1.7590430055405837E-4</v>
      </c>
      <c r="BL261" s="59">
        <f t="shared" si="1970"/>
        <v>5.0809011116212085E-4</v>
      </c>
      <c r="BM261" s="59">
        <f t="shared" si="1971"/>
        <v>0</v>
      </c>
      <c r="BN261" s="59">
        <f t="shared" si="1972"/>
        <v>1.4962377756291422E-4</v>
      </c>
      <c r="BO261" s="59">
        <f t="shared" si="2013"/>
        <v>8.6550522384168166E-5</v>
      </c>
      <c r="BP261" s="59">
        <f t="shared" si="1974"/>
        <v>4.5552906517983245E-5</v>
      </c>
      <c r="BQ261" s="59">
        <f t="shared" si="1975"/>
        <v>7.2183836482342698E-5</v>
      </c>
      <c r="BR261" s="60">
        <f t="shared" si="2014"/>
        <v>1.1241288059325809E-3</v>
      </c>
      <c r="BS261" s="60">
        <f t="shared" si="1999"/>
        <v>1.8482179901735361E-4</v>
      </c>
      <c r="BT261" s="60">
        <f t="shared" si="2000"/>
        <v>2.3059052429386273E-5</v>
      </c>
      <c r="BU261" s="60">
        <f t="shared" si="2001"/>
        <v>3.7732994884450265E-5</v>
      </c>
      <c r="BV261" s="60">
        <f t="shared" si="2002"/>
        <v>1.0813298071053108E-4</v>
      </c>
      <c r="BW261" s="60">
        <f t="shared" si="2003"/>
        <v>1.0757397337890959E-3</v>
      </c>
      <c r="BX261" s="60">
        <f t="shared" si="2004"/>
        <v>4.0178651960294265E-4</v>
      </c>
      <c r="BY261" s="60">
        <f t="shared" si="2005"/>
        <v>6.0634826501817997E-4</v>
      </c>
      <c r="BZ261" s="60">
        <f t="shared" si="2006"/>
        <v>4.0405748688765491E-4</v>
      </c>
      <c r="CA261" s="60">
        <f t="shared" si="2007"/>
        <v>3.0081582032881184E-4</v>
      </c>
      <c r="CB261" s="60">
        <f t="shared" si="2008"/>
        <v>1.746897911317142E-7</v>
      </c>
      <c r="CC261" s="60">
        <f t="shared" si="2009"/>
        <v>9.1886830135281663E-5</v>
      </c>
      <c r="CD261" s="60">
        <f t="shared" si="2010"/>
        <v>7.6514128515690812E-5</v>
      </c>
      <c r="CE261" s="60">
        <f t="shared" si="2011"/>
        <v>1.4831163267082535E-4</v>
      </c>
      <c r="CF261" s="13">
        <f t="shared" si="2012"/>
        <v>5.5376663788753401E-5</v>
      </c>
    </row>
    <row r="262" spans="1:84" hidden="1" x14ac:dyDescent="0.25">
      <c r="A262" s="4" t="s">
        <v>1</v>
      </c>
      <c r="B262" s="56">
        <v>710343.28776711202</v>
      </c>
      <c r="C262" s="57">
        <v>5212</v>
      </c>
      <c r="D262" s="57">
        <v>406</v>
      </c>
      <c r="E262" s="57">
        <v>24</v>
      </c>
      <c r="F262" s="57">
        <v>146</v>
      </c>
      <c r="G262" s="57">
        <v>319</v>
      </c>
      <c r="H262" s="57">
        <v>3335</v>
      </c>
      <c r="I262" s="57">
        <v>1780</v>
      </c>
      <c r="J262" s="57">
        <v>380</v>
      </c>
      <c r="K262" s="57">
        <v>125</v>
      </c>
      <c r="L262" s="57">
        <v>1343</v>
      </c>
      <c r="M262" s="57">
        <v>0</v>
      </c>
      <c r="N262" s="57">
        <v>576</v>
      </c>
      <c r="O262" s="57">
        <v>226</v>
      </c>
      <c r="P262" s="57">
        <v>5</v>
      </c>
      <c r="Q262" s="57">
        <v>161</v>
      </c>
      <c r="S262" s="4">
        <f t="shared" si="1990"/>
        <v>1996</v>
      </c>
      <c r="T262" s="4" t="str">
        <f t="shared" si="1991"/>
        <v>65-74</v>
      </c>
      <c r="U262" s="56">
        <f t="shared" si="1992"/>
        <v>710343.28776711202</v>
      </c>
      <c r="V262" s="4">
        <f t="shared" si="1993"/>
        <v>5212</v>
      </c>
      <c r="W262" s="4">
        <f t="shared" si="1934"/>
        <v>406</v>
      </c>
      <c r="X262" s="4">
        <f t="shared" si="1935"/>
        <v>24</v>
      </c>
      <c r="Y262" s="4">
        <f t="shared" si="1936"/>
        <v>146</v>
      </c>
      <c r="Z262" s="4">
        <f t="shared" si="1937"/>
        <v>319</v>
      </c>
      <c r="AA262" s="4">
        <f t="shared" si="1938"/>
        <v>3335</v>
      </c>
      <c r="AB262" s="4">
        <f t="shared" si="1939"/>
        <v>1780</v>
      </c>
      <c r="AC262" s="4">
        <f t="shared" si="1940"/>
        <v>380</v>
      </c>
      <c r="AD262" s="4">
        <f t="shared" si="1941"/>
        <v>125</v>
      </c>
      <c r="AE262" s="4">
        <f t="shared" si="1942"/>
        <v>1343</v>
      </c>
      <c r="AF262" s="4">
        <f t="shared" si="1943"/>
        <v>0</v>
      </c>
      <c r="AG262" s="4">
        <f t="shared" si="1944"/>
        <v>576</v>
      </c>
      <c r="AH262" s="4">
        <f t="shared" si="1945"/>
        <v>226</v>
      </c>
      <c r="AI262" s="4">
        <f t="shared" si="1946"/>
        <v>5</v>
      </c>
      <c r="AJ262" s="4">
        <f t="shared" si="1947"/>
        <v>161</v>
      </c>
      <c r="AK262" s="4">
        <f t="shared" si="1994"/>
        <v>14038</v>
      </c>
      <c r="AL262" s="58">
        <f t="shared" si="1995"/>
        <v>7.3372974585053981E-3</v>
      </c>
      <c r="AM262" s="58">
        <f t="shared" si="1948"/>
        <v>5.7155463702095004E-4</v>
      </c>
      <c r="AN262" s="58">
        <f t="shared" si="1949"/>
        <v>3.3786481006164537E-5</v>
      </c>
      <c r="AO262" s="58">
        <f t="shared" si="1950"/>
        <v>2.0553442612083426E-4</v>
      </c>
      <c r="AP262" s="58">
        <f t="shared" si="1951"/>
        <v>4.4907864337360363E-4</v>
      </c>
      <c r="AQ262" s="58">
        <f t="shared" si="1952"/>
        <v>4.6949130898149474E-3</v>
      </c>
      <c r="AR262" s="58">
        <f t="shared" si="1953"/>
        <v>2.5058306746238699E-3</v>
      </c>
      <c r="AS262" s="58">
        <f t="shared" si="1954"/>
        <v>5.3495261593093852E-4</v>
      </c>
      <c r="AT262" s="58">
        <f t="shared" si="1955"/>
        <v>1.759712552404403E-4</v>
      </c>
      <c r="AU262" s="58">
        <f t="shared" si="1956"/>
        <v>1.8906351663032905E-3</v>
      </c>
      <c r="AV262" s="58">
        <f t="shared" si="1957"/>
        <v>0</v>
      </c>
      <c r="AW262" s="58">
        <f t="shared" si="1958"/>
        <v>8.1087554414794889E-4</v>
      </c>
      <c r="AX262" s="58">
        <f t="shared" si="1959"/>
        <v>3.1815602947471606E-4</v>
      </c>
      <c r="AY262" s="58">
        <f t="shared" si="1960"/>
        <v>7.0388502096176121E-6</v>
      </c>
      <c r="AZ262" s="58">
        <f t="shared" si="1961"/>
        <v>2.2665097674968711E-4</v>
      </c>
      <c r="BA262" s="58">
        <f t="shared" si="1996"/>
        <v>1.9762275848522408E-2</v>
      </c>
      <c r="BB262" s="4">
        <f t="shared" si="1997"/>
        <v>703324.28776711202</v>
      </c>
      <c r="BC262" s="59">
        <f t="shared" si="1962"/>
        <v>7.4105218469660197E-3</v>
      </c>
      <c r="BD262" s="59">
        <f t="shared" si="1998"/>
        <v>5.772586089539916E-4</v>
      </c>
      <c r="BE262" s="59">
        <f t="shared" si="1963"/>
        <v>3.4123661613043836E-5</v>
      </c>
      <c r="BF262" s="59">
        <f t="shared" si="1964"/>
        <v>2.0758560814601668E-4</v>
      </c>
      <c r="BG262" s="59">
        <f t="shared" si="1965"/>
        <v>4.5356033560670767E-4</v>
      </c>
      <c r="BH262" s="59">
        <f t="shared" si="1966"/>
        <v>4.741767144979217E-3</v>
      </c>
      <c r="BI262" s="59">
        <f t="shared" si="1967"/>
        <v>2.5308382363007516E-3</v>
      </c>
      <c r="BJ262" s="59">
        <f t="shared" si="1968"/>
        <v>5.4029130887319409E-4</v>
      </c>
      <c r="BK262" s="59">
        <f t="shared" si="1969"/>
        <v>1.7772740423460334E-4</v>
      </c>
      <c r="BL262" s="59">
        <f t="shared" si="1970"/>
        <v>1.909503231096578E-3</v>
      </c>
      <c r="BM262" s="59">
        <f t="shared" si="1971"/>
        <v>0</v>
      </c>
      <c r="BN262" s="59">
        <f t="shared" si="1972"/>
        <v>8.1896787871305217E-4</v>
      </c>
      <c r="BO262" s="59">
        <f t="shared" si="2013"/>
        <v>3.2133114685616281E-4</v>
      </c>
      <c r="BP262" s="59">
        <f t="shared" si="1974"/>
        <v>7.1090961693841331E-6</v>
      </c>
      <c r="BQ262" s="59">
        <f t="shared" si="1975"/>
        <v>2.2891289665416908E-4</v>
      </c>
      <c r="BR262" s="60">
        <f t="shared" si="2014"/>
        <v>7.3077342876250043E-3</v>
      </c>
      <c r="BS262" s="60">
        <f t="shared" si="1999"/>
        <v>8.4255037009122813E-4</v>
      </c>
      <c r="BT262" s="60">
        <f t="shared" si="2000"/>
        <v>4.3640871299629196E-5</v>
      </c>
      <c r="BU262" s="60">
        <f t="shared" si="2001"/>
        <v>2.0905385122564307E-4</v>
      </c>
      <c r="BV262" s="60">
        <f t="shared" si="2002"/>
        <v>4.969428247990034E-4</v>
      </c>
      <c r="BW262" s="60">
        <f t="shared" si="2003"/>
        <v>5.461443877642305E-3</v>
      </c>
      <c r="BX262" s="60">
        <f t="shared" si="2004"/>
        <v>2.5079423296867549E-3</v>
      </c>
      <c r="BY262" s="60">
        <f t="shared" si="2005"/>
        <v>1.0262643605622478E-3</v>
      </c>
      <c r="BZ262" s="60">
        <f t="shared" si="2006"/>
        <v>4.4133590814302427E-4</v>
      </c>
      <c r="CA262" s="60">
        <f t="shared" si="2007"/>
        <v>1.9659508635461991E-3</v>
      </c>
      <c r="CB262" s="60">
        <f t="shared" si="2008"/>
        <v>0</v>
      </c>
      <c r="CC262" s="60">
        <f t="shared" si="2009"/>
        <v>7.0599667602464649E-4</v>
      </c>
      <c r="CD262" s="60">
        <f t="shared" si="2010"/>
        <v>3.3293761491491304E-4</v>
      </c>
      <c r="CE262" s="60">
        <f t="shared" si="2011"/>
        <v>9.5024477829837753E-5</v>
      </c>
      <c r="CF262" s="13">
        <f t="shared" si="2012"/>
        <v>2.5832580269296635E-4</v>
      </c>
    </row>
    <row r="263" spans="1:84" hidden="1" x14ac:dyDescent="0.25">
      <c r="A263" s="4" t="s">
        <v>0</v>
      </c>
      <c r="B263" s="56">
        <v>710343.28776711202</v>
      </c>
      <c r="C263" s="57">
        <v>9429</v>
      </c>
      <c r="D263" s="57">
        <v>279</v>
      </c>
      <c r="E263" s="57">
        <v>22</v>
      </c>
      <c r="F263" s="57">
        <v>432</v>
      </c>
      <c r="G263" s="57">
        <v>397</v>
      </c>
      <c r="H263" s="57">
        <v>3401</v>
      </c>
      <c r="I263" s="57">
        <v>3442</v>
      </c>
      <c r="J263" s="57">
        <v>534</v>
      </c>
      <c r="K263" s="57">
        <v>68</v>
      </c>
      <c r="L263" s="57">
        <v>1306</v>
      </c>
      <c r="M263" s="57">
        <v>14</v>
      </c>
      <c r="N263" s="57">
        <v>1141</v>
      </c>
      <c r="O263" s="57">
        <v>974</v>
      </c>
      <c r="P263" s="57">
        <v>7</v>
      </c>
      <c r="Q263" s="57">
        <v>178</v>
      </c>
      <c r="S263" s="4">
        <f t="shared" si="1990"/>
        <v>1996</v>
      </c>
      <c r="T263" s="4" t="str">
        <f t="shared" si="1991"/>
        <v>75+</v>
      </c>
      <c r="U263" s="56">
        <f t="shared" si="1992"/>
        <v>710343.28776711202</v>
      </c>
      <c r="V263" s="4">
        <f t="shared" si="1993"/>
        <v>9429</v>
      </c>
      <c r="W263" s="4">
        <f t="shared" si="1934"/>
        <v>279</v>
      </c>
      <c r="X263" s="4">
        <f t="shared" si="1935"/>
        <v>22</v>
      </c>
      <c r="Y263" s="4">
        <f t="shared" si="1936"/>
        <v>432</v>
      </c>
      <c r="Z263" s="4">
        <f t="shared" si="1937"/>
        <v>397</v>
      </c>
      <c r="AA263" s="4">
        <f t="shared" si="1938"/>
        <v>3401</v>
      </c>
      <c r="AB263" s="4">
        <f t="shared" si="1939"/>
        <v>3442</v>
      </c>
      <c r="AC263" s="4">
        <f t="shared" si="1940"/>
        <v>534</v>
      </c>
      <c r="AD263" s="4">
        <f t="shared" si="1941"/>
        <v>68</v>
      </c>
      <c r="AE263" s="4">
        <f t="shared" si="1942"/>
        <v>1306</v>
      </c>
      <c r="AF263" s="4">
        <f t="shared" si="1943"/>
        <v>14</v>
      </c>
      <c r="AG263" s="4">
        <f t="shared" si="1944"/>
        <v>1141</v>
      </c>
      <c r="AH263" s="4">
        <f t="shared" si="1945"/>
        <v>974</v>
      </c>
      <c r="AI263" s="4">
        <f t="shared" si="1946"/>
        <v>7</v>
      </c>
      <c r="AJ263" s="4">
        <f t="shared" si="1947"/>
        <v>178</v>
      </c>
      <c r="AK263" s="4">
        <f t="shared" si="1994"/>
        <v>21624</v>
      </c>
      <c r="AL263" s="58">
        <f t="shared" si="1995"/>
        <v>1.3273863725296892E-2</v>
      </c>
      <c r="AM263" s="58">
        <f t="shared" si="1948"/>
        <v>3.9276784169666276E-4</v>
      </c>
      <c r="AN263" s="58">
        <f t="shared" si="1949"/>
        <v>3.0970940922317494E-5</v>
      </c>
      <c r="AO263" s="58">
        <f t="shared" si="1950"/>
        <v>6.0815665811096166E-4</v>
      </c>
      <c r="AP263" s="58">
        <f t="shared" si="1951"/>
        <v>5.588847066436384E-4</v>
      </c>
      <c r="AQ263" s="58">
        <f t="shared" si="1952"/>
        <v>4.7878259125818997E-3</v>
      </c>
      <c r="AR263" s="58">
        <f t="shared" si="1953"/>
        <v>4.8455444843007638E-3</v>
      </c>
      <c r="AS263" s="58">
        <f t="shared" si="1954"/>
        <v>7.5174920238716097E-4</v>
      </c>
      <c r="AT263" s="58">
        <f t="shared" si="1955"/>
        <v>9.5728362850799526E-5</v>
      </c>
      <c r="AU263" s="58">
        <f t="shared" si="1956"/>
        <v>1.8385476747521201E-3</v>
      </c>
      <c r="AV263" s="58">
        <f t="shared" si="1957"/>
        <v>1.9708780586929314E-5</v>
      </c>
      <c r="AW263" s="58">
        <f t="shared" si="1958"/>
        <v>1.606265617834739E-3</v>
      </c>
      <c r="AX263" s="58">
        <f t="shared" si="1959"/>
        <v>1.3711680208335108E-3</v>
      </c>
      <c r="AY263" s="58">
        <f t="shared" si="1960"/>
        <v>9.8543902934646572E-6</v>
      </c>
      <c r="AZ263" s="58">
        <f t="shared" si="1961"/>
        <v>2.5058306746238699E-4</v>
      </c>
      <c r="BA263" s="58">
        <f t="shared" si="1996"/>
        <v>3.0441619386554247E-2</v>
      </c>
      <c r="BB263" s="4">
        <f t="shared" si="1997"/>
        <v>699531.28776711202</v>
      </c>
      <c r="BC263" s="59">
        <f t="shared" si="1962"/>
        <v>1.3479025405850185E-2</v>
      </c>
      <c r="BD263" s="59">
        <f t="shared" si="1998"/>
        <v>3.9883848639645793E-4</v>
      </c>
      <c r="BE263" s="59">
        <f t="shared" si="1963"/>
        <v>3.1449629751692027E-5</v>
      </c>
      <c r="BF263" s="59">
        <f t="shared" si="1964"/>
        <v>6.1755636603322511E-4</v>
      </c>
      <c r="BG263" s="59">
        <f t="shared" si="1965"/>
        <v>5.6752286415553336E-4</v>
      </c>
      <c r="BH263" s="59">
        <f t="shared" si="1966"/>
        <v>4.8618268538865713E-3</v>
      </c>
      <c r="BI263" s="59">
        <f t="shared" si="1967"/>
        <v>4.9204375275147243E-3</v>
      </c>
      <c r="BJ263" s="59">
        <f t="shared" si="1968"/>
        <v>7.6336828579107001E-4</v>
      </c>
      <c r="BK263" s="59">
        <f t="shared" si="1969"/>
        <v>9.7207946505229885E-5</v>
      </c>
      <c r="BL263" s="59">
        <f t="shared" si="1970"/>
        <v>1.8669643843504445E-3</v>
      </c>
      <c r="BM263" s="59">
        <f t="shared" si="1971"/>
        <v>2.0013400751076742E-5</v>
      </c>
      <c r="BN263" s="59">
        <f t="shared" si="1972"/>
        <v>1.6310921612127545E-3</v>
      </c>
      <c r="BO263" s="59">
        <f t="shared" si="2013"/>
        <v>1.3923608808249104E-3</v>
      </c>
      <c r="BP263" s="59">
        <f t="shared" si="1974"/>
        <v>1.0006700375538371E-5</v>
      </c>
      <c r="BQ263" s="59">
        <f t="shared" si="1975"/>
        <v>2.5445609526369002E-4</v>
      </c>
      <c r="BR263" s="60">
        <f t="shared" si="2014"/>
        <v>1.0305580591901146E-2</v>
      </c>
      <c r="BS263" s="60">
        <f t="shared" si="1999"/>
        <v>4.8216123935880642E-4</v>
      </c>
      <c r="BT263" s="60">
        <f t="shared" si="2000"/>
        <v>3.2378710964241012E-5</v>
      </c>
      <c r="BU263" s="60">
        <f t="shared" si="2001"/>
        <v>4.0684554211589799E-4</v>
      </c>
      <c r="BV263" s="60">
        <f t="shared" si="2002"/>
        <v>5.0398167500862096E-4</v>
      </c>
      <c r="BW263" s="60">
        <f t="shared" si="2003"/>
        <v>4.7413695011984235E-3</v>
      </c>
      <c r="BX263" s="60">
        <f t="shared" si="2004"/>
        <v>3.6756875794623171E-3</v>
      </c>
      <c r="BY263" s="60">
        <f t="shared" si="2005"/>
        <v>6.4335090915904969E-4</v>
      </c>
      <c r="BZ263" s="60">
        <f t="shared" si="2006"/>
        <v>1.3584980904561992E-4</v>
      </c>
      <c r="CA263" s="60">
        <f t="shared" si="2007"/>
        <v>1.8645914205277054E-3</v>
      </c>
      <c r="CB263" s="60">
        <f t="shared" si="2008"/>
        <v>9.8543902934646572E-6</v>
      </c>
      <c r="CC263" s="60">
        <f t="shared" si="2009"/>
        <v>1.208570580991344E-3</v>
      </c>
      <c r="CD263" s="60">
        <f t="shared" si="2010"/>
        <v>8.4466202515411342E-4</v>
      </c>
      <c r="CE263" s="60">
        <f t="shared" si="2011"/>
        <v>8.4466202515411342E-6</v>
      </c>
      <c r="CF263" s="13">
        <f t="shared" si="2012"/>
        <v>2.3861702210603705E-4</v>
      </c>
    </row>
    <row r="264" spans="1:84" hidden="1" x14ac:dyDescent="0.25">
      <c r="C264" s="4"/>
    </row>
    <row r="265" spans="1:84" hidden="1" x14ac:dyDescent="0.25">
      <c r="C265" s="4"/>
    </row>
    <row r="266" spans="1:84" hidden="1" x14ac:dyDescent="0.25">
      <c r="C266" s="4"/>
    </row>
    <row r="267" spans="1:84" hidden="1" x14ac:dyDescent="0.25">
      <c r="C267" s="4"/>
    </row>
    <row r="268" spans="1:84" hidden="1" x14ac:dyDescent="0.25">
      <c r="C268" s="4"/>
    </row>
    <row r="269" spans="1:84" hidden="1" x14ac:dyDescent="0.25">
      <c r="C269" s="4"/>
    </row>
    <row r="270" spans="1:84" hidden="1" x14ac:dyDescent="0.25">
      <c r="C270" s="4"/>
    </row>
    <row r="271" spans="1:84" hidden="1" x14ac:dyDescent="0.25">
      <c r="C271" s="4"/>
    </row>
    <row r="272" spans="1:84" hidden="1" x14ac:dyDescent="0.25">
      <c r="C272" s="4"/>
    </row>
    <row r="273" spans="3:3" hidden="1" x14ac:dyDescent="0.25">
      <c r="C273" s="4"/>
    </row>
    <row r="274" spans="3:3" hidden="1" x14ac:dyDescent="0.25">
      <c r="C274" s="4"/>
    </row>
    <row r="275" spans="3:3" hidden="1" x14ac:dyDescent="0.25">
      <c r="C275" s="4"/>
    </row>
    <row r="276" spans="3:3" hidden="1" x14ac:dyDescent="0.25">
      <c r="C276" s="4"/>
    </row>
    <row r="277" spans="3:3" hidden="1" x14ac:dyDescent="0.25">
      <c r="C277" s="4"/>
    </row>
    <row r="278" spans="3:3" hidden="1" x14ac:dyDescent="0.25">
      <c r="C278" s="4"/>
    </row>
    <row r="279" spans="3:3" hidden="1" x14ac:dyDescent="0.25">
      <c r="C279" s="4"/>
    </row>
    <row r="280" spans="3:3" hidden="1" x14ac:dyDescent="0.25">
      <c r="C280" s="4"/>
    </row>
    <row r="281" spans="3:3" hidden="1" x14ac:dyDescent="0.25">
      <c r="C281" s="4"/>
    </row>
    <row r="282" spans="3:3" hidden="1" x14ac:dyDescent="0.25">
      <c r="C282" s="4"/>
    </row>
    <row r="283" spans="3:3" hidden="1" x14ac:dyDescent="0.25">
      <c r="C283" s="4"/>
    </row>
    <row r="284" spans="3:3" hidden="1" x14ac:dyDescent="0.25">
      <c r="C284" s="4"/>
    </row>
    <row r="285" spans="3:3" hidden="1" x14ac:dyDescent="0.25">
      <c r="C285" s="4"/>
    </row>
    <row r="286" spans="3:3" hidden="1" x14ac:dyDescent="0.25">
      <c r="C286" s="4"/>
    </row>
    <row r="287" spans="3:3" hidden="1" x14ac:dyDescent="0.25">
      <c r="C287" s="4"/>
    </row>
    <row r="288" spans="3:3" hidden="1" x14ac:dyDescent="0.25">
      <c r="C288" s="4"/>
    </row>
    <row r="289" spans="3:3" hidden="1" x14ac:dyDescent="0.25">
      <c r="C289" s="4"/>
    </row>
    <row r="290" spans="3:3" hidden="1" x14ac:dyDescent="0.25">
      <c r="C290" s="4"/>
    </row>
    <row r="291" spans="3:3" hidden="1" x14ac:dyDescent="0.25">
      <c r="C291" s="4"/>
    </row>
    <row r="292" spans="3:3" hidden="1" x14ac:dyDescent="0.25">
      <c r="C292" s="4"/>
    </row>
    <row r="293" spans="3:3" hidden="1" x14ac:dyDescent="0.25">
      <c r="C293" s="4"/>
    </row>
    <row r="294" spans="3:3" hidden="1" x14ac:dyDescent="0.25">
      <c r="C294" s="4"/>
    </row>
    <row r="295" spans="3:3" hidden="1" x14ac:dyDescent="0.25">
      <c r="C295" s="4"/>
    </row>
    <row r="296" spans="3:3" hidden="1" x14ac:dyDescent="0.25">
      <c r="C296" s="4"/>
    </row>
    <row r="297" spans="3:3" hidden="1" x14ac:dyDescent="0.25">
      <c r="C297" s="4"/>
    </row>
    <row r="298" spans="3:3" hidden="1" x14ac:dyDescent="0.25">
      <c r="C298" s="4"/>
    </row>
    <row r="299" spans="3:3" hidden="1" x14ac:dyDescent="0.25">
      <c r="C299" s="4"/>
    </row>
    <row r="300" spans="3:3" hidden="1" x14ac:dyDescent="0.25">
      <c r="C300" s="4"/>
    </row>
    <row r="301" spans="3:3" hidden="1" x14ac:dyDescent="0.25">
      <c r="C301" s="4"/>
    </row>
    <row r="302" spans="3:3" hidden="1" x14ac:dyDescent="0.25">
      <c r="C302" s="4"/>
    </row>
    <row r="303" spans="3:3" hidden="1" x14ac:dyDescent="0.25">
      <c r="C303" s="4"/>
    </row>
    <row r="304" spans="3:3" hidden="1" x14ac:dyDescent="0.25">
      <c r="C304" s="4"/>
    </row>
    <row r="305" spans="3:3" hidden="1" x14ac:dyDescent="0.25">
      <c r="C305" s="4"/>
    </row>
    <row r="306" spans="3:3" hidden="1" x14ac:dyDescent="0.25">
      <c r="C306" s="4"/>
    </row>
    <row r="307" spans="3:3" hidden="1" x14ac:dyDescent="0.25">
      <c r="C307" s="4"/>
    </row>
    <row r="308" spans="3:3" x14ac:dyDescent="0.25">
      <c r="C308" s="4"/>
    </row>
    <row r="309" spans="3:3" x14ac:dyDescent="0.25">
      <c r="C309" s="4"/>
    </row>
    <row r="310" spans="3:3" x14ac:dyDescent="0.25">
      <c r="C310" s="4"/>
    </row>
    <row r="311" spans="3:3" x14ac:dyDescent="0.25">
      <c r="C311" s="4"/>
    </row>
    <row r="312" spans="3:3" x14ac:dyDescent="0.25">
      <c r="C312" s="4"/>
    </row>
    <row r="313" spans="3:3" x14ac:dyDescent="0.25">
      <c r="C313" s="4"/>
    </row>
    <row r="314" spans="3:3" x14ac:dyDescent="0.25">
      <c r="C314" s="4"/>
    </row>
    <row r="315" spans="3:3" x14ac:dyDescent="0.25">
      <c r="C315" s="4"/>
    </row>
    <row r="316" spans="3:3" x14ac:dyDescent="0.25">
      <c r="C316" s="4"/>
    </row>
    <row r="317" spans="3:3" x14ac:dyDescent="0.25">
      <c r="C317" s="4"/>
    </row>
    <row r="318" spans="3:3" x14ac:dyDescent="0.25">
      <c r="C318" s="4"/>
    </row>
    <row r="319" spans="3:3" x14ac:dyDescent="0.25">
      <c r="C319" s="4"/>
    </row>
    <row r="320" spans="3:3" x14ac:dyDescent="0.25">
      <c r="C320" s="4"/>
    </row>
    <row r="321" spans="3:3" x14ac:dyDescent="0.25">
      <c r="C321" s="4"/>
    </row>
    <row r="322" spans="3:3" x14ac:dyDescent="0.25">
      <c r="C322" s="4"/>
    </row>
    <row r="323" spans="3:3" x14ac:dyDescent="0.25">
      <c r="C323" s="4"/>
    </row>
    <row r="324" spans="3:3" x14ac:dyDescent="0.25">
      <c r="C324" s="4"/>
    </row>
    <row r="325" spans="3:3" x14ac:dyDescent="0.25">
      <c r="C325" s="4"/>
    </row>
    <row r="326" spans="3:3" x14ac:dyDescent="0.25">
      <c r="C326" s="4"/>
    </row>
    <row r="327" spans="3:3" x14ac:dyDescent="0.25">
      <c r="C327" s="4"/>
    </row>
    <row r="328" spans="3:3" x14ac:dyDescent="0.25">
      <c r="C328" s="4"/>
    </row>
    <row r="329" spans="3:3" x14ac:dyDescent="0.25">
      <c r="C329" s="4"/>
    </row>
    <row r="330" spans="3:3" x14ac:dyDescent="0.25">
      <c r="C330" s="4"/>
    </row>
    <row r="331" spans="3:3" x14ac:dyDescent="0.25">
      <c r="C331" s="4"/>
    </row>
    <row r="332" spans="3:3" x14ac:dyDescent="0.25">
      <c r="C332" s="4"/>
    </row>
    <row r="333" spans="3:3" x14ac:dyDescent="0.25">
      <c r="C333" s="4"/>
    </row>
    <row r="334" spans="3:3" x14ac:dyDescent="0.25">
      <c r="C334" s="4"/>
    </row>
    <row r="335" spans="3:3" x14ac:dyDescent="0.25">
      <c r="C335" s="4"/>
    </row>
    <row r="336" spans="3:3" x14ac:dyDescent="0.25">
      <c r="C336" s="4"/>
    </row>
    <row r="337" spans="3:3" x14ac:dyDescent="0.25">
      <c r="C337" s="4"/>
    </row>
    <row r="338" spans="3:3" x14ac:dyDescent="0.25">
      <c r="C338" s="4"/>
    </row>
    <row r="339" spans="3:3" x14ac:dyDescent="0.25">
      <c r="C339" s="4"/>
    </row>
    <row r="340" spans="3:3" x14ac:dyDescent="0.25">
      <c r="C340" s="4"/>
    </row>
    <row r="341" spans="3:3" x14ac:dyDescent="0.25">
      <c r="C341" s="4"/>
    </row>
    <row r="342" spans="3:3" x14ac:dyDescent="0.25">
      <c r="C342" s="4"/>
    </row>
    <row r="343" spans="3:3" x14ac:dyDescent="0.25">
      <c r="C343" s="4"/>
    </row>
    <row r="344" spans="3:3" x14ac:dyDescent="0.25">
      <c r="C344" s="4"/>
    </row>
    <row r="345" spans="3:3" x14ac:dyDescent="0.25">
      <c r="C345" s="4"/>
    </row>
    <row r="346" spans="3:3" x14ac:dyDescent="0.25">
      <c r="C346" s="4"/>
    </row>
    <row r="347" spans="3:3" x14ac:dyDescent="0.25">
      <c r="C347" s="4"/>
    </row>
    <row r="348" spans="3:3" x14ac:dyDescent="0.25">
      <c r="C348" s="4"/>
    </row>
    <row r="349" spans="3:3" x14ac:dyDescent="0.25">
      <c r="C349" s="4"/>
    </row>
    <row r="350" spans="3:3" x14ac:dyDescent="0.25">
      <c r="C350" s="4"/>
    </row>
    <row r="351" spans="3:3" x14ac:dyDescent="0.25">
      <c r="C351" s="4"/>
    </row>
    <row r="352" spans="3:3" x14ac:dyDescent="0.25">
      <c r="C352" s="4"/>
    </row>
    <row r="353" spans="3:3" x14ac:dyDescent="0.25">
      <c r="C353" s="4"/>
    </row>
    <row r="354" spans="3:3" x14ac:dyDescent="0.25">
      <c r="C354" s="4"/>
    </row>
    <row r="355" spans="3:3" x14ac:dyDescent="0.25">
      <c r="C355" s="4"/>
    </row>
    <row r="356" spans="3:3" x14ac:dyDescent="0.25">
      <c r="C356" s="4"/>
    </row>
    <row r="357" spans="3:3" x14ac:dyDescent="0.25">
      <c r="C357" s="4"/>
    </row>
    <row r="358" spans="3:3" x14ac:dyDescent="0.25">
      <c r="C358" s="4"/>
    </row>
    <row r="359" spans="3:3" x14ac:dyDescent="0.25">
      <c r="C359" s="4"/>
    </row>
    <row r="360" spans="3:3" x14ac:dyDescent="0.25">
      <c r="C360" s="4"/>
    </row>
    <row r="361" spans="3:3" x14ac:dyDescent="0.25">
      <c r="C361" s="4"/>
    </row>
    <row r="362" spans="3:3" x14ac:dyDescent="0.25">
      <c r="C362" s="4"/>
    </row>
    <row r="363" spans="3:3" x14ac:dyDescent="0.25">
      <c r="C363" s="4"/>
    </row>
    <row r="364" spans="3:3" x14ac:dyDescent="0.25">
      <c r="C364" s="4"/>
    </row>
    <row r="365" spans="3:3" x14ac:dyDescent="0.25">
      <c r="C365" s="4"/>
    </row>
    <row r="366" spans="3:3" x14ac:dyDescent="0.25">
      <c r="C366" s="4"/>
    </row>
    <row r="367" spans="3:3" x14ac:dyDescent="0.25">
      <c r="C367" s="4"/>
    </row>
    <row r="368" spans="3:3" x14ac:dyDescent="0.25">
      <c r="C368" s="4"/>
    </row>
    <row r="369" spans="3:3" x14ac:dyDescent="0.25">
      <c r="C369" s="4"/>
    </row>
    <row r="370" spans="3:3" x14ac:dyDescent="0.25">
      <c r="C370" s="4"/>
    </row>
    <row r="371" spans="3:3" x14ac:dyDescent="0.25">
      <c r="C371" s="4"/>
    </row>
    <row r="372" spans="3:3" x14ac:dyDescent="0.25">
      <c r="C372" s="4"/>
    </row>
    <row r="373" spans="3:3" x14ac:dyDescent="0.25">
      <c r="C373" s="4"/>
    </row>
    <row r="374" spans="3:3" x14ac:dyDescent="0.25">
      <c r="C374" s="4"/>
    </row>
    <row r="375" spans="3:3" x14ac:dyDescent="0.25">
      <c r="C375" s="4"/>
    </row>
    <row r="376" spans="3:3" x14ac:dyDescent="0.25">
      <c r="C376" s="4"/>
    </row>
    <row r="377" spans="3:3" x14ac:dyDescent="0.25">
      <c r="C377" s="4"/>
    </row>
    <row r="378" spans="3:3" x14ac:dyDescent="0.25">
      <c r="C378" s="4"/>
    </row>
    <row r="379" spans="3:3" x14ac:dyDescent="0.25">
      <c r="C379" s="4"/>
    </row>
    <row r="380" spans="3:3" x14ac:dyDescent="0.25">
      <c r="C380" s="4"/>
    </row>
    <row r="381" spans="3:3" x14ac:dyDescent="0.25">
      <c r="C381" s="4"/>
    </row>
    <row r="382" spans="3:3" x14ac:dyDescent="0.25">
      <c r="C382" s="4"/>
    </row>
    <row r="383" spans="3:3" x14ac:dyDescent="0.25">
      <c r="C383" s="4"/>
    </row>
    <row r="384" spans="3:3" x14ac:dyDescent="0.25">
      <c r="C384" s="4"/>
    </row>
    <row r="385" spans="3:3" x14ac:dyDescent="0.25">
      <c r="C385" s="4"/>
    </row>
    <row r="386" spans="3:3" x14ac:dyDescent="0.25">
      <c r="C386" s="4"/>
    </row>
    <row r="387" spans="3:3" x14ac:dyDescent="0.25">
      <c r="C387" s="4"/>
    </row>
    <row r="388" spans="3:3" x14ac:dyDescent="0.25">
      <c r="C388" s="4"/>
    </row>
    <row r="389" spans="3:3" x14ac:dyDescent="0.25">
      <c r="C389" s="4"/>
    </row>
    <row r="390" spans="3:3" x14ac:dyDescent="0.25">
      <c r="C390" s="4"/>
    </row>
    <row r="391" spans="3:3" x14ac:dyDescent="0.25">
      <c r="C391" s="4"/>
    </row>
    <row r="392" spans="3:3" x14ac:dyDescent="0.25">
      <c r="C392" s="4"/>
    </row>
    <row r="393" spans="3:3" x14ac:dyDescent="0.25">
      <c r="C393" s="4"/>
    </row>
    <row r="394" spans="3:3" x14ac:dyDescent="0.25">
      <c r="C394" s="4"/>
    </row>
    <row r="395" spans="3:3" x14ac:dyDescent="0.25">
      <c r="C395" s="4"/>
    </row>
    <row r="396" spans="3:3" x14ac:dyDescent="0.25">
      <c r="C396" s="4"/>
    </row>
    <row r="397" spans="3:3" x14ac:dyDescent="0.25">
      <c r="C397" s="4"/>
    </row>
    <row r="398" spans="3:3" x14ac:dyDescent="0.25">
      <c r="C398" s="4"/>
    </row>
    <row r="399" spans="3:3" x14ac:dyDescent="0.25">
      <c r="C399" s="4"/>
    </row>
    <row r="400" spans="3:3" x14ac:dyDescent="0.25">
      <c r="C400" s="4"/>
    </row>
    <row r="401" spans="3:3" x14ac:dyDescent="0.25">
      <c r="C401" s="4"/>
    </row>
    <row r="402" spans="3:3" x14ac:dyDescent="0.25">
      <c r="C402" s="4"/>
    </row>
    <row r="403" spans="3:3" x14ac:dyDescent="0.25">
      <c r="C403" s="4"/>
    </row>
    <row r="404" spans="3:3" x14ac:dyDescent="0.25">
      <c r="C404" s="4"/>
    </row>
    <row r="405" spans="3:3" x14ac:dyDescent="0.25">
      <c r="C405" s="4"/>
    </row>
    <row r="406" spans="3:3" x14ac:dyDescent="0.25">
      <c r="C406" s="4"/>
    </row>
    <row r="407" spans="3:3" x14ac:dyDescent="0.25">
      <c r="C407" s="4"/>
    </row>
    <row r="408" spans="3:3" x14ac:dyDescent="0.25">
      <c r="C408" s="4"/>
    </row>
    <row r="409" spans="3:3" x14ac:dyDescent="0.25">
      <c r="C409" s="4"/>
    </row>
    <row r="410" spans="3:3" x14ac:dyDescent="0.25">
      <c r="C410" s="4"/>
    </row>
    <row r="411" spans="3:3" x14ac:dyDescent="0.25">
      <c r="C411" s="4"/>
    </row>
    <row r="412" spans="3:3" x14ac:dyDescent="0.25">
      <c r="C412" s="4"/>
    </row>
    <row r="413" spans="3:3" x14ac:dyDescent="0.25">
      <c r="C413" s="4"/>
    </row>
    <row r="414" spans="3:3" x14ac:dyDescent="0.25">
      <c r="C414" s="4"/>
    </row>
    <row r="415" spans="3:3" x14ac:dyDescent="0.25">
      <c r="C415" s="4"/>
    </row>
    <row r="416" spans="3:3" x14ac:dyDescent="0.25">
      <c r="C416" s="4"/>
    </row>
    <row r="417" spans="3:3" x14ac:dyDescent="0.25">
      <c r="C417" s="4"/>
    </row>
    <row r="418" spans="3:3" x14ac:dyDescent="0.25">
      <c r="C418" s="4"/>
    </row>
    <row r="419" spans="3:3" x14ac:dyDescent="0.25">
      <c r="C419" s="4"/>
    </row>
    <row r="420" spans="3:3" x14ac:dyDescent="0.25">
      <c r="C420" s="4"/>
    </row>
    <row r="421" spans="3:3" x14ac:dyDescent="0.25">
      <c r="C421" s="4"/>
    </row>
    <row r="422" spans="3:3" x14ac:dyDescent="0.25">
      <c r="C422" s="4"/>
    </row>
    <row r="423" spans="3:3" x14ac:dyDescent="0.25">
      <c r="C423" s="4"/>
    </row>
    <row r="424" spans="3:3" x14ac:dyDescent="0.25">
      <c r="C424" s="4"/>
    </row>
    <row r="425" spans="3:3" x14ac:dyDescent="0.25">
      <c r="C425" s="4"/>
    </row>
    <row r="426" spans="3:3" x14ac:dyDescent="0.25">
      <c r="C426" s="4"/>
    </row>
    <row r="427" spans="3:3" x14ac:dyDescent="0.25">
      <c r="C427" s="4"/>
    </row>
    <row r="428" spans="3:3" x14ac:dyDescent="0.25">
      <c r="C428" s="4"/>
    </row>
    <row r="429" spans="3:3" x14ac:dyDescent="0.25">
      <c r="C429" s="4"/>
    </row>
    <row r="430" spans="3:3" x14ac:dyDescent="0.25">
      <c r="C430" s="4"/>
    </row>
    <row r="431" spans="3:3" x14ac:dyDescent="0.25">
      <c r="C431" s="4"/>
    </row>
    <row r="432" spans="3:3" x14ac:dyDescent="0.25">
      <c r="C432" s="4"/>
    </row>
    <row r="433" spans="3:3" x14ac:dyDescent="0.25">
      <c r="C433" s="4"/>
    </row>
    <row r="434" spans="3:3" x14ac:dyDescent="0.25">
      <c r="C434" s="4"/>
    </row>
    <row r="435" spans="3:3" x14ac:dyDescent="0.25">
      <c r="C435" s="4"/>
    </row>
    <row r="436" spans="3:3" x14ac:dyDescent="0.25">
      <c r="C436" s="4"/>
    </row>
    <row r="437" spans="3:3" x14ac:dyDescent="0.25">
      <c r="C437" s="4"/>
    </row>
    <row r="438" spans="3:3" x14ac:dyDescent="0.25">
      <c r="C438" s="4"/>
    </row>
    <row r="439" spans="3:3" x14ac:dyDescent="0.25">
      <c r="C439" s="4"/>
    </row>
    <row r="440" spans="3:3" x14ac:dyDescent="0.25">
      <c r="C440" s="4"/>
    </row>
    <row r="441" spans="3:3" x14ac:dyDescent="0.25">
      <c r="C441" s="4"/>
    </row>
    <row r="442" spans="3:3" x14ac:dyDescent="0.25">
      <c r="C442" s="4"/>
    </row>
    <row r="443" spans="3:3" x14ac:dyDescent="0.25">
      <c r="C443" s="4"/>
    </row>
    <row r="444" spans="3:3" x14ac:dyDescent="0.25">
      <c r="C444" s="4"/>
    </row>
    <row r="445" spans="3:3" x14ac:dyDescent="0.25">
      <c r="C445" s="4"/>
    </row>
    <row r="446" spans="3:3" x14ac:dyDescent="0.25">
      <c r="C446" s="4"/>
    </row>
    <row r="447" spans="3:3" x14ac:dyDescent="0.25">
      <c r="C447" s="4"/>
    </row>
    <row r="448" spans="3:3" x14ac:dyDescent="0.25">
      <c r="C448" s="4"/>
    </row>
    <row r="449" spans="3:3" x14ac:dyDescent="0.25">
      <c r="C449" s="4"/>
    </row>
    <row r="450" spans="3:3" x14ac:dyDescent="0.25">
      <c r="C450" s="4"/>
    </row>
    <row r="451" spans="3:3" x14ac:dyDescent="0.25">
      <c r="C451" s="4"/>
    </row>
    <row r="452" spans="3:3" x14ac:dyDescent="0.25">
      <c r="C452" s="4"/>
    </row>
    <row r="453" spans="3:3" x14ac:dyDescent="0.25">
      <c r="C453" s="4"/>
    </row>
    <row r="454" spans="3:3" x14ac:dyDescent="0.25">
      <c r="C454" s="4"/>
    </row>
    <row r="455" spans="3:3" x14ac:dyDescent="0.25">
      <c r="C455" s="4"/>
    </row>
    <row r="456" spans="3:3" x14ac:dyDescent="0.25">
      <c r="C456" s="4"/>
    </row>
    <row r="457" spans="3:3" x14ac:dyDescent="0.25">
      <c r="C457" s="4"/>
    </row>
    <row r="458" spans="3:3" x14ac:dyDescent="0.25">
      <c r="C458" s="4"/>
    </row>
    <row r="459" spans="3:3" x14ac:dyDescent="0.25">
      <c r="C459" s="4"/>
    </row>
    <row r="460" spans="3:3" x14ac:dyDescent="0.25">
      <c r="C460" s="4"/>
    </row>
    <row r="461" spans="3:3" x14ac:dyDescent="0.25">
      <c r="C461" s="4"/>
    </row>
    <row r="462" spans="3:3" x14ac:dyDescent="0.25">
      <c r="C462" s="4"/>
    </row>
    <row r="463" spans="3:3" x14ac:dyDescent="0.25">
      <c r="C463" s="4"/>
    </row>
    <row r="464" spans="3:3" x14ac:dyDescent="0.25">
      <c r="C464" s="4"/>
    </row>
    <row r="465" spans="3:3" x14ac:dyDescent="0.25">
      <c r="C465" s="4"/>
    </row>
    <row r="466" spans="3:3" x14ac:dyDescent="0.25">
      <c r="C466" s="4"/>
    </row>
    <row r="467" spans="3:3" x14ac:dyDescent="0.25">
      <c r="C467" s="4"/>
    </row>
    <row r="468" spans="3:3" x14ac:dyDescent="0.25">
      <c r="C468" s="4"/>
    </row>
    <row r="469" spans="3:3" x14ac:dyDescent="0.25">
      <c r="C469" s="4"/>
    </row>
    <row r="470" spans="3:3" x14ac:dyDescent="0.25">
      <c r="C470" s="4"/>
    </row>
    <row r="471" spans="3:3" x14ac:dyDescent="0.25">
      <c r="C471" s="4"/>
    </row>
    <row r="472" spans="3:3" x14ac:dyDescent="0.25">
      <c r="C472" s="4"/>
    </row>
    <row r="473" spans="3:3" x14ac:dyDescent="0.25">
      <c r="C473" s="4"/>
    </row>
    <row r="474" spans="3:3" x14ac:dyDescent="0.25">
      <c r="C474" s="4"/>
    </row>
    <row r="475" spans="3:3" x14ac:dyDescent="0.25">
      <c r="C475" s="4"/>
    </row>
    <row r="476" spans="3:3" x14ac:dyDescent="0.25">
      <c r="C476" s="4"/>
    </row>
    <row r="477" spans="3:3" x14ac:dyDescent="0.25">
      <c r="C477" s="4"/>
    </row>
    <row r="478" spans="3:3" x14ac:dyDescent="0.25">
      <c r="C478" s="4"/>
    </row>
    <row r="479" spans="3:3" x14ac:dyDescent="0.25">
      <c r="C479" s="4"/>
    </row>
    <row r="480" spans="3:3" x14ac:dyDescent="0.25">
      <c r="C480" s="4"/>
    </row>
    <row r="481" spans="3:3" x14ac:dyDescent="0.25">
      <c r="C481" s="4"/>
    </row>
    <row r="482" spans="3:3" x14ac:dyDescent="0.25">
      <c r="C482" s="4"/>
    </row>
    <row r="483" spans="3:3" x14ac:dyDescent="0.25">
      <c r="C483" s="4"/>
    </row>
    <row r="484" spans="3:3" x14ac:dyDescent="0.25">
      <c r="C484" s="4"/>
    </row>
    <row r="485" spans="3:3" x14ac:dyDescent="0.25">
      <c r="C485" s="4"/>
    </row>
    <row r="486" spans="3:3" x14ac:dyDescent="0.25">
      <c r="C486" s="4"/>
    </row>
    <row r="487" spans="3:3" x14ac:dyDescent="0.25">
      <c r="C487" s="4"/>
    </row>
    <row r="488" spans="3:3" x14ac:dyDescent="0.25">
      <c r="C488" s="4"/>
    </row>
    <row r="489" spans="3:3" x14ac:dyDescent="0.25">
      <c r="C489" s="4"/>
    </row>
    <row r="490" spans="3:3" x14ac:dyDescent="0.25">
      <c r="C490" s="4"/>
    </row>
    <row r="491" spans="3:3" x14ac:dyDescent="0.25">
      <c r="C491" s="4"/>
    </row>
    <row r="492" spans="3:3" x14ac:dyDescent="0.25">
      <c r="C492" s="4"/>
    </row>
    <row r="493" spans="3:3" x14ac:dyDescent="0.25">
      <c r="C493" s="4"/>
    </row>
    <row r="494" spans="3:3" x14ac:dyDescent="0.25">
      <c r="C494" s="4"/>
    </row>
    <row r="495" spans="3:3" x14ac:dyDescent="0.25">
      <c r="C495" s="4"/>
    </row>
    <row r="496" spans="3:3" x14ac:dyDescent="0.25">
      <c r="C496" s="4"/>
    </row>
    <row r="497" spans="3:3" x14ac:dyDescent="0.25">
      <c r="C497" s="4"/>
    </row>
    <row r="498" spans="3:3" x14ac:dyDescent="0.25">
      <c r="C498" s="4"/>
    </row>
    <row r="499" spans="3:3" x14ac:dyDescent="0.25">
      <c r="C499" s="4"/>
    </row>
    <row r="500" spans="3:3" x14ac:dyDescent="0.25">
      <c r="C500" s="4"/>
    </row>
    <row r="501" spans="3:3" x14ac:dyDescent="0.25">
      <c r="C501" s="4"/>
    </row>
    <row r="502" spans="3:3" x14ac:dyDescent="0.25">
      <c r="C502" s="4"/>
    </row>
    <row r="503" spans="3:3" x14ac:dyDescent="0.25">
      <c r="C503" s="4"/>
    </row>
    <row r="504" spans="3:3" x14ac:dyDescent="0.25">
      <c r="C504" s="4"/>
    </row>
    <row r="505" spans="3:3" x14ac:dyDescent="0.25">
      <c r="C505" s="4"/>
    </row>
    <row r="506" spans="3:3" x14ac:dyDescent="0.25">
      <c r="C506" s="4"/>
    </row>
    <row r="507" spans="3:3" x14ac:dyDescent="0.25">
      <c r="C507" s="4"/>
    </row>
    <row r="508" spans="3:3" x14ac:dyDescent="0.25">
      <c r="C508" s="4"/>
    </row>
    <row r="509" spans="3:3" x14ac:dyDescent="0.25">
      <c r="C509" s="4"/>
    </row>
    <row r="510" spans="3:3" x14ac:dyDescent="0.25">
      <c r="C510" s="4"/>
    </row>
    <row r="511" spans="3:3" x14ac:dyDescent="0.25">
      <c r="C511" s="4"/>
    </row>
    <row r="512" spans="3:3" x14ac:dyDescent="0.25">
      <c r="C512" s="4"/>
    </row>
    <row r="513" spans="3:3" x14ac:dyDescent="0.25">
      <c r="C513" s="4"/>
    </row>
    <row r="514" spans="3:3" x14ac:dyDescent="0.25">
      <c r="C514" s="4"/>
    </row>
    <row r="515" spans="3:3" x14ac:dyDescent="0.25">
      <c r="C515" s="4"/>
    </row>
    <row r="516" spans="3:3" x14ac:dyDescent="0.25">
      <c r="C516" s="4"/>
    </row>
    <row r="517" spans="3:3" x14ac:dyDescent="0.25">
      <c r="C517" s="4"/>
    </row>
    <row r="518" spans="3:3" x14ac:dyDescent="0.25">
      <c r="C518" s="4"/>
    </row>
    <row r="519" spans="3:3" x14ac:dyDescent="0.25">
      <c r="C519" s="4"/>
    </row>
    <row r="520" spans="3:3" x14ac:dyDescent="0.25">
      <c r="C520" s="4"/>
    </row>
    <row r="521" spans="3:3" x14ac:dyDescent="0.25">
      <c r="C521" s="4"/>
    </row>
    <row r="522" spans="3:3" x14ac:dyDescent="0.25">
      <c r="C522" s="4"/>
    </row>
    <row r="523" spans="3:3" x14ac:dyDescent="0.25">
      <c r="C523" s="4"/>
    </row>
    <row r="524" spans="3:3" x14ac:dyDescent="0.25">
      <c r="C524" s="4"/>
    </row>
    <row r="525" spans="3:3" x14ac:dyDescent="0.25">
      <c r="C525" s="4"/>
    </row>
    <row r="526" spans="3:3" x14ac:dyDescent="0.25">
      <c r="C526" s="4"/>
    </row>
    <row r="527" spans="3:3" x14ac:dyDescent="0.25">
      <c r="C527" s="4"/>
    </row>
    <row r="528" spans="3:3" x14ac:dyDescent="0.25">
      <c r="C528" s="4"/>
    </row>
    <row r="529" spans="3:3" x14ac:dyDescent="0.25">
      <c r="C529" s="4"/>
    </row>
    <row r="530" spans="3:3" x14ac:dyDescent="0.25">
      <c r="C530" s="4"/>
    </row>
    <row r="531" spans="3:3" x14ac:dyDescent="0.25">
      <c r="C531" s="4"/>
    </row>
    <row r="532" spans="3:3" x14ac:dyDescent="0.25">
      <c r="C532" s="4"/>
    </row>
    <row r="533" spans="3:3" x14ac:dyDescent="0.25">
      <c r="C533" s="4"/>
    </row>
    <row r="534" spans="3:3" x14ac:dyDescent="0.25">
      <c r="C534" s="4"/>
    </row>
    <row r="535" spans="3:3" x14ac:dyDescent="0.25">
      <c r="C535" s="4"/>
    </row>
    <row r="536" spans="3:3" x14ac:dyDescent="0.25">
      <c r="C536" s="4"/>
    </row>
    <row r="537" spans="3:3" x14ac:dyDescent="0.25">
      <c r="C537" s="4"/>
    </row>
    <row r="538" spans="3:3" x14ac:dyDescent="0.25">
      <c r="C538" s="4"/>
    </row>
    <row r="539" spans="3:3" x14ac:dyDescent="0.25">
      <c r="C539" s="4"/>
    </row>
    <row r="540" spans="3:3" x14ac:dyDescent="0.25">
      <c r="C540" s="4"/>
    </row>
    <row r="541" spans="3:3" x14ac:dyDescent="0.25">
      <c r="C541" s="4"/>
    </row>
    <row r="542" spans="3:3" x14ac:dyDescent="0.25">
      <c r="C542" s="4"/>
    </row>
    <row r="543" spans="3:3" x14ac:dyDescent="0.25">
      <c r="C543" s="4"/>
    </row>
    <row r="544" spans="3:3" x14ac:dyDescent="0.25">
      <c r="C544" s="4"/>
    </row>
    <row r="545" spans="3:3" x14ac:dyDescent="0.25">
      <c r="C545" s="4"/>
    </row>
    <row r="546" spans="3:3" x14ac:dyDescent="0.25">
      <c r="C546" s="4"/>
    </row>
    <row r="547" spans="3:3" x14ac:dyDescent="0.25">
      <c r="C547" s="4"/>
    </row>
    <row r="548" spans="3:3" x14ac:dyDescent="0.25">
      <c r="C548" s="4"/>
    </row>
    <row r="549" spans="3:3" x14ac:dyDescent="0.25">
      <c r="C549" s="4"/>
    </row>
    <row r="550" spans="3:3" x14ac:dyDescent="0.25">
      <c r="C550" s="4"/>
    </row>
    <row r="551" spans="3:3" x14ac:dyDescent="0.25">
      <c r="C551" s="4"/>
    </row>
    <row r="552" spans="3:3" x14ac:dyDescent="0.25">
      <c r="C552" s="4"/>
    </row>
    <row r="553" spans="3:3" x14ac:dyDescent="0.25">
      <c r="C553" s="4"/>
    </row>
    <row r="554" spans="3:3" x14ac:dyDescent="0.25">
      <c r="C554" s="4"/>
    </row>
    <row r="555" spans="3:3" x14ac:dyDescent="0.25">
      <c r="C555" s="4"/>
    </row>
    <row r="556" spans="3:3" x14ac:dyDescent="0.25">
      <c r="C556" s="4"/>
    </row>
    <row r="557" spans="3:3" x14ac:dyDescent="0.25">
      <c r="C557" s="4"/>
    </row>
    <row r="558" spans="3:3" x14ac:dyDescent="0.25">
      <c r="C558" s="4"/>
    </row>
    <row r="559" spans="3:3" x14ac:dyDescent="0.25">
      <c r="C559" s="4"/>
    </row>
    <row r="560" spans="3:3" x14ac:dyDescent="0.25">
      <c r="C560" s="4"/>
    </row>
    <row r="561" spans="3:3" x14ac:dyDescent="0.25">
      <c r="C561" s="4"/>
    </row>
    <row r="562" spans="3:3" x14ac:dyDescent="0.25">
      <c r="C562" s="4"/>
    </row>
    <row r="563" spans="3:3" x14ac:dyDescent="0.25">
      <c r="C563" s="4"/>
    </row>
    <row r="564" spans="3:3" x14ac:dyDescent="0.25">
      <c r="C564" s="4"/>
    </row>
    <row r="565" spans="3:3" x14ac:dyDescent="0.25">
      <c r="C565" s="4"/>
    </row>
    <row r="566" spans="3:3" x14ac:dyDescent="0.25">
      <c r="C566" s="4"/>
    </row>
    <row r="567" spans="3:3" x14ac:dyDescent="0.25">
      <c r="C567" s="4"/>
    </row>
    <row r="568" spans="3:3" x14ac:dyDescent="0.25">
      <c r="C568" s="4"/>
    </row>
    <row r="569" spans="3:3" x14ac:dyDescent="0.25">
      <c r="C569" s="4"/>
    </row>
    <row r="570" spans="3:3" x14ac:dyDescent="0.25">
      <c r="C570" s="4"/>
    </row>
    <row r="571" spans="3:3" x14ac:dyDescent="0.25">
      <c r="C571" s="4"/>
    </row>
    <row r="572" spans="3:3" x14ac:dyDescent="0.25">
      <c r="C572" s="4"/>
    </row>
    <row r="573" spans="3:3" x14ac:dyDescent="0.25">
      <c r="C573" s="4"/>
    </row>
    <row r="574" spans="3:3" x14ac:dyDescent="0.25">
      <c r="C574" s="4"/>
    </row>
    <row r="575" spans="3:3" x14ac:dyDescent="0.25">
      <c r="C575" s="4"/>
    </row>
    <row r="576" spans="3:3" x14ac:dyDescent="0.25">
      <c r="C576" s="4"/>
    </row>
    <row r="577" spans="3:3" x14ac:dyDescent="0.25">
      <c r="C577" s="4"/>
    </row>
    <row r="578" spans="3:3" x14ac:dyDescent="0.25">
      <c r="C578" s="4"/>
    </row>
    <row r="579" spans="3:3" x14ac:dyDescent="0.25">
      <c r="C579" s="4"/>
    </row>
    <row r="580" spans="3:3" x14ac:dyDescent="0.25">
      <c r="C580" s="4"/>
    </row>
    <row r="581" spans="3:3" x14ac:dyDescent="0.25">
      <c r="C581" s="4"/>
    </row>
    <row r="582" spans="3:3" x14ac:dyDescent="0.25">
      <c r="C582" s="4"/>
    </row>
    <row r="583" spans="3:3" x14ac:dyDescent="0.25">
      <c r="C583" s="4"/>
    </row>
    <row r="584" spans="3:3" x14ac:dyDescent="0.25">
      <c r="C584" s="4"/>
    </row>
    <row r="585" spans="3:3" x14ac:dyDescent="0.25">
      <c r="C585" s="4"/>
    </row>
    <row r="586" spans="3:3" x14ac:dyDescent="0.25">
      <c r="C586" s="4"/>
    </row>
    <row r="587" spans="3:3" x14ac:dyDescent="0.25">
      <c r="C587" s="4"/>
    </row>
    <row r="588" spans="3:3" x14ac:dyDescent="0.25">
      <c r="C588" s="4"/>
    </row>
    <row r="589" spans="3:3" x14ac:dyDescent="0.25">
      <c r="C589" s="4"/>
    </row>
    <row r="590" spans="3:3" x14ac:dyDescent="0.25">
      <c r="C590" s="4"/>
    </row>
    <row r="591" spans="3:3" x14ac:dyDescent="0.25">
      <c r="C591" s="4"/>
    </row>
    <row r="592" spans="3:3" x14ac:dyDescent="0.25">
      <c r="C592" s="4"/>
    </row>
    <row r="593" spans="3:3" x14ac:dyDescent="0.25">
      <c r="C593" s="4"/>
    </row>
    <row r="594" spans="3:3" x14ac:dyDescent="0.25">
      <c r="C594" s="4"/>
    </row>
    <row r="595" spans="3:3" x14ac:dyDescent="0.25">
      <c r="C595" s="4"/>
    </row>
    <row r="596" spans="3:3" x14ac:dyDescent="0.25">
      <c r="C596" s="4"/>
    </row>
    <row r="597" spans="3:3" x14ac:dyDescent="0.25">
      <c r="C597" s="4"/>
    </row>
    <row r="598" spans="3:3" x14ac:dyDescent="0.25">
      <c r="C598" s="4"/>
    </row>
    <row r="599" spans="3:3" x14ac:dyDescent="0.25">
      <c r="C599" s="4"/>
    </row>
    <row r="600" spans="3:3" x14ac:dyDescent="0.25">
      <c r="C600" s="4"/>
    </row>
    <row r="601" spans="3:3" x14ac:dyDescent="0.25">
      <c r="C601" s="4"/>
    </row>
    <row r="602" spans="3:3" x14ac:dyDescent="0.25">
      <c r="C602" s="4"/>
    </row>
    <row r="603" spans="3:3" x14ac:dyDescent="0.25">
      <c r="C603" s="4"/>
    </row>
    <row r="604" spans="3:3" x14ac:dyDescent="0.25">
      <c r="C604" s="4"/>
    </row>
    <row r="605" spans="3:3" x14ac:dyDescent="0.25">
      <c r="C605" s="4"/>
    </row>
    <row r="606" spans="3:3" x14ac:dyDescent="0.25">
      <c r="C606" s="4"/>
    </row>
    <row r="607" spans="3:3" x14ac:dyDescent="0.25">
      <c r="C607" s="4"/>
    </row>
    <row r="608" spans="3:3" x14ac:dyDescent="0.25">
      <c r="C608" s="4"/>
    </row>
    <row r="609" spans="3:3" x14ac:dyDescent="0.25">
      <c r="C609" s="4"/>
    </row>
    <row r="610" spans="3:3" x14ac:dyDescent="0.25">
      <c r="C610" s="4"/>
    </row>
    <row r="611" spans="3:3" x14ac:dyDescent="0.25">
      <c r="C611" s="4"/>
    </row>
    <row r="612" spans="3:3" x14ac:dyDescent="0.25">
      <c r="C612" s="4"/>
    </row>
    <row r="613" spans="3:3" x14ac:dyDescent="0.25">
      <c r="C613" s="4"/>
    </row>
    <row r="614" spans="3:3" x14ac:dyDescent="0.25">
      <c r="C614" s="4"/>
    </row>
    <row r="615" spans="3:3" x14ac:dyDescent="0.25">
      <c r="C615" s="4"/>
    </row>
    <row r="616" spans="3:3" x14ac:dyDescent="0.25">
      <c r="C616" s="4"/>
    </row>
    <row r="617" spans="3:3" x14ac:dyDescent="0.25">
      <c r="C617" s="4"/>
    </row>
    <row r="618" spans="3:3" x14ac:dyDescent="0.25">
      <c r="C618" s="4"/>
    </row>
    <row r="619" spans="3:3" x14ac:dyDescent="0.25">
      <c r="C619" s="4"/>
    </row>
    <row r="620" spans="3:3" x14ac:dyDescent="0.25">
      <c r="C620" s="4"/>
    </row>
    <row r="621" spans="3:3" x14ac:dyDescent="0.25">
      <c r="C621" s="4"/>
    </row>
    <row r="622" spans="3:3" x14ac:dyDescent="0.25">
      <c r="C622" s="4"/>
    </row>
    <row r="623" spans="3:3" x14ac:dyDescent="0.25">
      <c r="C623" s="4"/>
    </row>
    <row r="624" spans="3:3" x14ac:dyDescent="0.25">
      <c r="C624" s="4"/>
    </row>
    <row r="625" spans="3:3" x14ac:dyDescent="0.25">
      <c r="C625" s="4"/>
    </row>
    <row r="626" spans="3:3" x14ac:dyDescent="0.25">
      <c r="C626" s="4"/>
    </row>
    <row r="627" spans="3:3" x14ac:dyDescent="0.25">
      <c r="C627" s="4"/>
    </row>
    <row r="628" spans="3:3" x14ac:dyDescent="0.25">
      <c r="C628" s="4"/>
    </row>
    <row r="629" spans="3:3" x14ac:dyDescent="0.25">
      <c r="C629" s="4"/>
    </row>
    <row r="630" spans="3:3" x14ac:dyDescent="0.25">
      <c r="C630" s="4"/>
    </row>
    <row r="631" spans="3:3" x14ac:dyDescent="0.25">
      <c r="C631" s="4"/>
    </row>
    <row r="632" spans="3:3" x14ac:dyDescent="0.25">
      <c r="C632" s="4"/>
    </row>
    <row r="633" spans="3:3" x14ac:dyDescent="0.25">
      <c r="C633" s="4"/>
    </row>
    <row r="634" spans="3:3" x14ac:dyDescent="0.25">
      <c r="C634" s="4"/>
    </row>
    <row r="635" spans="3:3" x14ac:dyDescent="0.25">
      <c r="C635" s="4"/>
    </row>
    <row r="636" spans="3:3" x14ac:dyDescent="0.25">
      <c r="C636" s="4"/>
    </row>
    <row r="637" spans="3:3" x14ac:dyDescent="0.25">
      <c r="C637" s="4"/>
    </row>
    <row r="638" spans="3:3" x14ac:dyDescent="0.25">
      <c r="C638" s="4"/>
    </row>
    <row r="639" spans="3:3" x14ac:dyDescent="0.25">
      <c r="C639" s="4"/>
    </row>
    <row r="640" spans="3:3" x14ac:dyDescent="0.25">
      <c r="C640" s="4"/>
    </row>
    <row r="641" spans="3:3" x14ac:dyDescent="0.25">
      <c r="C641" s="4"/>
    </row>
    <row r="642" spans="3:3" x14ac:dyDescent="0.25">
      <c r="C642" s="4"/>
    </row>
    <row r="643" spans="3:3" x14ac:dyDescent="0.25">
      <c r="C643" s="4"/>
    </row>
    <row r="644" spans="3:3" x14ac:dyDescent="0.25">
      <c r="C644" s="4"/>
    </row>
    <row r="645" spans="3:3" x14ac:dyDescent="0.25">
      <c r="C645" s="4"/>
    </row>
    <row r="646" spans="3:3" x14ac:dyDescent="0.25">
      <c r="C646" s="4"/>
    </row>
    <row r="647" spans="3:3" x14ac:dyDescent="0.25">
      <c r="C647" s="4"/>
    </row>
    <row r="648" spans="3:3" x14ac:dyDescent="0.25">
      <c r="C648" s="4"/>
    </row>
    <row r="649" spans="3:3" x14ac:dyDescent="0.25">
      <c r="C649" s="4"/>
    </row>
    <row r="650" spans="3:3" x14ac:dyDescent="0.25">
      <c r="C650" s="4"/>
    </row>
    <row r="651" spans="3:3" x14ac:dyDescent="0.25">
      <c r="C651" s="4"/>
    </row>
    <row r="652" spans="3:3" x14ac:dyDescent="0.25">
      <c r="C652" s="4"/>
    </row>
    <row r="653" spans="3:3" x14ac:dyDescent="0.25">
      <c r="C653" s="4"/>
    </row>
    <row r="654" spans="3:3" x14ac:dyDescent="0.25">
      <c r="C654" s="4"/>
    </row>
    <row r="655" spans="3:3" x14ac:dyDescent="0.25">
      <c r="C655" s="4"/>
    </row>
    <row r="656" spans="3:3" x14ac:dyDescent="0.25">
      <c r="C656" s="4"/>
    </row>
    <row r="657" spans="3:3" x14ac:dyDescent="0.25">
      <c r="C657" s="4"/>
    </row>
    <row r="658" spans="3:3" x14ac:dyDescent="0.25">
      <c r="C658" s="4"/>
    </row>
    <row r="659" spans="3:3" x14ac:dyDescent="0.25">
      <c r="C659" s="4"/>
    </row>
    <row r="660" spans="3:3" x14ac:dyDescent="0.25">
      <c r="C660" s="4"/>
    </row>
    <row r="661" spans="3:3" x14ac:dyDescent="0.25">
      <c r="C661" s="4"/>
    </row>
    <row r="662" spans="3:3" x14ac:dyDescent="0.25">
      <c r="C662" s="4"/>
    </row>
    <row r="663" spans="3:3" x14ac:dyDescent="0.25">
      <c r="C663" s="4"/>
    </row>
    <row r="664" spans="3:3" x14ac:dyDescent="0.25">
      <c r="C664" s="4"/>
    </row>
    <row r="665" spans="3:3" x14ac:dyDescent="0.25">
      <c r="C665" s="4"/>
    </row>
    <row r="666" spans="3:3" x14ac:dyDescent="0.25">
      <c r="C666" s="4"/>
    </row>
    <row r="667" spans="3:3" x14ac:dyDescent="0.25">
      <c r="C667" s="4"/>
    </row>
    <row r="668" spans="3:3" x14ac:dyDescent="0.25">
      <c r="C668" s="4"/>
    </row>
    <row r="669" spans="3:3" x14ac:dyDescent="0.25">
      <c r="C669" s="4"/>
    </row>
    <row r="670" spans="3:3" x14ac:dyDescent="0.25">
      <c r="C670" s="4"/>
    </row>
    <row r="671" spans="3:3" x14ac:dyDescent="0.25">
      <c r="C671" s="4"/>
    </row>
    <row r="672" spans="3:3" x14ac:dyDescent="0.25">
      <c r="C672" s="4"/>
    </row>
    <row r="673" spans="3:3" x14ac:dyDescent="0.25">
      <c r="C673" s="4"/>
    </row>
    <row r="674" spans="3:3" x14ac:dyDescent="0.25">
      <c r="C674" s="4"/>
    </row>
    <row r="675" spans="3:3" x14ac:dyDescent="0.25">
      <c r="C675" s="4"/>
    </row>
    <row r="676" spans="3:3" x14ac:dyDescent="0.25">
      <c r="C676" s="4"/>
    </row>
    <row r="677" spans="3:3" x14ac:dyDescent="0.25">
      <c r="C677" s="4"/>
    </row>
    <row r="678" spans="3:3" x14ac:dyDescent="0.25">
      <c r="C678" s="4"/>
    </row>
    <row r="679" spans="3:3" x14ac:dyDescent="0.25">
      <c r="C679" s="4"/>
    </row>
    <row r="680" spans="3:3" x14ac:dyDescent="0.25">
      <c r="C680" s="4"/>
    </row>
    <row r="681" spans="3:3" x14ac:dyDescent="0.25">
      <c r="C681" s="4"/>
    </row>
    <row r="682" spans="3:3" x14ac:dyDescent="0.25">
      <c r="C682" s="4"/>
    </row>
    <row r="683" spans="3:3" x14ac:dyDescent="0.25">
      <c r="C683" s="4"/>
    </row>
    <row r="684" spans="3:3" x14ac:dyDescent="0.25">
      <c r="C684" s="4"/>
    </row>
    <row r="685" spans="3:3" x14ac:dyDescent="0.25">
      <c r="C685" s="4"/>
    </row>
    <row r="686" spans="3:3" x14ac:dyDescent="0.25">
      <c r="C686" s="4"/>
    </row>
    <row r="687" spans="3:3" x14ac:dyDescent="0.25">
      <c r="C687" s="4"/>
    </row>
    <row r="688" spans="3:3" x14ac:dyDescent="0.25">
      <c r="C688" s="4"/>
    </row>
    <row r="689" spans="3:3" x14ac:dyDescent="0.25">
      <c r="C689" s="4"/>
    </row>
    <row r="690" spans="3:3" x14ac:dyDescent="0.25">
      <c r="C690" s="4"/>
    </row>
    <row r="691" spans="3:3" x14ac:dyDescent="0.25">
      <c r="C691" s="4"/>
    </row>
    <row r="692" spans="3:3" x14ac:dyDescent="0.25">
      <c r="C692" s="4"/>
    </row>
    <row r="693" spans="3:3" x14ac:dyDescent="0.25">
      <c r="C693" s="4"/>
    </row>
    <row r="694" spans="3:3" x14ac:dyDescent="0.25">
      <c r="C694" s="4"/>
    </row>
    <row r="695" spans="3:3" x14ac:dyDescent="0.25">
      <c r="C695" s="4"/>
    </row>
    <row r="696" spans="3:3" x14ac:dyDescent="0.25">
      <c r="C696" s="4"/>
    </row>
    <row r="697" spans="3:3" x14ac:dyDescent="0.25">
      <c r="C697" s="4"/>
    </row>
    <row r="698" spans="3:3" x14ac:dyDescent="0.25">
      <c r="C698" s="4"/>
    </row>
    <row r="699" spans="3:3" x14ac:dyDescent="0.25">
      <c r="C699" s="4"/>
    </row>
    <row r="700" spans="3:3" x14ac:dyDescent="0.25">
      <c r="C700" s="4"/>
    </row>
    <row r="701" spans="3:3" x14ac:dyDescent="0.25">
      <c r="C701" s="4"/>
    </row>
    <row r="702" spans="3:3" x14ac:dyDescent="0.25">
      <c r="C702" s="4"/>
    </row>
    <row r="703" spans="3:3" x14ac:dyDescent="0.25">
      <c r="C703" s="4"/>
    </row>
    <row r="704" spans="3:3" x14ac:dyDescent="0.25">
      <c r="C704" s="4"/>
    </row>
    <row r="705" spans="3:3" x14ac:dyDescent="0.25">
      <c r="C705" s="4"/>
    </row>
    <row r="706" spans="3:3" x14ac:dyDescent="0.25">
      <c r="C706" s="4"/>
    </row>
    <row r="707" spans="3:3" x14ac:dyDescent="0.25">
      <c r="C707" s="4"/>
    </row>
    <row r="708" spans="3:3" x14ac:dyDescent="0.25">
      <c r="C708" s="4"/>
    </row>
    <row r="709" spans="3:3" x14ac:dyDescent="0.25">
      <c r="C709" s="4"/>
    </row>
    <row r="710" spans="3:3" x14ac:dyDescent="0.25">
      <c r="C710" s="4"/>
    </row>
    <row r="711" spans="3:3" x14ac:dyDescent="0.25">
      <c r="C711" s="4"/>
    </row>
    <row r="712" spans="3:3" x14ac:dyDescent="0.25">
      <c r="C712" s="4"/>
    </row>
    <row r="713" spans="3:3" x14ac:dyDescent="0.25">
      <c r="C713" s="4"/>
    </row>
    <row r="714" spans="3:3" x14ac:dyDescent="0.25">
      <c r="C714" s="4"/>
    </row>
    <row r="715" spans="3:3" x14ac:dyDescent="0.25">
      <c r="C715" s="4"/>
    </row>
    <row r="716" spans="3:3" x14ac:dyDescent="0.25">
      <c r="C716" s="4"/>
    </row>
    <row r="717" spans="3:3" x14ac:dyDescent="0.25">
      <c r="C717" s="4"/>
    </row>
    <row r="718" spans="3:3" x14ac:dyDescent="0.25">
      <c r="C718" s="4"/>
    </row>
    <row r="719" spans="3:3" x14ac:dyDescent="0.25">
      <c r="C719" s="4"/>
    </row>
    <row r="720" spans="3:3" x14ac:dyDescent="0.25">
      <c r="C720" s="4"/>
    </row>
    <row r="721" spans="3:3" x14ac:dyDescent="0.25">
      <c r="C721" s="4"/>
    </row>
    <row r="722" spans="3:3" x14ac:dyDescent="0.25">
      <c r="C722" s="4"/>
    </row>
    <row r="723" spans="3:3" x14ac:dyDescent="0.25">
      <c r="C723" s="4"/>
    </row>
    <row r="724" spans="3:3" x14ac:dyDescent="0.25">
      <c r="C724" s="4"/>
    </row>
    <row r="725" spans="3:3" x14ac:dyDescent="0.25">
      <c r="C725" s="4"/>
    </row>
    <row r="726" spans="3:3" x14ac:dyDescent="0.25">
      <c r="C726" s="4"/>
    </row>
    <row r="727" spans="3:3" x14ac:dyDescent="0.25">
      <c r="C727" s="4"/>
    </row>
    <row r="728" spans="3:3" x14ac:dyDescent="0.25">
      <c r="C728" s="4"/>
    </row>
    <row r="729" spans="3:3" x14ac:dyDescent="0.25">
      <c r="C729" s="4"/>
    </row>
    <row r="730" spans="3:3" x14ac:dyDescent="0.25">
      <c r="C730" s="4"/>
    </row>
    <row r="731" spans="3:3" x14ac:dyDescent="0.25">
      <c r="C731" s="4"/>
    </row>
    <row r="732" spans="3:3" x14ac:dyDescent="0.25">
      <c r="C732" s="4"/>
    </row>
    <row r="733" spans="3:3" x14ac:dyDescent="0.25">
      <c r="C733" s="4"/>
    </row>
    <row r="734" spans="3:3" x14ac:dyDescent="0.25">
      <c r="C734" s="4"/>
    </row>
    <row r="735" spans="3:3" x14ac:dyDescent="0.25">
      <c r="C735" s="4"/>
    </row>
    <row r="736" spans="3:3" x14ac:dyDescent="0.25">
      <c r="C736" s="4"/>
    </row>
    <row r="737" spans="3:3" x14ac:dyDescent="0.25">
      <c r="C737" s="4"/>
    </row>
    <row r="738" spans="3:3" x14ac:dyDescent="0.25">
      <c r="C738" s="4"/>
    </row>
    <row r="739" spans="3:3" x14ac:dyDescent="0.25">
      <c r="C739" s="4"/>
    </row>
    <row r="740" spans="3:3" x14ac:dyDescent="0.25">
      <c r="C740" s="4"/>
    </row>
    <row r="741" spans="3:3" x14ac:dyDescent="0.25">
      <c r="C741" s="4"/>
    </row>
    <row r="742" spans="3:3" x14ac:dyDescent="0.25">
      <c r="C742" s="4"/>
    </row>
    <row r="743" spans="3:3" x14ac:dyDescent="0.25">
      <c r="C743" s="4"/>
    </row>
    <row r="744" spans="3:3" x14ac:dyDescent="0.25">
      <c r="C744" s="4"/>
    </row>
    <row r="745" spans="3:3" x14ac:dyDescent="0.25">
      <c r="C745" s="4"/>
    </row>
    <row r="746" spans="3:3" x14ac:dyDescent="0.25">
      <c r="C746" s="4"/>
    </row>
    <row r="747" spans="3:3" x14ac:dyDescent="0.25">
      <c r="C747" s="4"/>
    </row>
    <row r="748" spans="3:3" x14ac:dyDescent="0.25">
      <c r="C748" s="4"/>
    </row>
    <row r="749" spans="3:3" x14ac:dyDescent="0.25">
      <c r="C749" s="4"/>
    </row>
    <row r="750" spans="3:3" x14ac:dyDescent="0.25">
      <c r="C750" s="4"/>
    </row>
    <row r="751" spans="3:3" x14ac:dyDescent="0.25">
      <c r="C751" s="4"/>
    </row>
    <row r="752" spans="3:3" x14ac:dyDescent="0.25">
      <c r="C752" s="4"/>
    </row>
    <row r="753" spans="3:3" x14ac:dyDescent="0.25">
      <c r="C753" s="4"/>
    </row>
    <row r="754" spans="3:3" x14ac:dyDescent="0.25">
      <c r="C754" s="4"/>
    </row>
    <row r="755" spans="3:3" x14ac:dyDescent="0.25">
      <c r="C755" s="4"/>
    </row>
    <row r="756" spans="3:3" x14ac:dyDescent="0.25">
      <c r="C756" s="4"/>
    </row>
    <row r="757" spans="3:3" x14ac:dyDescent="0.25">
      <c r="C757" s="4"/>
    </row>
    <row r="758" spans="3:3" x14ac:dyDescent="0.25">
      <c r="C758" s="4"/>
    </row>
    <row r="759" spans="3:3" x14ac:dyDescent="0.25">
      <c r="C759" s="4"/>
    </row>
    <row r="760" spans="3:3" x14ac:dyDescent="0.25">
      <c r="C760" s="4"/>
    </row>
    <row r="761" spans="3:3" x14ac:dyDescent="0.25">
      <c r="C761" s="4"/>
    </row>
    <row r="762" spans="3:3" x14ac:dyDescent="0.25">
      <c r="C762" s="4"/>
    </row>
    <row r="763" spans="3:3" x14ac:dyDescent="0.25">
      <c r="C763" s="4"/>
    </row>
    <row r="764" spans="3:3" x14ac:dyDescent="0.25">
      <c r="C764" s="4"/>
    </row>
    <row r="765" spans="3:3" x14ac:dyDescent="0.25">
      <c r="C765" s="4"/>
    </row>
    <row r="766" spans="3:3" x14ac:dyDescent="0.25">
      <c r="C766" s="4"/>
    </row>
    <row r="767" spans="3:3" x14ac:dyDescent="0.25">
      <c r="C767" s="4"/>
    </row>
    <row r="768" spans="3:3" x14ac:dyDescent="0.25">
      <c r="C768" s="4"/>
    </row>
    <row r="769" spans="3:3" x14ac:dyDescent="0.25">
      <c r="C769" s="4"/>
    </row>
    <row r="770" spans="3:3" x14ac:dyDescent="0.25">
      <c r="C770" s="4"/>
    </row>
    <row r="771" spans="3:3" x14ac:dyDescent="0.25">
      <c r="C771" s="4"/>
    </row>
    <row r="772" spans="3:3" x14ac:dyDescent="0.25">
      <c r="C772" s="4"/>
    </row>
    <row r="773" spans="3:3" x14ac:dyDescent="0.25">
      <c r="C773" s="4"/>
    </row>
    <row r="774" spans="3:3" x14ac:dyDescent="0.25">
      <c r="C774" s="4"/>
    </row>
    <row r="775" spans="3:3" x14ac:dyDescent="0.25">
      <c r="C775" s="4"/>
    </row>
    <row r="776" spans="3:3" x14ac:dyDescent="0.25">
      <c r="C776" s="4"/>
    </row>
    <row r="777" spans="3:3" x14ac:dyDescent="0.25">
      <c r="C777" s="4"/>
    </row>
    <row r="778" spans="3:3" x14ac:dyDescent="0.25">
      <c r="C778" s="4"/>
    </row>
    <row r="779" spans="3:3" x14ac:dyDescent="0.25">
      <c r="C779" s="4"/>
    </row>
    <row r="780" spans="3:3" x14ac:dyDescent="0.25">
      <c r="C780" s="4"/>
    </row>
    <row r="781" spans="3:3" x14ac:dyDescent="0.25">
      <c r="C781" s="4"/>
    </row>
    <row r="782" spans="3:3" x14ac:dyDescent="0.25">
      <c r="C782" s="4"/>
    </row>
    <row r="783" spans="3:3" x14ac:dyDescent="0.25">
      <c r="C783" s="4"/>
    </row>
    <row r="784" spans="3:3" x14ac:dyDescent="0.25">
      <c r="C784" s="4"/>
    </row>
    <row r="785" spans="3:3" x14ac:dyDescent="0.25">
      <c r="C785" s="4"/>
    </row>
    <row r="786" spans="3:3" x14ac:dyDescent="0.25">
      <c r="C786" s="4"/>
    </row>
    <row r="787" spans="3:3" x14ac:dyDescent="0.25">
      <c r="C787" s="4"/>
    </row>
    <row r="788" spans="3:3" x14ac:dyDescent="0.25">
      <c r="C788" s="4"/>
    </row>
    <row r="789" spans="3:3" x14ac:dyDescent="0.25">
      <c r="C789" s="4"/>
    </row>
    <row r="790" spans="3:3" x14ac:dyDescent="0.25">
      <c r="C790" s="4"/>
    </row>
    <row r="791" spans="3:3" x14ac:dyDescent="0.25">
      <c r="C791" s="4"/>
    </row>
    <row r="792" spans="3:3" x14ac:dyDescent="0.25">
      <c r="C792" s="4"/>
    </row>
    <row r="793" spans="3:3" x14ac:dyDescent="0.25">
      <c r="C793" s="4"/>
    </row>
    <row r="794" spans="3:3" x14ac:dyDescent="0.25">
      <c r="C794" s="4"/>
    </row>
    <row r="795" spans="3:3" x14ac:dyDescent="0.25">
      <c r="C795" s="4"/>
    </row>
    <row r="796" spans="3:3" x14ac:dyDescent="0.25">
      <c r="C796" s="4"/>
    </row>
    <row r="797" spans="3:3" x14ac:dyDescent="0.25">
      <c r="C797" s="4"/>
    </row>
    <row r="798" spans="3:3" x14ac:dyDescent="0.25">
      <c r="C798" s="4"/>
    </row>
    <row r="799" spans="3:3" x14ac:dyDescent="0.25">
      <c r="C799" s="4"/>
    </row>
    <row r="800" spans="3:3" x14ac:dyDescent="0.25">
      <c r="C800" s="4"/>
    </row>
    <row r="801" spans="3:3" x14ac:dyDescent="0.25">
      <c r="C801" s="4"/>
    </row>
    <row r="802" spans="3:3" x14ac:dyDescent="0.25">
      <c r="C802" s="4"/>
    </row>
    <row r="803" spans="3:3" x14ac:dyDescent="0.25">
      <c r="C803" s="4"/>
    </row>
    <row r="804" spans="3:3" x14ac:dyDescent="0.25">
      <c r="C804" s="4"/>
    </row>
    <row r="805" spans="3:3" x14ac:dyDescent="0.25">
      <c r="C805" s="4"/>
    </row>
    <row r="806" spans="3:3" x14ac:dyDescent="0.25">
      <c r="C806" s="4"/>
    </row>
    <row r="807" spans="3:3" x14ac:dyDescent="0.25">
      <c r="C807" s="4"/>
    </row>
    <row r="808" spans="3:3" x14ac:dyDescent="0.25">
      <c r="C808" s="4"/>
    </row>
    <row r="809" spans="3:3" x14ac:dyDescent="0.25">
      <c r="C809" s="4"/>
    </row>
    <row r="810" spans="3:3" x14ac:dyDescent="0.25">
      <c r="C810" s="4"/>
    </row>
    <row r="811" spans="3:3" x14ac:dyDescent="0.25">
      <c r="C811" s="4"/>
    </row>
    <row r="812" spans="3:3" x14ac:dyDescent="0.25">
      <c r="C812" s="4"/>
    </row>
    <row r="813" spans="3:3" x14ac:dyDescent="0.25">
      <c r="C813" s="4"/>
    </row>
    <row r="814" spans="3:3" x14ac:dyDescent="0.25">
      <c r="C814" s="4"/>
    </row>
    <row r="815" spans="3:3" x14ac:dyDescent="0.25">
      <c r="C815" s="4"/>
    </row>
    <row r="816" spans="3:3" x14ac:dyDescent="0.25">
      <c r="C816" s="4"/>
    </row>
    <row r="817" spans="3:3" x14ac:dyDescent="0.25">
      <c r="C817" s="4"/>
    </row>
    <row r="818" spans="3:3" x14ac:dyDescent="0.25">
      <c r="C818" s="4"/>
    </row>
    <row r="819" spans="3:3" x14ac:dyDescent="0.25">
      <c r="C819" s="4"/>
    </row>
    <row r="820" spans="3:3" x14ac:dyDescent="0.25">
      <c r="C820" s="4"/>
    </row>
    <row r="821" spans="3:3" x14ac:dyDescent="0.25">
      <c r="C821" s="4"/>
    </row>
    <row r="822" spans="3:3" x14ac:dyDescent="0.25">
      <c r="C822" s="4"/>
    </row>
    <row r="823" spans="3:3" x14ac:dyDescent="0.25">
      <c r="C823" s="4"/>
    </row>
    <row r="824" spans="3:3" x14ac:dyDescent="0.25">
      <c r="C824" s="4"/>
    </row>
    <row r="825" spans="3:3" x14ac:dyDescent="0.25">
      <c r="C825" s="4"/>
    </row>
    <row r="826" spans="3:3" x14ac:dyDescent="0.25">
      <c r="C826" s="4"/>
    </row>
    <row r="827" spans="3:3" x14ac:dyDescent="0.25">
      <c r="C827" s="4"/>
    </row>
    <row r="828" spans="3:3" x14ac:dyDescent="0.25">
      <c r="C828" s="4"/>
    </row>
    <row r="829" spans="3:3" x14ac:dyDescent="0.25">
      <c r="C829" s="4"/>
    </row>
    <row r="830" spans="3:3" x14ac:dyDescent="0.25">
      <c r="C830" s="4"/>
    </row>
    <row r="831" spans="3:3" x14ac:dyDescent="0.25">
      <c r="C831" s="4"/>
    </row>
    <row r="832" spans="3:3" x14ac:dyDescent="0.25">
      <c r="C832" s="4"/>
    </row>
    <row r="833" spans="3:3" x14ac:dyDescent="0.25">
      <c r="C833" s="4"/>
    </row>
    <row r="834" spans="3:3" x14ac:dyDescent="0.25">
      <c r="C834" s="4"/>
    </row>
    <row r="835" spans="3:3" x14ac:dyDescent="0.25">
      <c r="C835" s="4"/>
    </row>
    <row r="836" spans="3:3" x14ac:dyDescent="0.25">
      <c r="C836" s="4"/>
    </row>
    <row r="837" spans="3:3" x14ac:dyDescent="0.25">
      <c r="C837" s="4"/>
    </row>
    <row r="838" spans="3:3" x14ac:dyDescent="0.25">
      <c r="C838" s="4"/>
    </row>
    <row r="839" spans="3:3" x14ac:dyDescent="0.25">
      <c r="C839" s="4"/>
    </row>
    <row r="840" spans="3:3" x14ac:dyDescent="0.25">
      <c r="C840" s="4"/>
    </row>
    <row r="841" spans="3:3" x14ac:dyDescent="0.25">
      <c r="C841" s="4"/>
    </row>
    <row r="842" spans="3:3" x14ac:dyDescent="0.25">
      <c r="C842" s="4"/>
    </row>
    <row r="843" spans="3:3" x14ac:dyDescent="0.25">
      <c r="C843" s="4"/>
    </row>
    <row r="844" spans="3:3" x14ac:dyDescent="0.25">
      <c r="C844" s="4"/>
    </row>
    <row r="845" spans="3:3" x14ac:dyDescent="0.25">
      <c r="C845" s="4"/>
    </row>
    <row r="846" spans="3:3" x14ac:dyDescent="0.25">
      <c r="C846" s="4"/>
    </row>
    <row r="847" spans="3:3" x14ac:dyDescent="0.25">
      <c r="C847" s="4"/>
    </row>
    <row r="848" spans="3:3" x14ac:dyDescent="0.25">
      <c r="C848" s="4"/>
    </row>
    <row r="849" spans="3:3" x14ac:dyDescent="0.25">
      <c r="C849" s="4"/>
    </row>
    <row r="850" spans="3:3" x14ac:dyDescent="0.25">
      <c r="C850" s="4"/>
    </row>
    <row r="851" spans="3:3" x14ac:dyDescent="0.25">
      <c r="C851" s="4"/>
    </row>
    <row r="852" spans="3:3" x14ac:dyDescent="0.25">
      <c r="C852" s="4"/>
    </row>
    <row r="853" spans="3:3" x14ac:dyDescent="0.25">
      <c r="C853" s="4"/>
    </row>
    <row r="854" spans="3:3" x14ac:dyDescent="0.25">
      <c r="C854" s="4"/>
    </row>
    <row r="855" spans="3:3" x14ac:dyDescent="0.25">
      <c r="C855" s="4"/>
    </row>
    <row r="856" spans="3:3" x14ac:dyDescent="0.25">
      <c r="C856" s="4"/>
    </row>
    <row r="857" spans="3:3" x14ac:dyDescent="0.25">
      <c r="C857" s="4"/>
    </row>
    <row r="858" spans="3:3" x14ac:dyDescent="0.25">
      <c r="C858" s="4"/>
    </row>
    <row r="859" spans="3:3" x14ac:dyDescent="0.25">
      <c r="C859" s="4"/>
    </row>
    <row r="860" spans="3:3" x14ac:dyDescent="0.25">
      <c r="C860" s="4"/>
    </row>
    <row r="861" spans="3:3" x14ac:dyDescent="0.25">
      <c r="C861" s="4"/>
    </row>
    <row r="862" spans="3:3" x14ac:dyDescent="0.25">
      <c r="C862" s="4"/>
    </row>
    <row r="863" spans="3:3" x14ac:dyDescent="0.25">
      <c r="C863" s="4"/>
    </row>
    <row r="864" spans="3:3" x14ac:dyDescent="0.25">
      <c r="C864" s="4"/>
    </row>
    <row r="865" spans="3:3" x14ac:dyDescent="0.25">
      <c r="C865" s="4"/>
    </row>
    <row r="866" spans="3:3" x14ac:dyDescent="0.25">
      <c r="C866" s="4"/>
    </row>
    <row r="867" spans="3:3" x14ac:dyDescent="0.25">
      <c r="C867" s="4"/>
    </row>
    <row r="868" spans="3:3" x14ac:dyDescent="0.25">
      <c r="C868" s="4"/>
    </row>
    <row r="869" spans="3:3" x14ac:dyDescent="0.25">
      <c r="C869" s="4"/>
    </row>
    <row r="870" spans="3:3" x14ac:dyDescent="0.25">
      <c r="C870" s="4"/>
    </row>
    <row r="871" spans="3:3" x14ac:dyDescent="0.25">
      <c r="C871" s="4"/>
    </row>
    <row r="872" spans="3:3" x14ac:dyDescent="0.25">
      <c r="C872" s="4"/>
    </row>
    <row r="873" spans="3:3" x14ac:dyDescent="0.25">
      <c r="C873" s="4"/>
    </row>
    <row r="874" spans="3:3" x14ac:dyDescent="0.25">
      <c r="C874" s="4"/>
    </row>
    <row r="875" spans="3:3" x14ac:dyDescent="0.25">
      <c r="C875" s="4"/>
    </row>
    <row r="876" spans="3:3" x14ac:dyDescent="0.25">
      <c r="C876" s="4"/>
    </row>
    <row r="877" spans="3:3" x14ac:dyDescent="0.25">
      <c r="C877" s="4"/>
    </row>
    <row r="878" spans="3:3" x14ac:dyDescent="0.25">
      <c r="C878" s="4"/>
    </row>
    <row r="879" spans="3:3" x14ac:dyDescent="0.25">
      <c r="C879" s="4"/>
    </row>
    <row r="880" spans="3:3" x14ac:dyDescent="0.25">
      <c r="C880" s="4"/>
    </row>
    <row r="881" spans="3:3" x14ac:dyDescent="0.25">
      <c r="C881" s="4"/>
    </row>
    <row r="882" spans="3:3" x14ac:dyDescent="0.25">
      <c r="C882" s="4"/>
    </row>
    <row r="883" spans="3:3" x14ac:dyDescent="0.25">
      <c r="C883" s="4"/>
    </row>
    <row r="884" spans="3:3" x14ac:dyDescent="0.25">
      <c r="C884" s="4"/>
    </row>
    <row r="885" spans="3:3" x14ac:dyDescent="0.25">
      <c r="C885" s="4"/>
    </row>
    <row r="886" spans="3:3" x14ac:dyDescent="0.25">
      <c r="C886" s="4"/>
    </row>
    <row r="887" spans="3:3" x14ac:dyDescent="0.25">
      <c r="C887" s="4"/>
    </row>
    <row r="888" spans="3:3" x14ac:dyDescent="0.25">
      <c r="C888" s="4"/>
    </row>
    <row r="889" spans="3:3" x14ac:dyDescent="0.25">
      <c r="C889" s="4"/>
    </row>
    <row r="890" spans="3:3" x14ac:dyDescent="0.25">
      <c r="C890" s="4"/>
    </row>
    <row r="891" spans="3:3" x14ac:dyDescent="0.25">
      <c r="C891" s="4"/>
    </row>
    <row r="892" spans="3:3" x14ac:dyDescent="0.25">
      <c r="C892" s="4"/>
    </row>
    <row r="893" spans="3:3" x14ac:dyDescent="0.25">
      <c r="C893" s="4"/>
    </row>
    <row r="894" spans="3:3" x14ac:dyDescent="0.25">
      <c r="C894" s="4"/>
    </row>
    <row r="895" spans="3:3" x14ac:dyDescent="0.25">
      <c r="C895" s="4"/>
    </row>
    <row r="896" spans="3:3" x14ac:dyDescent="0.25">
      <c r="C896" s="4"/>
    </row>
    <row r="897" spans="3:3" x14ac:dyDescent="0.25">
      <c r="C897" s="4"/>
    </row>
    <row r="898" spans="3:3" x14ac:dyDescent="0.25">
      <c r="C898" s="4"/>
    </row>
    <row r="899" spans="3:3" x14ac:dyDescent="0.25">
      <c r="C899" s="4"/>
    </row>
    <row r="900" spans="3:3" x14ac:dyDescent="0.25">
      <c r="C900" s="4"/>
    </row>
    <row r="901" spans="3:3" x14ac:dyDescent="0.25">
      <c r="C901" s="4"/>
    </row>
    <row r="902" spans="3:3" x14ac:dyDescent="0.25">
      <c r="C902" s="4"/>
    </row>
    <row r="903" spans="3:3" x14ac:dyDescent="0.25">
      <c r="C903" s="4"/>
    </row>
    <row r="904" spans="3:3" x14ac:dyDescent="0.25">
      <c r="C904" s="4"/>
    </row>
    <row r="905" spans="3:3" x14ac:dyDescent="0.25">
      <c r="C905" s="4"/>
    </row>
    <row r="906" spans="3:3" x14ac:dyDescent="0.25">
      <c r="C906" s="4"/>
    </row>
    <row r="907" spans="3:3" x14ac:dyDescent="0.25">
      <c r="C907" s="4"/>
    </row>
    <row r="908" spans="3:3" x14ac:dyDescent="0.25">
      <c r="C908" s="4"/>
    </row>
    <row r="909" spans="3:3" x14ac:dyDescent="0.25">
      <c r="C909" s="4"/>
    </row>
    <row r="910" spans="3:3" x14ac:dyDescent="0.25">
      <c r="C910" s="4"/>
    </row>
    <row r="911" spans="3:3" x14ac:dyDescent="0.25">
      <c r="C911" s="4"/>
    </row>
    <row r="912" spans="3:3" x14ac:dyDescent="0.25">
      <c r="C912" s="4"/>
    </row>
    <row r="913" spans="3:3" x14ac:dyDescent="0.25">
      <c r="C913" s="4"/>
    </row>
    <row r="914" spans="3:3" x14ac:dyDescent="0.25">
      <c r="C914" s="4"/>
    </row>
    <row r="915" spans="3:3" x14ac:dyDescent="0.25">
      <c r="C915" s="4"/>
    </row>
    <row r="916" spans="3:3" x14ac:dyDescent="0.25">
      <c r="C916" s="4"/>
    </row>
    <row r="917" spans="3:3" x14ac:dyDescent="0.25">
      <c r="C917" s="4"/>
    </row>
    <row r="918" spans="3:3" x14ac:dyDescent="0.25">
      <c r="C918" s="4"/>
    </row>
    <row r="919" spans="3:3" x14ac:dyDescent="0.25">
      <c r="C919" s="4"/>
    </row>
    <row r="920" spans="3:3" x14ac:dyDescent="0.25">
      <c r="C920" s="4"/>
    </row>
    <row r="921" spans="3:3" x14ac:dyDescent="0.25">
      <c r="C921" s="4"/>
    </row>
    <row r="922" spans="3:3" x14ac:dyDescent="0.25">
      <c r="C922" s="4"/>
    </row>
    <row r="923" spans="3:3" x14ac:dyDescent="0.25">
      <c r="C923" s="4"/>
    </row>
    <row r="924" spans="3:3" x14ac:dyDescent="0.25">
      <c r="C924" s="4"/>
    </row>
    <row r="925" spans="3:3" x14ac:dyDescent="0.25">
      <c r="C925" s="4"/>
    </row>
    <row r="926" spans="3:3" x14ac:dyDescent="0.25">
      <c r="C926" s="4"/>
    </row>
    <row r="927" spans="3:3" x14ac:dyDescent="0.25">
      <c r="C927" s="4"/>
    </row>
    <row r="928" spans="3:3" x14ac:dyDescent="0.25">
      <c r="C928" s="4"/>
    </row>
    <row r="929" spans="3:3" x14ac:dyDescent="0.25">
      <c r="C929" s="4"/>
    </row>
    <row r="930" spans="3:3" x14ac:dyDescent="0.25">
      <c r="C930" s="4"/>
    </row>
    <row r="931" spans="3:3" x14ac:dyDescent="0.25">
      <c r="C931" s="4"/>
    </row>
    <row r="932" spans="3:3" x14ac:dyDescent="0.25">
      <c r="C932" s="4"/>
    </row>
    <row r="933" spans="3:3" x14ac:dyDescent="0.25">
      <c r="C933" s="4"/>
    </row>
    <row r="934" spans="3:3" x14ac:dyDescent="0.25">
      <c r="C934" s="4"/>
    </row>
    <row r="935" spans="3:3" x14ac:dyDescent="0.25">
      <c r="C935" s="4"/>
    </row>
    <row r="936" spans="3:3" x14ac:dyDescent="0.25">
      <c r="C936" s="4"/>
    </row>
    <row r="937" spans="3:3" x14ac:dyDescent="0.25">
      <c r="C937" s="4"/>
    </row>
    <row r="938" spans="3:3" x14ac:dyDescent="0.25">
      <c r="C938" s="4"/>
    </row>
    <row r="939" spans="3:3" x14ac:dyDescent="0.25">
      <c r="C939" s="4"/>
    </row>
    <row r="940" spans="3:3" x14ac:dyDescent="0.25">
      <c r="C940" s="4"/>
    </row>
    <row r="941" spans="3:3" x14ac:dyDescent="0.25">
      <c r="C941" s="4"/>
    </row>
    <row r="942" spans="3:3" x14ac:dyDescent="0.25">
      <c r="C942" s="4"/>
    </row>
    <row r="943" spans="3:3" x14ac:dyDescent="0.25">
      <c r="C943" s="4"/>
    </row>
    <row r="944" spans="3:3" x14ac:dyDescent="0.25">
      <c r="C944" s="4"/>
    </row>
    <row r="945" spans="3:3" x14ac:dyDescent="0.25">
      <c r="C945" s="4"/>
    </row>
    <row r="946" spans="3:3" x14ac:dyDescent="0.25">
      <c r="C946" s="4"/>
    </row>
    <row r="947" spans="3:3" x14ac:dyDescent="0.25">
      <c r="C947" s="4"/>
    </row>
    <row r="948" spans="3:3" x14ac:dyDescent="0.25">
      <c r="C948" s="4"/>
    </row>
    <row r="949" spans="3:3" x14ac:dyDescent="0.25">
      <c r="C949" s="4"/>
    </row>
    <row r="950" spans="3:3" x14ac:dyDescent="0.25">
      <c r="C950" s="4"/>
    </row>
    <row r="951" spans="3:3" x14ac:dyDescent="0.25">
      <c r="C951" s="4"/>
    </row>
    <row r="952" spans="3:3" x14ac:dyDescent="0.25">
      <c r="C952" s="4"/>
    </row>
    <row r="953" spans="3:3" x14ac:dyDescent="0.25">
      <c r="C953" s="4"/>
    </row>
    <row r="954" spans="3:3" x14ac:dyDescent="0.25">
      <c r="C954" s="4"/>
    </row>
    <row r="955" spans="3:3" x14ac:dyDescent="0.25">
      <c r="C955" s="4"/>
    </row>
    <row r="956" spans="3:3" x14ac:dyDescent="0.25">
      <c r="C956" s="4"/>
    </row>
    <row r="957" spans="3:3" x14ac:dyDescent="0.25">
      <c r="C957" s="4"/>
    </row>
    <row r="958" spans="3:3" x14ac:dyDescent="0.25">
      <c r="C958" s="4"/>
    </row>
    <row r="959" spans="3:3" x14ac:dyDescent="0.25">
      <c r="C959" s="4"/>
    </row>
    <row r="960" spans="3:3" x14ac:dyDescent="0.25">
      <c r="C960" s="4"/>
    </row>
    <row r="961" spans="3:3" x14ac:dyDescent="0.25">
      <c r="C961" s="4"/>
    </row>
    <row r="962" spans="3:3" x14ac:dyDescent="0.25">
      <c r="C962" s="4"/>
    </row>
    <row r="963" spans="3:3" x14ac:dyDescent="0.25">
      <c r="C963" s="4"/>
    </row>
    <row r="964" spans="3:3" x14ac:dyDescent="0.25">
      <c r="C964" s="4"/>
    </row>
    <row r="965" spans="3:3" x14ac:dyDescent="0.25">
      <c r="C965" s="4"/>
    </row>
    <row r="966" spans="3:3" x14ac:dyDescent="0.25">
      <c r="C966" s="4"/>
    </row>
    <row r="967" spans="3:3" x14ac:dyDescent="0.25">
      <c r="C967" s="4"/>
    </row>
    <row r="968" spans="3:3" x14ac:dyDescent="0.25">
      <c r="C968" s="4"/>
    </row>
    <row r="969" spans="3:3" x14ac:dyDescent="0.25">
      <c r="C969" s="4"/>
    </row>
    <row r="970" spans="3:3" x14ac:dyDescent="0.25">
      <c r="C970" s="4"/>
    </row>
    <row r="971" spans="3:3" x14ac:dyDescent="0.25">
      <c r="C971" s="4"/>
    </row>
    <row r="972" spans="3:3" x14ac:dyDescent="0.25">
      <c r="C972" s="4"/>
    </row>
    <row r="973" spans="3:3" x14ac:dyDescent="0.25">
      <c r="C973" s="4"/>
    </row>
    <row r="974" spans="3:3" x14ac:dyDescent="0.25">
      <c r="C974" s="4"/>
    </row>
    <row r="975" spans="3:3" x14ac:dyDescent="0.25">
      <c r="C975" s="4"/>
    </row>
    <row r="976" spans="3:3" x14ac:dyDescent="0.25">
      <c r="C976" s="4"/>
    </row>
    <row r="977" spans="3:3" x14ac:dyDescent="0.25">
      <c r="C977" s="4"/>
    </row>
    <row r="978" spans="3:3" x14ac:dyDescent="0.25">
      <c r="C978" s="4"/>
    </row>
    <row r="979" spans="3:3" x14ac:dyDescent="0.25">
      <c r="C979" s="4"/>
    </row>
    <row r="980" spans="3:3" x14ac:dyDescent="0.25">
      <c r="C980" s="4"/>
    </row>
    <row r="981" spans="3:3" x14ac:dyDescent="0.25">
      <c r="C981" s="4"/>
    </row>
    <row r="982" spans="3:3" x14ac:dyDescent="0.25">
      <c r="C982" s="4"/>
    </row>
    <row r="983" spans="3:3" x14ac:dyDescent="0.25">
      <c r="C983" s="4"/>
    </row>
    <row r="984" spans="3:3" x14ac:dyDescent="0.25">
      <c r="C984" s="4"/>
    </row>
    <row r="985" spans="3:3" x14ac:dyDescent="0.25">
      <c r="C985" s="4"/>
    </row>
    <row r="986" spans="3:3" x14ac:dyDescent="0.25">
      <c r="C986" s="4"/>
    </row>
    <row r="987" spans="3:3" x14ac:dyDescent="0.25">
      <c r="C987" s="4"/>
    </row>
    <row r="988" spans="3:3" x14ac:dyDescent="0.25">
      <c r="C988" s="4"/>
    </row>
    <row r="989" spans="3:3" x14ac:dyDescent="0.25">
      <c r="C989" s="4"/>
    </row>
    <row r="990" spans="3:3" x14ac:dyDescent="0.25">
      <c r="C990" s="4"/>
    </row>
    <row r="991" spans="3:3" x14ac:dyDescent="0.25">
      <c r="C991" s="4"/>
    </row>
    <row r="992" spans="3:3" x14ac:dyDescent="0.25">
      <c r="C992" s="4"/>
    </row>
    <row r="993" spans="3:3" x14ac:dyDescent="0.25">
      <c r="C993" s="4"/>
    </row>
    <row r="994" spans="3:3" x14ac:dyDescent="0.25">
      <c r="C994" s="4"/>
    </row>
    <row r="995" spans="3:3" x14ac:dyDescent="0.25">
      <c r="C995" s="4"/>
    </row>
    <row r="996" spans="3:3" x14ac:dyDescent="0.25">
      <c r="C996" s="4"/>
    </row>
    <row r="997" spans="3:3" x14ac:dyDescent="0.25">
      <c r="C997" s="4"/>
    </row>
    <row r="998" spans="3:3" x14ac:dyDescent="0.25">
      <c r="C998" s="4"/>
    </row>
    <row r="999" spans="3:3" x14ac:dyDescent="0.25">
      <c r="C999" s="4"/>
    </row>
    <row r="1000" spans="3:3" x14ac:dyDescent="0.25">
      <c r="C1000" s="4"/>
    </row>
    <row r="1001" spans="3:3" x14ac:dyDescent="0.25">
      <c r="C1001" s="4"/>
    </row>
    <row r="1002" spans="3:3" x14ac:dyDescent="0.25">
      <c r="C1002" s="4"/>
    </row>
    <row r="1003" spans="3:3" x14ac:dyDescent="0.25">
      <c r="C1003" s="4"/>
    </row>
    <row r="1004" spans="3:3" x14ac:dyDescent="0.25">
      <c r="C1004" s="4"/>
    </row>
    <row r="1005" spans="3:3" x14ac:dyDescent="0.25">
      <c r="C1005" s="4"/>
    </row>
    <row r="1006" spans="3:3" x14ac:dyDescent="0.25">
      <c r="C1006" s="4"/>
    </row>
    <row r="1007" spans="3:3" x14ac:dyDescent="0.25">
      <c r="C1007" s="4"/>
    </row>
    <row r="1008" spans="3:3" x14ac:dyDescent="0.25">
      <c r="C1008" s="4"/>
    </row>
    <row r="1009" spans="3:3" x14ac:dyDescent="0.25">
      <c r="C1009" s="4"/>
    </row>
    <row r="1010" spans="3:3" x14ac:dyDescent="0.25">
      <c r="C1010" s="4"/>
    </row>
    <row r="1011" spans="3:3" x14ac:dyDescent="0.25">
      <c r="C1011" s="4"/>
    </row>
    <row r="1012" spans="3:3" x14ac:dyDescent="0.25">
      <c r="C1012" s="4"/>
    </row>
    <row r="1013" spans="3:3" x14ac:dyDescent="0.25">
      <c r="C1013" s="4"/>
    </row>
    <row r="1014" spans="3:3" x14ac:dyDescent="0.25">
      <c r="C1014" s="4"/>
    </row>
    <row r="1015" spans="3:3" x14ac:dyDescent="0.25">
      <c r="C1015" s="4"/>
    </row>
    <row r="1016" spans="3:3" x14ac:dyDescent="0.25">
      <c r="C1016" s="4"/>
    </row>
    <row r="1017" spans="3:3" x14ac:dyDescent="0.25">
      <c r="C1017" s="4"/>
    </row>
    <row r="1018" spans="3:3" x14ac:dyDescent="0.25">
      <c r="C1018" s="4"/>
    </row>
    <row r="1019" spans="3:3" x14ac:dyDescent="0.25">
      <c r="C1019" s="4"/>
    </row>
    <row r="1020" spans="3:3" x14ac:dyDescent="0.25">
      <c r="C1020" s="4"/>
    </row>
    <row r="1021" spans="3:3" x14ac:dyDescent="0.25">
      <c r="C1021" s="4"/>
    </row>
    <row r="1022" spans="3:3" x14ac:dyDescent="0.25">
      <c r="C1022" s="4"/>
    </row>
    <row r="1023" spans="3:3" x14ac:dyDescent="0.25">
      <c r="C1023" s="4"/>
    </row>
    <row r="1024" spans="3:3" x14ac:dyDescent="0.25">
      <c r="C1024" s="4"/>
    </row>
    <row r="1025" spans="3:3" x14ac:dyDescent="0.25">
      <c r="C1025" s="4"/>
    </row>
    <row r="1026" spans="3:3" x14ac:dyDescent="0.25">
      <c r="C1026" s="4"/>
    </row>
    <row r="1027" spans="3:3" x14ac:dyDescent="0.25">
      <c r="C1027" s="4"/>
    </row>
    <row r="1028" spans="3:3" x14ac:dyDescent="0.25">
      <c r="C1028" s="4"/>
    </row>
    <row r="1029" spans="3:3" x14ac:dyDescent="0.25">
      <c r="C1029" s="4"/>
    </row>
    <row r="1030" spans="3:3" x14ac:dyDescent="0.25">
      <c r="C1030" s="4"/>
    </row>
    <row r="1031" spans="3:3" x14ac:dyDescent="0.25">
      <c r="C1031" s="4"/>
    </row>
    <row r="1032" spans="3:3" x14ac:dyDescent="0.25">
      <c r="C1032" s="4"/>
    </row>
    <row r="1033" spans="3:3" x14ac:dyDescent="0.25">
      <c r="C1033" s="4"/>
    </row>
    <row r="1034" spans="3:3" x14ac:dyDescent="0.25">
      <c r="C1034" s="4"/>
    </row>
    <row r="1035" spans="3:3" x14ac:dyDescent="0.25">
      <c r="C1035" s="4"/>
    </row>
    <row r="1036" spans="3:3" x14ac:dyDescent="0.25">
      <c r="C1036" s="4"/>
    </row>
    <row r="1037" spans="3:3" x14ac:dyDescent="0.25">
      <c r="C1037" s="4"/>
    </row>
    <row r="1038" spans="3:3" x14ac:dyDescent="0.25">
      <c r="C1038" s="4"/>
    </row>
    <row r="1039" spans="3:3" x14ac:dyDescent="0.25">
      <c r="C1039" s="4"/>
    </row>
    <row r="1040" spans="3:3" x14ac:dyDescent="0.25">
      <c r="C1040" s="4"/>
    </row>
    <row r="1041" spans="3:3" x14ac:dyDescent="0.25">
      <c r="C1041" s="4"/>
    </row>
    <row r="1042" spans="3:3" x14ac:dyDescent="0.25">
      <c r="C1042" s="4"/>
    </row>
    <row r="1043" spans="3:3" x14ac:dyDescent="0.25">
      <c r="C1043" s="4"/>
    </row>
    <row r="1044" spans="3:3" x14ac:dyDescent="0.25">
      <c r="C1044" s="4"/>
    </row>
    <row r="1045" spans="3:3" x14ac:dyDescent="0.25">
      <c r="C1045" s="4"/>
    </row>
    <row r="1046" spans="3:3" x14ac:dyDescent="0.25">
      <c r="C1046" s="4"/>
    </row>
    <row r="1047" spans="3:3" x14ac:dyDescent="0.25">
      <c r="C1047" s="4"/>
    </row>
    <row r="1048" spans="3:3" x14ac:dyDescent="0.25">
      <c r="C1048" s="4"/>
    </row>
    <row r="1049" spans="3:3" x14ac:dyDescent="0.25">
      <c r="C1049" s="4"/>
    </row>
    <row r="1050" spans="3:3" x14ac:dyDescent="0.25">
      <c r="C1050" s="4"/>
    </row>
    <row r="1051" spans="3:3" x14ac:dyDescent="0.25">
      <c r="C1051" s="4"/>
    </row>
    <row r="1052" spans="3:3" x14ac:dyDescent="0.25">
      <c r="C1052" s="4"/>
    </row>
    <row r="1053" spans="3:3" x14ac:dyDescent="0.25">
      <c r="C1053" s="4"/>
    </row>
    <row r="1054" spans="3:3" x14ac:dyDescent="0.25">
      <c r="C1054" s="4"/>
    </row>
    <row r="1055" spans="3:3" x14ac:dyDescent="0.25">
      <c r="C1055" s="4"/>
    </row>
    <row r="1056" spans="3:3" x14ac:dyDescent="0.25">
      <c r="C1056" s="4"/>
    </row>
    <row r="1057" spans="3:3" x14ac:dyDescent="0.25">
      <c r="C1057" s="4"/>
    </row>
    <row r="1058" spans="3:3" x14ac:dyDescent="0.25">
      <c r="C1058" s="4"/>
    </row>
    <row r="1059" spans="3:3" x14ac:dyDescent="0.25">
      <c r="C1059" s="4"/>
    </row>
    <row r="1060" spans="3:3" x14ac:dyDescent="0.25">
      <c r="C1060" s="4"/>
    </row>
    <row r="1061" spans="3:3" x14ac:dyDescent="0.25">
      <c r="C1061" s="4"/>
    </row>
    <row r="1062" spans="3:3" x14ac:dyDescent="0.25">
      <c r="C1062" s="4"/>
    </row>
    <row r="1063" spans="3:3" x14ac:dyDescent="0.25">
      <c r="C1063" s="4"/>
    </row>
    <row r="1064" spans="3:3" x14ac:dyDescent="0.25">
      <c r="C1064" s="4"/>
    </row>
    <row r="1065" spans="3:3" x14ac:dyDescent="0.25">
      <c r="C1065" s="4"/>
    </row>
    <row r="1066" spans="3:3" x14ac:dyDescent="0.25">
      <c r="C1066" s="4"/>
    </row>
    <row r="1067" spans="3:3" x14ac:dyDescent="0.25">
      <c r="C1067" s="4"/>
    </row>
    <row r="1068" spans="3:3" x14ac:dyDescent="0.25">
      <c r="C1068" s="4"/>
    </row>
    <row r="1069" spans="3:3" x14ac:dyDescent="0.25">
      <c r="C1069" s="4"/>
    </row>
    <row r="1070" spans="3:3" x14ac:dyDescent="0.25">
      <c r="C1070" s="4"/>
    </row>
    <row r="1071" spans="3:3" x14ac:dyDescent="0.25">
      <c r="C1071" s="4"/>
    </row>
    <row r="1072" spans="3:3" x14ac:dyDescent="0.25">
      <c r="C1072" s="4"/>
    </row>
    <row r="1073" spans="3:3" x14ac:dyDescent="0.25">
      <c r="C1073" s="4"/>
    </row>
    <row r="1074" spans="3:3" x14ac:dyDescent="0.25">
      <c r="C1074" s="4"/>
    </row>
    <row r="1075" spans="3:3" x14ac:dyDescent="0.25">
      <c r="C1075" s="4"/>
    </row>
    <row r="1076" spans="3:3" x14ac:dyDescent="0.25">
      <c r="C1076" s="4"/>
    </row>
    <row r="1077" spans="3:3" x14ac:dyDescent="0.25">
      <c r="C1077" s="4"/>
    </row>
    <row r="1078" spans="3:3" x14ac:dyDescent="0.25">
      <c r="C1078" s="4"/>
    </row>
    <row r="1079" spans="3:3" x14ac:dyDescent="0.25">
      <c r="C1079" s="4"/>
    </row>
    <row r="1080" spans="3:3" x14ac:dyDescent="0.25">
      <c r="C1080" s="4"/>
    </row>
    <row r="1081" spans="3:3" x14ac:dyDescent="0.25">
      <c r="C1081" s="4"/>
    </row>
    <row r="1082" spans="3:3" x14ac:dyDescent="0.25">
      <c r="C1082" s="4"/>
    </row>
    <row r="1083" spans="3:3" x14ac:dyDescent="0.25">
      <c r="C1083" s="4"/>
    </row>
    <row r="1084" spans="3:3" x14ac:dyDescent="0.25">
      <c r="C1084" s="4"/>
    </row>
    <row r="1085" spans="3:3" x14ac:dyDescent="0.25">
      <c r="C1085" s="4"/>
    </row>
    <row r="1086" spans="3:3" x14ac:dyDescent="0.25">
      <c r="C1086" s="4"/>
    </row>
    <row r="1087" spans="3:3" x14ac:dyDescent="0.25">
      <c r="C1087" s="4"/>
    </row>
    <row r="1088" spans="3:3" x14ac:dyDescent="0.25">
      <c r="C1088" s="4"/>
    </row>
    <row r="1089" spans="3:3" x14ac:dyDescent="0.25">
      <c r="C1089" s="4"/>
    </row>
    <row r="1090" spans="3:3" x14ac:dyDescent="0.25">
      <c r="C1090" s="4"/>
    </row>
    <row r="1091" spans="3:3" x14ac:dyDescent="0.25">
      <c r="C1091" s="4"/>
    </row>
    <row r="1092" spans="3:3" x14ac:dyDescent="0.25">
      <c r="C1092" s="4"/>
    </row>
    <row r="1093" spans="3:3" x14ac:dyDescent="0.25">
      <c r="C1093" s="4"/>
    </row>
    <row r="1094" spans="3:3" x14ac:dyDescent="0.25">
      <c r="C1094" s="4"/>
    </row>
    <row r="1095" spans="3:3" x14ac:dyDescent="0.25">
      <c r="C1095" s="4"/>
    </row>
    <row r="1096" spans="3:3" x14ac:dyDescent="0.25">
      <c r="C1096" s="4"/>
    </row>
    <row r="1097" spans="3:3" x14ac:dyDescent="0.25">
      <c r="C1097" s="4"/>
    </row>
    <row r="1098" spans="3:3" x14ac:dyDescent="0.25">
      <c r="C1098" s="4"/>
    </row>
    <row r="1099" spans="3:3" x14ac:dyDescent="0.25">
      <c r="C1099" s="4"/>
    </row>
    <row r="1100" spans="3:3" x14ac:dyDescent="0.25">
      <c r="C1100" s="4"/>
    </row>
    <row r="1101" spans="3:3" x14ac:dyDescent="0.25">
      <c r="C1101" s="4"/>
    </row>
    <row r="1102" spans="3:3" x14ac:dyDescent="0.25">
      <c r="C1102" s="4"/>
    </row>
    <row r="1103" spans="3:3" x14ac:dyDescent="0.25">
      <c r="C1103" s="4"/>
    </row>
    <row r="1104" spans="3:3" x14ac:dyDescent="0.25">
      <c r="C1104" s="4"/>
    </row>
    <row r="1105" spans="3:3" x14ac:dyDescent="0.25">
      <c r="C1105" s="4"/>
    </row>
    <row r="1106" spans="3:3" x14ac:dyDescent="0.25">
      <c r="C1106" s="4"/>
    </row>
    <row r="1107" spans="3:3" x14ac:dyDescent="0.25">
      <c r="C1107" s="4"/>
    </row>
    <row r="1108" spans="3:3" x14ac:dyDescent="0.25">
      <c r="C1108" s="4"/>
    </row>
    <row r="1109" spans="3:3" x14ac:dyDescent="0.25">
      <c r="C1109" s="4"/>
    </row>
    <row r="1110" spans="3:3" x14ac:dyDescent="0.25">
      <c r="C1110" s="4"/>
    </row>
    <row r="1111" spans="3:3" x14ac:dyDescent="0.25">
      <c r="C1111" s="4"/>
    </row>
    <row r="1112" spans="3:3" x14ac:dyDescent="0.25">
      <c r="C1112" s="4"/>
    </row>
    <row r="1113" spans="3:3" x14ac:dyDescent="0.25">
      <c r="C1113" s="4"/>
    </row>
    <row r="1114" spans="3:3" x14ac:dyDescent="0.25">
      <c r="C1114" s="4"/>
    </row>
    <row r="1115" spans="3:3" x14ac:dyDescent="0.25">
      <c r="C1115" s="4"/>
    </row>
    <row r="1116" spans="3:3" x14ac:dyDescent="0.25">
      <c r="C1116" s="4"/>
    </row>
    <row r="1117" spans="3:3" x14ac:dyDescent="0.25">
      <c r="C1117" s="4"/>
    </row>
    <row r="1118" spans="3:3" x14ac:dyDescent="0.25">
      <c r="C1118" s="4"/>
    </row>
    <row r="1119" spans="3:3" x14ac:dyDescent="0.25">
      <c r="C1119" s="4"/>
    </row>
    <row r="1120" spans="3:3" x14ac:dyDescent="0.25">
      <c r="C1120" s="4"/>
    </row>
    <row r="1121" spans="3:3" x14ac:dyDescent="0.25">
      <c r="C1121" s="4"/>
    </row>
    <row r="1122" spans="3:3" x14ac:dyDescent="0.25">
      <c r="C1122" s="4"/>
    </row>
    <row r="1123" spans="3:3" x14ac:dyDescent="0.25">
      <c r="C1123" s="4"/>
    </row>
    <row r="1124" spans="3:3" x14ac:dyDescent="0.25">
      <c r="C1124" s="4"/>
    </row>
    <row r="1125" spans="3:3" x14ac:dyDescent="0.25">
      <c r="C1125" s="4"/>
    </row>
    <row r="1126" spans="3:3" x14ac:dyDescent="0.25">
      <c r="C1126" s="4"/>
    </row>
    <row r="1127" spans="3:3" x14ac:dyDescent="0.25">
      <c r="C1127" s="4"/>
    </row>
    <row r="1128" spans="3:3" x14ac:dyDescent="0.25">
      <c r="C1128" s="4"/>
    </row>
    <row r="1129" spans="3:3" x14ac:dyDescent="0.25">
      <c r="C1129" s="4"/>
    </row>
    <row r="1130" spans="3:3" x14ac:dyDescent="0.25">
      <c r="C1130" s="4"/>
    </row>
    <row r="1131" spans="3:3" x14ac:dyDescent="0.25">
      <c r="C1131" s="4"/>
    </row>
    <row r="1132" spans="3:3" x14ac:dyDescent="0.25">
      <c r="C1132" s="4"/>
    </row>
    <row r="1133" spans="3:3" x14ac:dyDescent="0.25">
      <c r="C1133" s="4"/>
    </row>
    <row r="1134" spans="3:3" x14ac:dyDescent="0.25">
      <c r="C1134" s="4"/>
    </row>
    <row r="1135" spans="3:3" x14ac:dyDescent="0.25">
      <c r="C1135" s="4"/>
    </row>
    <row r="1136" spans="3:3" x14ac:dyDescent="0.25">
      <c r="C1136" s="4"/>
    </row>
    <row r="1137" spans="3:3" x14ac:dyDescent="0.25">
      <c r="C1137" s="4"/>
    </row>
    <row r="1138" spans="3:3" x14ac:dyDescent="0.25">
      <c r="C1138" s="4"/>
    </row>
    <row r="1139" spans="3:3" x14ac:dyDescent="0.25">
      <c r="C1139" s="4"/>
    </row>
    <row r="1140" spans="3:3" x14ac:dyDescent="0.25">
      <c r="C1140" s="4"/>
    </row>
    <row r="1141" spans="3:3" x14ac:dyDescent="0.25">
      <c r="C1141" s="4"/>
    </row>
    <row r="1142" spans="3:3" x14ac:dyDescent="0.25">
      <c r="C1142" s="4"/>
    </row>
    <row r="1143" spans="3:3" x14ac:dyDescent="0.25">
      <c r="C1143" s="4"/>
    </row>
    <row r="1144" spans="3:3" x14ac:dyDescent="0.25">
      <c r="C1144" s="4"/>
    </row>
    <row r="1145" spans="3:3" x14ac:dyDescent="0.25">
      <c r="C1145" s="4"/>
    </row>
    <row r="1146" spans="3:3" x14ac:dyDescent="0.25">
      <c r="C1146" s="4"/>
    </row>
    <row r="1147" spans="3:3" x14ac:dyDescent="0.25">
      <c r="C1147" s="4"/>
    </row>
    <row r="1148" spans="3:3" x14ac:dyDescent="0.25">
      <c r="C1148" s="4"/>
    </row>
    <row r="1149" spans="3:3" x14ac:dyDescent="0.25">
      <c r="C1149" s="4"/>
    </row>
    <row r="1150" spans="3:3" x14ac:dyDescent="0.25">
      <c r="C1150" s="4"/>
    </row>
    <row r="1151" spans="3:3" x14ac:dyDescent="0.25">
      <c r="C1151" s="4"/>
    </row>
    <row r="1152" spans="3:3" x14ac:dyDescent="0.25">
      <c r="C1152" s="4"/>
    </row>
    <row r="1153" spans="3:3" x14ac:dyDescent="0.25">
      <c r="C1153" s="4"/>
    </row>
    <row r="1154" spans="3:3" x14ac:dyDescent="0.25">
      <c r="C1154" s="4"/>
    </row>
    <row r="1155" spans="3:3" x14ac:dyDescent="0.25">
      <c r="C1155" s="4"/>
    </row>
    <row r="1156" spans="3:3" x14ac:dyDescent="0.25">
      <c r="C1156" s="4"/>
    </row>
    <row r="1157" spans="3:3" x14ac:dyDescent="0.25">
      <c r="C1157" s="4"/>
    </row>
    <row r="1158" spans="3:3" x14ac:dyDescent="0.25">
      <c r="C1158" s="4"/>
    </row>
    <row r="1159" spans="3:3" x14ac:dyDescent="0.25">
      <c r="C1159" s="4"/>
    </row>
    <row r="1160" spans="3:3" x14ac:dyDescent="0.25">
      <c r="C1160" s="4"/>
    </row>
    <row r="1161" spans="3:3" x14ac:dyDescent="0.25">
      <c r="C1161" s="4"/>
    </row>
    <row r="1162" spans="3:3" x14ac:dyDescent="0.25">
      <c r="C1162" s="4"/>
    </row>
    <row r="1163" spans="3:3" x14ac:dyDescent="0.25">
      <c r="C1163" s="4"/>
    </row>
    <row r="1164" spans="3:3" x14ac:dyDescent="0.25">
      <c r="C1164" s="4"/>
    </row>
    <row r="1165" spans="3:3" x14ac:dyDescent="0.25">
      <c r="C1165" s="4"/>
    </row>
    <row r="1166" spans="3:3" x14ac:dyDescent="0.25">
      <c r="C1166" s="4"/>
    </row>
    <row r="1167" spans="3:3" x14ac:dyDescent="0.25">
      <c r="C1167" s="4"/>
    </row>
    <row r="1168" spans="3:3" x14ac:dyDescent="0.25">
      <c r="C1168" s="4"/>
    </row>
    <row r="1169" spans="3:3" x14ac:dyDescent="0.25">
      <c r="C1169" s="4"/>
    </row>
    <row r="1170" spans="3:3" x14ac:dyDescent="0.25">
      <c r="C1170" s="4"/>
    </row>
    <row r="1171" spans="3:3" x14ac:dyDescent="0.25">
      <c r="C1171" s="4"/>
    </row>
    <row r="1172" spans="3:3" x14ac:dyDescent="0.25">
      <c r="C1172" s="4"/>
    </row>
    <row r="1173" spans="3:3" x14ac:dyDescent="0.25">
      <c r="C1173" s="4"/>
    </row>
    <row r="1174" spans="3:3" x14ac:dyDescent="0.25">
      <c r="C1174" s="4"/>
    </row>
    <row r="1175" spans="3:3" x14ac:dyDescent="0.25">
      <c r="C1175" s="4"/>
    </row>
    <row r="1176" spans="3:3" x14ac:dyDescent="0.25">
      <c r="C1176" s="4"/>
    </row>
    <row r="1177" spans="3:3" x14ac:dyDescent="0.25">
      <c r="C1177" s="4"/>
    </row>
    <row r="1178" spans="3:3" x14ac:dyDescent="0.25">
      <c r="C1178" s="4"/>
    </row>
    <row r="1179" spans="3:3" x14ac:dyDescent="0.25">
      <c r="C1179" s="4"/>
    </row>
    <row r="1180" spans="3:3" x14ac:dyDescent="0.25">
      <c r="C1180" s="4"/>
    </row>
    <row r="1181" spans="3:3" x14ac:dyDescent="0.25">
      <c r="C1181" s="4"/>
    </row>
    <row r="1182" spans="3:3" x14ac:dyDescent="0.25">
      <c r="C1182" s="4"/>
    </row>
    <row r="1183" spans="3:3" x14ac:dyDescent="0.25">
      <c r="C1183" s="4"/>
    </row>
    <row r="1184" spans="3:3" x14ac:dyDescent="0.25">
      <c r="C1184" s="4"/>
    </row>
    <row r="1185" spans="3:3" x14ac:dyDescent="0.25">
      <c r="C1185" s="4"/>
    </row>
    <row r="1186" spans="3:3" x14ac:dyDescent="0.25">
      <c r="C1186" s="4"/>
    </row>
    <row r="1187" spans="3:3" x14ac:dyDescent="0.25">
      <c r="C1187" s="4"/>
    </row>
    <row r="1188" spans="3:3" x14ac:dyDescent="0.25">
      <c r="C1188" s="4"/>
    </row>
    <row r="1189" spans="3:3" x14ac:dyDescent="0.25">
      <c r="C1189" s="4"/>
    </row>
    <row r="1190" spans="3:3" x14ac:dyDescent="0.25">
      <c r="C1190" s="4"/>
    </row>
    <row r="1191" spans="3:3" x14ac:dyDescent="0.25">
      <c r="C1191" s="4"/>
    </row>
    <row r="1192" spans="3:3" x14ac:dyDescent="0.25">
      <c r="C1192" s="4"/>
    </row>
    <row r="1193" spans="3:3" x14ac:dyDescent="0.25">
      <c r="C1193" s="4"/>
    </row>
    <row r="1194" spans="3:3" x14ac:dyDescent="0.25">
      <c r="C1194" s="4"/>
    </row>
    <row r="1195" spans="3:3" x14ac:dyDescent="0.25">
      <c r="C1195" s="4"/>
    </row>
    <row r="1196" spans="3:3" x14ac:dyDescent="0.25">
      <c r="C1196" s="4"/>
    </row>
    <row r="1197" spans="3:3" x14ac:dyDescent="0.25">
      <c r="C1197" s="4"/>
    </row>
    <row r="1198" spans="3:3" x14ac:dyDescent="0.25">
      <c r="C1198" s="4"/>
    </row>
    <row r="1199" spans="3:3" x14ac:dyDescent="0.25">
      <c r="C1199" s="4"/>
    </row>
    <row r="1200" spans="3:3" x14ac:dyDescent="0.25">
      <c r="C1200" s="4"/>
    </row>
    <row r="1201" spans="3:3" x14ac:dyDescent="0.25">
      <c r="C1201" s="4"/>
    </row>
    <row r="1202" spans="3:3" x14ac:dyDescent="0.25">
      <c r="C1202" s="4"/>
    </row>
    <row r="1203" spans="3:3" x14ac:dyDescent="0.25">
      <c r="C1203" s="4"/>
    </row>
    <row r="1204" spans="3:3" x14ac:dyDescent="0.25">
      <c r="C1204" s="4"/>
    </row>
    <row r="1205" spans="3:3" x14ac:dyDescent="0.25">
      <c r="C1205" s="4"/>
    </row>
    <row r="1206" spans="3:3" x14ac:dyDescent="0.25">
      <c r="C1206" s="4"/>
    </row>
    <row r="1207" spans="3:3" x14ac:dyDescent="0.25">
      <c r="C1207" s="4"/>
    </row>
    <row r="1208" spans="3:3" x14ac:dyDescent="0.25">
      <c r="C1208" s="4"/>
    </row>
    <row r="1209" spans="3:3" x14ac:dyDescent="0.25">
      <c r="C1209" s="4"/>
    </row>
    <row r="1210" spans="3:3" x14ac:dyDescent="0.25">
      <c r="C1210" s="4"/>
    </row>
    <row r="1211" spans="3:3" x14ac:dyDescent="0.25">
      <c r="C1211" s="4"/>
    </row>
    <row r="1212" spans="3:3" x14ac:dyDescent="0.25">
      <c r="C1212" s="4"/>
    </row>
    <row r="1213" spans="3:3" x14ac:dyDescent="0.25">
      <c r="C1213" s="4"/>
    </row>
    <row r="1214" spans="3:3" x14ac:dyDescent="0.25">
      <c r="C1214" s="4"/>
    </row>
    <row r="1215" spans="3:3" x14ac:dyDescent="0.25">
      <c r="C1215" s="4"/>
    </row>
    <row r="1216" spans="3:3" x14ac:dyDescent="0.25">
      <c r="C1216" s="4"/>
    </row>
    <row r="1217" spans="3:3" x14ac:dyDescent="0.25">
      <c r="C1217" s="4"/>
    </row>
    <row r="1218" spans="3:3" x14ac:dyDescent="0.25">
      <c r="C1218" s="4"/>
    </row>
    <row r="1219" spans="3:3" x14ac:dyDescent="0.25">
      <c r="C1219" s="4"/>
    </row>
    <row r="1220" spans="3:3" x14ac:dyDescent="0.25">
      <c r="C1220" s="4"/>
    </row>
    <row r="1221" spans="3:3" x14ac:dyDescent="0.25">
      <c r="C1221" s="4"/>
    </row>
    <row r="1222" spans="3:3" x14ac:dyDescent="0.25">
      <c r="C1222" s="4"/>
    </row>
    <row r="1223" spans="3:3" x14ac:dyDescent="0.25">
      <c r="C1223" s="4"/>
    </row>
    <row r="1224" spans="3:3" x14ac:dyDescent="0.25">
      <c r="C1224" s="4"/>
    </row>
    <row r="1225" spans="3:3" x14ac:dyDescent="0.25">
      <c r="C1225" s="4"/>
    </row>
    <row r="1226" spans="3:3" x14ac:dyDescent="0.25">
      <c r="C1226" s="4"/>
    </row>
    <row r="1227" spans="3:3" x14ac:dyDescent="0.25">
      <c r="C1227" s="4"/>
    </row>
    <row r="1228" spans="3:3" x14ac:dyDescent="0.25">
      <c r="C1228" s="4"/>
    </row>
    <row r="1229" spans="3:3" x14ac:dyDescent="0.25">
      <c r="C1229" s="4"/>
    </row>
    <row r="1230" spans="3:3" x14ac:dyDescent="0.25">
      <c r="C1230" s="4"/>
    </row>
    <row r="1231" spans="3:3" x14ac:dyDescent="0.25">
      <c r="C1231" s="4"/>
    </row>
    <row r="1232" spans="3:3" x14ac:dyDescent="0.25">
      <c r="C1232" s="4"/>
    </row>
    <row r="1233" spans="3:3" x14ac:dyDescent="0.25">
      <c r="C1233" s="4"/>
    </row>
    <row r="1234" spans="3:3" x14ac:dyDescent="0.25">
      <c r="C1234" s="4"/>
    </row>
    <row r="1235" spans="3:3" x14ac:dyDescent="0.25">
      <c r="C1235" s="4"/>
    </row>
    <row r="1236" spans="3:3" x14ac:dyDescent="0.25">
      <c r="C1236" s="4"/>
    </row>
    <row r="1237" spans="3:3" x14ac:dyDescent="0.25">
      <c r="C1237" s="4"/>
    </row>
    <row r="1238" spans="3:3" x14ac:dyDescent="0.25">
      <c r="C1238" s="4"/>
    </row>
    <row r="1239" spans="3:3" x14ac:dyDescent="0.25">
      <c r="C1239" s="4"/>
    </row>
    <row r="1240" spans="3:3" x14ac:dyDescent="0.25">
      <c r="C1240" s="4"/>
    </row>
    <row r="1241" spans="3:3" x14ac:dyDescent="0.25">
      <c r="C1241" s="4"/>
    </row>
    <row r="1242" spans="3:3" x14ac:dyDescent="0.25">
      <c r="C1242" s="4"/>
    </row>
    <row r="1243" spans="3:3" x14ac:dyDescent="0.25">
      <c r="C1243" s="4"/>
    </row>
    <row r="1244" spans="3:3" x14ac:dyDescent="0.25">
      <c r="C1244" s="4"/>
    </row>
    <row r="1245" spans="3:3" x14ac:dyDescent="0.25">
      <c r="C1245" s="4"/>
    </row>
    <row r="1246" spans="3:3" x14ac:dyDescent="0.25">
      <c r="C1246" s="4"/>
    </row>
    <row r="1247" spans="3:3" x14ac:dyDescent="0.25">
      <c r="C1247" s="4"/>
    </row>
    <row r="1248" spans="3:3" x14ac:dyDescent="0.25">
      <c r="C1248" s="4"/>
    </row>
    <row r="1249" spans="3:3" x14ac:dyDescent="0.25">
      <c r="C1249" s="4"/>
    </row>
    <row r="1250" spans="3:3" x14ac:dyDescent="0.25">
      <c r="C1250" s="4"/>
    </row>
    <row r="1251" spans="3:3" x14ac:dyDescent="0.25">
      <c r="C1251" s="4"/>
    </row>
    <row r="1252" spans="3:3" x14ac:dyDescent="0.25">
      <c r="C1252" s="4"/>
    </row>
    <row r="1253" spans="3:3" x14ac:dyDescent="0.25">
      <c r="C1253" s="4"/>
    </row>
    <row r="1254" spans="3:3" x14ac:dyDescent="0.25">
      <c r="C1254" s="4"/>
    </row>
    <row r="1255" spans="3:3" x14ac:dyDescent="0.25">
      <c r="C1255" s="4"/>
    </row>
    <row r="1256" spans="3:3" x14ac:dyDescent="0.25">
      <c r="C1256" s="4"/>
    </row>
    <row r="1257" spans="3:3" x14ac:dyDescent="0.25">
      <c r="C1257" s="4"/>
    </row>
    <row r="1258" spans="3:3" x14ac:dyDescent="0.25">
      <c r="C1258" s="4"/>
    </row>
    <row r="1259" spans="3:3" x14ac:dyDescent="0.25">
      <c r="C1259" s="4"/>
    </row>
    <row r="1260" spans="3:3" x14ac:dyDescent="0.25">
      <c r="C1260" s="4"/>
    </row>
    <row r="1261" spans="3:3" x14ac:dyDescent="0.25">
      <c r="C1261" s="4"/>
    </row>
    <row r="1262" spans="3:3" x14ac:dyDescent="0.25">
      <c r="C1262" s="4"/>
    </row>
    <row r="1263" spans="3:3" x14ac:dyDescent="0.25">
      <c r="C1263" s="4"/>
    </row>
    <row r="1264" spans="3:3" x14ac:dyDescent="0.25">
      <c r="C1264" s="4"/>
    </row>
    <row r="1265" spans="3:3" x14ac:dyDescent="0.25">
      <c r="C1265" s="4"/>
    </row>
    <row r="1266" spans="3:3" x14ac:dyDescent="0.25">
      <c r="C1266" s="4"/>
    </row>
    <row r="1267" spans="3:3" x14ac:dyDescent="0.25">
      <c r="C1267" s="4"/>
    </row>
    <row r="1268" spans="3:3" x14ac:dyDescent="0.25">
      <c r="C1268" s="4"/>
    </row>
    <row r="1269" spans="3:3" x14ac:dyDescent="0.25">
      <c r="C1269" s="4"/>
    </row>
    <row r="1270" spans="3:3" x14ac:dyDescent="0.25">
      <c r="C1270" s="4"/>
    </row>
    <row r="1271" spans="3:3" x14ac:dyDescent="0.25">
      <c r="C1271" s="4"/>
    </row>
    <row r="1272" spans="3:3" x14ac:dyDescent="0.25">
      <c r="C1272" s="4"/>
    </row>
    <row r="1273" spans="3:3" x14ac:dyDescent="0.25">
      <c r="C1273" s="4"/>
    </row>
    <row r="1274" spans="3:3" x14ac:dyDescent="0.25">
      <c r="C1274" s="4"/>
    </row>
    <row r="1275" spans="3:3" x14ac:dyDescent="0.25">
      <c r="C1275" s="4"/>
    </row>
    <row r="1276" spans="3:3" x14ac:dyDescent="0.25">
      <c r="C1276" s="4"/>
    </row>
    <row r="1277" spans="3:3" x14ac:dyDescent="0.25">
      <c r="C1277" s="4"/>
    </row>
    <row r="1278" spans="3:3" x14ac:dyDescent="0.25">
      <c r="C1278" s="4"/>
    </row>
    <row r="1279" spans="3:3" x14ac:dyDescent="0.25">
      <c r="C1279" s="4"/>
    </row>
    <row r="1280" spans="3:3" x14ac:dyDescent="0.25">
      <c r="C1280" s="4"/>
    </row>
    <row r="1281" spans="3:3" x14ac:dyDescent="0.25">
      <c r="C1281" s="4"/>
    </row>
    <row r="1282" spans="3:3" x14ac:dyDescent="0.25">
      <c r="C1282" s="4"/>
    </row>
    <row r="1283" spans="3:3" x14ac:dyDescent="0.25">
      <c r="C1283" s="4"/>
    </row>
    <row r="1284" spans="3:3" x14ac:dyDescent="0.25">
      <c r="C1284" s="4"/>
    </row>
    <row r="1285" spans="3:3" x14ac:dyDescent="0.25">
      <c r="C1285" s="4"/>
    </row>
    <row r="1286" spans="3:3" x14ac:dyDescent="0.25">
      <c r="C1286" s="4"/>
    </row>
    <row r="1287" spans="3:3" x14ac:dyDescent="0.25">
      <c r="C1287" s="4"/>
    </row>
    <row r="1288" spans="3:3" x14ac:dyDescent="0.25">
      <c r="C1288" s="4"/>
    </row>
    <row r="1289" spans="3:3" x14ac:dyDescent="0.25">
      <c r="C1289" s="4"/>
    </row>
    <row r="1290" spans="3:3" x14ac:dyDescent="0.25">
      <c r="C1290" s="4"/>
    </row>
    <row r="1291" spans="3:3" x14ac:dyDescent="0.25">
      <c r="C1291" s="4"/>
    </row>
    <row r="1292" spans="3:3" x14ac:dyDescent="0.25">
      <c r="C1292" s="4"/>
    </row>
    <row r="1293" spans="3:3" x14ac:dyDescent="0.25">
      <c r="C1293" s="4"/>
    </row>
    <row r="1294" spans="3:3" x14ac:dyDescent="0.25">
      <c r="C1294" s="4"/>
    </row>
    <row r="1295" spans="3:3" x14ac:dyDescent="0.25">
      <c r="C1295" s="4"/>
    </row>
    <row r="1296" spans="3:3" x14ac:dyDescent="0.25">
      <c r="C1296" s="4"/>
    </row>
    <row r="1297" spans="3:3" x14ac:dyDescent="0.25">
      <c r="C1297" s="4"/>
    </row>
    <row r="1298" spans="3:3" x14ac:dyDescent="0.25">
      <c r="C1298" s="4"/>
    </row>
    <row r="1299" spans="3:3" x14ac:dyDescent="0.25">
      <c r="C1299" s="4"/>
    </row>
    <row r="1300" spans="3:3" x14ac:dyDescent="0.25">
      <c r="C1300" s="4"/>
    </row>
    <row r="1301" spans="3:3" x14ac:dyDescent="0.25">
      <c r="C1301" s="4"/>
    </row>
    <row r="1302" spans="3:3" x14ac:dyDescent="0.25">
      <c r="C1302" s="4"/>
    </row>
    <row r="1303" spans="3:3" x14ac:dyDescent="0.25">
      <c r="C1303" s="4"/>
    </row>
    <row r="1304" spans="3:3" x14ac:dyDescent="0.25">
      <c r="C1304" s="4"/>
    </row>
    <row r="1305" spans="3:3" x14ac:dyDescent="0.25">
      <c r="C1305" s="4"/>
    </row>
    <row r="1306" spans="3:3" x14ac:dyDescent="0.25">
      <c r="C1306" s="4"/>
    </row>
    <row r="1307" spans="3:3" x14ac:dyDescent="0.25">
      <c r="C1307" s="4"/>
    </row>
    <row r="1308" spans="3:3" x14ac:dyDescent="0.25">
      <c r="C1308" s="4"/>
    </row>
    <row r="1309" spans="3:3" x14ac:dyDescent="0.25">
      <c r="C1309" s="4"/>
    </row>
    <row r="1310" spans="3:3" x14ac:dyDescent="0.25">
      <c r="C1310" s="4"/>
    </row>
    <row r="1311" spans="3:3" x14ac:dyDescent="0.25">
      <c r="C1311" s="4"/>
    </row>
    <row r="1312" spans="3:3" x14ac:dyDescent="0.25">
      <c r="C1312" s="4"/>
    </row>
    <row r="1313" spans="3:3" x14ac:dyDescent="0.25">
      <c r="C1313" s="4"/>
    </row>
    <row r="1314" spans="3:3" x14ac:dyDescent="0.25">
      <c r="C1314" s="4"/>
    </row>
    <row r="1315" spans="3:3" x14ac:dyDescent="0.25">
      <c r="C1315" s="4"/>
    </row>
    <row r="1316" spans="3:3" x14ac:dyDescent="0.25">
      <c r="C1316" s="4"/>
    </row>
    <row r="1317" spans="3:3" x14ac:dyDescent="0.25">
      <c r="C1317" s="4"/>
    </row>
    <row r="1318" spans="3:3" x14ac:dyDescent="0.25">
      <c r="C1318" s="4"/>
    </row>
    <row r="1319" spans="3:3" x14ac:dyDescent="0.25">
      <c r="C1319" s="4"/>
    </row>
    <row r="1320" spans="3:3" x14ac:dyDescent="0.25">
      <c r="C1320" s="4"/>
    </row>
    <row r="1321" spans="3:3" x14ac:dyDescent="0.25">
      <c r="C1321" s="4"/>
    </row>
    <row r="1322" spans="3:3" x14ac:dyDescent="0.25">
      <c r="C1322" s="4"/>
    </row>
    <row r="1323" spans="3:3" x14ac:dyDescent="0.25">
      <c r="C1323" s="4"/>
    </row>
    <row r="1324" spans="3:3" x14ac:dyDescent="0.25">
      <c r="C1324" s="4"/>
    </row>
    <row r="1325" spans="3:3" x14ac:dyDescent="0.25">
      <c r="C1325" s="4"/>
    </row>
    <row r="1326" spans="3:3" x14ac:dyDescent="0.25">
      <c r="C1326" s="4"/>
    </row>
    <row r="1327" spans="3:3" x14ac:dyDescent="0.25">
      <c r="C1327" s="4"/>
    </row>
    <row r="1328" spans="3:3" x14ac:dyDescent="0.25">
      <c r="C1328" s="4"/>
    </row>
    <row r="1329" spans="3:3" x14ac:dyDescent="0.25">
      <c r="C1329" s="4"/>
    </row>
    <row r="1330" spans="3:3" x14ac:dyDescent="0.25">
      <c r="C1330" s="4"/>
    </row>
    <row r="1331" spans="3:3" x14ac:dyDescent="0.25">
      <c r="C1331" s="4"/>
    </row>
    <row r="1332" spans="3:3" x14ac:dyDescent="0.25">
      <c r="C1332" s="4"/>
    </row>
    <row r="1333" spans="3:3" x14ac:dyDescent="0.25">
      <c r="C1333" s="4"/>
    </row>
    <row r="1334" spans="3:3" x14ac:dyDescent="0.25">
      <c r="C1334" s="4"/>
    </row>
    <row r="1335" spans="3:3" x14ac:dyDescent="0.25">
      <c r="C1335" s="4"/>
    </row>
    <row r="1336" spans="3:3" x14ac:dyDescent="0.25">
      <c r="C1336" s="4"/>
    </row>
    <row r="1337" spans="3:3" x14ac:dyDescent="0.25">
      <c r="C1337" s="4"/>
    </row>
    <row r="1338" spans="3:3" x14ac:dyDescent="0.25">
      <c r="C1338" s="4"/>
    </row>
    <row r="1339" spans="3:3" x14ac:dyDescent="0.25">
      <c r="C1339" s="4"/>
    </row>
    <row r="1340" spans="3:3" x14ac:dyDescent="0.25">
      <c r="C1340" s="4"/>
    </row>
    <row r="1341" spans="3:3" x14ac:dyDescent="0.25">
      <c r="C1341" s="4"/>
    </row>
    <row r="1342" spans="3:3" x14ac:dyDescent="0.25">
      <c r="C1342" s="4"/>
    </row>
    <row r="1343" spans="3:3" x14ac:dyDescent="0.25">
      <c r="C1343" s="4"/>
    </row>
    <row r="1344" spans="3:3" x14ac:dyDescent="0.25">
      <c r="C1344" s="4"/>
    </row>
    <row r="1345" spans="3:3" x14ac:dyDescent="0.25">
      <c r="C1345" s="4"/>
    </row>
    <row r="1346" spans="3:3" x14ac:dyDescent="0.25">
      <c r="C1346" s="4"/>
    </row>
    <row r="1347" spans="3:3" x14ac:dyDescent="0.25">
      <c r="C1347" s="4"/>
    </row>
    <row r="1348" spans="3:3" x14ac:dyDescent="0.25">
      <c r="C1348" s="4"/>
    </row>
    <row r="1349" spans="3:3" x14ac:dyDescent="0.25">
      <c r="C1349" s="4"/>
    </row>
    <row r="1350" spans="3:3" x14ac:dyDescent="0.25">
      <c r="C1350" s="4"/>
    </row>
    <row r="1351" spans="3:3" x14ac:dyDescent="0.25">
      <c r="C1351" s="4"/>
    </row>
    <row r="1352" spans="3:3" x14ac:dyDescent="0.25">
      <c r="C1352" s="4"/>
    </row>
    <row r="1353" spans="3:3" x14ac:dyDescent="0.25">
      <c r="C1353" s="4"/>
    </row>
    <row r="1354" spans="3:3" x14ac:dyDescent="0.25">
      <c r="C1354" s="4"/>
    </row>
    <row r="1355" spans="3:3" x14ac:dyDescent="0.25">
      <c r="C1355" s="4"/>
    </row>
    <row r="1356" spans="3:3" x14ac:dyDescent="0.25">
      <c r="C1356" s="4"/>
    </row>
    <row r="1357" spans="3:3" x14ac:dyDescent="0.25">
      <c r="C1357" s="4"/>
    </row>
    <row r="1358" spans="3:3" x14ac:dyDescent="0.25">
      <c r="C1358" s="4"/>
    </row>
    <row r="1359" spans="3:3" x14ac:dyDescent="0.25">
      <c r="C1359" s="4"/>
    </row>
    <row r="1360" spans="3:3" x14ac:dyDescent="0.25">
      <c r="C1360" s="4"/>
    </row>
    <row r="1361" spans="3:3" x14ac:dyDescent="0.25">
      <c r="C1361" s="4"/>
    </row>
    <row r="1362" spans="3:3" x14ac:dyDescent="0.25">
      <c r="C1362" s="4"/>
    </row>
    <row r="1363" spans="3:3" x14ac:dyDescent="0.25">
      <c r="C1363" s="4"/>
    </row>
    <row r="1364" spans="3:3" x14ac:dyDescent="0.25">
      <c r="C1364" s="4"/>
    </row>
    <row r="1365" spans="3:3" x14ac:dyDescent="0.25">
      <c r="C1365" s="4"/>
    </row>
    <row r="1366" spans="3:3" x14ac:dyDescent="0.25">
      <c r="C1366" s="4"/>
    </row>
    <row r="1367" spans="3:3" x14ac:dyDescent="0.25">
      <c r="C1367" s="4"/>
    </row>
    <row r="1368" spans="3:3" x14ac:dyDescent="0.25">
      <c r="C1368" s="4"/>
    </row>
    <row r="1369" spans="3:3" x14ac:dyDescent="0.25">
      <c r="C1369" s="4"/>
    </row>
    <row r="1370" spans="3:3" x14ac:dyDescent="0.25">
      <c r="C1370" s="4"/>
    </row>
    <row r="1371" spans="3:3" x14ac:dyDescent="0.25">
      <c r="C1371" s="4"/>
    </row>
    <row r="1372" spans="3:3" x14ac:dyDescent="0.25">
      <c r="C1372" s="4"/>
    </row>
    <row r="1373" spans="3:3" x14ac:dyDescent="0.25">
      <c r="C1373" s="4"/>
    </row>
    <row r="1374" spans="3:3" x14ac:dyDescent="0.25">
      <c r="C1374" s="4"/>
    </row>
    <row r="1375" spans="3:3" x14ac:dyDescent="0.25">
      <c r="C1375" s="4"/>
    </row>
    <row r="1376" spans="3:3" x14ac:dyDescent="0.25">
      <c r="C1376" s="4"/>
    </row>
    <row r="1377" spans="3:3" x14ac:dyDescent="0.25">
      <c r="C1377" s="4"/>
    </row>
    <row r="1378" spans="3:3" x14ac:dyDescent="0.25">
      <c r="C1378" s="4"/>
    </row>
    <row r="1379" spans="3:3" x14ac:dyDescent="0.25">
      <c r="C1379" s="4"/>
    </row>
    <row r="1380" spans="3:3" x14ac:dyDescent="0.25">
      <c r="C1380" s="4"/>
    </row>
    <row r="1381" spans="3:3" x14ac:dyDescent="0.25">
      <c r="C1381" s="4"/>
    </row>
    <row r="1382" spans="3:3" x14ac:dyDescent="0.25">
      <c r="C1382" s="4"/>
    </row>
    <row r="1383" spans="3:3" x14ac:dyDescent="0.25">
      <c r="C1383" s="4"/>
    </row>
    <row r="1384" spans="3:3" x14ac:dyDescent="0.25">
      <c r="C1384" s="4"/>
    </row>
    <row r="1385" spans="3:3" x14ac:dyDescent="0.25">
      <c r="C1385" s="4"/>
    </row>
    <row r="1386" spans="3:3" x14ac:dyDescent="0.25">
      <c r="C1386" s="4"/>
    </row>
    <row r="1387" spans="3:3" x14ac:dyDescent="0.25">
      <c r="C1387" s="4"/>
    </row>
    <row r="1388" spans="3:3" x14ac:dyDescent="0.25">
      <c r="C1388" s="4"/>
    </row>
    <row r="1389" spans="3:3" x14ac:dyDescent="0.25">
      <c r="C1389" s="4"/>
    </row>
    <row r="1390" spans="3:3" x14ac:dyDescent="0.25">
      <c r="C1390" s="4"/>
    </row>
    <row r="1391" spans="3:3" x14ac:dyDescent="0.25">
      <c r="C1391" s="4"/>
    </row>
    <row r="1392" spans="3:3" x14ac:dyDescent="0.25">
      <c r="C1392" s="4"/>
    </row>
    <row r="1393" spans="3:3" x14ac:dyDescent="0.25">
      <c r="C1393" s="4"/>
    </row>
    <row r="1394" spans="3:3" x14ac:dyDescent="0.25">
      <c r="C1394" s="4"/>
    </row>
    <row r="1395" spans="3:3" x14ac:dyDescent="0.25">
      <c r="C1395" s="4"/>
    </row>
    <row r="1396" spans="3:3" x14ac:dyDescent="0.25">
      <c r="C1396" s="4"/>
    </row>
    <row r="1397" spans="3:3" x14ac:dyDescent="0.25">
      <c r="C1397" s="4"/>
    </row>
    <row r="1398" spans="3:3" x14ac:dyDescent="0.25">
      <c r="C1398" s="4"/>
    </row>
    <row r="1399" spans="3:3" x14ac:dyDescent="0.25">
      <c r="C1399" s="4"/>
    </row>
    <row r="1400" spans="3:3" x14ac:dyDescent="0.25">
      <c r="C1400" s="4"/>
    </row>
    <row r="1401" spans="3:3" x14ac:dyDescent="0.25">
      <c r="C1401" s="4"/>
    </row>
    <row r="1402" spans="3:3" x14ac:dyDescent="0.25">
      <c r="C1402" s="4"/>
    </row>
    <row r="1403" spans="3:3" x14ac:dyDescent="0.25">
      <c r="C1403" s="4"/>
    </row>
    <row r="1404" spans="3:3" x14ac:dyDescent="0.25">
      <c r="C1404" s="4"/>
    </row>
    <row r="1405" spans="3:3" x14ac:dyDescent="0.25">
      <c r="C1405" s="4"/>
    </row>
    <row r="1406" spans="3:3" x14ac:dyDescent="0.25">
      <c r="C1406" s="4"/>
    </row>
    <row r="1407" spans="3:3" x14ac:dyDescent="0.25">
      <c r="C1407" s="4"/>
    </row>
    <row r="1408" spans="3:3" x14ac:dyDescent="0.25">
      <c r="C1408" s="4"/>
    </row>
    <row r="1409" spans="3:3" x14ac:dyDescent="0.25">
      <c r="C1409" s="4"/>
    </row>
    <row r="1410" spans="3:3" x14ac:dyDescent="0.25">
      <c r="C1410" s="4"/>
    </row>
    <row r="1411" spans="3:3" x14ac:dyDescent="0.25">
      <c r="C1411" s="4"/>
    </row>
    <row r="1412" spans="3:3" x14ac:dyDescent="0.25">
      <c r="C1412" s="4"/>
    </row>
    <row r="1413" spans="3:3" x14ac:dyDescent="0.25">
      <c r="C1413" s="4"/>
    </row>
    <row r="1414" spans="3:3" x14ac:dyDescent="0.25">
      <c r="C1414" s="4"/>
    </row>
    <row r="1415" spans="3:3" x14ac:dyDescent="0.25">
      <c r="C1415" s="4"/>
    </row>
    <row r="1416" spans="3:3" x14ac:dyDescent="0.25">
      <c r="C1416" s="4"/>
    </row>
    <row r="1417" spans="3:3" x14ac:dyDescent="0.25">
      <c r="C1417" s="4"/>
    </row>
    <row r="1418" spans="3:3" x14ac:dyDescent="0.25">
      <c r="C1418" s="4"/>
    </row>
    <row r="1419" spans="3:3" x14ac:dyDescent="0.25">
      <c r="C1419" s="4"/>
    </row>
    <row r="1420" spans="3:3" x14ac:dyDescent="0.25">
      <c r="C1420" s="4"/>
    </row>
    <row r="1421" spans="3:3" x14ac:dyDescent="0.25">
      <c r="C1421" s="4"/>
    </row>
    <row r="1422" spans="3:3" x14ac:dyDescent="0.25">
      <c r="C1422" s="4"/>
    </row>
    <row r="1423" spans="3:3" x14ac:dyDescent="0.25">
      <c r="C1423" s="4"/>
    </row>
    <row r="1424" spans="3:3" x14ac:dyDescent="0.25">
      <c r="C1424" s="4"/>
    </row>
    <row r="1425" spans="3:3" x14ac:dyDescent="0.25">
      <c r="C1425" s="4"/>
    </row>
    <row r="1426" spans="3:3" x14ac:dyDescent="0.25">
      <c r="C1426" s="4"/>
    </row>
    <row r="1427" spans="3:3" x14ac:dyDescent="0.25">
      <c r="C1427" s="4"/>
    </row>
    <row r="1428" spans="3:3" x14ac:dyDescent="0.25">
      <c r="C1428" s="4"/>
    </row>
    <row r="1429" spans="3:3" x14ac:dyDescent="0.25">
      <c r="C1429" s="4"/>
    </row>
    <row r="1430" spans="3:3" x14ac:dyDescent="0.25">
      <c r="C1430" s="4"/>
    </row>
    <row r="1431" spans="3:3" x14ac:dyDescent="0.25">
      <c r="C1431" s="4"/>
    </row>
    <row r="1432" spans="3:3" x14ac:dyDescent="0.25">
      <c r="C1432" s="4"/>
    </row>
    <row r="1433" spans="3:3" x14ac:dyDescent="0.25">
      <c r="C1433" s="4"/>
    </row>
    <row r="1434" spans="3:3" x14ac:dyDescent="0.25">
      <c r="C1434" s="4"/>
    </row>
    <row r="1435" spans="3:3" x14ac:dyDescent="0.25">
      <c r="C1435" s="4"/>
    </row>
    <row r="1436" spans="3:3" x14ac:dyDescent="0.25">
      <c r="C1436" s="4"/>
    </row>
    <row r="1437" spans="3:3" x14ac:dyDescent="0.25">
      <c r="C1437" s="4"/>
    </row>
    <row r="1438" spans="3:3" x14ac:dyDescent="0.25">
      <c r="C1438" s="4"/>
    </row>
    <row r="1439" spans="3:3" x14ac:dyDescent="0.25">
      <c r="C1439" s="4"/>
    </row>
    <row r="1440" spans="3:3" x14ac:dyDescent="0.25">
      <c r="C1440" s="4"/>
    </row>
    <row r="1441" spans="3:3" x14ac:dyDescent="0.25">
      <c r="C1441" s="4"/>
    </row>
    <row r="1442" spans="3:3" x14ac:dyDescent="0.25">
      <c r="C1442" s="4"/>
    </row>
    <row r="1443" spans="3:3" x14ac:dyDescent="0.25">
      <c r="C1443" s="4"/>
    </row>
    <row r="1444" spans="3:3" x14ac:dyDescent="0.25">
      <c r="C1444" s="4"/>
    </row>
    <row r="1445" spans="3:3" x14ac:dyDescent="0.25">
      <c r="C1445" s="4"/>
    </row>
    <row r="1446" spans="3:3" x14ac:dyDescent="0.25">
      <c r="C1446" s="4"/>
    </row>
    <row r="1447" spans="3:3" x14ac:dyDescent="0.25">
      <c r="C1447" s="4"/>
    </row>
    <row r="1448" spans="3:3" x14ac:dyDescent="0.25">
      <c r="C1448" s="4"/>
    </row>
    <row r="1449" spans="3:3" x14ac:dyDescent="0.25">
      <c r="C1449" s="4"/>
    </row>
    <row r="1450" spans="3:3" x14ac:dyDescent="0.25">
      <c r="C1450" s="4"/>
    </row>
    <row r="1451" spans="3:3" x14ac:dyDescent="0.25">
      <c r="C1451" s="4"/>
    </row>
    <row r="1452" spans="3:3" x14ac:dyDescent="0.25">
      <c r="C1452" s="4"/>
    </row>
    <row r="1453" spans="3:3" x14ac:dyDescent="0.25">
      <c r="C1453" s="4"/>
    </row>
    <row r="1454" spans="3:3" x14ac:dyDescent="0.25">
      <c r="C1454" s="4"/>
    </row>
    <row r="1455" spans="3:3" x14ac:dyDescent="0.25">
      <c r="C1455" s="4"/>
    </row>
    <row r="1456" spans="3:3" x14ac:dyDescent="0.25">
      <c r="C1456" s="4"/>
    </row>
    <row r="1457" spans="3:3" x14ac:dyDescent="0.25">
      <c r="C1457" s="4"/>
    </row>
    <row r="1458" spans="3:3" x14ac:dyDescent="0.25">
      <c r="C1458" s="4"/>
    </row>
    <row r="1459" spans="3:3" x14ac:dyDescent="0.25">
      <c r="C1459" s="4"/>
    </row>
    <row r="1460" spans="3:3" x14ac:dyDescent="0.25">
      <c r="C1460" s="4"/>
    </row>
    <row r="1461" spans="3:3" x14ac:dyDescent="0.25">
      <c r="C1461" s="4"/>
    </row>
    <row r="1462" spans="3:3" x14ac:dyDescent="0.25">
      <c r="C1462" s="4"/>
    </row>
    <row r="1463" spans="3:3" x14ac:dyDescent="0.25">
      <c r="C1463" s="4"/>
    </row>
    <row r="1464" spans="3:3" x14ac:dyDescent="0.25">
      <c r="C1464" s="4"/>
    </row>
    <row r="1465" spans="3:3" x14ac:dyDescent="0.25">
      <c r="C1465" s="4"/>
    </row>
    <row r="1466" spans="3:3" x14ac:dyDescent="0.25">
      <c r="C1466" s="4"/>
    </row>
    <row r="1467" spans="3:3" x14ac:dyDescent="0.25">
      <c r="C1467" s="4"/>
    </row>
    <row r="1468" spans="3:3" x14ac:dyDescent="0.25">
      <c r="C1468" s="4"/>
    </row>
    <row r="1469" spans="3:3" x14ac:dyDescent="0.25">
      <c r="C1469" s="4"/>
    </row>
    <row r="1470" spans="3:3" x14ac:dyDescent="0.25">
      <c r="C1470" s="4"/>
    </row>
    <row r="1471" spans="3:3" x14ac:dyDescent="0.25">
      <c r="C1471" s="4"/>
    </row>
    <row r="1472" spans="3:3" x14ac:dyDescent="0.25">
      <c r="C1472" s="4"/>
    </row>
    <row r="1473" spans="3:3" x14ac:dyDescent="0.25">
      <c r="C1473" s="4"/>
    </row>
    <row r="1474" spans="3:3" x14ac:dyDescent="0.25">
      <c r="C1474" s="4"/>
    </row>
    <row r="1475" spans="3:3" x14ac:dyDescent="0.25">
      <c r="C1475" s="4"/>
    </row>
    <row r="1476" spans="3:3" x14ac:dyDescent="0.25">
      <c r="C1476" s="4"/>
    </row>
    <row r="1477" spans="3:3" x14ac:dyDescent="0.25">
      <c r="C1477" s="4"/>
    </row>
    <row r="1478" spans="3:3" x14ac:dyDescent="0.25">
      <c r="C1478" s="4"/>
    </row>
    <row r="1479" spans="3:3" x14ac:dyDescent="0.25">
      <c r="C1479" s="4"/>
    </row>
    <row r="1480" spans="3:3" x14ac:dyDescent="0.25">
      <c r="C1480" s="4"/>
    </row>
    <row r="1481" spans="3:3" x14ac:dyDescent="0.25">
      <c r="C1481" s="4"/>
    </row>
    <row r="1482" spans="3:3" x14ac:dyDescent="0.25">
      <c r="C1482" s="4"/>
    </row>
    <row r="1483" spans="3:3" x14ac:dyDescent="0.25">
      <c r="C1483" s="4"/>
    </row>
    <row r="1484" spans="3:3" x14ac:dyDescent="0.25">
      <c r="C1484" s="4"/>
    </row>
    <row r="1485" spans="3:3" x14ac:dyDescent="0.25">
      <c r="C1485" s="4"/>
    </row>
    <row r="1486" spans="3:3" x14ac:dyDescent="0.25">
      <c r="C1486" s="4"/>
    </row>
    <row r="1487" spans="3:3" x14ac:dyDescent="0.25">
      <c r="C1487" s="4"/>
    </row>
    <row r="1488" spans="3:3" x14ac:dyDescent="0.25">
      <c r="C1488" s="4"/>
    </row>
    <row r="1489" spans="3:3" x14ac:dyDescent="0.25">
      <c r="C1489" s="4"/>
    </row>
    <row r="1490" spans="3:3" x14ac:dyDescent="0.25">
      <c r="C1490" s="4"/>
    </row>
    <row r="1491" spans="3:3" x14ac:dyDescent="0.25">
      <c r="C1491" s="4"/>
    </row>
    <row r="1492" spans="3:3" x14ac:dyDescent="0.25">
      <c r="C1492" s="4"/>
    </row>
    <row r="1493" spans="3:3" x14ac:dyDescent="0.25">
      <c r="C1493" s="4"/>
    </row>
    <row r="1494" spans="3:3" x14ac:dyDescent="0.25">
      <c r="C1494" s="4"/>
    </row>
    <row r="1495" spans="3:3" x14ac:dyDescent="0.25">
      <c r="C1495" s="4"/>
    </row>
    <row r="1496" spans="3:3" x14ac:dyDescent="0.25">
      <c r="C1496" s="4"/>
    </row>
    <row r="1497" spans="3:3" x14ac:dyDescent="0.25">
      <c r="C1497" s="4"/>
    </row>
    <row r="1498" spans="3:3" x14ac:dyDescent="0.25">
      <c r="C1498" s="4"/>
    </row>
    <row r="1499" spans="3:3" x14ac:dyDescent="0.25">
      <c r="C1499" s="4"/>
    </row>
    <row r="1500" spans="3:3" x14ac:dyDescent="0.25">
      <c r="C1500" s="4"/>
    </row>
    <row r="1501" spans="3:3" x14ac:dyDescent="0.25">
      <c r="C1501" s="4"/>
    </row>
    <row r="1502" spans="3:3" x14ac:dyDescent="0.25">
      <c r="C1502" s="4"/>
    </row>
    <row r="1503" spans="3:3" x14ac:dyDescent="0.25">
      <c r="C1503" s="4"/>
    </row>
    <row r="1504" spans="3:3" x14ac:dyDescent="0.25">
      <c r="C1504" s="4"/>
    </row>
    <row r="1505" spans="3:3" x14ac:dyDescent="0.25">
      <c r="C1505" s="4"/>
    </row>
    <row r="1506" spans="3:3" x14ac:dyDescent="0.25">
      <c r="C1506" s="4"/>
    </row>
    <row r="1507" spans="3:3" x14ac:dyDescent="0.25">
      <c r="C1507" s="4"/>
    </row>
    <row r="1508" spans="3:3" x14ac:dyDescent="0.25">
      <c r="C1508" s="4"/>
    </row>
    <row r="1509" spans="3:3" x14ac:dyDescent="0.25">
      <c r="C1509" s="4"/>
    </row>
    <row r="1510" spans="3:3" x14ac:dyDescent="0.25">
      <c r="C1510" s="4"/>
    </row>
    <row r="1511" spans="3:3" x14ac:dyDescent="0.25">
      <c r="C1511" s="4"/>
    </row>
    <row r="1512" spans="3:3" x14ac:dyDescent="0.25">
      <c r="C1512" s="4"/>
    </row>
    <row r="1513" spans="3:3" x14ac:dyDescent="0.25">
      <c r="C1513" s="4"/>
    </row>
    <row r="1514" spans="3:3" x14ac:dyDescent="0.25">
      <c r="C1514" s="4"/>
    </row>
    <row r="1515" spans="3:3" x14ac:dyDescent="0.25">
      <c r="C1515" s="4"/>
    </row>
    <row r="1516" spans="3:3" x14ac:dyDescent="0.25">
      <c r="C1516" s="4"/>
    </row>
    <row r="1517" spans="3:3" x14ac:dyDescent="0.25">
      <c r="C1517" s="4"/>
    </row>
    <row r="1518" spans="3:3" x14ac:dyDescent="0.25">
      <c r="C1518" s="4"/>
    </row>
    <row r="1519" spans="3:3" x14ac:dyDescent="0.25">
      <c r="C1519" s="4"/>
    </row>
    <row r="1520" spans="3:3" x14ac:dyDescent="0.25">
      <c r="C1520" s="4"/>
    </row>
    <row r="1521" spans="3:3" x14ac:dyDescent="0.25">
      <c r="C1521" s="4"/>
    </row>
    <row r="1522" spans="3:3" x14ac:dyDescent="0.25">
      <c r="C1522" s="4"/>
    </row>
    <row r="1523" spans="3:3" x14ac:dyDescent="0.25">
      <c r="C1523" s="4"/>
    </row>
    <row r="1524" spans="3:3" x14ac:dyDescent="0.25">
      <c r="C1524" s="4"/>
    </row>
    <row r="1525" spans="3:3" x14ac:dyDescent="0.25">
      <c r="C1525" s="4"/>
    </row>
    <row r="1526" spans="3:3" x14ac:dyDescent="0.25">
      <c r="C1526" s="4"/>
    </row>
    <row r="1527" spans="3:3" x14ac:dyDescent="0.25">
      <c r="C1527" s="4"/>
    </row>
    <row r="1528" spans="3:3" x14ac:dyDescent="0.25">
      <c r="C1528" s="4"/>
    </row>
    <row r="1529" spans="3:3" x14ac:dyDescent="0.25">
      <c r="C1529" s="4"/>
    </row>
    <row r="1530" spans="3:3" x14ac:dyDescent="0.25">
      <c r="C1530" s="4"/>
    </row>
    <row r="1531" spans="3:3" x14ac:dyDescent="0.25">
      <c r="C1531" s="4"/>
    </row>
    <row r="1532" spans="3:3" x14ac:dyDescent="0.25">
      <c r="C1532" s="4"/>
    </row>
    <row r="1533" spans="3:3" x14ac:dyDescent="0.25">
      <c r="C1533" s="4"/>
    </row>
    <row r="1534" spans="3:3" x14ac:dyDescent="0.25">
      <c r="C1534" s="4"/>
    </row>
    <row r="1535" spans="3:3" x14ac:dyDescent="0.25">
      <c r="C1535" s="4"/>
    </row>
    <row r="1536" spans="3:3" x14ac:dyDescent="0.25">
      <c r="C1536" s="4"/>
    </row>
    <row r="1537" spans="3:3" x14ac:dyDescent="0.25">
      <c r="C1537" s="4"/>
    </row>
    <row r="1538" spans="3:3" x14ac:dyDescent="0.25">
      <c r="C1538" s="4"/>
    </row>
    <row r="1539" spans="3:3" x14ac:dyDescent="0.25">
      <c r="C1539" s="4"/>
    </row>
    <row r="1540" spans="3:3" x14ac:dyDescent="0.25">
      <c r="C1540" s="4"/>
    </row>
    <row r="1541" spans="3:3" x14ac:dyDescent="0.25">
      <c r="C1541" s="4"/>
    </row>
    <row r="1542" spans="3:3" x14ac:dyDescent="0.25">
      <c r="C1542" s="4"/>
    </row>
    <row r="1543" spans="3:3" x14ac:dyDescent="0.25">
      <c r="C1543" s="4"/>
    </row>
    <row r="1544" spans="3:3" x14ac:dyDescent="0.25">
      <c r="C1544" s="4"/>
    </row>
    <row r="1545" spans="3:3" x14ac:dyDescent="0.25">
      <c r="C1545" s="4"/>
    </row>
    <row r="1546" spans="3:3" x14ac:dyDescent="0.25">
      <c r="C1546" s="4"/>
    </row>
    <row r="1547" spans="3:3" x14ac:dyDescent="0.25">
      <c r="C1547" s="4"/>
    </row>
    <row r="1548" spans="3:3" x14ac:dyDescent="0.25">
      <c r="C1548" s="4"/>
    </row>
    <row r="1549" spans="3:3" x14ac:dyDescent="0.25">
      <c r="C1549" s="4"/>
    </row>
    <row r="1550" spans="3:3" x14ac:dyDescent="0.25">
      <c r="C1550" s="4"/>
    </row>
    <row r="1551" spans="3:3" x14ac:dyDescent="0.25">
      <c r="C1551" s="4"/>
    </row>
    <row r="1552" spans="3:3" x14ac:dyDescent="0.25">
      <c r="C1552" s="4"/>
    </row>
    <row r="1553" spans="3:3" x14ac:dyDescent="0.25">
      <c r="C1553" s="4"/>
    </row>
    <row r="1554" spans="3:3" x14ac:dyDescent="0.25">
      <c r="C1554" s="4"/>
    </row>
    <row r="1555" spans="3:3" x14ac:dyDescent="0.25">
      <c r="C1555" s="4"/>
    </row>
    <row r="1556" spans="3:3" x14ac:dyDescent="0.25">
      <c r="C1556" s="4"/>
    </row>
    <row r="1557" spans="3:3" x14ac:dyDescent="0.25">
      <c r="C1557" s="4"/>
    </row>
    <row r="1558" spans="3:3" x14ac:dyDescent="0.25">
      <c r="C1558" s="4"/>
    </row>
    <row r="1559" spans="3:3" x14ac:dyDescent="0.25">
      <c r="C1559" s="4"/>
    </row>
    <row r="1560" spans="3:3" x14ac:dyDescent="0.25">
      <c r="C1560" s="4"/>
    </row>
    <row r="1561" spans="3:3" x14ac:dyDescent="0.25">
      <c r="C1561" s="4"/>
    </row>
    <row r="1562" spans="3:3" x14ac:dyDescent="0.25">
      <c r="C1562" s="4"/>
    </row>
    <row r="1563" spans="3:3" x14ac:dyDescent="0.25">
      <c r="C1563" s="4"/>
    </row>
    <row r="1564" spans="3:3" x14ac:dyDescent="0.25">
      <c r="C1564" s="4"/>
    </row>
    <row r="1565" spans="3:3" x14ac:dyDescent="0.25">
      <c r="C1565" s="4"/>
    </row>
    <row r="1566" spans="3:3" x14ac:dyDescent="0.25">
      <c r="C1566" s="4"/>
    </row>
    <row r="1567" spans="3:3" x14ac:dyDescent="0.25">
      <c r="C1567" s="4"/>
    </row>
    <row r="1568" spans="3:3" x14ac:dyDescent="0.25">
      <c r="C1568" s="4"/>
    </row>
    <row r="1569" spans="3:3" x14ac:dyDescent="0.25">
      <c r="C1569" s="4"/>
    </row>
    <row r="1570" spans="3:3" x14ac:dyDescent="0.25">
      <c r="C1570" s="4"/>
    </row>
    <row r="1571" spans="3:3" x14ac:dyDescent="0.25">
      <c r="C1571" s="4"/>
    </row>
    <row r="1572" spans="3:3" x14ac:dyDescent="0.25">
      <c r="C1572" s="4"/>
    </row>
    <row r="1573" spans="3:3" x14ac:dyDescent="0.25">
      <c r="C1573" s="4"/>
    </row>
    <row r="1574" spans="3:3" x14ac:dyDescent="0.25">
      <c r="C1574" s="4"/>
    </row>
    <row r="1575" spans="3:3" x14ac:dyDescent="0.25">
      <c r="C1575" s="4"/>
    </row>
    <row r="1576" spans="3:3" x14ac:dyDescent="0.25">
      <c r="C1576" s="4"/>
    </row>
    <row r="1577" spans="3:3" x14ac:dyDescent="0.25">
      <c r="C1577" s="4"/>
    </row>
    <row r="1578" spans="3:3" x14ac:dyDescent="0.25">
      <c r="C1578" s="4"/>
    </row>
    <row r="1579" spans="3:3" x14ac:dyDescent="0.25">
      <c r="C1579" s="4"/>
    </row>
    <row r="1580" spans="3:3" x14ac:dyDescent="0.25">
      <c r="C1580" s="4"/>
    </row>
    <row r="1581" spans="3:3" x14ac:dyDescent="0.25">
      <c r="C1581" s="4"/>
    </row>
    <row r="1582" spans="3:3" x14ac:dyDescent="0.25">
      <c r="C1582" s="4"/>
    </row>
    <row r="1583" spans="3:3" x14ac:dyDescent="0.25">
      <c r="C1583" s="4"/>
    </row>
    <row r="1584" spans="3:3" x14ac:dyDescent="0.25">
      <c r="C1584" s="4"/>
    </row>
    <row r="1585" spans="3:3" x14ac:dyDescent="0.25">
      <c r="C1585" s="4"/>
    </row>
    <row r="1586" spans="3:3" x14ac:dyDescent="0.25">
      <c r="C1586" s="4"/>
    </row>
    <row r="1587" spans="3:3" x14ac:dyDescent="0.25">
      <c r="C1587" s="4"/>
    </row>
    <row r="1588" spans="3:3" x14ac:dyDescent="0.25">
      <c r="C1588" s="4"/>
    </row>
    <row r="1589" spans="3:3" x14ac:dyDescent="0.25">
      <c r="C1589" s="4"/>
    </row>
    <row r="1590" spans="3:3" x14ac:dyDescent="0.25">
      <c r="C1590" s="4"/>
    </row>
    <row r="1591" spans="3:3" x14ac:dyDescent="0.25">
      <c r="C1591" s="4"/>
    </row>
    <row r="1592" spans="3:3" x14ac:dyDescent="0.25">
      <c r="C1592" s="4"/>
    </row>
    <row r="1593" spans="3:3" x14ac:dyDescent="0.25">
      <c r="C1593" s="4"/>
    </row>
    <row r="1594" spans="3:3" x14ac:dyDescent="0.25">
      <c r="C1594" s="4"/>
    </row>
    <row r="1595" spans="3:3" x14ac:dyDescent="0.25">
      <c r="C1595" s="4"/>
    </row>
    <row r="1596" spans="3:3" x14ac:dyDescent="0.25">
      <c r="C1596" s="4"/>
    </row>
    <row r="1597" spans="3:3" x14ac:dyDescent="0.25">
      <c r="C1597" s="4"/>
    </row>
    <row r="1598" spans="3:3" x14ac:dyDescent="0.25">
      <c r="C1598" s="4"/>
    </row>
    <row r="1599" spans="3:3" x14ac:dyDescent="0.25">
      <c r="C1599" s="4"/>
    </row>
    <row r="1600" spans="3:3" x14ac:dyDescent="0.25">
      <c r="C1600" s="4"/>
    </row>
    <row r="1601" spans="3:3" x14ac:dyDescent="0.25">
      <c r="C1601" s="4"/>
    </row>
    <row r="1602" spans="3:3" x14ac:dyDescent="0.25">
      <c r="C1602" s="4"/>
    </row>
    <row r="1603" spans="3:3" x14ac:dyDescent="0.25">
      <c r="C1603" s="4"/>
    </row>
    <row r="1604" spans="3:3" x14ac:dyDescent="0.25">
      <c r="C1604" s="4"/>
    </row>
    <row r="1605" spans="3:3" x14ac:dyDescent="0.25">
      <c r="C1605" s="4"/>
    </row>
    <row r="1606" spans="3:3" x14ac:dyDescent="0.25">
      <c r="C1606" s="4"/>
    </row>
    <row r="1607" spans="3:3" x14ac:dyDescent="0.25">
      <c r="C1607" s="4"/>
    </row>
    <row r="1608" spans="3:3" x14ac:dyDescent="0.25">
      <c r="C1608" s="4"/>
    </row>
    <row r="1609" spans="3:3" x14ac:dyDescent="0.25">
      <c r="C1609" s="4"/>
    </row>
    <row r="1610" spans="3:3" x14ac:dyDescent="0.25">
      <c r="C1610" s="4"/>
    </row>
    <row r="1611" spans="3:3" x14ac:dyDescent="0.25">
      <c r="C1611" s="4"/>
    </row>
    <row r="1612" spans="3:3" x14ac:dyDescent="0.25">
      <c r="C1612" s="4"/>
    </row>
    <row r="1613" spans="3:3" x14ac:dyDescent="0.25">
      <c r="C1613" s="4"/>
    </row>
    <row r="1614" spans="3:3" x14ac:dyDescent="0.25">
      <c r="C1614" s="4"/>
    </row>
    <row r="1615" spans="3:3" x14ac:dyDescent="0.25">
      <c r="C1615" s="4"/>
    </row>
    <row r="1616" spans="3:3" x14ac:dyDescent="0.25">
      <c r="C1616" s="4"/>
    </row>
    <row r="1617" spans="3:3" x14ac:dyDescent="0.25">
      <c r="C1617" s="4"/>
    </row>
    <row r="1618" spans="3:3" x14ac:dyDescent="0.25">
      <c r="C1618" s="4"/>
    </row>
    <row r="1619" spans="3:3" x14ac:dyDescent="0.25">
      <c r="C1619" s="4"/>
    </row>
    <row r="1620" spans="3:3" x14ac:dyDescent="0.25">
      <c r="C1620" s="4"/>
    </row>
    <row r="1621" spans="3:3" x14ac:dyDescent="0.25">
      <c r="C1621" s="4"/>
    </row>
    <row r="1622" spans="3:3" x14ac:dyDescent="0.25">
      <c r="C1622" s="4"/>
    </row>
    <row r="1623" spans="3:3" x14ac:dyDescent="0.25">
      <c r="C1623" s="4"/>
    </row>
    <row r="1624" spans="3:3" x14ac:dyDescent="0.25">
      <c r="C1624" s="4"/>
    </row>
    <row r="1625" spans="3:3" x14ac:dyDescent="0.25">
      <c r="C1625" s="4"/>
    </row>
    <row r="1626" spans="3:3" x14ac:dyDescent="0.25">
      <c r="C1626" s="4"/>
    </row>
    <row r="1627" spans="3:3" x14ac:dyDescent="0.25">
      <c r="C1627" s="4"/>
    </row>
    <row r="1628" spans="3:3" x14ac:dyDescent="0.25">
      <c r="C1628" s="4"/>
    </row>
    <row r="1629" spans="3:3" x14ac:dyDescent="0.25">
      <c r="C1629" s="4"/>
    </row>
    <row r="1630" spans="3:3" x14ac:dyDescent="0.25">
      <c r="C1630" s="4"/>
    </row>
    <row r="1631" spans="3:3" x14ac:dyDescent="0.25">
      <c r="C1631" s="4"/>
    </row>
    <row r="1632" spans="3:3" x14ac:dyDescent="0.25">
      <c r="C1632" s="4"/>
    </row>
    <row r="1633" spans="3:3" x14ac:dyDescent="0.25">
      <c r="C1633" s="4"/>
    </row>
    <row r="1634" spans="3:3" x14ac:dyDescent="0.25">
      <c r="C1634" s="4"/>
    </row>
    <row r="1635" spans="3:3" x14ac:dyDescent="0.25">
      <c r="C1635" s="4"/>
    </row>
    <row r="1636" spans="3:3" x14ac:dyDescent="0.25">
      <c r="C1636" s="4"/>
    </row>
    <row r="1637" spans="3:3" x14ac:dyDescent="0.25">
      <c r="C1637" s="4"/>
    </row>
    <row r="1638" spans="3:3" x14ac:dyDescent="0.25">
      <c r="C1638" s="4"/>
    </row>
    <row r="1639" spans="3:3" x14ac:dyDescent="0.25">
      <c r="C1639" s="4"/>
    </row>
    <row r="1640" spans="3:3" x14ac:dyDescent="0.25">
      <c r="C1640" s="4"/>
    </row>
    <row r="1641" spans="3:3" x14ac:dyDescent="0.25">
      <c r="C1641" s="4"/>
    </row>
    <row r="1642" spans="3:3" x14ac:dyDescent="0.25">
      <c r="C1642" s="4"/>
    </row>
    <row r="1643" spans="3:3" x14ac:dyDescent="0.25">
      <c r="C1643" s="4"/>
    </row>
    <row r="1644" spans="3:3" x14ac:dyDescent="0.25">
      <c r="C1644" s="4"/>
    </row>
    <row r="1645" spans="3:3" x14ac:dyDescent="0.25">
      <c r="C1645" s="4"/>
    </row>
    <row r="1646" spans="3:3" x14ac:dyDescent="0.25">
      <c r="C1646" s="4"/>
    </row>
    <row r="1647" spans="3:3" x14ac:dyDescent="0.25">
      <c r="C1647" s="4"/>
    </row>
    <row r="1648" spans="3:3" x14ac:dyDescent="0.25">
      <c r="C1648" s="4"/>
    </row>
    <row r="1649" spans="3:3" x14ac:dyDescent="0.25">
      <c r="C1649" s="4"/>
    </row>
    <row r="1650" spans="3:3" x14ac:dyDescent="0.25">
      <c r="C1650" s="4"/>
    </row>
    <row r="1651" spans="3:3" x14ac:dyDescent="0.25">
      <c r="C1651" s="4"/>
    </row>
    <row r="1652" spans="3:3" x14ac:dyDescent="0.25">
      <c r="C1652" s="4"/>
    </row>
    <row r="1653" spans="3:3" x14ac:dyDescent="0.25">
      <c r="C1653" s="4"/>
    </row>
    <row r="1654" spans="3:3" x14ac:dyDescent="0.25">
      <c r="C1654" s="4"/>
    </row>
    <row r="1655" spans="3:3" x14ac:dyDescent="0.25">
      <c r="C1655" s="4"/>
    </row>
    <row r="1656" spans="3:3" x14ac:dyDescent="0.25">
      <c r="C1656" s="4"/>
    </row>
    <row r="1657" spans="3:3" x14ac:dyDescent="0.25">
      <c r="C1657" s="4"/>
    </row>
    <row r="1658" spans="3:3" x14ac:dyDescent="0.25">
      <c r="C1658" s="4"/>
    </row>
    <row r="1659" spans="3:3" x14ac:dyDescent="0.25">
      <c r="C1659" s="4"/>
    </row>
    <row r="1660" spans="3:3" x14ac:dyDescent="0.25">
      <c r="C1660" s="4"/>
    </row>
    <row r="1661" spans="3:3" x14ac:dyDescent="0.25">
      <c r="C1661" s="4"/>
    </row>
    <row r="1662" spans="3:3" x14ac:dyDescent="0.25">
      <c r="C1662" s="4"/>
    </row>
    <row r="1663" spans="3:3" x14ac:dyDescent="0.25">
      <c r="C1663" s="4"/>
    </row>
    <row r="1664" spans="3:3" x14ac:dyDescent="0.25">
      <c r="C1664" s="4"/>
    </row>
    <row r="1665" spans="3:3" x14ac:dyDescent="0.25">
      <c r="C1665" s="4"/>
    </row>
    <row r="1666" spans="3:3" x14ac:dyDescent="0.25">
      <c r="C1666" s="4"/>
    </row>
    <row r="1667" spans="3:3" x14ac:dyDescent="0.25">
      <c r="C1667" s="4"/>
    </row>
    <row r="1668" spans="3:3" x14ac:dyDescent="0.25">
      <c r="C1668" s="4"/>
    </row>
    <row r="1669" spans="3:3" x14ac:dyDescent="0.25">
      <c r="C1669" s="4"/>
    </row>
    <row r="1670" spans="3:3" x14ac:dyDescent="0.25">
      <c r="C1670" s="4"/>
    </row>
    <row r="1671" spans="3:3" x14ac:dyDescent="0.25">
      <c r="C1671" s="4"/>
    </row>
    <row r="1672" spans="3:3" x14ac:dyDescent="0.25">
      <c r="C1672" s="4"/>
    </row>
    <row r="1673" spans="3:3" x14ac:dyDescent="0.25">
      <c r="C1673" s="4"/>
    </row>
    <row r="1674" spans="3:3" x14ac:dyDescent="0.25">
      <c r="C1674" s="4"/>
    </row>
    <row r="1675" spans="3:3" x14ac:dyDescent="0.25">
      <c r="C1675" s="4"/>
    </row>
    <row r="1676" spans="3:3" x14ac:dyDescent="0.25">
      <c r="C1676" s="4"/>
    </row>
    <row r="1677" spans="3:3" x14ac:dyDescent="0.25">
      <c r="C1677" s="4"/>
    </row>
    <row r="1678" spans="3:3" x14ac:dyDescent="0.25">
      <c r="C1678" s="4"/>
    </row>
    <row r="1679" spans="3:3" x14ac:dyDescent="0.25">
      <c r="C1679" s="4"/>
    </row>
    <row r="1680" spans="3:3" x14ac:dyDescent="0.25">
      <c r="C1680" s="4"/>
    </row>
    <row r="1681" spans="3:3" x14ac:dyDescent="0.25">
      <c r="C1681" s="4"/>
    </row>
    <row r="1682" spans="3:3" x14ac:dyDescent="0.25">
      <c r="C1682" s="4"/>
    </row>
    <row r="1683" spans="3:3" x14ac:dyDescent="0.25">
      <c r="C1683" s="4"/>
    </row>
    <row r="1684" spans="3:3" x14ac:dyDescent="0.25">
      <c r="C1684" s="4"/>
    </row>
    <row r="1685" spans="3:3" x14ac:dyDescent="0.25">
      <c r="C1685" s="4"/>
    </row>
    <row r="1686" spans="3:3" x14ac:dyDescent="0.25">
      <c r="C1686" s="4"/>
    </row>
    <row r="1687" spans="3:3" x14ac:dyDescent="0.25">
      <c r="C1687" s="4"/>
    </row>
    <row r="1688" spans="3:3" x14ac:dyDescent="0.25">
      <c r="C1688" s="4"/>
    </row>
    <row r="1689" spans="3:3" x14ac:dyDescent="0.25">
      <c r="C1689" s="4"/>
    </row>
    <row r="1690" spans="3:3" x14ac:dyDescent="0.25">
      <c r="C1690" s="4"/>
    </row>
    <row r="1691" spans="3:3" x14ac:dyDescent="0.25">
      <c r="C1691" s="4"/>
    </row>
    <row r="1692" spans="3:3" x14ac:dyDescent="0.25">
      <c r="C1692" s="4"/>
    </row>
    <row r="1693" spans="3:3" x14ac:dyDescent="0.25">
      <c r="C1693" s="4"/>
    </row>
    <row r="1694" spans="3:3" x14ac:dyDescent="0.25">
      <c r="C1694" s="4"/>
    </row>
    <row r="1695" spans="3:3" x14ac:dyDescent="0.25">
      <c r="C1695" s="4"/>
    </row>
    <row r="1696" spans="3:3" x14ac:dyDescent="0.25">
      <c r="C1696" s="4"/>
    </row>
    <row r="1697" spans="3:3" x14ac:dyDescent="0.25">
      <c r="C1697" s="4"/>
    </row>
    <row r="1698" spans="3:3" x14ac:dyDescent="0.25">
      <c r="C1698" s="4"/>
    </row>
    <row r="1699" spans="3:3" x14ac:dyDescent="0.25">
      <c r="C1699" s="4"/>
    </row>
    <row r="1700" spans="3:3" x14ac:dyDescent="0.25">
      <c r="C1700" s="4"/>
    </row>
    <row r="1701" spans="3:3" x14ac:dyDescent="0.25">
      <c r="C1701" s="4"/>
    </row>
    <row r="1702" spans="3:3" x14ac:dyDescent="0.25">
      <c r="C1702" s="4"/>
    </row>
    <row r="1703" spans="3:3" x14ac:dyDescent="0.25">
      <c r="C1703" s="4"/>
    </row>
    <row r="1704" spans="3:3" x14ac:dyDescent="0.25">
      <c r="C1704" s="4"/>
    </row>
    <row r="1705" spans="3:3" x14ac:dyDescent="0.25">
      <c r="C1705" s="4"/>
    </row>
    <row r="1706" spans="3:3" x14ac:dyDescent="0.25">
      <c r="C1706" s="4"/>
    </row>
    <row r="1707" spans="3:3" x14ac:dyDescent="0.25">
      <c r="C1707" s="4"/>
    </row>
    <row r="1708" spans="3:3" x14ac:dyDescent="0.25">
      <c r="C1708" s="4"/>
    </row>
    <row r="1709" spans="3:3" x14ac:dyDescent="0.25">
      <c r="C1709" s="4"/>
    </row>
    <row r="1710" spans="3:3" x14ac:dyDescent="0.25">
      <c r="C1710" s="4"/>
    </row>
    <row r="1711" spans="3:3" x14ac:dyDescent="0.25">
      <c r="C1711" s="4"/>
    </row>
    <row r="1712" spans="3:3" x14ac:dyDescent="0.25">
      <c r="C1712" s="4"/>
    </row>
    <row r="1713" spans="3:3" x14ac:dyDescent="0.25">
      <c r="C1713" s="4"/>
    </row>
    <row r="1714" spans="3:3" x14ac:dyDescent="0.25">
      <c r="C1714" s="4"/>
    </row>
    <row r="1715" spans="3:3" x14ac:dyDescent="0.25">
      <c r="C1715" s="4"/>
    </row>
    <row r="1716" spans="3:3" x14ac:dyDescent="0.25">
      <c r="C1716" s="4"/>
    </row>
    <row r="1717" spans="3:3" x14ac:dyDescent="0.25">
      <c r="C1717" s="4"/>
    </row>
    <row r="1718" spans="3:3" x14ac:dyDescent="0.25">
      <c r="C1718" s="4"/>
    </row>
    <row r="1719" spans="3:3" x14ac:dyDescent="0.25">
      <c r="C1719" s="4"/>
    </row>
    <row r="1720" spans="3:3" x14ac:dyDescent="0.25">
      <c r="C1720" s="4"/>
    </row>
    <row r="1721" spans="3:3" x14ac:dyDescent="0.25">
      <c r="C1721" s="4"/>
    </row>
    <row r="1722" spans="3:3" x14ac:dyDescent="0.25">
      <c r="C1722" s="4"/>
    </row>
    <row r="1723" spans="3:3" x14ac:dyDescent="0.25">
      <c r="C1723" s="4"/>
    </row>
    <row r="1724" spans="3:3" x14ac:dyDescent="0.25">
      <c r="C1724" s="4"/>
    </row>
    <row r="1725" spans="3:3" x14ac:dyDescent="0.25">
      <c r="C1725" s="4"/>
    </row>
    <row r="1726" spans="3:3" x14ac:dyDescent="0.25">
      <c r="C1726" s="4"/>
    </row>
    <row r="1727" spans="3:3" x14ac:dyDescent="0.25">
      <c r="C1727" s="4"/>
    </row>
    <row r="1728" spans="3:3" x14ac:dyDescent="0.25">
      <c r="C1728" s="4"/>
    </row>
    <row r="1729" spans="3:3" x14ac:dyDescent="0.25">
      <c r="C1729" s="4"/>
    </row>
    <row r="1730" spans="3:3" x14ac:dyDescent="0.25">
      <c r="C1730" s="4"/>
    </row>
    <row r="1731" spans="3:3" x14ac:dyDescent="0.25">
      <c r="C1731" s="4"/>
    </row>
    <row r="1732" spans="3:3" x14ac:dyDescent="0.25">
      <c r="C1732" s="4"/>
    </row>
    <row r="1733" spans="3:3" x14ac:dyDescent="0.25">
      <c r="C1733" s="4"/>
    </row>
    <row r="1734" spans="3:3" x14ac:dyDescent="0.25">
      <c r="C1734" s="4"/>
    </row>
    <row r="1735" spans="3:3" x14ac:dyDescent="0.25">
      <c r="C1735" s="4"/>
    </row>
    <row r="1736" spans="3:3" x14ac:dyDescent="0.25">
      <c r="C1736" s="4"/>
    </row>
    <row r="1737" spans="3:3" x14ac:dyDescent="0.25">
      <c r="C1737" s="4"/>
    </row>
    <row r="1738" spans="3:3" x14ac:dyDescent="0.25">
      <c r="C1738" s="4"/>
    </row>
    <row r="1739" spans="3:3" x14ac:dyDescent="0.25">
      <c r="C1739" s="4"/>
    </row>
    <row r="1740" spans="3:3" x14ac:dyDescent="0.25">
      <c r="C1740" s="4"/>
    </row>
    <row r="1741" spans="3:3" x14ac:dyDescent="0.25">
      <c r="C1741" s="4"/>
    </row>
    <row r="1742" spans="3:3" x14ac:dyDescent="0.25">
      <c r="C1742" s="4"/>
    </row>
    <row r="1743" spans="3:3" x14ac:dyDescent="0.25">
      <c r="C1743" s="4"/>
    </row>
    <row r="1744" spans="3:3" x14ac:dyDescent="0.25">
      <c r="C1744" s="4"/>
    </row>
    <row r="1745" spans="3:3" x14ac:dyDescent="0.25">
      <c r="C1745" s="4"/>
    </row>
    <row r="1746" spans="3:3" x14ac:dyDescent="0.25">
      <c r="C1746" s="4"/>
    </row>
    <row r="1747" spans="3:3" x14ac:dyDescent="0.25">
      <c r="C1747" s="4"/>
    </row>
    <row r="1748" spans="3:3" x14ac:dyDescent="0.25">
      <c r="C1748" s="4"/>
    </row>
    <row r="1749" spans="3:3" x14ac:dyDescent="0.25">
      <c r="C1749" s="4"/>
    </row>
    <row r="1750" spans="3:3" x14ac:dyDescent="0.25">
      <c r="C1750" s="4"/>
    </row>
    <row r="1751" spans="3:3" x14ac:dyDescent="0.25">
      <c r="C1751" s="4"/>
    </row>
    <row r="1752" spans="3:3" x14ac:dyDescent="0.25">
      <c r="C1752" s="4"/>
    </row>
    <row r="1753" spans="3:3" x14ac:dyDescent="0.25">
      <c r="C1753" s="4"/>
    </row>
    <row r="1754" spans="3:3" x14ac:dyDescent="0.25">
      <c r="C1754" s="4"/>
    </row>
    <row r="1755" spans="3:3" x14ac:dyDescent="0.25">
      <c r="C1755" s="4"/>
    </row>
    <row r="1756" spans="3:3" x14ac:dyDescent="0.25">
      <c r="C1756" s="4"/>
    </row>
    <row r="1757" spans="3:3" x14ac:dyDescent="0.25">
      <c r="C1757" s="4"/>
    </row>
    <row r="1758" spans="3:3" x14ac:dyDescent="0.25">
      <c r="C1758" s="4"/>
    </row>
    <row r="1759" spans="3:3" x14ac:dyDescent="0.25">
      <c r="C1759" s="4"/>
    </row>
    <row r="1760" spans="3:3" x14ac:dyDescent="0.25">
      <c r="C1760" s="4"/>
    </row>
    <row r="1761" spans="3:3" x14ac:dyDescent="0.25">
      <c r="C1761" s="4"/>
    </row>
    <row r="1762" spans="3:3" x14ac:dyDescent="0.25">
      <c r="C1762" s="4"/>
    </row>
    <row r="1763" spans="3:3" x14ac:dyDescent="0.25">
      <c r="C1763" s="4"/>
    </row>
    <row r="1764" spans="3:3" x14ac:dyDescent="0.25">
      <c r="C1764" s="4"/>
    </row>
    <row r="1765" spans="3:3" x14ac:dyDescent="0.25">
      <c r="C1765" s="4"/>
    </row>
    <row r="1766" spans="3:3" x14ac:dyDescent="0.25">
      <c r="C1766" s="4"/>
    </row>
    <row r="1767" spans="3:3" x14ac:dyDescent="0.25">
      <c r="C1767" s="4"/>
    </row>
    <row r="1768" spans="3:3" x14ac:dyDescent="0.25">
      <c r="C1768" s="4"/>
    </row>
    <row r="1769" spans="3:3" x14ac:dyDescent="0.25">
      <c r="C1769" s="4"/>
    </row>
    <row r="1770" spans="3:3" x14ac:dyDescent="0.25">
      <c r="C1770" s="4"/>
    </row>
    <row r="1771" spans="3:3" x14ac:dyDescent="0.25">
      <c r="C1771" s="4"/>
    </row>
    <row r="1772" spans="3:3" x14ac:dyDescent="0.25">
      <c r="C1772" s="4"/>
    </row>
    <row r="1773" spans="3:3" x14ac:dyDescent="0.25">
      <c r="C1773" s="4"/>
    </row>
    <row r="1774" spans="3:3" x14ac:dyDescent="0.25">
      <c r="C1774" s="4"/>
    </row>
    <row r="1775" spans="3:3" x14ac:dyDescent="0.25">
      <c r="C1775" s="4"/>
    </row>
    <row r="1776" spans="3:3" x14ac:dyDescent="0.25">
      <c r="C1776" s="4"/>
    </row>
    <row r="1777" spans="3:3" x14ac:dyDescent="0.25">
      <c r="C1777" s="4"/>
    </row>
    <row r="1778" spans="3:3" x14ac:dyDescent="0.25">
      <c r="C1778" s="4"/>
    </row>
    <row r="1779" spans="3:3" x14ac:dyDescent="0.25">
      <c r="C1779" s="4"/>
    </row>
    <row r="1780" spans="3:3" x14ac:dyDescent="0.25">
      <c r="C1780" s="4"/>
    </row>
    <row r="1781" spans="3:3" x14ac:dyDescent="0.25">
      <c r="C1781" s="4"/>
    </row>
    <row r="1782" spans="3:3" x14ac:dyDescent="0.25">
      <c r="C1782" s="4"/>
    </row>
    <row r="1783" spans="3:3" x14ac:dyDescent="0.25">
      <c r="C1783" s="4"/>
    </row>
    <row r="1784" spans="3:3" x14ac:dyDescent="0.25">
      <c r="C1784" s="4"/>
    </row>
    <row r="1785" spans="3:3" x14ac:dyDescent="0.25">
      <c r="C1785" s="4"/>
    </row>
    <row r="1786" spans="3:3" x14ac:dyDescent="0.25">
      <c r="C1786" s="4"/>
    </row>
    <row r="1787" spans="3:3" x14ac:dyDescent="0.25">
      <c r="C1787" s="4"/>
    </row>
    <row r="1788" spans="3:3" x14ac:dyDescent="0.25">
      <c r="C1788" s="4"/>
    </row>
    <row r="1789" spans="3:3" x14ac:dyDescent="0.25">
      <c r="C1789" s="4"/>
    </row>
    <row r="1790" spans="3:3" x14ac:dyDescent="0.25">
      <c r="C1790" s="4"/>
    </row>
    <row r="1791" spans="3:3" x14ac:dyDescent="0.25">
      <c r="C1791" s="4"/>
    </row>
    <row r="1792" spans="3:3" x14ac:dyDescent="0.25">
      <c r="C1792" s="4"/>
    </row>
    <row r="1793" spans="3:3" x14ac:dyDescent="0.25">
      <c r="C1793" s="4"/>
    </row>
    <row r="1794" spans="3:3" x14ac:dyDescent="0.25">
      <c r="C1794" s="4"/>
    </row>
    <row r="1795" spans="3:3" x14ac:dyDescent="0.25">
      <c r="C1795" s="4"/>
    </row>
    <row r="1796" spans="3:3" x14ac:dyDescent="0.25">
      <c r="C1796" s="4"/>
    </row>
    <row r="1797" spans="3:3" x14ac:dyDescent="0.25">
      <c r="C1797" s="4"/>
    </row>
    <row r="1798" spans="3:3" x14ac:dyDescent="0.25">
      <c r="C1798" s="4"/>
    </row>
    <row r="1799" spans="3:3" x14ac:dyDescent="0.25">
      <c r="C1799" s="4"/>
    </row>
    <row r="1800" spans="3:3" x14ac:dyDescent="0.25">
      <c r="C1800" s="4"/>
    </row>
    <row r="1801" spans="3:3" x14ac:dyDescent="0.25">
      <c r="C1801" s="4"/>
    </row>
    <row r="1802" spans="3:3" x14ac:dyDescent="0.25">
      <c r="C1802" s="4"/>
    </row>
    <row r="1803" spans="3:3" x14ac:dyDescent="0.25">
      <c r="C1803" s="4"/>
    </row>
    <row r="1804" spans="3:3" x14ac:dyDescent="0.25">
      <c r="C1804" s="4"/>
    </row>
    <row r="1805" spans="3:3" x14ac:dyDescent="0.25">
      <c r="C1805" s="4"/>
    </row>
    <row r="1806" spans="3:3" x14ac:dyDescent="0.25">
      <c r="C1806" s="4"/>
    </row>
    <row r="1807" spans="3:3" x14ac:dyDescent="0.25">
      <c r="C1807" s="4"/>
    </row>
    <row r="1808" spans="3:3" x14ac:dyDescent="0.25">
      <c r="C1808" s="4"/>
    </row>
    <row r="1809" spans="3:3" x14ac:dyDescent="0.25">
      <c r="C1809" s="4"/>
    </row>
    <row r="1810" spans="3:3" x14ac:dyDescent="0.25">
      <c r="C1810" s="4"/>
    </row>
    <row r="1811" spans="3:3" x14ac:dyDescent="0.25">
      <c r="C1811" s="4"/>
    </row>
    <row r="1812" spans="3:3" x14ac:dyDescent="0.25">
      <c r="C1812" s="4"/>
    </row>
    <row r="1813" spans="3:3" x14ac:dyDescent="0.25">
      <c r="C1813" s="4"/>
    </row>
    <row r="1814" spans="3:3" x14ac:dyDescent="0.25">
      <c r="C1814" s="4"/>
    </row>
    <row r="1815" spans="3:3" x14ac:dyDescent="0.25">
      <c r="C1815" s="4"/>
    </row>
    <row r="1816" spans="3:3" x14ac:dyDescent="0.25">
      <c r="C1816" s="4"/>
    </row>
    <row r="1817" spans="3:3" x14ac:dyDescent="0.25">
      <c r="C1817" s="4"/>
    </row>
    <row r="1818" spans="3:3" x14ac:dyDescent="0.25">
      <c r="C1818" s="4"/>
    </row>
    <row r="1819" spans="3:3" x14ac:dyDescent="0.25">
      <c r="C1819" s="4"/>
    </row>
    <row r="1820" spans="3:3" x14ac:dyDescent="0.25">
      <c r="C1820" s="4"/>
    </row>
    <row r="1821" spans="3:3" x14ac:dyDescent="0.25">
      <c r="C1821" s="4"/>
    </row>
    <row r="1822" spans="3:3" x14ac:dyDescent="0.25">
      <c r="C1822" s="4"/>
    </row>
    <row r="1823" spans="3:3" x14ac:dyDescent="0.25">
      <c r="C1823" s="4"/>
    </row>
    <row r="1824" spans="3:3" x14ac:dyDescent="0.25">
      <c r="C1824" s="4"/>
    </row>
    <row r="1825" spans="3:3" x14ac:dyDescent="0.25">
      <c r="C1825" s="4"/>
    </row>
    <row r="1826" spans="3:3" x14ac:dyDescent="0.25">
      <c r="C1826" s="4"/>
    </row>
    <row r="1827" spans="3:3" x14ac:dyDescent="0.25">
      <c r="C1827" s="4"/>
    </row>
    <row r="1828" spans="3:3" x14ac:dyDescent="0.25">
      <c r="C1828" s="4"/>
    </row>
    <row r="1829" spans="3:3" x14ac:dyDescent="0.25">
      <c r="C1829" s="4"/>
    </row>
    <row r="1830" spans="3:3" x14ac:dyDescent="0.25">
      <c r="C1830" s="4"/>
    </row>
    <row r="1831" spans="3:3" x14ac:dyDescent="0.25">
      <c r="C1831" s="4"/>
    </row>
    <row r="1832" spans="3:3" x14ac:dyDescent="0.25">
      <c r="C1832" s="4"/>
    </row>
    <row r="1833" spans="3:3" x14ac:dyDescent="0.25">
      <c r="C1833" s="4"/>
    </row>
    <row r="1834" spans="3:3" x14ac:dyDescent="0.25">
      <c r="C1834" s="4"/>
    </row>
    <row r="1835" spans="3:3" x14ac:dyDescent="0.25">
      <c r="C1835" s="4"/>
    </row>
    <row r="1836" spans="3:3" x14ac:dyDescent="0.25">
      <c r="C1836" s="4"/>
    </row>
    <row r="1837" spans="3:3" x14ac:dyDescent="0.25">
      <c r="C1837" s="4"/>
    </row>
    <row r="1838" spans="3:3" x14ac:dyDescent="0.25">
      <c r="C1838" s="4"/>
    </row>
    <row r="1839" spans="3:3" x14ac:dyDescent="0.25">
      <c r="C1839" s="4"/>
    </row>
    <row r="1840" spans="3:3" x14ac:dyDescent="0.25">
      <c r="C1840" s="4"/>
    </row>
    <row r="1841" spans="3:3" x14ac:dyDescent="0.25">
      <c r="C1841" s="4"/>
    </row>
    <row r="1842" spans="3:3" x14ac:dyDescent="0.25">
      <c r="C1842" s="4"/>
    </row>
    <row r="1843" spans="3:3" x14ac:dyDescent="0.25">
      <c r="C1843" s="4"/>
    </row>
    <row r="1844" spans="3:3" x14ac:dyDescent="0.25">
      <c r="C1844" s="4"/>
    </row>
    <row r="1845" spans="3:3" x14ac:dyDescent="0.25">
      <c r="C1845" s="4"/>
    </row>
    <row r="1846" spans="3:3" x14ac:dyDescent="0.25">
      <c r="C1846" s="4"/>
    </row>
    <row r="1847" spans="3:3" x14ac:dyDescent="0.25">
      <c r="C1847" s="4"/>
    </row>
    <row r="1848" spans="3:3" x14ac:dyDescent="0.25">
      <c r="C1848" s="4"/>
    </row>
    <row r="1849" spans="3:3" x14ac:dyDescent="0.25">
      <c r="C1849" s="4"/>
    </row>
    <row r="1850" spans="3:3" x14ac:dyDescent="0.25">
      <c r="C1850" s="4"/>
    </row>
    <row r="1851" spans="3:3" x14ac:dyDescent="0.25">
      <c r="C1851" s="4"/>
    </row>
    <row r="1852" spans="3:3" x14ac:dyDescent="0.25">
      <c r="C1852" s="4"/>
    </row>
    <row r="1853" spans="3:3" x14ac:dyDescent="0.25">
      <c r="C1853" s="4"/>
    </row>
    <row r="1854" spans="3:3" x14ac:dyDescent="0.25">
      <c r="C1854" s="4"/>
    </row>
    <row r="1855" spans="3:3" x14ac:dyDescent="0.25">
      <c r="C1855" s="4"/>
    </row>
    <row r="1856" spans="3:3" x14ac:dyDescent="0.25">
      <c r="C1856" s="4"/>
    </row>
    <row r="1857" spans="3:3" x14ac:dyDescent="0.25">
      <c r="C1857" s="4"/>
    </row>
    <row r="1858" spans="3:3" x14ac:dyDescent="0.25">
      <c r="C1858" s="4"/>
    </row>
    <row r="1859" spans="3:3" x14ac:dyDescent="0.25">
      <c r="C1859" s="4"/>
    </row>
    <row r="1860" spans="3:3" x14ac:dyDescent="0.25">
      <c r="C1860" s="4"/>
    </row>
    <row r="1861" spans="3:3" x14ac:dyDescent="0.25">
      <c r="C1861" s="4"/>
    </row>
    <row r="1862" spans="3:3" x14ac:dyDescent="0.25">
      <c r="C1862" s="4"/>
    </row>
    <row r="1863" spans="3:3" x14ac:dyDescent="0.25">
      <c r="C1863" s="4"/>
    </row>
    <row r="1864" spans="3:3" x14ac:dyDescent="0.25">
      <c r="C1864" s="4"/>
    </row>
    <row r="1865" spans="3:3" x14ac:dyDescent="0.25">
      <c r="C1865" s="4"/>
    </row>
    <row r="1866" spans="3:3" x14ac:dyDescent="0.25">
      <c r="C1866" s="4"/>
    </row>
    <row r="1867" spans="3:3" x14ac:dyDescent="0.25">
      <c r="C1867" s="4"/>
    </row>
    <row r="1868" spans="3:3" x14ac:dyDescent="0.25">
      <c r="C1868" s="4"/>
    </row>
    <row r="1869" spans="3:3" x14ac:dyDescent="0.25">
      <c r="C1869" s="4"/>
    </row>
    <row r="1870" spans="3:3" x14ac:dyDescent="0.25">
      <c r="C1870" s="4"/>
    </row>
    <row r="1871" spans="3:3" x14ac:dyDescent="0.25">
      <c r="C1871" s="4"/>
    </row>
    <row r="1872" spans="3:3" x14ac:dyDescent="0.25">
      <c r="C1872" s="4"/>
    </row>
    <row r="1873" spans="3:3" x14ac:dyDescent="0.25">
      <c r="C1873" s="4"/>
    </row>
    <row r="1874" spans="3:3" x14ac:dyDescent="0.25">
      <c r="C1874" s="4"/>
    </row>
    <row r="1875" spans="3:3" x14ac:dyDescent="0.25">
      <c r="C1875" s="4"/>
    </row>
    <row r="1876" spans="3:3" x14ac:dyDescent="0.25">
      <c r="C1876" s="4"/>
    </row>
    <row r="1877" spans="3:3" x14ac:dyDescent="0.25">
      <c r="C1877" s="4"/>
    </row>
    <row r="1878" spans="3:3" x14ac:dyDescent="0.25">
      <c r="C1878" s="4"/>
    </row>
    <row r="1879" spans="3:3" x14ac:dyDescent="0.25">
      <c r="C1879" s="4"/>
    </row>
    <row r="1880" spans="3:3" x14ac:dyDescent="0.25">
      <c r="C1880" s="4"/>
    </row>
    <row r="1881" spans="3:3" x14ac:dyDescent="0.25">
      <c r="C1881" s="4"/>
    </row>
    <row r="1882" spans="3:3" x14ac:dyDescent="0.25">
      <c r="C1882" s="4"/>
    </row>
    <row r="1883" spans="3:3" x14ac:dyDescent="0.25">
      <c r="C1883" s="4"/>
    </row>
    <row r="1884" spans="3:3" x14ac:dyDescent="0.25">
      <c r="C1884" s="4"/>
    </row>
    <row r="1885" spans="3:3" x14ac:dyDescent="0.25">
      <c r="C1885" s="4"/>
    </row>
    <row r="1886" spans="3:3" x14ac:dyDescent="0.25">
      <c r="C1886" s="4"/>
    </row>
    <row r="1887" spans="3:3" x14ac:dyDescent="0.25">
      <c r="C1887" s="4"/>
    </row>
    <row r="1888" spans="3:3" x14ac:dyDescent="0.25">
      <c r="C1888" s="4"/>
    </row>
    <row r="1889" spans="3:3" x14ac:dyDescent="0.25">
      <c r="C1889" s="4"/>
    </row>
    <row r="1890" spans="3:3" x14ac:dyDescent="0.25">
      <c r="C1890" s="4"/>
    </row>
    <row r="1891" spans="3:3" x14ac:dyDescent="0.25">
      <c r="C1891" s="4"/>
    </row>
    <row r="1892" spans="3:3" x14ac:dyDescent="0.25">
      <c r="C1892" s="4"/>
    </row>
    <row r="1893" spans="3:3" x14ac:dyDescent="0.25">
      <c r="C1893" s="4"/>
    </row>
    <row r="1894" spans="3:3" x14ac:dyDescent="0.25">
      <c r="C1894" s="4"/>
    </row>
    <row r="1895" spans="3:3" x14ac:dyDescent="0.25">
      <c r="C1895" s="4"/>
    </row>
    <row r="1896" spans="3:3" x14ac:dyDescent="0.25">
      <c r="C1896" s="4"/>
    </row>
    <row r="1897" spans="3:3" x14ac:dyDescent="0.25">
      <c r="C1897" s="4"/>
    </row>
    <row r="1898" spans="3:3" x14ac:dyDescent="0.25">
      <c r="C1898" s="4"/>
    </row>
    <row r="1899" spans="3:3" x14ac:dyDescent="0.25">
      <c r="C1899" s="4"/>
    </row>
    <row r="1900" spans="3:3" x14ac:dyDescent="0.25">
      <c r="C1900" s="4"/>
    </row>
    <row r="1901" spans="3:3" x14ac:dyDescent="0.25">
      <c r="C1901" s="4"/>
    </row>
    <row r="1902" spans="3:3" x14ac:dyDescent="0.25">
      <c r="C1902" s="4"/>
    </row>
    <row r="1903" spans="3:3" x14ac:dyDescent="0.25">
      <c r="C1903" s="4"/>
    </row>
    <row r="1904" spans="3:3" x14ac:dyDescent="0.25">
      <c r="C1904" s="4"/>
    </row>
    <row r="1905" spans="3:3" x14ac:dyDescent="0.25">
      <c r="C1905" s="4"/>
    </row>
    <row r="1906" spans="3:3" x14ac:dyDescent="0.25">
      <c r="C1906" s="4"/>
    </row>
    <row r="1907" spans="3:3" x14ac:dyDescent="0.25">
      <c r="C1907" s="4"/>
    </row>
    <row r="1908" spans="3:3" x14ac:dyDescent="0.25">
      <c r="C1908" s="4"/>
    </row>
    <row r="1909" spans="3:3" x14ac:dyDescent="0.25">
      <c r="C1909" s="4"/>
    </row>
    <row r="1910" spans="3:3" x14ac:dyDescent="0.25">
      <c r="C1910" s="4"/>
    </row>
    <row r="1911" spans="3:3" x14ac:dyDescent="0.25">
      <c r="C1911" s="4"/>
    </row>
    <row r="1912" spans="3:3" x14ac:dyDescent="0.25">
      <c r="C1912" s="4"/>
    </row>
    <row r="1913" spans="3:3" x14ac:dyDescent="0.25">
      <c r="C1913" s="4"/>
    </row>
    <row r="1914" spans="3:3" x14ac:dyDescent="0.25">
      <c r="C1914" s="4"/>
    </row>
    <row r="1915" spans="3:3" x14ac:dyDescent="0.25">
      <c r="C1915" s="4"/>
    </row>
    <row r="1916" spans="3:3" x14ac:dyDescent="0.25">
      <c r="C1916" s="4"/>
    </row>
    <row r="1917" spans="3:3" x14ac:dyDescent="0.25">
      <c r="C1917" s="4"/>
    </row>
    <row r="1918" spans="3:3" x14ac:dyDescent="0.25">
      <c r="C1918" s="4"/>
    </row>
    <row r="1919" spans="3:3" x14ac:dyDescent="0.25">
      <c r="C1919" s="4"/>
    </row>
    <row r="1920" spans="3:3" x14ac:dyDescent="0.25">
      <c r="C1920" s="4"/>
    </row>
    <row r="1921" spans="3:3" x14ac:dyDescent="0.25">
      <c r="C1921" s="4"/>
    </row>
    <row r="1922" spans="3:3" x14ac:dyDescent="0.25">
      <c r="C1922" s="4"/>
    </row>
    <row r="1923" spans="3:3" x14ac:dyDescent="0.25">
      <c r="C1923" s="4"/>
    </row>
    <row r="1924" spans="3:3" x14ac:dyDescent="0.25">
      <c r="C1924" s="4"/>
    </row>
    <row r="1925" spans="3:3" x14ac:dyDescent="0.25">
      <c r="C1925" s="4"/>
    </row>
    <row r="1926" spans="3:3" x14ac:dyDescent="0.25">
      <c r="C1926" s="4"/>
    </row>
    <row r="1927" spans="3:3" x14ac:dyDescent="0.25">
      <c r="C1927" s="4"/>
    </row>
    <row r="1928" spans="3:3" x14ac:dyDescent="0.25">
      <c r="C1928" s="4"/>
    </row>
    <row r="1929" spans="3:3" x14ac:dyDescent="0.25">
      <c r="C1929" s="4"/>
    </row>
    <row r="1930" spans="3:3" x14ac:dyDescent="0.25">
      <c r="C1930" s="4"/>
    </row>
    <row r="1931" spans="3:3" x14ac:dyDescent="0.25">
      <c r="C1931" s="4"/>
    </row>
    <row r="1932" spans="3:3" x14ac:dyDescent="0.25">
      <c r="C1932" s="4"/>
    </row>
    <row r="1933" spans="3:3" x14ac:dyDescent="0.25">
      <c r="C1933" s="4"/>
    </row>
    <row r="1934" spans="3:3" x14ac:dyDescent="0.25">
      <c r="C1934" s="4"/>
    </row>
    <row r="1935" spans="3:3" x14ac:dyDescent="0.25">
      <c r="C1935" s="4"/>
    </row>
    <row r="1936" spans="3:3" x14ac:dyDescent="0.25">
      <c r="C1936" s="4"/>
    </row>
    <row r="1937" spans="3:3" x14ac:dyDescent="0.25">
      <c r="C1937" s="4"/>
    </row>
    <row r="1938" spans="3:3" x14ac:dyDescent="0.25">
      <c r="C1938" s="4"/>
    </row>
    <row r="1939" spans="3:3" x14ac:dyDescent="0.25">
      <c r="C1939" s="4"/>
    </row>
    <row r="1940" spans="3:3" x14ac:dyDescent="0.25">
      <c r="C1940" s="4"/>
    </row>
    <row r="1941" spans="3:3" x14ac:dyDescent="0.25">
      <c r="C1941" s="4"/>
    </row>
    <row r="1942" spans="3:3" x14ac:dyDescent="0.25">
      <c r="C1942" s="4"/>
    </row>
    <row r="1943" spans="3:3" x14ac:dyDescent="0.25">
      <c r="C1943" s="4"/>
    </row>
    <row r="1944" spans="3:3" x14ac:dyDescent="0.25">
      <c r="C1944" s="4"/>
    </row>
    <row r="1945" spans="3:3" x14ac:dyDescent="0.25">
      <c r="C1945" s="4"/>
    </row>
    <row r="1946" spans="3:3" x14ac:dyDescent="0.25">
      <c r="C1946" s="4"/>
    </row>
    <row r="1947" spans="3:3" x14ac:dyDescent="0.25">
      <c r="C1947" s="4"/>
    </row>
    <row r="1948" spans="3:3" x14ac:dyDescent="0.25">
      <c r="C1948" s="4"/>
    </row>
    <row r="1949" spans="3:3" x14ac:dyDescent="0.25">
      <c r="C1949" s="4"/>
    </row>
    <row r="1950" spans="3:3" x14ac:dyDescent="0.25">
      <c r="C1950" s="4"/>
    </row>
    <row r="1951" spans="3:3" x14ac:dyDescent="0.25">
      <c r="C1951" s="4"/>
    </row>
    <row r="1952" spans="3:3" x14ac:dyDescent="0.25">
      <c r="C1952" s="4"/>
    </row>
    <row r="1953" spans="3:3" x14ac:dyDescent="0.25">
      <c r="C1953" s="4"/>
    </row>
    <row r="1954" spans="3:3" x14ac:dyDescent="0.25">
      <c r="C1954" s="4"/>
    </row>
    <row r="1955" spans="3:3" x14ac:dyDescent="0.25">
      <c r="C1955" s="4"/>
    </row>
    <row r="1956" spans="3:3" x14ac:dyDescent="0.25">
      <c r="C1956" s="4"/>
    </row>
    <row r="1957" spans="3:3" x14ac:dyDescent="0.25">
      <c r="C1957" s="4"/>
    </row>
    <row r="1958" spans="3:3" x14ac:dyDescent="0.25">
      <c r="C1958" s="4"/>
    </row>
    <row r="1959" spans="3:3" x14ac:dyDescent="0.25">
      <c r="C1959" s="4"/>
    </row>
    <row r="1960" spans="3:3" x14ac:dyDescent="0.25">
      <c r="C1960" s="4"/>
    </row>
    <row r="1961" spans="3:3" x14ac:dyDescent="0.25">
      <c r="C1961" s="4"/>
    </row>
    <row r="1962" spans="3:3" x14ac:dyDescent="0.25">
      <c r="C1962" s="4"/>
    </row>
    <row r="1963" spans="3:3" x14ac:dyDescent="0.25">
      <c r="C1963" s="4"/>
    </row>
    <row r="1964" spans="3:3" x14ac:dyDescent="0.25">
      <c r="C1964" s="4"/>
    </row>
    <row r="1965" spans="3:3" x14ac:dyDescent="0.25">
      <c r="C1965" s="4"/>
    </row>
    <row r="1966" spans="3:3" x14ac:dyDescent="0.25">
      <c r="C1966" s="4"/>
    </row>
    <row r="1967" spans="3:3" x14ac:dyDescent="0.25">
      <c r="C1967" s="4"/>
    </row>
    <row r="1968" spans="3:3" x14ac:dyDescent="0.25">
      <c r="C1968" s="4"/>
    </row>
    <row r="1969" spans="3:3" x14ac:dyDescent="0.25">
      <c r="C1969" s="4"/>
    </row>
    <row r="1970" spans="3:3" x14ac:dyDescent="0.25">
      <c r="C1970" s="4"/>
    </row>
    <row r="1971" spans="3:3" x14ac:dyDescent="0.25">
      <c r="C1971" s="4"/>
    </row>
    <row r="1972" spans="3:3" x14ac:dyDescent="0.25">
      <c r="C1972" s="4"/>
    </row>
    <row r="1973" spans="3:3" x14ac:dyDescent="0.25">
      <c r="C1973" s="4"/>
    </row>
    <row r="1974" spans="3:3" x14ac:dyDescent="0.25">
      <c r="C1974" s="4"/>
    </row>
    <row r="1975" spans="3:3" x14ac:dyDescent="0.25">
      <c r="C1975" s="4"/>
    </row>
    <row r="1976" spans="3:3" x14ac:dyDescent="0.25">
      <c r="C1976" s="4"/>
    </row>
    <row r="1977" spans="3:3" x14ac:dyDescent="0.25">
      <c r="C1977" s="4"/>
    </row>
    <row r="1978" spans="3:3" x14ac:dyDescent="0.25">
      <c r="C1978" s="4"/>
    </row>
    <row r="1979" spans="3:3" x14ac:dyDescent="0.25">
      <c r="C1979" s="4"/>
    </row>
    <row r="1980" spans="3:3" x14ac:dyDescent="0.25">
      <c r="C1980" s="4"/>
    </row>
    <row r="1981" spans="3:3" x14ac:dyDescent="0.25">
      <c r="C1981" s="4"/>
    </row>
    <row r="1982" spans="3:3" x14ac:dyDescent="0.25">
      <c r="C1982" s="4"/>
    </row>
    <row r="1983" spans="3:3" x14ac:dyDescent="0.25">
      <c r="C1983" s="4"/>
    </row>
    <row r="1984" spans="3:3" x14ac:dyDescent="0.25">
      <c r="C1984" s="4"/>
    </row>
    <row r="1985" spans="3:3" x14ac:dyDescent="0.25">
      <c r="C1985" s="4"/>
    </row>
    <row r="1986" spans="3:3" x14ac:dyDescent="0.25">
      <c r="C1986" s="4"/>
    </row>
    <row r="1987" spans="3:3" x14ac:dyDescent="0.25">
      <c r="C1987" s="4"/>
    </row>
    <row r="1988" spans="3:3" x14ac:dyDescent="0.25">
      <c r="C1988" s="4"/>
    </row>
    <row r="1989" spans="3:3" x14ac:dyDescent="0.25">
      <c r="C1989" s="4"/>
    </row>
    <row r="1990" spans="3:3" x14ac:dyDescent="0.25">
      <c r="C1990" s="4"/>
    </row>
    <row r="1991" spans="3:3" x14ac:dyDescent="0.25">
      <c r="C1991" s="4"/>
    </row>
    <row r="1992" spans="3:3" x14ac:dyDescent="0.25">
      <c r="C1992" s="4"/>
    </row>
    <row r="1993" spans="3:3" x14ac:dyDescent="0.25">
      <c r="C1993" s="4"/>
    </row>
    <row r="1994" spans="3:3" x14ac:dyDescent="0.25">
      <c r="C1994" s="4"/>
    </row>
    <row r="1995" spans="3:3" x14ac:dyDescent="0.25">
      <c r="C1995" s="4"/>
    </row>
    <row r="1996" spans="3:3" x14ac:dyDescent="0.25">
      <c r="C1996" s="4"/>
    </row>
    <row r="1997" spans="3:3" x14ac:dyDescent="0.25">
      <c r="C1997" s="4"/>
    </row>
    <row r="1998" spans="3:3" x14ac:dyDescent="0.25">
      <c r="C1998" s="4"/>
    </row>
    <row r="1999" spans="3:3" x14ac:dyDescent="0.25">
      <c r="C1999" s="4"/>
    </row>
    <row r="2000" spans="3:3" x14ac:dyDescent="0.25">
      <c r="C2000" s="4"/>
    </row>
    <row r="2001" spans="3:3" x14ac:dyDescent="0.25">
      <c r="C2001" s="4"/>
    </row>
    <row r="2002" spans="3:3" x14ac:dyDescent="0.25">
      <c r="C2002" s="4"/>
    </row>
    <row r="2003" spans="3:3" x14ac:dyDescent="0.25">
      <c r="C2003" s="4"/>
    </row>
    <row r="2004" spans="3:3" x14ac:dyDescent="0.25">
      <c r="C2004" s="4"/>
    </row>
    <row r="2005" spans="3:3" x14ac:dyDescent="0.25">
      <c r="C2005" s="4"/>
    </row>
    <row r="2006" spans="3:3" x14ac:dyDescent="0.25">
      <c r="C2006" s="4"/>
    </row>
    <row r="2007" spans="3:3" x14ac:dyDescent="0.25">
      <c r="C2007" s="4"/>
    </row>
    <row r="2008" spans="3:3" x14ac:dyDescent="0.25">
      <c r="C2008" s="4"/>
    </row>
    <row r="2009" spans="3:3" x14ac:dyDescent="0.25">
      <c r="C2009" s="4"/>
    </row>
    <row r="2010" spans="3:3" x14ac:dyDescent="0.25">
      <c r="C2010" s="4"/>
    </row>
    <row r="2011" spans="3:3" x14ac:dyDescent="0.25">
      <c r="C2011" s="4"/>
    </row>
    <row r="2012" spans="3:3" x14ac:dyDescent="0.25">
      <c r="C2012" s="4"/>
    </row>
    <row r="2013" spans="3:3" x14ac:dyDescent="0.25">
      <c r="C2013" s="4"/>
    </row>
    <row r="2014" spans="3:3" x14ac:dyDescent="0.25">
      <c r="C2014" s="4"/>
    </row>
    <row r="2015" spans="3:3" x14ac:dyDescent="0.25">
      <c r="C2015" s="4"/>
    </row>
    <row r="2016" spans="3:3" x14ac:dyDescent="0.25">
      <c r="C2016" s="4"/>
    </row>
    <row r="2017" spans="3:3" x14ac:dyDescent="0.25">
      <c r="C2017" s="4"/>
    </row>
    <row r="2018" spans="3:3" x14ac:dyDescent="0.25">
      <c r="C2018" s="4"/>
    </row>
    <row r="2019" spans="3:3" x14ac:dyDescent="0.25">
      <c r="C2019" s="4"/>
    </row>
    <row r="2020" spans="3:3" x14ac:dyDescent="0.25">
      <c r="C2020" s="4"/>
    </row>
    <row r="2021" spans="3:3" x14ac:dyDescent="0.25">
      <c r="C2021" s="4"/>
    </row>
    <row r="2022" spans="3:3" x14ac:dyDescent="0.25">
      <c r="C2022" s="4"/>
    </row>
    <row r="2023" spans="3:3" x14ac:dyDescent="0.25">
      <c r="C2023" s="4"/>
    </row>
    <row r="2024" spans="3:3" x14ac:dyDescent="0.25">
      <c r="C2024" s="4"/>
    </row>
    <row r="2025" spans="3:3" x14ac:dyDescent="0.25">
      <c r="C2025" s="4"/>
    </row>
    <row r="2026" spans="3:3" x14ac:dyDescent="0.25">
      <c r="C2026" s="4"/>
    </row>
    <row r="2027" spans="3:3" x14ac:dyDescent="0.25">
      <c r="C2027" s="4"/>
    </row>
    <row r="2028" spans="3:3" x14ac:dyDescent="0.25">
      <c r="C2028" s="4"/>
    </row>
    <row r="2029" spans="3:3" x14ac:dyDescent="0.25">
      <c r="C2029" s="4"/>
    </row>
    <row r="2030" spans="3:3" x14ac:dyDescent="0.25">
      <c r="C2030" s="4"/>
    </row>
    <row r="2031" spans="3:3" x14ac:dyDescent="0.25">
      <c r="C2031" s="4"/>
    </row>
    <row r="2032" spans="3:3" x14ac:dyDescent="0.25">
      <c r="C2032" s="4"/>
    </row>
    <row r="2033" spans="3:3" x14ac:dyDescent="0.25">
      <c r="C2033" s="4"/>
    </row>
    <row r="2034" spans="3:3" x14ac:dyDescent="0.25">
      <c r="C2034" s="4"/>
    </row>
    <row r="2035" spans="3:3" x14ac:dyDescent="0.25">
      <c r="C2035" s="4"/>
    </row>
    <row r="2036" spans="3:3" x14ac:dyDescent="0.25">
      <c r="C2036" s="4"/>
    </row>
    <row r="2037" spans="3:3" x14ac:dyDescent="0.25">
      <c r="C2037" s="4"/>
    </row>
    <row r="2038" spans="3:3" x14ac:dyDescent="0.25">
      <c r="C2038" s="4"/>
    </row>
    <row r="2039" spans="3:3" x14ac:dyDescent="0.25">
      <c r="C2039" s="4"/>
    </row>
    <row r="2040" spans="3:3" x14ac:dyDescent="0.25">
      <c r="C2040" s="4"/>
    </row>
    <row r="2041" spans="3:3" x14ac:dyDescent="0.25">
      <c r="C2041" s="4"/>
    </row>
    <row r="2042" spans="3:3" x14ac:dyDescent="0.25">
      <c r="C2042" s="4"/>
    </row>
    <row r="2043" spans="3:3" x14ac:dyDescent="0.25">
      <c r="C2043" s="4"/>
    </row>
    <row r="2044" spans="3:3" x14ac:dyDescent="0.25">
      <c r="C2044" s="4"/>
    </row>
    <row r="2045" spans="3:3" x14ac:dyDescent="0.25">
      <c r="C2045" s="4"/>
    </row>
    <row r="2046" spans="3:3" x14ac:dyDescent="0.25">
      <c r="C2046" s="4"/>
    </row>
    <row r="2047" spans="3:3" x14ac:dyDescent="0.25">
      <c r="C2047" s="4"/>
    </row>
    <row r="2048" spans="3:3" x14ac:dyDescent="0.25">
      <c r="C2048" s="4"/>
    </row>
    <row r="2049" spans="3:3" x14ac:dyDescent="0.25">
      <c r="C2049" s="4"/>
    </row>
    <row r="2050" spans="3:3" x14ac:dyDescent="0.25">
      <c r="C2050" s="4"/>
    </row>
    <row r="2051" spans="3:3" x14ac:dyDescent="0.25">
      <c r="C2051" s="4"/>
    </row>
    <row r="2052" spans="3:3" x14ac:dyDescent="0.25">
      <c r="C2052" s="4"/>
    </row>
    <row r="2053" spans="3:3" x14ac:dyDescent="0.25">
      <c r="C2053" s="4"/>
    </row>
    <row r="2054" spans="3:3" x14ac:dyDescent="0.25">
      <c r="C2054" s="4"/>
    </row>
    <row r="2055" spans="3:3" x14ac:dyDescent="0.25">
      <c r="C2055" s="4"/>
    </row>
    <row r="2056" spans="3:3" x14ac:dyDescent="0.25">
      <c r="C2056" s="4"/>
    </row>
    <row r="2057" spans="3:3" x14ac:dyDescent="0.25">
      <c r="C2057" s="4"/>
    </row>
    <row r="2058" spans="3:3" x14ac:dyDescent="0.25">
      <c r="C2058" s="4"/>
    </row>
    <row r="2059" spans="3:3" x14ac:dyDescent="0.25">
      <c r="C2059" s="4"/>
    </row>
    <row r="2060" spans="3:3" x14ac:dyDescent="0.25">
      <c r="C2060" s="4"/>
    </row>
    <row r="2061" spans="3:3" x14ac:dyDescent="0.25">
      <c r="C2061" s="4"/>
    </row>
    <row r="2062" spans="3:3" x14ac:dyDescent="0.25">
      <c r="C2062" s="4"/>
    </row>
    <row r="2063" spans="3:3" x14ac:dyDescent="0.25">
      <c r="C2063" s="4"/>
    </row>
    <row r="2064" spans="3:3" x14ac:dyDescent="0.25">
      <c r="C2064" s="4"/>
    </row>
    <row r="2065" spans="3:3" x14ac:dyDescent="0.25">
      <c r="C2065" s="4"/>
    </row>
    <row r="2066" spans="3:3" x14ac:dyDescent="0.25">
      <c r="C2066" s="4"/>
    </row>
    <row r="2067" spans="3:3" x14ac:dyDescent="0.25">
      <c r="C2067" s="4"/>
    </row>
    <row r="2068" spans="3:3" x14ac:dyDescent="0.25">
      <c r="C2068" s="4"/>
    </row>
    <row r="2069" spans="3:3" x14ac:dyDescent="0.25">
      <c r="C2069" s="4"/>
    </row>
    <row r="2070" spans="3:3" x14ac:dyDescent="0.25">
      <c r="C2070" s="4"/>
    </row>
    <row r="2071" spans="3:3" x14ac:dyDescent="0.25">
      <c r="C2071" s="4"/>
    </row>
    <row r="2072" spans="3:3" x14ac:dyDescent="0.25">
      <c r="C2072" s="4"/>
    </row>
    <row r="2073" spans="3:3" x14ac:dyDescent="0.25">
      <c r="C2073" s="4"/>
    </row>
    <row r="2074" spans="3:3" x14ac:dyDescent="0.25">
      <c r="C2074" s="4"/>
    </row>
    <row r="2075" spans="3:3" x14ac:dyDescent="0.25">
      <c r="C2075" s="4"/>
    </row>
    <row r="2076" spans="3:3" x14ac:dyDescent="0.25">
      <c r="C2076" s="4"/>
    </row>
    <row r="2077" spans="3:3" x14ac:dyDescent="0.25">
      <c r="C2077" s="4"/>
    </row>
    <row r="2078" spans="3:3" x14ac:dyDescent="0.25">
      <c r="C2078" s="4"/>
    </row>
    <row r="2079" spans="3:3" x14ac:dyDescent="0.25">
      <c r="C2079" s="4"/>
    </row>
    <row r="2080" spans="3:3" x14ac:dyDescent="0.25">
      <c r="C2080" s="4"/>
    </row>
    <row r="2081" spans="3:3" x14ac:dyDescent="0.25">
      <c r="C2081" s="4"/>
    </row>
    <row r="2082" spans="3:3" x14ac:dyDescent="0.25">
      <c r="C2082" s="4"/>
    </row>
    <row r="2083" spans="3:3" x14ac:dyDescent="0.25">
      <c r="C2083" s="4"/>
    </row>
    <row r="2084" spans="3:3" x14ac:dyDescent="0.25">
      <c r="C2084" s="4"/>
    </row>
    <row r="2085" spans="3:3" x14ac:dyDescent="0.25">
      <c r="C2085" s="4"/>
    </row>
    <row r="2086" spans="3:3" x14ac:dyDescent="0.25">
      <c r="C2086" s="4"/>
    </row>
    <row r="2087" spans="3:3" x14ac:dyDescent="0.25">
      <c r="C2087" s="4"/>
    </row>
    <row r="2088" spans="3:3" x14ac:dyDescent="0.25">
      <c r="C2088" s="4"/>
    </row>
    <row r="2089" spans="3:3" x14ac:dyDescent="0.25">
      <c r="C2089" s="4"/>
    </row>
    <row r="2090" spans="3:3" x14ac:dyDescent="0.25">
      <c r="C2090" s="4"/>
    </row>
    <row r="2091" spans="3:3" x14ac:dyDescent="0.25">
      <c r="C2091" s="4"/>
    </row>
    <row r="2092" spans="3:3" x14ac:dyDescent="0.25">
      <c r="C2092" s="4"/>
    </row>
    <row r="2093" spans="3:3" x14ac:dyDescent="0.25">
      <c r="C2093" s="4"/>
    </row>
    <row r="2094" spans="3:3" x14ac:dyDescent="0.25">
      <c r="C2094" s="4"/>
    </row>
    <row r="2095" spans="3:3" x14ac:dyDescent="0.25">
      <c r="C2095" s="4"/>
    </row>
    <row r="2096" spans="3:3" x14ac:dyDescent="0.25">
      <c r="C2096" s="4"/>
    </row>
    <row r="2097" spans="3:3" x14ac:dyDescent="0.25">
      <c r="C2097" s="4"/>
    </row>
    <row r="2098" spans="3:3" x14ac:dyDescent="0.25">
      <c r="C2098" s="4"/>
    </row>
    <row r="2099" spans="3:3" x14ac:dyDescent="0.25">
      <c r="C2099" s="4"/>
    </row>
    <row r="2100" spans="3:3" x14ac:dyDescent="0.25">
      <c r="C2100" s="4"/>
    </row>
    <row r="2101" spans="3:3" x14ac:dyDescent="0.25">
      <c r="C2101" s="4"/>
    </row>
    <row r="2102" spans="3:3" x14ac:dyDescent="0.25">
      <c r="C2102" s="4"/>
    </row>
    <row r="2103" spans="3:3" x14ac:dyDescent="0.25">
      <c r="C2103" s="4"/>
    </row>
    <row r="2104" spans="3:3" x14ac:dyDescent="0.25">
      <c r="C2104" s="4"/>
    </row>
    <row r="2105" spans="3:3" x14ac:dyDescent="0.25">
      <c r="C2105" s="4"/>
    </row>
    <row r="2106" spans="3:3" x14ac:dyDescent="0.25">
      <c r="C2106" s="4"/>
    </row>
    <row r="2107" spans="3:3" x14ac:dyDescent="0.25">
      <c r="C2107" s="4"/>
    </row>
    <row r="2108" spans="3:3" x14ac:dyDescent="0.25">
      <c r="C2108" s="4"/>
    </row>
    <row r="2109" spans="3:3" x14ac:dyDescent="0.25">
      <c r="C2109" s="4"/>
    </row>
    <row r="2110" spans="3:3" x14ac:dyDescent="0.25">
      <c r="C2110" s="4"/>
    </row>
    <row r="2111" spans="3:3" x14ac:dyDescent="0.25">
      <c r="C2111" s="4"/>
    </row>
    <row r="2112" spans="3:3" x14ac:dyDescent="0.25">
      <c r="C2112" s="4"/>
    </row>
    <row r="2113" spans="3:3" x14ac:dyDescent="0.25">
      <c r="C2113" s="4"/>
    </row>
    <row r="2114" spans="3:3" x14ac:dyDescent="0.25">
      <c r="C2114" s="4"/>
    </row>
    <row r="2115" spans="3:3" x14ac:dyDescent="0.25">
      <c r="C2115" s="4"/>
    </row>
    <row r="2116" spans="3:3" x14ac:dyDescent="0.25">
      <c r="C2116" s="4"/>
    </row>
    <row r="2117" spans="3:3" x14ac:dyDescent="0.25">
      <c r="C2117" s="4"/>
    </row>
    <row r="2118" spans="3:3" x14ac:dyDescent="0.25">
      <c r="C2118" s="4"/>
    </row>
    <row r="2119" spans="3:3" x14ac:dyDescent="0.25">
      <c r="C2119" s="4"/>
    </row>
    <row r="2120" spans="3:3" x14ac:dyDescent="0.25">
      <c r="C2120" s="4"/>
    </row>
    <row r="2121" spans="3:3" x14ac:dyDescent="0.25">
      <c r="C2121" s="4"/>
    </row>
    <row r="2122" spans="3:3" x14ac:dyDescent="0.25">
      <c r="C2122" s="4"/>
    </row>
    <row r="2123" spans="3:3" x14ac:dyDescent="0.25">
      <c r="C2123" s="4"/>
    </row>
    <row r="2124" spans="3:3" x14ac:dyDescent="0.25">
      <c r="C2124" s="4"/>
    </row>
    <row r="2125" spans="3:3" x14ac:dyDescent="0.25">
      <c r="C2125" s="4"/>
    </row>
    <row r="2126" spans="3:3" x14ac:dyDescent="0.25">
      <c r="C2126" s="4"/>
    </row>
    <row r="2127" spans="3:3" x14ac:dyDescent="0.25">
      <c r="C2127" s="4"/>
    </row>
    <row r="2128" spans="3:3" x14ac:dyDescent="0.25">
      <c r="C2128" s="4"/>
    </row>
    <row r="2129" spans="3:3" x14ac:dyDescent="0.25">
      <c r="C2129" s="4"/>
    </row>
    <row r="2130" spans="3:3" x14ac:dyDescent="0.25">
      <c r="C2130" s="4"/>
    </row>
    <row r="2131" spans="3:3" x14ac:dyDescent="0.25">
      <c r="C2131" s="4"/>
    </row>
    <row r="2132" spans="3:3" x14ac:dyDescent="0.25">
      <c r="C2132" s="4"/>
    </row>
    <row r="2133" spans="3:3" x14ac:dyDescent="0.25">
      <c r="C2133" s="4"/>
    </row>
    <row r="2134" spans="3:3" x14ac:dyDescent="0.25">
      <c r="C2134" s="4"/>
    </row>
    <row r="2135" spans="3:3" x14ac:dyDescent="0.25">
      <c r="C2135" s="4"/>
    </row>
    <row r="2136" spans="3:3" x14ac:dyDescent="0.25">
      <c r="C2136" s="4"/>
    </row>
    <row r="2137" spans="3:3" x14ac:dyDescent="0.25">
      <c r="C2137" s="4"/>
    </row>
    <row r="2138" spans="3:3" x14ac:dyDescent="0.25">
      <c r="C2138" s="4"/>
    </row>
    <row r="2139" spans="3:3" x14ac:dyDescent="0.25">
      <c r="C2139" s="4"/>
    </row>
    <row r="2140" spans="3:3" x14ac:dyDescent="0.25">
      <c r="C2140" s="4"/>
    </row>
    <row r="2141" spans="3:3" x14ac:dyDescent="0.25">
      <c r="C2141" s="4"/>
    </row>
    <row r="2142" spans="3:3" x14ac:dyDescent="0.25">
      <c r="C2142" s="4"/>
    </row>
    <row r="2143" spans="3:3" x14ac:dyDescent="0.25">
      <c r="C2143" s="4"/>
    </row>
    <row r="2144" spans="3:3" x14ac:dyDescent="0.25">
      <c r="C2144" s="4"/>
    </row>
    <row r="2145" spans="3:3" x14ac:dyDescent="0.25">
      <c r="C2145" s="4"/>
    </row>
    <row r="2146" spans="3:3" x14ac:dyDescent="0.25">
      <c r="C2146" s="4"/>
    </row>
    <row r="2147" spans="3:3" x14ac:dyDescent="0.25">
      <c r="C2147" s="4"/>
    </row>
    <row r="2148" spans="3:3" x14ac:dyDescent="0.25">
      <c r="C2148" s="4"/>
    </row>
    <row r="2149" spans="3:3" x14ac:dyDescent="0.25">
      <c r="C2149" s="4"/>
    </row>
    <row r="2150" spans="3:3" x14ac:dyDescent="0.25">
      <c r="C2150" s="4"/>
    </row>
    <row r="2151" spans="3:3" x14ac:dyDescent="0.25">
      <c r="C2151" s="4"/>
    </row>
    <row r="2152" spans="3:3" x14ac:dyDescent="0.25">
      <c r="C2152" s="4"/>
    </row>
    <row r="2153" spans="3:3" x14ac:dyDescent="0.25">
      <c r="C2153" s="4"/>
    </row>
    <row r="2154" spans="3:3" x14ac:dyDescent="0.25">
      <c r="C2154" s="4"/>
    </row>
    <row r="2155" spans="3:3" x14ac:dyDescent="0.25">
      <c r="C2155" s="4"/>
    </row>
    <row r="2156" spans="3:3" x14ac:dyDescent="0.25">
      <c r="C2156" s="4"/>
    </row>
    <row r="2157" spans="3:3" x14ac:dyDescent="0.25">
      <c r="C2157" s="4"/>
    </row>
    <row r="2158" spans="3:3" x14ac:dyDescent="0.25">
      <c r="C2158" s="4"/>
    </row>
    <row r="2159" spans="3:3" x14ac:dyDescent="0.25">
      <c r="C2159" s="4"/>
    </row>
    <row r="2160" spans="3:3" x14ac:dyDescent="0.25">
      <c r="C2160" s="4"/>
    </row>
    <row r="2161" spans="3:3" x14ac:dyDescent="0.25">
      <c r="C2161" s="4"/>
    </row>
    <row r="2162" spans="3:3" x14ac:dyDescent="0.25">
      <c r="C2162" s="4"/>
    </row>
    <row r="2163" spans="3:3" x14ac:dyDescent="0.25">
      <c r="C2163" s="4"/>
    </row>
    <row r="2164" spans="3:3" x14ac:dyDescent="0.25">
      <c r="C2164" s="4"/>
    </row>
    <row r="2165" spans="3:3" x14ac:dyDescent="0.25">
      <c r="C2165" s="4"/>
    </row>
    <row r="2166" spans="3:3" x14ac:dyDescent="0.25">
      <c r="C2166" s="4"/>
    </row>
    <row r="2167" spans="3:3" x14ac:dyDescent="0.25">
      <c r="C2167" s="4"/>
    </row>
    <row r="2168" spans="3:3" x14ac:dyDescent="0.25">
      <c r="C2168" s="4"/>
    </row>
    <row r="2169" spans="3:3" x14ac:dyDescent="0.25">
      <c r="C2169" s="4"/>
    </row>
    <row r="2170" spans="3:3" x14ac:dyDescent="0.25">
      <c r="C2170" s="4"/>
    </row>
    <row r="2171" spans="3:3" x14ac:dyDescent="0.25">
      <c r="C2171" s="4"/>
    </row>
    <row r="2172" spans="3:3" x14ac:dyDescent="0.25">
      <c r="C2172" s="4"/>
    </row>
    <row r="2173" spans="3:3" x14ac:dyDescent="0.25">
      <c r="C2173" s="4"/>
    </row>
    <row r="2174" spans="3:3" x14ac:dyDescent="0.25">
      <c r="C2174" s="4"/>
    </row>
    <row r="2175" spans="3:3" x14ac:dyDescent="0.25">
      <c r="C2175" s="4"/>
    </row>
    <row r="2176" spans="3:3" x14ac:dyDescent="0.25">
      <c r="C2176" s="4"/>
    </row>
    <row r="2177" spans="3:3" x14ac:dyDescent="0.25">
      <c r="C2177" s="4"/>
    </row>
    <row r="2178" spans="3:3" x14ac:dyDescent="0.25">
      <c r="C2178" s="4"/>
    </row>
    <row r="2179" spans="3:3" x14ac:dyDescent="0.25">
      <c r="C2179" s="4"/>
    </row>
    <row r="2180" spans="3:3" x14ac:dyDescent="0.25">
      <c r="C2180" s="4"/>
    </row>
    <row r="2181" spans="3:3" x14ac:dyDescent="0.25">
      <c r="C2181" s="4"/>
    </row>
    <row r="2182" spans="3:3" x14ac:dyDescent="0.25">
      <c r="C2182" s="4"/>
    </row>
    <row r="2183" spans="3:3" x14ac:dyDescent="0.25">
      <c r="C2183" s="4"/>
    </row>
    <row r="2184" spans="3:3" x14ac:dyDescent="0.25">
      <c r="C2184" s="4"/>
    </row>
    <row r="2185" spans="3:3" x14ac:dyDescent="0.25">
      <c r="C2185" s="4"/>
    </row>
    <row r="2186" spans="3:3" x14ac:dyDescent="0.25">
      <c r="C2186" s="4"/>
    </row>
    <row r="2187" spans="3:3" x14ac:dyDescent="0.25">
      <c r="C2187" s="4"/>
    </row>
    <row r="2188" spans="3:3" x14ac:dyDescent="0.25">
      <c r="C2188" s="4"/>
    </row>
    <row r="2189" spans="3:3" x14ac:dyDescent="0.25">
      <c r="C2189" s="4"/>
    </row>
    <row r="2190" spans="3:3" x14ac:dyDescent="0.25">
      <c r="C2190" s="4"/>
    </row>
    <row r="2191" spans="3:3" x14ac:dyDescent="0.25">
      <c r="C2191" s="4"/>
    </row>
    <row r="2192" spans="3:3" x14ac:dyDescent="0.25">
      <c r="C2192" s="4"/>
    </row>
    <row r="2193" spans="3:3" x14ac:dyDescent="0.25">
      <c r="C2193" s="4"/>
    </row>
    <row r="2194" spans="3:3" x14ac:dyDescent="0.25">
      <c r="C2194" s="4"/>
    </row>
    <row r="2195" spans="3:3" x14ac:dyDescent="0.25">
      <c r="C2195" s="4"/>
    </row>
    <row r="2196" spans="3:3" x14ac:dyDescent="0.25">
      <c r="C2196" s="4"/>
    </row>
    <row r="2197" spans="3:3" x14ac:dyDescent="0.25">
      <c r="C2197" s="4"/>
    </row>
    <row r="2198" spans="3:3" x14ac:dyDescent="0.25">
      <c r="C2198" s="4"/>
    </row>
    <row r="2199" spans="3:3" x14ac:dyDescent="0.25">
      <c r="C2199" s="4"/>
    </row>
    <row r="2200" spans="3:3" x14ac:dyDescent="0.25">
      <c r="C2200" s="4"/>
    </row>
    <row r="2201" spans="3:3" x14ac:dyDescent="0.25">
      <c r="C2201" s="4"/>
    </row>
    <row r="2202" spans="3:3" x14ac:dyDescent="0.25">
      <c r="C2202" s="4"/>
    </row>
    <row r="2203" spans="3:3" x14ac:dyDescent="0.25">
      <c r="C2203" s="4"/>
    </row>
    <row r="2204" spans="3:3" x14ac:dyDescent="0.25">
      <c r="C2204" s="4"/>
    </row>
    <row r="2205" spans="3:3" x14ac:dyDescent="0.25">
      <c r="C2205" s="4"/>
    </row>
    <row r="2206" spans="3:3" x14ac:dyDescent="0.25">
      <c r="C2206" s="4"/>
    </row>
    <row r="2207" spans="3:3" x14ac:dyDescent="0.25">
      <c r="C2207" s="4"/>
    </row>
    <row r="2208" spans="3:3" x14ac:dyDescent="0.25">
      <c r="C2208" s="4"/>
    </row>
    <row r="2209" spans="3:3" x14ac:dyDescent="0.25">
      <c r="C2209" s="4"/>
    </row>
    <row r="2210" spans="3:3" x14ac:dyDescent="0.25">
      <c r="C2210" s="4"/>
    </row>
    <row r="2211" spans="3:3" x14ac:dyDescent="0.25">
      <c r="C2211" s="4"/>
    </row>
    <row r="2212" spans="3:3" x14ac:dyDescent="0.25">
      <c r="C2212" s="4"/>
    </row>
    <row r="2213" spans="3:3" x14ac:dyDescent="0.25">
      <c r="C2213" s="4"/>
    </row>
    <row r="2214" spans="3:3" x14ac:dyDescent="0.25">
      <c r="C2214" s="4"/>
    </row>
    <row r="2215" spans="3:3" x14ac:dyDescent="0.25">
      <c r="C2215" s="4"/>
    </row>
    <row r="2216" spans="3:3" x14ac:dyDescent="0.25">
      <c r="C2216" s="4"/>
    </row>
    <row r="2217" spans="3:3" x14ac:dyDescent="0.25">
      <c r="C2217" s="4"/>
    </row>
    <row r="2218" spans="3:3" x14ac:dyDescent="0.25">
      <c r="C2218" s="4"/>
    </row>
    <row r="2219" spans="3:3" x14ac:dyDescent="0.25">
      <c r="C2219" s="4"/>
    </row>
    <row r="2220" spans="3:3" x14ac:dyDescent="0.25">
      <c r="C2220" s="4"/>
    </row>
    <row r="2221" spans="3:3" x14ac:dyDescent="0.25">
      <c r="C2221" s="4"/>
    </row>
    <row r="2222" spans="3:3" x14ac:dyDescent="0.25">
      <c r="C2222" s="4"/>
    </row>
    <row r="2223" spans="3:3" x14ac:dyDescent="0.25">
      <c r="C2223" s="4"/>
    </row>
    <row r="2224" spans="3:3" x14ac:dyDescent="0.25">
      <c r="C2224" s="4"/>
    </row>
    <row r="2225" spans="3:3" x14ac:dyDescent="0.25">
      <c r="C2225" s="4"/>
    </row>
    <row r="2226" spans="3:3" x14ac:dyDescent="0.25">
      <c r="C2226" s="4"/>
    </row>
    <row r="2227" spans="3:3" x14ac:dyDescent="0.25">
      <c r="C2227" s="4"/>
    </row>
    <row r="2228" spans="3:3" x14ac:dyDescent="0.25">
      <c r="C2228" s="4"/>
    </row>
    <row r="2229" spans="3:3" x14ac:dyDescent="0.25">
      <c r="C2229" s="4"/>
    </row>
    <row r="2230" spans="3:3" x14ac:dyDescent="0.25">
      <c r="C2230" s="4"/>
    </row>
    <row r="2231" spans="3:3" x14ac:dyDescent="0.25">
      <c r="C2231" s="4"/>
    </row>
    <row r="2232" spans="3:3" x14ac:dyDescent="0.25">
      <c r="C2232" s="4"/>
    </row>
    <row r="2233" spans="3:3" x14ac:dyDescent="0.25">
      <c r="C2233" s="4"/>
    </row>
    <row r="2234" spans="3:3" x14ac:dyDescent="0.25">
      <c r="C2234" s="4"/>
    </row>
    <row r="2235" spans="3:3" x14ac:dyDescent="0.25">
      <c r="C2235" s="4"/>
    </row>
    <row r="2236" spans="3:3" x14ac:dyDescent="0.25">
      <c r="C2236" s="4"/>
    </row>
    <row r="2237" spans="3:3" x14ac:dyDescent="0.25">
      <c r="C2237" s="4"/>
    </row>
    <row r="2238" spans="3:3" x14ac:dyDescent="0.25">
      <c r="C2238" s="4"/>
    </row>
    <row r="2239" spans="3:3" x14ac:dyDescent="0.25">
      <c r="C2239" s="4"/>
    </row>
    <row r="2240" spans="3:3" x14ac:dyDescent="0.25">
      <c r="C2240" s="4"/>
    </row>
    <row r="2241" spans="3:3" x14ac:dyDescent="0.25">
      <c r="C2241" s="4"/>
    </row>
    <row r="2242" spans="3:3" x14ac:dyDescent="0.25">
      <c r="C2242" s="4"/>
    </row>
    <row r="2243" spans="3:3" x14ac:dyDescent="0.25">
      <c r="C2243" s="4"/>
    </row>
    <row r="2244" spans="3:3" x14ac:dyDescent="0.25">
      <c r="C2244" s="4"/>
    </row>
    <row r="2245" spans="3:3" x14ac:dyDescent="0.25">
      <c r="C2245" s="4"/>
    </row>
    <row r="2246" spans="3:3" x14ac:dyDescent="0.25">
      <c r="C2246" s="4"/>
    </row>
    <row r="2247" spans="3:3" x14ac:dyDescent="0.25">
      <c r="C2247" s="4"/>
    </row>
    <row r="2248" spans="3:3" x14ac:dyDescent="0.25">
      <c r="C2248" s="4"/>
    </row>
    <row r="2249" spans="3:3" x14ac:dyDescent="0.25">
      <c r="C2249" s="4"/>
    </row>
    <row r="2250" spans="3:3" x14ac:dyDescent="0.25">
      <c r="C2250" s="4"/>
    </row>
    <row r="2251" spans="3:3" x14ac:dyDescent="0.25">
      <c r="C2251" s="4"/>
    </row>
    <row r="2252" spans="3:3" x14ac:dyDescent="0.25">
      <c r="C2252" s="4"/>
    </row>
    <row r="2253" spans="3:3" x14ac:dyDescent="0.25">
      <c r="C2253" s="4"/>
    </row>
    <row r="2254" spans="3:3" x14ac:dyDescent="0.25">
      <c r="C2254" s="4"/>
    </row>
    <row r="2255" spans="3:3" x14ac:dyDescent="0.25">
      <c r="C2255" s="4"/>
    </row>
    <row r="2256" spans="3:3" x14ac:dyDescent="0.25">
      <c r="C2256" s="4"/>
    </row>
    <row r="2257" spans="3:3" x14ac:dyDescent="0.25">
      <c r="C2257" s="4"/>
    </row>
    <row r="2258" spans="3:3" x14ac:dyDescent="0.25">
      <c r="C2258" s="4"/>
    </row>
    <row r="2259" spans="3:3" x14ac:dyDescent="0.25">
      <c r="C2259" s="4"/>
    </row>
    <row r="2260" spans="3:3" x14ac:dyDescent="0.25">
      <c r="C2260" s="4"/>
    </row>
    <row r="2261" spans="3:3" x14ac:dyDescent="0.25">
      <c r="C2261" s="4"/>
    </row>
    <row r="2262" spans="3:3" x14ac:dyDescent="0.25">
      <c r="C2262" s="4"/>
    </row>
    <row r="2263" spans="3:3" x14ac:dyDescent="0.25">
      <c r="C2263" s="4"/>
    </row>
    <row r="2264" spans="3:3" x14ac:dyDescent="0.25">
      <c r="C2264" s="4"/>
    </row>
    <row r="2265" spans="3:3" x14ac:dyDescent="0.25">
      <c r="C2265" s="4"/>
    </row>
    <row r="2266" spans="3:3" x14ac:dyDescent="0.25">
      <c r="C2266" s="4"/>
    </row>
    <row r="2267" spans="3:3" x14ac:dyDescent="0.25">
      <c r="C2267" s="4"/>
    </row>
    <row r="2268" spans="3:3" x14ac:dyDescent="0.25">
      <c r="C2268" s="4"/>
    </row>
    <row r="2269" spans="3:3" x14ac:dyDescent="0.25">
      <c r="C2269" s="4"/>
    </row>
    <row r="2270" spans="3:3" x14ac:dyDescent="0.25">
      <c r="C2270" s="4"/>
    </row>
    <row r="2271" spans="3:3" x14ac:dyDescent="0.25">
      <c r="C2271" s="4"/>
    </row>
    <row r="2272" spans="3:3" x14ac:dyDescent="0.25">
      <c r="C2272" s="4"/>
    </row>
    <row r="2273" spans="3:3" x14ac:dyDescent="0.25">
      <c r="C2273" s="4"/>
    </row>
    <row r="2274" spans="3:3" x14ac:dyDescent="0.25">
      <c r="C2274" s="4"/>
    </row>
    <row r="2275" spans="3:3" x14ac:dyDescent="0.25">
      <c r="C2275" s="4"/>
    </row>
    <row r="2276" spans="3:3" x14ac:dyDescent="0.25">
      <c r="C2276" s="4"/>
    </row>
    <row r="2277" spans="3:3" x14ac:dyDescent="0.25">
      <c r="C2277" s="4"/>
    </row>
    <row r="2278" spans="3:3" x14ac:dyDescent="0.25">
      <c r="C2278" s="4"/>
    </row>
    <row r="2279" spans="3:3" x14ac:dyDescent="0.25">
      <c r="C2279" s="4"/>
    </row>
    <row r="2280" spans="3:3" x14ac:dyDescent="0.25">
      <c r="C2280" s="4"/>
    </row>
    <row r="2281" spans="3:3" x14ac:dyDescent="0.25">
      <c r="C2281" s="4"/>
    </row>
    <row r="2282" spans="3:3" x14ac:dyDescent="0.25">
      <c r="C2282" s="4"/>
    </row>
    <row r="2283" spans="3:3" x14ac:dyDescent="0.25">
      <c r="C2283" s="4"/>
    </row>
    <row r="2284" spans="3:3" x14ac:dyDescent="0.25">
      <c r="C2284" s="4"/>
    </row>
    <row r="2285" spans="3:3" x14ac:dyDescent="0.25">
      <c r="C2285" s="4"/>
    </row>
    <row r="2286" spans="3:3" x14ac:dyDescent="0.25">
      <c r="C2286" s="4"/>
    </row>
    <row r="2287" spans="3:3" x14ac:dyDescent="0.25">
      <c r="C2287" s="4"/>
    </row>
    <row r="2288" spans="3:3" x14ac:dyDescent="0.25">
      <c r="C2288" s="4"/>
    </row>
    <row r="2289" spans="3:3" x14ac:dyDescent="0.25">
      <c r="C2289" s="4"/>
    </row>
    <row r="2290" spans="3:3" x14ac:dyDescent="0.25">
      <c r="C2290" s="4"/>
    </row>
    <row r="2291" spans="3:3" x14ac:dyDescent="0.25">
      <c r="C2291" s="4"/>
    </row>
    <row r="2292" spans="3:3" x14ac:dyDescent="0.25">
      <c r="C2292" s="4"/>
    </row>
    <row r="2293" spans="3:3" x14ac:dyDescent="0.25">
      <c r="C2293" s="4"/>
    </row>
    <row r="2294" spans="3:3" x14ac:dyDescent="0.25">
      <c r="C2294" s="4"/>
    </row>
    <row r="2295" spans="3:3" x14ac:dyDescent="0.25">
      <c r="C2295" s="4"/>
    </row>
    <row r="2296" spans="3:3" x14ac:dyDescent="0.25">
      <c r="C2296" s="4"/>
    </row>
    <row r="2297" spans="3:3" x14ac:dyDescent="0.25">
      <c r="C2297" s="4"/>
    </row>
    <row r="2298" spans="3:3" x14ac:dyDescent="0.25">
      <c r="C2298" s="4"/>
    </row>
    <row r="2299" spans="3:3" x14ac:dyDescent="0.25">
      <c r="C2299" s="4"/>
    </row>
    <row r="2300" spans="3:3" x14ac:dyDescent="0.25">
      <c r="C2300" s="4"/>
    </row>
    <row r="2301" spans="3:3" x14ac:dyDescent="0.25">
      <c r="C2301" s="4"/>
    </row>
  </sheetData>
  <mergeCells count="1">
    <mergeCell ref="T14:U14"/>
  </mergeCells>
  <pageMargins left="0.7" right="0.7" top="0.75" bottom="0.75" header="0.3" footer="0.3"/>
  <pageSetup paperSize="9" orientation="portrait" r:id="rId2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6"/>
  <sheetViews>
    <sheetView workbookViewId="0">
      <pane ySplit="1" topLeftCell="A1976" activePane="bottomLeft" state="frozen"/>
      <selection activeCell="C141" sqref="C141"/>
      <selection pane="bottomLeft" activeCell="C141" sqref="C141"/>
    </sheetView>
  </sheetViews>
  <sheetFormatPr baseColWidth="10" defaultRowHeight="15" x14ac:dyDescent="0.25"/>
  <cols>
    <col min="1" max="1" width="9.7109375" bestFit="1" customWidth="1"/>
    <col min="6" max="6" width="73.5703125" bestFit="1" customWidth="1"/>
    <col min="7" max="7" width="17.42578125" customWidth="1"/>
    <col min="8" max="8" width="16.5703125" style="2" customWidth="1"/>
  </cols>
  <sheetData>
    <row r="1" spans="1:8" ht="27" customHeight="1" x14ac:dyDescent="0.25">
      <c r="A1" s="16" t="s">
        <v>29</v>
      </c>
      <c r="B1" s="16" t="s">
        <v>23</v>
      </c>
      <c r="C1" s="16" t="s">
        <v>22</v>
      </c>
      <c r="D1" s="16" t="s">
        <v>25</v>
      </c>
      <c r="E1" s="16" t="s">
        <v>35</v>
      </c>
      <c r="F1" s="16" t="s">
        <v>34</v>
      </c>
      <c r="G1" s="16" t="s">
        <v>33</v>
      </c>
      <c r="H1" s="17" t="s">
        <v>24</v>
      </c>
    </row>
    <row r="2" spans="1:8" x14ac:dyDescent="0.25">
      <c r="A2" t="str">
        <f t="shared" ref="A2:A65" si="0">+CONCATENATE(B2,C2)</f>
        <v>19960-4</v>
      </c>
      <c r="B2">
        <v>1996</v>
      </c>
      <c r="C2" t="s">
        <v>6</v>
      </c>
      <c r="D2" t="s">
        <v>26</v>
      </c>
      <c r="E2">
        <v>1</v>
      </c>
      <c r="F2" t="s">
        <v>21</v>
      </c>
      <c r="G2" s="7">
        <v>38</v>
      </c>
      <c r="H2" s="2">
        <v>1308550.7828250399</v>
      </c>
    </row>
    <row r="3" spans="1:8" x14ac:dyDescent="0.25">
      <c r="A3" t="str">
        <f t="shared" si="0"/>
        <v>199615-24</v>
      </c>
      <c r="B3">
        <v>1996</v>
      </c>
      <c r="C3" t="s">
        <v>4</v>
      </c>
      <c r="D3" t="s">
        <v>26</v>
      </c>
      <c r="E3">
        <v>1</v>
      </c>
      <c r="F3" t="s">
        <v>21</v>
      </c>
      <c r="G3" s="7">
        <v>40</v>
      </c>
      <c r="H3" s="2">
        <v>2136825.68729656</v>
      </c>
    </row>
    <row r="4" spans="1:8" x14ac:dyDescent="0.25">
      <c r="A4" t="str">
        <f t="shared" si="0"/>
        <v>199625-44</v>
      </c>
      <c r="B4">
        <v>1996</v>
      </c>
      <c r="C4" t="s">
        <v>3</v>
      </c>
      <c r="D4" t="s">
        <v>26</v>
      </c>
      <c r="E4">
        <v>1</v>
      </c>
      <c r="F4" t="s">
        <v>21</v>
      </c>
      <c r="G4" s="7">
        <v>467</v>
      </c>
      <c r="H4" s="2">
        <v>3245545.2890741802</v>
      </c>
    </row>
    <row r="5" spans="1:8" x14ac:dyDescent="0.25">
      <c r="A5" t="str">
        <f t="shared" si="0"/>
        <v>199645-64</v>
      </c>
      <c r="B5">
        <v>1996</v>
      </c>
      <c r="C5" t="s">
        <v>2</v>
      </c>
      <c r="D5" t="s">
        <v>26</v>
      </c>
      <c r="E5">
        <v>1</v>
      </c>
      <c r="F5" t="s">
        <v>21</v>
      </c>
      <c r="G5" s="7">
        <v>1724</v>
      </c>
      <c r="H5" s="2">
        <v>1448877.9572723201</v>
      </c>
    </row>
    <row r="6" spans="1:8" x14ac:dyDescent="0.25">
      <c r="A6" t="str">
        <f t="shared" si="0"/>
        <v>19965-14</v>
      </c>
      <c r="B6">
        <v>1996</v>
      </c>
      <c r="C6" t="s">
        <v>5</v>
      </c>
      <c r="D6" t="s">
        <v>26</v>
      </c>
      <c r="E6">
        <v>1</v>
      </c>
      <c r="F6" t="s">
        <v>21</v>
      </c>
      <c r="G6" s="7">
        <v>24</v>
      </c>
      <c r="H6" s="2">
        <v>2617766.7452121698</v>
      </c>
    </row>
    <row r="7" spans="1:8" x14ac:dyDescent="0.25">
      <c r="A7" t="str">
        <f t="shared" si="0"/>
        <v>199665-74</v>
      </c>
      <c r="B7">
        <v>1996</v>
      </c>
      <c r="C7" t="s">
        <v>1</v>
      </c>
      <c r="D7" t="s">
        <v>26</v>
      </c>
      <c r="E7">
        <v>1</v>
      </c>
      <c r="F7" t="s">
        <v>21</v>
      </c>
      <c r="G7" s="7">
        <v>2053</v>
      </c>
      <c r="H7" s="2">
        <v>373487.34083337098</v>
      </c>
    </row>
    <row r="8" spans="1:8" x14ac:dyDescent="0.25">
      <c r="A8" t="str">
        <f t="shared" si="0"/>
        <v>199675+</v>
      </c>
      <c r="B8">
        <v>1996</v>
      </c>
      <c r="C8" t="s">
        <v>0</v>
      </c>
      <c r="D8" t="s">
        <v>26</v>
      </c>
      <c r="E8">
        <v>1</v>
      </c>
      <c r="F8" t="s">
        <v>21</v>
      </c>
      <c r="G8" s="7">
        <v>5003</v>
      </c>
      <c r="H8" s="2">
        <v>186458.585231801</v>
      </c>
    </row>
    <row r="9" spans="1:8" x14ac:dyDescent="0.25">
      <c r="A9" t="str">
        <f t="shared" si="0"/>
        <v>19970-4</v>
      </c>
      <c r="B9">
        <v>1997</v>
      </c>
      <c r="C9" t="s">
        <v>6</v>
      </c>
      <c r="D9" t="s">
        <v>26</v>
      </c>
      <c r="E9">
        <v>1</v>
      </c>
      <c r="F9" t="s">
        <v>21</v>
      </c>
      <c r="G9" s="7">
        <v>28</v>
      </c>
      <c r="H9" s="2">
        <v>1317732.8696950199</v>
      </c>
    </row>
    <row r="10" spans="1:8" x14ac:dyDescent="0.25">
      <c r="A10" t="str">
        <f t="shared" si="0"/>
        <v>199715-24</v>
      </c>
      <c r="B10">
        <v>1997</v>
      </c>
      <c r="C10" t="s">
        <v>4</v>
      </c>
      <c r="D10" t="s">
        <v>26</v>
      </c>
      <c r="E10">
        <v>1</v>
      </c>
      <c r="F10" t="s">
        <v>21</v>
      </c>
      <c r="G10" s="7">
        <v>78</v>
      </c>
      <c r="H10" s="2">
        <v>2190257.4123779298</v>
      </c>
    </row>
    <row r="11" spans="1:8" x14ac:dyDescent="0.25">
      <c r="A11" t="str">
        <f t="shared" si="0"/>
        <v>199725-44</v>
      </c>
      <c r="B11">
        <v>1997</v>
      </c>
      <c r="C11" t="s">
        <v>3</v>
      </c>
      <c r="D11" t="s">
        <v>26</v>
      </c>
      <c r="E11">
        <v>1</v>
      </c>
      <c r="F11" t="s">
        <v>21</v>
      </c>
      <c r="G11" s="7">
        <v>441</v>
      </c>
      <c r="H11" s="2">
        <v>3319788.9734445098</v>
      </c>
    </row>
    <row r="12" spans="1:8" x14ac:dyDescent="0.25">
      <c r="A12" t="str">
        <f t="shared" si="0"/>
        <v>199745-64</v>
      </c>
      <c r="B12">
        <v>1997</v>
      </c>
      <c r="C12" t="s">
        <v>2</v>
      </c>
      <c r="D12" t="s">
        <v>26</v>
      </c>
      <c r="E12">
        <v>1</v>
      </c>
      <c r="F12" t="s">
        <v>21</v>
      </c>
      <c r="G12" s="7">
        <v>1786</v>
      </c>
      <c r="H12" s="2">
        <v>1494497.7743633899</v>
      </c>
    </row>
    <row r="13" spans="1:8" x14ac:dyDescent="0.25">
      <c r="A13" t="str">
        <f t="shared" si="0"/>
        <v>19975-14</v>
      </c>
      <c r="B13">
        <v>1997</v>
      </c>
      <c r="C13" t="s">
        <v>5</v>
      </c>
      <c r="D13" t="s">
        <v>26</v>
      </c>
      <c r="E13">
        <v>1</v>
      </c>
      <c r="F13" t="s">
        <v>21</v>
      </c>
      <c r="G13" s="7">
        <v>24</v>
      </c>
      <c r="H13" s="2">
        <v>2625110.0471272999</v>
      </c>
    </row>
    <row r="14" spans="1:8" x14ac:dyDescent="0.25">
      <c r="A14" t="str">
        <f t="shared" si="0"/>
        <v>199765-74</v>
      </c>
      <c r="B14">
        <v>1997</v>
      </c>
      <c r="C14" t="s">
        <v>1</v>
      </c>
      <c r="D14" t="s">
        <v>26</v>
      </c>
      <c r="E14">
        <v>1</v>
      </c>
      <c r="F14" t="s">
        <v>21</v>
      </c>
      <c r="G14" s="7">
        <v>2001</v>
      </c>
      <c r="H14" s="2">
        <v>377918.60450002301</v>
      </c>
    </row>
    <row r="15" spans="1:8" x14ac:dyDescent="0.25">
      <c r="A15" t="str">
        <f t="shared" si="0"/>
        <v>199775+</v>
      </c>
      <c r="B15">
        <v>1997</v>
      </c>
      <c r="C15" t="s">
        <v>0</v>
      </c>
      <c r="D15" t="s">
        <v>26</v>
      </c>
      <c r="E15">
        <v>1</v>
      </c>
      <c r="F15" t="s">
        <v>21</v>
      </c>
      <c r="G15" s="7">
        <v>4915</v>
      </c>
      <c r="H15" s="2">
        <v>197836.55113907999</v>
      </c>
    </row>
    <row r="16" spans="1:8" x14ac:dyDescent="0.25">
      <c r="A16" t="str">
        <f t="shared" si="0"/>
        <v>19980-4</v>
      </c>
      <c r="B16">
        <v>1998</v>
      </c>
      <c r="C16" t="s">
        <v>6</v>
      </c>
      <c r="D16" t="s">
        <v>26</v>
      </c>
      <c r="E16">
        <v>1</v>
      </c>
      <c r="F16" t="s">
        <v>21</v>
      </c>
      <c r="G16" s="7">
        <v>40</v>
      </c>
      <c r="H16" s="2">
        <v>1325697.93484751</v>
      </c>
    </row>
    <row r="17" spans="1:8" x14ac:dyDescent="0.25">
      <c r="A17" t="str">
        <f t="shared" si="0"/>
        <v>199815-24</v>
      </c>
      <c r="B17">
        <v>1998</v>
      </c>
      <c r="C17" t="s">
        <v>4</v>
      </c>
      <c r="D17" t="s">
        <v>26</v>
      </c>
      <c r="E17">
        <v>1</v>
      </c>
      <c r="F17" t="s">
        <v>21</v>
      </c>
      <c r="G17" s="7">
        <v>50</v>
      </c>
      <c r="H17" s="2">
        <v>2242694.2061889698</v>
      </c>
    </row>
    <row r="18" spans="1:8" x14ac:dyDescent="0.25">
      <c r="A18" t="str">
        <f t="shared" si="0"/>
        <v>199825-44</v>
      </c>
      <c r="B18">
        <v>1998</v>
      </c>
      <c r="C18" t="s">
        <v>3</v>
      </c>
      <c r="D18" t="s">
        <v>26</v>
      </c>
      <c r="E18">
        <v>1</v>
      </c>
      <c r="F18" t="s">
        <v>21</v>
      </c>
      <c r="G18" s="7">
        <v>440</v>
      </c>
      <c r="H18" s="2">
        <v>3392799.98672225</v>
      </c>
    </row>
    <row r="19" spans="1:8" x14ac:dyDescent="0.25">
      <c r="A19" t="str">
        <f t="shared" si="0"/>
        <v>199845-64</v>
      </c>
      <c r="B19">
        <v>1998</v>
      </c>
      <c r="C19" t="s">
        <v>2</v>
      </c>
      <c r="D19" t="s">
        <v>26</v>
      </c>
      <c r="E19">
        <v>1</v>
      </c>
      <c r="F19" t="s">
        <v>21</v>
      </c>
      <c r="G19" s="7">
        <v>1744</v>
      </c>
      <c r="H19" s="2">
        <v>1544756.3871817</v>
      </c>
    </row>
    <row r="20" spans="1:8" x14ac:dyDescent="0.25">
      <c r="A20" t="str">
        <f t="shared" si="0"/>
        <v>19985-14</v>
      </c>
      <c r="B20">
        <v>1998</v>
      </c>
      <c r="C20" t="s">
        <v>5</v>
      </c>
      <c r="D20" t="s">
        <v>26</v>
      </c>
      <c r="E20">
        <v>1</v>
      </c>
      <c r="F20" t="s">
        <v>21</v>
      </c>
      <c r="G20" s="7">
        <v>20</v>
      </c>
      <c r="H20" s="2">
        <v>2628255.52356365</v>
      </c>
    </row>
    <row r="21" spans="1:8" x14ac:dyDescent="0.25">
      <c r="A21" t="str">
        <f t="shared" si="0"/>
        <v>199865-74</v>
      </c>
      <c r="B21">
        <v>1998</v>
      </c>
      <c r="C21" t="s">
        <v>1</v>
      </c>
      <c r="D21" t="s">
        <v>26</v>
      </c>
      <c r="E21">
        <v>1</v>
      </c>
      <c r="F21" t="s">
        <v>21</v>
      </c>
      <c r="G21" s="7">
        <v>2150</v>
      </c>
      <c r="H21" s="2">
        <v>383636.80225001101</v>
      </c>
    </row>
    <row r="22" spans="1:8" x14ac:dyDescent="0.25">
      <c r="A22" t="str">
        <f t="shared" si="0"/>
        <v>199875+</v>
      </c>
      <c r="B22">
        <v>1998</v>
      </c>
      <c r="C22" t="s">
        <v>0</v>
      </c>
      <c r="D22" t="s">
        <v>26</v>
      </c>
      <c r="E22">
        <v>1</v>
      </c>
      <c r="F22" t="s">
        <v>21</v>
      </c>
      <c r="G22" s="7">
        <v>4751</v>
      </c>
      <c r="H22" s="2">
        <v>210840.77556954001</v>
      </c>
    </row>
    <row r="23" spans="1:8" x14ac:dyDescent="0.25">
      <c r="A23" t="str">
        <f t="shared" si="0"/>
        <v>19990-4</v>
      </c>
      <c r="B23">
        <v>1999</v>
      </c>
      <c r="C23" t="s">
        <v>6</v>
      </c>
      <c r="D23" t="s">
        <v>26</v>
      </c>
      <c r="E23">
        <v>1</v>
      </c>
      <c r="F23" t="s">
        <v>21</v>
      </c>
      <c r="G23" s="7">
        <v>32</v>
      </c>
      <c r="H23" s="2">
        <v>1332528.9782825001</v>
      </c>
    </row>
    <row r="24" spans="1:8" x14ac:dyDescent="0.25">
      <c r="A24" t="str">
        <f t="shared" si="0"/>
        <v>199915-24</v>
      </c>
      <c r="B24">
        <v>1999</v>
      </c>
      <c r="C24" t="s">
        <v>4</v>
      </c>
      <c r="D24" t="s">
        <v>26</v>
      </c>
      <c r="E24">
        <v>1</v>
      </c>
      <c r="F24" t="s">
        <v>21</v>
      </c>
      <c r="G24" s="7">
        <v>52</v>
      </c>
      <c r="H24" s="2">
        <v>2293434.06872966</v>
      </c>
    </row>
    <row r="25" spans="1:8" x14ac:dyDescent="0.25">
      <c r="A25" t="str">
        <f t="shared" si="0"/>
        <v>199925-44</v>
      </c>
      <c r="B25">
        <v>1999</v>
      </c>
      <c r="C25" t="s">
        <v>3</v>
      </c>
      <c r="D25" t="s">
        <v>26</v>
      </c>
      <c r="E25">
        <v>1</v>
      </c>
      <c r="F25" t="s">
        <v>21</v>
      </c>
      <c r="G25" s="7">
        <v>421</v>
      </c>
      <c r="H25" s="2">
        <v>3464730.3289074199</v>
      </c>
    </row>
    <row r="26" spans="1:8" x14ac:dyDescent="0.25">
      <c r="A26" t="str">
        <f t="shared" si="0"/>
        <v>199945-64</v>
      </c>
      <c r="B26">
        <v>1999</v>
      </c>
      <c r="C26" t="s">
        <v>2</v>
      </c>
      <c r="D26" t="s">
        <v>26</v>
      </c>
      <c r="E26">
        <v>1</v>
      </c>
      <c r="F26" t="s">
        <v>21</v>
      </c>
      <c r="G26" s="7">
        <v>1789</v>
      </c>
      <c r="H26" s="2">
        <v>1599513.7957272299</v>
      </c>
    </row>
    <row r="27" spans="1:8" x14ac:dyDescent="0.25">
      <c r="A27" t="str">
        <f t="shared" si="0"/>
        <v>19995-14</v>
      </c>
      <c r="B27">
        <v>1999</v>
      </c>
      <c r="C27" t="s">
        <v>5</v>
      </c>
      <c r="D27" t="s">
        <v>26</v>
      </c>
      <c r="E27">
        <v>1</v>
      </c>
      <c r="F27" t="s">
        <v>21</v>
      </c>
      <c r="G27" s="7">
        <v>27</v>
      </c>
      <c r="H27" s="2">
        <v>2628380.1745212199</v>
      </c>
    </row>
    <row r="28" spans="1:8" x14ac:dyDescent="0.25">
      <c r="A28" t="str">
        <f t="shared" si="0"/>
        <v>199965-74</v>
      </c>
      <c r="B28">
        <v>1999</v>
      </c>
      <c r="C28" t="s">
        <v>1</v>
      </c>
      <c r="D28" t="s">
        <v>26</v>
      </c>
      <c r="E28">
        <v>1</v>
      </c>
      <c r="F28" t="s">
        <v>21</v>
      </c>
      <c r="G28" s="7">
        <v>2102</v>
      </c>
      <c r="H28" s="2">
        <v>390568.93408333702</v>
      </c>
    </row>
    <row r="29" spans="1:8" x14ac:dyDescent="0.25">
      <c r="A29" t="str">
        <f t="shared" si="0"/>
        <v>199975+</v>
      </c>
      <c r="B29">
        <v>1999</v>
      </c>
      <c r="C29" t="s">
        <v>0</v>
      </c>
      <c r="D29" t="s">
        <v>26</v>
      </c>
      <c r="E29">
        <v>1</v>
      </c>
      <c r="F29" t="s">
        <v>21</v>
      </c>
      <c r="G29" s="7">
        <v>5089</v>
      </c>
      <c r="H29" s="2">
        <v>225043.25852318</v>
      </c>
    </row>
    <row r="30" spans="1:8" x14ac:dyDescent="0.25">
      <c r="A30" t="str">
        <f t="shared" si="0"/>
        <v>20000-4</v>
      </c>
      <c r="B30">
        <v>2000</v>
      </c>
      <c r="C30" t="s">
        <v>6</v>
      </c>
      <c r="D30" t="s">
        <v>26</v>
      </c>
      <c r="E30">
        <v>1</v>
      </c>
      <c r="F30" t="s">
        <v>21</v>
      </c>
      <c r="G30" s="7">
        <v>18</v>
      </c>
      <c r="H30" s="2">
        <v>1338309</v>
      </c>
    </row>
    <row r="31" spans="1:8" x14ac:dyDescent="0.25">
      <c r="A31" t="str">
        <f t="shared" si="0"/>
        <v>200015-24</v>
      </c>
      <c r="B31">
        <v>2000</v>
      </c>
      <c r="C31" t="s">
        <v>4</v>
      </c>
      <c r="D31" t="s">
        <v>26</v>
      </c>
      <c r="E31">
        <v>1</v>
      </c>
      <c r="F31" t="s">
        <v>21</v>
      </c>
      <c r="G31" s="7">
        <v>64</v>
      </c>
      <c r="H31" s="2">
        <v>2341775</v>
      </c>
    </row>
    <row r="32" spans="1:8" x14ac:dyDescent="0.25">
      <c r="A32" t="str">
        <f t="shared" si="0"/>
        <v>200025-44</v>
      </c>
      <c r="B32">
        <v>2000</v>
      </c>
      <c r="C32" t="s">
        <v>3</v>
      </c>
      <c r="D32" t="s">
        <v>26</v>
      </c>
      <c r="E32">
        <v>1</v>
      </c>
      <c r="F32" t="s">
        <v>21</v>
      </c>
      <c r="G32" s="7">
        <v>453</v>
      </c>
      <c r="H32" s="2">
        <v>3535732</v>
      </c>
    </row>
    <row r="33" spans="1:8" x14ac:dyDescent="0.25">
      <c r="A33" t="str">
        <f t="shared" si="0"/>
        <v>200045-64</v>
      </c>
      <c r="B33">
        <v>2000</v>
      </c>
      <c r="C33" t="s">
        <v>2</v>
      </c>
      <c r="D33" t="s">
        <v>26</v>
      </c>
      <c r="E33">
        <v>1</v>
      </c>
      <c r="F33" t="s">
        <v>21</v>
      </c>
      <c r="G33" s="7">
        <v>1899</v>
      </c>
      <c r="H33" s="2">
        <v>1658630</v>
      </c>
    </row>
    <row r="34" spans="1:8" x14ac:dyDescent="0.25">
      <c r="A34" t="str">
        <f t="shared" si="0"/>
        <v>20005-14</v>
      </c>
      <c r="B34">
        <v>2000</v>
      </c>
      <c r="C34" t="s">
        <v>5</v>
      </c>
      <c r="D34" t="s">
        <v>26</v>
      </c>
      <c r="E34">
        <v>1</v>
      </c>
      <c r="F34" t="s">
        <v>21</v>
      </c>
      <c r="G34" s="7">
        <v>15</v>
      </c>
      <c r="H34" s="2">
        <v>2626661</v>
      </c>
    </row>
    <row r="35" spans="1:8" x14ac:dyDescent="0.25">
      <c r="A35" t="str">
        <f t="shared" si="0"/>
        <v>200065-74</v>
      </c>
      <c r="B35">
        <v>2000</v>
      </c>
      <c r="C35" t="s">
        <v>1</v>
      </c>
      <c r="D35" t="s">
        <v>26</v>
      </c>
      <c r="E35">
        <v>1</v>
      </c>
      <c r="F35" t="s">
        <v>21</v>
      </c>
      <c r="G35" s="7">
        <v>2070</v>
      </c>
      <c r="H35" s="2">
        <v>398642</v>
      </c>
    </row>
    <row r="36" spans="1:8" x14ac:dyDescent="0.25">
      <c r="A36" t="str">
        <f t="shared" si="0"/>
        <v>200075+</v>
      </c>
      <c r="B36">
        <v>2000</v>
      </c>
      <c r="C36" t="s">
        <v>0</v>
      </c>
      <c r="D36" t="s">
        <v>26</v>
      </c>
      <c r="E36">
        <v>1</v>
      </c>
      <c r="F36" t="s">
        <v>21</v>
      </c>
      <c r="G36" s="7">
        <v>4968</v>
      </c>
      <c r="H36" s="2">
        <v>240016</v>
      </c>
    </row>
    <row r="37" spans="1:8" x14ac:dyDescent="0.25">
      <c r="A37" t="str">
        <f t="shared" si="0"/>
        <v>20010-4</v>
      </c>
      <c r="B37">
        <v>2001</v>
      </c>
      <c r="C37" t="s">
        <v>6</v>
      </c>
      <c r="D37" t="s">
        <v>26</v>
      </c>
      <c r="E37">
        <v>1</v>
      </c>
      <c r="F37" t="s">
        <v>21</v>
      </c>
      <c r="G37" s="7">
        <v>29</v>
      </c>
      <c r="H37" s="2">
        <v>1343121</v>
      </c>
    </row>
    <row r="38" spans="1:8" x14ac:dyDescent="0.25">
      <c r="A38" t="str">
        <f t="shared" si="0"/>
        <v>200115-24</v>
      </c>
      <c r="B38">
        <v>2001</v>
      </c>
      <c r="C38" t="s">
        <v>4</v>
      </c>
      <c r="D38" t="s">
        <v>26</v>
      </c>
      <c r="E38">
        <v>1</v>
      </c>
      <c r="F38" t="s">
        <v>21</v>
      </c>
      <c r="G38" s="7">
        <v>47</v>
      </c>
      <c r="H38" s="2">
        <v>2387015</v>
      </c>
    </row>
    <row r="39" spans="1:8" x14ac:dyDescent="0.25">
      <c r="A39" t="str">
        <f t="shared" si="0"/>
        <v>200125-44</v>
      </c>
      <c r="B39">
        <v>2001</v>
      </c>
      <c r="C39" t="s">
        <v>3</v>
      </c>
      <c r="D39" t="s">
        <v>26</v>
      </c>
      <c r="E39">
        <v>1</v>
      </c>
      <c r="F39" t="s">
        <v>21</v>
      </c>
      <c r="G39" s="7">
        <v>465</v>
      </c>
      <c r="H39" s="2">
        <v>3605957</v>
      </c>
    </row>
    <row r="40" spans="1:8" x14ac:dyDescent="0.25">
      <c r="A40" t="str">
        <f t="shared" si="0"/>
        <v>200145-64</v>
      </c>
      <c r="B40">
        <v>2001</v>
      </c>
      <c r="C40" t="s">
        <v>2</v>
      </c>
      <c r="D40" t="s">
        <v>26</v>
      </c>
      <c r="E40">
        <v>1</v>
      </c>
      <c r="F40" t="s">
        <v>21</v>
      </c>
      <c r="G40" s="7">
        <v>1802</v>
      </c>
      <c r="H40" s="2">
        <v>1721965</v>
      </c>
    </row>
    <row r="41" spans="1:8" x14ac:dyDescent="0.25">
      <c r="A41" t="str">
        <f t="shared" si="0"/>
        <v>20015-14</v>
      </c>
      <c r="B41">
        <v>2001</v>
      </c>
      <c r="C41" t="s">
        <v>5</v>
      </c>
      <c r="D41" t="s">
        <v>26</v>
      </c>
      <c r="E41">
        <v>1</v>
      </c>
      <c r="F41" t="s">
        <v>21</v>
      </c>
      <c r="G41" s="7">
        <v>29</v>
      </c>
      <c r="H41" s="2">
        <v>2624275</v>
      </c>
    </row>
    <row r="42" spans="1:8" x14ac:dyDescent="0.25">
      <c r="A42" t="str">
        <f t="shared" si="0"/>
        <v>200165-74</v>
      </c>
      <c r="B42">
        <v>2001</v>
      </c>
      <c r="C42" t="s">
        <v>1</v>
      </c>
      <c r="D42" t="s">
        <v>26</v>
      </c>
      <c r="E42">
        <v>1</v>
      </c>
      <c r="F42" t="s">
        <v>21</v>
      </c>
      <c r="G42" s="7">
        <v>2090</v>
      </c>
      <c r="H42" s="2">
        <v>407783</v>
      </c>
    </row>
    <row r="43" spans="1:8" x14ac:dyDescent="0.25">
      <c r="A43" t="str">
        <f t="shared" si="0"/>
        <v>200175+</v>
      </c>
      <c r="B43">
        <v>2001</v>
      </c>
      <c r="C43" t="s">
        <v>0</v>
      </c>
      <c r="D43" t="s">
        <v>26</v>
      </c>
      <c r="E43">
        <v>1</v>
      </c>
      <c r="F43" t="s">
        <v>21</v>
      </c>
      <c r="G43" s="7">
        <v>5500</v>
      </c>
      <c r="H43" s="2">
        <v>255331</v>
      </c>
    </row>
    <row r="44" spans="1:8" x14ac:dyDescent="0.25">
      <c r="A44" t="str">
        <f t="shared" si="0"/>
        <v>20020-4</v>
      </c>
      <c r="B44">
        <v>2002</v>
      </c>
      <c r="C44" t="s">
        <v>6</v>
      </c>
      <c r="D44" t="s">
        <v>26</v>
      </c>
      <c r="E44">
        <v>1</v>
      </c>
      <c r="F44" t="s">
        <v>21</v>
      </c>
      <c r="G44" s="7">
        <v>7</v>
      </c>
      <c r="H44" s="2">
        <v>1347045</v>
      </c>
    </row>
    <row r="45" spans="1:8" x14ac:dyDescent="0.25">
      <c r="A45" t="str">
        <f t="shared" si="0"/>
        <v>200215-24</v>
      </c>
      <c r="B45">
        <v>2002</v>
      </c>
      <c r="C45" t="s">
        <v>4</v>
      </c>
      <c r="D45" t="s">
        <v>26</v>
      </c>
      <c r="E45">
        <v>1</v>
      </c>
      <c r="F45" t="s">
        <v>21</v>
      </c>
      <c r="G45" s="7">
        <v>58</v>
      </c>
      <c r="H45" s="2">
        <v>2428415</v>
      </c>
    </row>
    <row r="46" spans="1:8" x14ac:dyDescent="0.25">
      <c r="A46" t="str">
        <f t="shared" si="0"/>
        <v>200225-44</v>
      </c>
      <c r="B46">
        <v>2002</v>
      </c>
      <c r="C46" t="s">
        <v>3</v>
      </c>
      <c r="D46" t="s">
        <v>26</v>
      </c>
      <c r="E46">
        <v>1</v>
      </c>
      <c r="F46" t="s">
        <v>21</v>
      </c>
      <c r="G46" s="7">
        <v>441</v>
      </c>
      <c r="H46" s="2">
        <v>3675559</v>
      </c>
    </row>
    <row r="47" spans="1:8" x14ac:dyDescent="0.25">
      <c r="A47" t="str">
        <f t="shared" si="0"/>
        <v>200245-64</v>
      </c>
      <c r="B47">
        <v>2002</v>
      </c>
      <c r="C47" t="s">
        <v>2</v>
      </c>
      <c r="D47" t="s">
        <v>26</v>
      </c>
      <c r="E47">
        <v>1</v>
      </c>
      <c r="F47" t="s">
        <v>21</v>
      </c>
      <c r="G47" s="7">
        <v>1799</v>
      </c>
      <c r="H47" s="2">
        <v>1789361</v>
      </c>
    </row>
    <row r="48" spans="1:8" x14ac:dyDescent="0.25">
      <c r="A48" t="str">
        <f t="shared" si="0"/>
        <v>20025-14</v>
      </c>
      <c r="B48">
        <v>2002</v>
      </c>
      <c r="C48" t="s">
        <v>5</v>
      </c>
      <c r="D48" t="s">
        <v>26</v>
      </c>
      <c r="E48">
        <v>1</v>
      </c>
      <c r="F48" t="s">
        <v>21</v>
      </c>
      <c r="G48" s="7">
        <v>16</v>
      </c>
      <c r="H48" s="2">
        <v>2622422</v>
      </c>
    </row>
    <row r="49" spans="1:8" x14ac:dyDescent="0.25">
      <c r="A49" t="str">
        <f t="shared" si="0"/>
        <v>200265-74</v>
      </c>
      <c r="B49">
        <v>2002</v>
      </c>
      <c r="C49" t="s">
        <v>1</v>
      </c>
      <c r="D49" t="s">
        <v>26</v>
      </c>
      <c r="E49">
        <v>1</v>
      </c>
      <c r="F49" t="s">
        <v>21</v>
      </c>
      <c r="G49" s="7">
        <v>2067</v>
      </c>
      <c r="H49" s="2">
        <v>417907</v>
      </c>
    </row>
    <row r="50" spans="1:8" x14ac:dyDescent="0.25">
      <c r="A50" t="str">
        <f t="shared" si="0"/>
        <v>200275+</v>
      </c>
      <c r="B50">
        <v>2002</v>
      </c>
      <c r="C50" t="s">
        <v>0</v>
      </c>
      <c r="D50" t="s">
        <v>26</v>
      </c>
      <c r="E50">
        <v>1</v>
      </c>
      <c r="F50" t="s">
        <v>21</v>
      </c>
      <c r="G50" s="7">
        <v>5333</v>
      </c>
      <c r="H50" s="2">
        <v>270538</v>
      </c>
    </row>
    <row r="51" spans="1:8" x14ac:dyDescent="0.25">
      <c r="A51" t="str">
        <f t="shared" si="0"/>
        <v>20030-4</v>
      </c>
      <c r="B51">
        <v>2003</v>
      </c>
      <c r="C51" t="s">
        <v>6</v>
      </c>
      <c r="D51" t="s">
        <v>26</v>
      </c>
      <c r="E51">
        <v>1</v>
      </c>
      <c r="F51" t="s">
        <v>21</v>
      </c>
      <c r="G51" s="7">
        <v>16</v>
      </c>
      <c r="H51" s="2">
        <v>1350164</v>
      </c>
    </row>
    <row r="52" spans="1:8" x14ac:dyDescent="0.25">
      <c r="A52" t="str">
        <f t="shared" si="0"/>
        <v>200315-24</v>
      </c>
      <c r="B52">
        <v>2003</v>
      </c>
      <c r="C52" t="s">
        <v>4</v>
      </c>
      <c r="D52" t="s">
        <v>26</v>
      </c>
      <c r="E52">
        <v>1</v>
      </c>
      <c r="F52" t="s">
        <v>21</v>
      </c>
      <c r="G52" s="7">
        <v>55</v>
      </c>
      <c r="H52" s="2">
        <v>2465273</v>
      </c>
    </row>
    <row r="53" spans="1:8" x14ac:dyDescent="0.25">
      <c r="A53" t="str">
        <f t="shared" si="0"/>
        <v>200325-44</v>
      </c>
      <c r="B53">
        <v>2003</v>
      </c>
      <c r="C53" t="s">
        <v>3</v>
      </c>
      <c r="D53" t="s">
        <v>26</v>
      </c>
      <c r="E53">
        <v>1</v>
      </c>
      <c r="F53" t="s">
        <v>21</v>
      </c>
      <c r="G53" s="7">
        <v>435</v>
      </c>
      <c r="H53" s="2">
        <v>3744690</v>
      </c>
    </row>
    <row r="54" spans="1:8" x14ac:dyDescent="0.25">
      <c r="A54" t="str">
        <f t="shared" si="0"/>
        <v>200345-64</v>
      </c>
      <c r="B54">
        <v>2003</v>
      </c>
      <c r="C54" t="s">
        <v>2</v>
      </c>
      <c r="D54" t="s">
        <v>26</v>
      </c>
      <c r="E54">
        <v>1</v>
      </c>
      <c r="F54" t="s">
        <v>21</v>
      </c>
      <c r="G54" s="7">
        <v>1882</v>
      </c>
      <c r="H54" s="2">
        <v>1860678</v>
      </c>
    </row>
    <row r="55" spans="1:8" x14ac:dyDescent="0.25">
      <c r="A55" t="str">
        <f t="shared" si="0"/>
        <v>20035-14</v>
      </c>
      <c r="B55">
        <v>2003</v>
      </c>
      <c r="C55" t="s">
        <v>5</v>
      </c>
      <c r="D55" t="s">
        <v>26</v>
      </c>
      <c r="E55">
        <v>1</v>
      </c>
      <c r="F55" t="s">
        <v>21</v>
      </c>
      <c r="G55" s="7">
        <v>19</v>
      </c>
      <c r="H55" s="2">
        <v>2622279</v>
      </c>
    </row>
    <row r="56" spans="1:8" x14ac:dyDescent="0.25">
      <c r="A56" t="str">
        <f t="shared" si="0"/>
        <v>200365-74</v>
      </c>
      <c r="B56">
        <v>2003</v>
      </c>
      <c r="C56" t="s">
        <v>1</v>
      </c>
      <c r="D56" t="s">
        <v>26</v>
      </c>
      <c r="E56">
        <v>1</v>
      </c>
      <c r="F56" t="s">
        <v>21</v>
      </c>
      <c r="G56" s="7">
        <v>2278</v>
      </c>
      <c r="H56" s="2">
        <v>428941</v>
      </c>
    </row>
    <row r="57" spans="1:8" x14ac:dyDescent="0.25">
      <c r="A57" t="str">
        <f t="shared" si="0"/>
        <v>200375+</v>
      </c>
      <c r="B57">
        <v>2003</v>
      </c>
      <c r="C57" t="s">
        <v>0</v>
      </c>
      <c r="D57" t="s">
        <v>26</v>
      </c>
      <c r="E57">
        <v>1</v>
      </c>
      <c r="F57" t="s">
        <v>21</v>
      </c>
      <c r="G57" s="7">
        <v>5929</v>
      </c>
      <c r="H57" s="2">
        <v>285209</v>
      </c>
    </row>
    <row r="58" spans="1:8" x14ac:dyDescent="0.25">
      <c r="A58" t="str">
        <f t="shared" si="0"/>
        <v>20040-4</v>
      </c>
      <c r="B58">
        <v>2004</v>
      </c>
      <c r="C58" t="s">
        <v>6</v>
      </c>
      <c r="D58" t="s">
        <v>26</v>
      </c>
      <c r="E58">
        <v>1</v>
      </c>
      <c r="F58" t="s">
        <v>21</v>
      </c>
      <c r="G58" s="7">
        <v>3</v>
      </c>
      <c r="H58" s="2">
        <v>1352508</v>
      </c>
    </row>
    <row r="59" spans="1:8" x14ac:dyDescent="0.25">
      <c r="A59" t="str">
        <f t="shared" si="0"/>
        <v>200415-24</v>
      </c>
      <c r="B59">
        <v>2004</v>
      </c>
      <c r="C59" t="s">
        <v>4</v>
      </c>
      <c r="D59" t="s">
        <v>26</v>
      </c>
      <c r="E59">
        <v>1</v>
      </c>
      <c r="F59" t="s">
        <v>21</v>
      </c>
      <c r="G59" s="7">
        <v>52</v>
      </c>
      <c r="H59" s="2">
        <v>2497409</v>
      </c>
    </row>
    <row r="60" spans="1:8" x14ac:dyDescent="0.25">
      <c r="A60" t="str">
        <f t="shared" si="0"/>
        <v>200425-44</v>
      </c>
      <c r="B60">
        <v>2004</v>
      </c>
      <c r="C60" t="s">
        <v>3</v>
      </c>
      <c r="D60" t="s">
        <v>26</v>
      </c>
      <c r="E60">
        <v>1</v>
      </c>
      <c r="F60" t="s">
        <v>21</v>
      </c>
      <c r="G60" s="7">
        <v>373</v>
      </c>
      <c r="H60" s="2">
        <v>3813358</v>
      </c>
    </row>
    <row r="61" spans="1:8" x14ac:dyDescent="0.25">
      <c r="A61" t="str">
        <f t="shared" si="0"/>
        <v>200445-64</v>
      </c>
      <c r="B61">
        <v>2004</v>
      </c>
      <c r="C61" t="s">
        <v>2</v>
      </c>
      <c r="D61" t="s">
        <v>26</v>
      </c>
      <c r="E61">
        <v>1</v>
      </c>
      <c r="F61" t="s">
        <v>21</v>
      </c>
      <c r="G61" s="7">
        <v>1848</v>
      </c>
      <c r="H61" s="2">
        <v>1936129</v>
      </c>
    </row>
    <row r="62" spans="1:8" x14ac:dyDescent="0.25">
      <c r="A62" t="str">
        <f t="shared" si="0"/>
        <v>20045-14</v>
      </c>
      <c r="B62">
        <v>2004</v>
      </c>
      <c r="C62" t="s">
        <v>5</v>
      </c>
      <c r="D62" t="s">
        <v>26</v>
      </c>
      <c r="E62">
        <v>1</v>
      </c>
      <c r="F62" t="s">
        <v>21</v>
      </c>
      <c r="G62" s="7">
        <v>9</v>
      </c>
      <c r="H62" s="2">
        <v>2624530</v>
      </c>
    </row>
    <row r="63" spans="1:8" x14ac:dyDescent="0.25">
      <c r="A63" t="str">
        <f t="shared" si="0"/>
        <v>200465-74</v>
      </c>
      <c r="B63">
        <v>2004</v>
      </c>
      <c r="C63" t="s">
        <v>1</v>
      </c>
      <c r="D63" t="s">
        <v>26</v>
      </c>
      <c r="E63">
        <v>1</v>
      </c>
      <c r="F63" t="s">
        <v>21</v>
      </c>
      <c r="G63" s="7">
        <v>2116</v>
      </c>
      <c r="H63" s="2">
        <v>441018</v>
      </c>
    </row>
    <row r="64" spans="1:8" x14ac:dyDescent="0.25">
      <c r="A64" t="str">
        <f t="shared" si="0"/>
        <v>200475+</v>
      </c>
      <c r="B64">
        <v>2004</v>
      </c>
      <c r="C64" t="s">
        <v>0</v>
      </c>
      <c r="D64" t="s">
        <v>26</v>
      </c>
      <c r="E64">
        <v>1</v>
      </c>
      <c r="F64" t="s">
        <v>21</v>
      </c>
      <c r="G64" s="7">
        <v>6055</v>
      </c>
      <c r="H64" s="2">
        <v>299301</v>
      </c>
    </row>
    <row r="65" spans="1:8" x14ac:dyDescent="0.25">
      <c r="A65" t="str">
        <f t="shared" si="0"/>
        <v>20050-4</v>
      </c>
      <c r="B65">
        <v>2005</v>
      </c>
      <c r="C65" t="s">
        <v>6</v>
      </c>
      <c r="D65" t="s">
        <v>26</v>
      </c>
      <c r="E65">
        <v>1</v>
      </c>
      <c r="F65" t="s">
        <v>21</v>
      </c>
      <c r="G65" s="7">
        <v>6</v>
      </c>
      <c r="H65" s="2">
        <v>1353852</v>
      </c>
    </row>
    <row r="66" spans="1:8" x14ac:dyDescent="0.25">
      <c r="A66" t="str">
        <f t="shared" ref="A66:A129" si="1">+CONCATENATE(B66,C66)</f>
        <v>200515-24</v>
      </c>
      <c r="B66">
        <v>2005</v>
      </c>
      <c r="C66" t="s">
        <v>4</v>
      </c>
      <c r="D66" t="s">
        <v>26</v>
      </c>
      <c r="E66">
        <v>1</v>
      </c>
      <c r="F66" t="s">
        <v>21</v>
      </c>
      <c r="G66" s="7">
        <v>57</v>
      </c>
      <c r="H66" s="2">
        <v>2524017</v>
      </c>
    </row>
    <row r="67" spans="1:8" x14ac:dyDescent="0.25">
      <c r="A67" t="str">
        <f t="shared" si="1"/>
        <v>200525-44</v>
      </c>
      <c r="B67">
        <v>2005</v>
      </c>
      <c r="C67" t="s">
        <v>3</v>
      </c>
      <c r="D67" t="s">
        <v>26</v>
      </c>
      <c r="E67">
        <v>1</v>
      </c>
      <c r="F67" t="s">
        <v>21</v>
      </c>
      <c r="G67" s="7">
        <v>367</v>
      </c>
      <c r="H67" s="2">
        <v>3881062</v>
      </c>
    </row>
    <row r="68" spans="1:8" x14ac:dyDescent="0.25">
      <c r="A68" t="str">
        <f t="shared" si="1"/>
        <v>200545-64</v>
      </c>
      <c r="B68">
        <v>2005</v>
      </c>
      <c r="C68" t="s">
        <v>2</v>
      </c>
      <c r="D68" t="s">
        <v>26</v>
      </c>
      <c r="E68">
        <v>1</v>
      </c>
      <c r="F68" t="s">
        <v>21</v>
      </c>
      <c r="G68" s="7">
        <v>1889</v>
      </c>
      <c r="H68" s="2">
        <v>2016148</v>
      </c>
    </row>
    <row r="69" spans="1:8" x14ac:dyDescent="0.25">
      <c r="A69" t="str">
        <f t="shared" si="1"/>
        <v>20055-14</v>
      </c>
      <c r="B69">
        <v>2005</v>
      </c>
      <c r="C69" t="s">
        <v>5</v>
      </c>
      <c r="D69" t="s">
        <v>26</v>
      </c>
      <c r="E69">
        <v>1</v>
      </c>
      <c r="F69" t="s">
        <v>21</v>
      </c>
      <c r="G69" s="7">
        <v>8</v>
      </c>
      <c r="H69" s="2">
        <v>2629864</v>
      </c>
    </row>
    <row r="70" spans="1:8" x14ac:dyDescent="0.25">
      <c r="A70" t="str">
        <f t="shared" si="1"/>
        <v>200565-74</v>
      </c>
      <c r="B70">
        <v>2005</v>
      </c>
      <c r="C70" t="s">
        <v>1</v>
      </c>
      <c r="D70" t="s">
        <v>26</v>
      </c>
      <c r="E70">
        <v>1</v>
      </c>
      <c r="F70" t="s">
        <v>21</v>
      </c>
      <c r="G70" s="7">
        <v>2024</v>
      </c>
      <c r="H70" s="2">
        <v>454245</v>
      </c>
    </row>
    <row r="71" spans="1:8" x14ac:dyDescent="0.25">
      <c r="A71" t="str">
        <f t="shared" si="1"/>
        <v>200575+</v>
      </c>
      <c r="B71">
        <v>2005</v>
      </c>
      <c r="C71" t="s">
        <v>0</v>
      </c>
      <c r="D71" t="s">
        <v>26</v>
      </c>
      <c r="E71">
        <v>1</v>
      </c>
      <c r="F71" t="s">
        <v>21</v>
      </c>
      <c r="G71" s="7">
        <v>5970</v>
      </c>
      <c r="H71" s="2">
        <v>312767</v>
      </c>
    </row>
    <row r="72" spans="1:8" x14ac:dyDescent="0.25">
      <c r="A72" t="str">
        <f t="shared" si="1"/>
        <v>20060-4</v>
      </c>
      <c r="B72">
        <v>2006</v>
      </c>
      <c r="C72" t="s">
        <v>6</v>
      </c>
      <c r="D72" t="s">
        <v>26</v>
      </c>
      <c r="E72">
        <v>1</v>
      </c>
      <c r="F72" t="s">
        <v>21</v>
      </c>
      <c r="G72" s="7">
        <v>2</v>
      </c>
      <c r="H72" s="2">
        <v>1354432</v>
      </c>
    </row>
    <row r="73" spans="1:8" x14ac:dyDescent="0.25">
      <c r="A73" t="str">
        <f t="shared" si="1"/>
        <v>200615-24</v>
      </c>
      <c r="B73">
        <v>2006</v>
      </c>
      <c r="C73" t="s">
        <v>4</v>
      </c>
      <c r="D73" t="s">
        <v>26</v>
      </c>
      <c r="E73">
        <v>1</v>
      </c>
      <c r="F73" t="s">
        <v>21</v>
      </c>
      <c r="G73" s="7">
        <v>45</v>
      </c>
      <c r="H73" s="2">
        <v>2544731</v>
      </c>
    </row>
    <row r="74" spans="1:8" x14ac:dyDescent="0.25">
      <c r="A74" t="str">
        <f t="shared" si="1"/>
        <v>200625-44</v>
      </c>
      <c r="B74">
        <v>2006</v>
      </c>
      <c r="C74" t="s">
        <v>3</v>
      </c>
      <c r="D74" t="s">
        <v>26</v>
      </c>
      <c r="E74">
        <v>1</v>
      </c>
      <c r="F74" t="s">
        <v>21</v>
      </c>
      <c r="G74" s="7">
        <v>366</v>
      </c>
      <c r="H74" s="2">
        <v>3947836</v>
      </c>
    </row>
    <row r="75" spans="1:8" x14ac:dyDescent="0.25">
      <c r="A75" t="str">
        <f t="shared" si="1"/>
        <v>200645-64</v>
      </c>
      <c r="B75">
        <v>2006</v>
      </c>
      <c r="C75" t="s">
        <v>2</v>
      </c>
      <c r="D75" t="s">
        <v>26</v>
      </c>
      <c r="E75">
        <v>1</v>
      </c>
      <c r="F75" t="s">
        <v>21</v>
      </c>
      <c r="G75" s="7">
        <v>1949</v>
      </c>
      <c r="H75" s="2">
        <v>2100791</v>
      </c>
    </row>
    <row r="76" spans="1:8" x14ac:dyDescent="0.25">
      <c r="A76" t="str">
        <f t="shared" si="1"/>
        <v>20065-14</v>
      </c>
      <c r="B76">
        <v>2006</v>
      </c>
      <c r="C76" t="s">
        <v>5</v>
      </c>
      <c r="D76" t="s">
        <v>26</v>
      </c>
      <c r="E76">
        <v>1</v>
      </c>
      <c r="F76" t="s">
        <v>21</v>
      </c>
      <c r="G76" s="7">
        <v>6</v>
      </c>
      <c r="H76" s="2">
        <v>2638747</v>
      </c>
    </row>
    <row r="77" spans="1:8" x14ac:dyDescent="0.25">
      <c r="A77" t="str">
        <f t="shared" si="1"/>
        <v>200665-74</v>
      </c>
      <c r="B77">
        <v>2006</v>
      </c>
      <c r="C77" t="s">
        <v>1</v>
      </c>
      <c r="D77" t="s">
        <v>26</v>
      </c>
      <c r="E77">
        <v>1</v>
      </c>
      <c r="F77" t="s">
        <v>21</v>
      </c>
      <c r="G77" s="7">
        <v>2132</v>
      </c>
      <c r="H77" s="2">
        <v>468680</v>
      </c>
    </row>
    <row r="78" spans="1:8" x14ac:dyDescent="0.25">
      <c r="A78" t="str">
        <f t="shared" si="1"/>
        <v>200675+</v>
      </c>
      <c r="B78">
        <v>2006</v>
      </c>
      <c r="C78" t="s">
        <v>0</v>
      </c>
      <c r="D78" t="s">
        <v>26</v>
      </c>
      <c r="E78">
        <v>1</v>
      </c>
      <c r="F78" t="s">
        <v>21</v>
      </c>
      <c r="G78" s="7">
        <v>6080</v>
      </c>
      <c r="H78" s="2">
        <v>325672</v>
      </c>
    </row>
    <row r="79" spans="1:8" x14ac:dyDescent="0.25">
      <c r="A79" t="str">
        <f t="shared" si="1"/>
        <v>20070-4</v>
      </c>
      <c r="B79">
        <v>2007</v>
      </c>
      <c r="C79" t="s">
        <v>6</v>
      </c>
      <c r="D79" t="s">
        <v>26</v>
      </c>
      <c r="E79">
        <v>1</v>
      </c>
      <c r="F79" t="s">
        <v>21</v>
      </c>
      <c r="G79" s="7">
        <v>0</v>
      </c>
      <c r="H79" s="2">
        <v>1354234</v>
      </c>
    </row>
    <row r="80" spans="1:8" x14ac:dyDescent="0.25">
      <c r="A80" t="str">
        <f t="shared" si="1"/>
        <v>200715-24</v>
      </c>
      <c r="B80">
        <v>2007</v>
      </c>
      <c r="C80" t="s">
        <v>4</v>
      </c>
      <c r="D80" t="s">
        <v>26</v>
      </c>
      <c r="E80">
        <v>1</v>
      </c>
      <c r="F80" t="s">
        <v>21</v>
      </c>
      <c r="G80" s="7">
        <v>42</v>
      </c>
      <c r="H80" s="2">
        <v>2561885</v>
      </c>
    </row>
    <row r="81" spans="1:8" x14ac:dyDescent="0.25">
      <c r="A81" t="str">
        <f t="shared" si="1"/>
        <v>200725-44</v>
      </c>
      <c r="B81">
        <v>2007</v>
      </c>
      <c r="C81" t="s">
        <v>3</v>
      </c>
      <c r="D81" t="s">
        <v>26</v>
      </c>
      <c r="E81">
        <v>1</v>
      </c>
      <c r="F81" t="s">
        <v>21</v>
      </c>
      <c r="G81" s="7">
        <v>394</v>
      </c>
      <c r="H81" s="2">
        <v>4016163</v>
      </c>
    </row>
    <row r="82" spans="1:8" x14ac:dyDescent="0.25">
      <c r="A82" t="str">
        <f t="shared" si="1"/>
        <v>200745-64</v>
      </c>
      <c r="B82">
        <v>2007</v>
      </c>
      <c r="C82" t="s">
        <v>2</v>
      </c>
      <c r="D82" t="s">
        <v>26</v>
      </c>
      <c r="E82">
        <v>1</v>
      </c>
      <c r="F82" t="s">
        <v>21</v>
      </c>
      <c r="G82" s="7">
        <v>1942</v>
      </c>
      <c r="H82" s="2">
        <v>2188071</v>
      </c>
    </row>
    <row r="83" spans="1:8" x14ac:dyDescent="0.25">
      <c r="A83" t="str">
        <f t="shared" si="1"/>
        <v>20075-14</v>
      </c>
      <c r="B83">
        <v>2007</v>
      </c>
      <c r="C83" t="s">
        <v>5</v>
      </c>
      <c r="D83" t="s">
        <v>26</v>
      </c>
      <c r="E83">
        <v>1</v>
      </c>
      <c r="F83" t="s">
        <v>21</v>
      </c>
      <c r="G83" s="7">
        <v>6</v>
      </c>
      <c r="H83" s="2">
        <v>2647233</v>
      </c>
    </row>
    <row r="84" spans="1:8" x14ac:dyDescent="0.25">
      <c r="A84" t="str">
        <f t="shared" si="1"/>
        <v>200765-74</v>
      </c>
      <c r="B84">
        <v>2007</v>
      </c>
      <c r="C84" t="s">
        <v>1</v>
      </c>
      <c r="D84" t="s">
        <v>26</v>
      </c>
      <c r="E84">
        <v>1</v>
      </c>
      <c r="F84" t="s">
        <v>21</v>
      </c>
      <c r="G84" s="7">
        <v>2029</v>
      </c>
      <c r="H84" s="2">
        <v>484321</v>
      </c>
    </row>
    <row r="85" spans="1:8" x14ac:dyDescent="0.25">
      <c r="A85" t="str">
        <f t="shared" si="1"/>
        <v>200775+</v>
      </c>
      <c r="B85">
        <v>2007</v>
      </c>
      <c r="C85" t="s">
        <v>0</v>
      </c>
      <c r="D85" t="s">
        <v>26</v>
      </c>
      <c r="E85">
        <v>1</v>
      </c>
      <c r="F85" t="s">
        <v>21</v>
      </c>
      <c r="G85" s="7">
        <v>6194</v>
      </c>
      <c r="H85" s="2">
        <v>338128</v>
      </c>
    </row>
    <row r="86" spans="1:8" x14ac:dyDescent="0.25">
      <c r="A86" t="str">
        <f t="shared" si="1"/>
        <v>20080-4</v>
      </c>
      <c r="B86">
        <v>2008</v>
      </c>
      <c r="C86" t="s">
        <v>6</v>
      </c>
      <c r="D86" t="s">
        <v>26</v>
      </c>
      <c r="E86">
        <v>1</v>
      </c>
      <c r="F86" t="s">
        <v>21</v>
      </c>
      <c r="G86" s="7">
        <v>1</v>
      </c>
      <c r="H86" s="2">
        <v>1353145</v>
      </c>
    </row>
    <row r="87" spans="1:8" x14ac:dyDescent="0.25">
      <c r="A87" t="str">
        <f t="shared" si="1"/>
        <v>200815-24</v>
      </c>
      <c r="B87">
        <v>2008</v>
      </c>
      <c r="C87" t="s">
        <v>4</v>
      </c>
      <c r="D87" t="s">
        <v>26</v>
      </c>
      <c r="E87">
        <v>1</v>
      </c>
      <c r="F87" t="s">
        <v>21</v>
      </c>
      <c r="G87" s="7">
        <v>49</v>
      </c>
      <c r="H87" s="2">
        <v>2575138</v>
      </c>
    </row>
    <row r="88" spans="1:8" x14ac:dyDescent="0.25">
      <c r="A88" t="str">
        <f t="shared" si="1"/>
        <v>200825-44</v>
      </c>
      <c r="B88">
        <v>2008</v>
      </c>
      <c r="C88" t="s">
        <v>3</v>
      </c>
      <c r="D88" t="s">
        <v>26</v>
      </c>
      <c r="E88">
        <v>1</v>
      </c>
      <c r="F88" t="s">
        <v>21</v>
      </c>
      <c r="G88" s="7">
        <v>389</v>
      </c>
      <c r="H88" s="2">
        <v>4085944</v>
      </c>
    </row>
    <row r="89" spans="1:8" x14ac:dyDescent="0.25">
      <c r="A89" t="str">
        <f t="shared" si="1"/>
        <v>200845-64</v>
      </c>
      <c r="B89">
        <v>2008</v>
      </c>
      <c r="C89" t="s">
        <v>2</v>
      </c>
      <c r="D89" t="s">
        <v>26</v>
      </c>
      <c r="E89">
        <v>1</v>
      </c>
      <c r="F89" t="s">
        <v>21</v>
      </c>
      <c r="G89" s="7">
        <v>2113</v>
      </c>
      <c r="H89" s="2">
        <v>2277674</v>
      </c>
    </row>
    <row r="90" spans="1:8" x14ac:dyDescent="0.25">
      <c r="A90" t="str">
        <f t="shared" si="1"/>
        <v>20085-14</v>
      </c>
      <c r="B90">
        <v>2008</v>
      </c>
      <c r="C90" t="s">
        <v>5</v>
      </c>
      <c r="D90" t="s">
        <v>26</v>
      </c>
      <c r="E90">
        <v>1</v>
      </c>
      <c r="F90" t="s">
        <v>21</v>
      </c>
      <c r="G90" s="7">
        <v>1</v>
      </c>
      <c r="H90" s="2">
        <v>2655740</v>
      </c>
    </row>
    <row r="91" spans="1:8" x14ac:dyDescent="0.25">
      <c r="A91" t="str">
        <f t="shared" si="1"/>
        <v>200865-74</v>
      </c>
      <c r="B91">
        <v>2008</v>
      </c>
      <c r="C91" t="s">
        <v>1</v>
      </c>
      <c r="D91" t="s">
        <v>26</v>
      </c>
      <c r="E91">
        <v>1</v>
      </c>
      <c r="F91" t="s">
        <v>21</v>
      </c>
      <c r="G91" s="7">
        <v>2073</v>
      </c>
      <c r="H91" s="2">
        <v>501201</v>
      </c>
    </row>
    <row r="92" spans="1:8" x14ac:dyDescent="0.25">
      <c r="A92" t="str">
        <f t="shared" si="1"/>
        <v>200875+</v>
      </c>
      <c r="B92">
        <v>2008</v>
      </c>
      <c r="C92" t="s">
        <v>0</v>
      </c>
      <c r="D92" t="s">
        <v>26</v>
      </c>
      <c r="E92">
        <v>1</v>
      </c>
      <c r="F92" t="s">
        <v>21</v>
      </c>
      <c r="G92" s="7">
        <v>6910</v>
      </c>
      <c r="H92" s="2">
        <v>350235</v>
      </c>
    </row>
    <row r="93" spans="1:8" x14ac:dyDescent="0.25">
      <c r="A93" t="str">
        <f t="shared" si="1"/>
        <v>20090-4</v>
      </c>
      <c r="B93">
        <v>2009</v>
      </c>
      <c r="C93" t="s">
        <v>6</v>
      </c>
      <c r="D93" t="s">
        <v>26</v>
      </c>
      <c r="E93">
        <v>1</v>
      </c>
      <c r="F93" t="s">
        <v>21</v>
      </c>
      <c r="G93" s="7">
        <v>0</v>
      </c>
      <c r="H93" s="2">
        <v>1351158</v>
      </c>
    </row>
    <row r="94" spans="1:8" x14ac:dyDescent="0.25">
      <c r="A94" t="str">
        <f t="shared" si="1"/>
        <v>200915-24</v>
      </c>
      <c r="B94">
        <v>2009</v>
      </c>
      <c r="C94" t="s">
        <v>4</v>
      </c>
      <c r="D94" t="s">
        <v>26</v>
      </c>
      <c r="E94">
        <v>1</v>
      </c>
      <c r="F94" t="s">
        <v>21</v>
      </c>
      <c r="G94" s="7">
        <v>42</v>
      </c>
      <c r="H94" s="2">
        <v>2584791</v>
      </c>
    </row>
    <row r="95" spans="1:8" x14ac:dyDescent="0.25">
      <c r="A95" t="str">
        <f t="shared" si="1"/>
        <v>200925-44</v>
      </c>
      <c r="B95">
        <v>2009</v>
      </c>
      <c r="C95" t="s">
        <v>3</v>
      </c>
      <c r="D95" t="s">
        <v>26</v>
      </c>
      <c r="E95">
        <v>1</v>
      </c>
      <c r="F95" t="s">
        <v>21</v>
      </c>
      <c r="G95" s="7">
        <v>432</v>
      </c>
      <c r="H95" s="2">
        <v>4156891</v>
      </c>
    </row>
    <row r="96" spans="1:8" x14ac:dyDescent="0.25">
      <c r="A96" t="str">
        <f t="shared" si="1"/>
        <v>200945-64</v>
      </c>
      <c r="B96">
        <v>2009</v>
      </c>
      <c r="C96" t="s">
        <v>2</v>
      </c>
      <c r="D96" t="s">
        <v>26</v>
      </c>
      <c r="E96">
        <v>1</v>
      </c>
      <c r="F96" t="s">
        <v>21</v>
      </c>
      <c r="G96" s="7">
        <v>2107</v>
      </c>
      <c r="H96" s="2">
        <v>2369589</v>
      </c>
    </row>
    <row r="97" spans="1:8" x14ac:dyDescent="0.25">
      <c r="A97" t="str">
        <f t="shared" si="1"/>
        <v>20095-14</v>
      </c>
      <c r="B97">
        <v>2009</v>
      </c>
      <c r="C97" t="s">
        <v>5</v>
      </c>
      <c r="D97" t="s">
        <v>26</v>
      </c>
      <c r="E97">
        <v>1</v>
      </c>
      <c r="F97" t="s">
        <v>21</v>
      </c>
      <c r="G97" s="7">
        <v>6</v>
      </c>
      <c r="H97" s="2">
        <v>2664671</v>
      </c>
    </row>
    <row r="98" spans="1:8" x14ac:dyDescent="0.25">
      <c r="A98" t="str">
        <f t="shared" si="1"/>
        <v>200965-74</v>
      </c>
      <c r="B98">
        <v>2009</v>
      </c>
      <c r="C98" t="s">
        <v>1</v>
      </c>
      <c r="D98" t="s">
        <v>26</v>
      </c>
      <c r="E98">
        <v>1</v>
      </c>
      <c r="F98" t="s">
        <v>21</v>
      </c>
      <c r="G98" s="7">
        <v>2042</v>
      </c>
      <c r="H98" s="2">
        <v>519377</v>
      </c>
    </row>
    <row r="99" spans="1:8" x14ac:dyDescent="0.25">
      <c r="A99" t="str">
        <f t="shared" si="1"/>
        <v>200975+</v>
      </c>
      <c r="B99">
        <v>2009</v>
      </c>
      <c r="C99" t="s">
        <v>0</v>
      </c>
      <c r="D99" t="s">
        <v>26</v>
      </c>
      <c r="E99">
        <v>1</v>
      </c>
      <c r="F99" t="s">
        <v>21</v>
      </c>
      <c r="G99" s="7">
        <v>6684</v>
      </c>
      <c r="H99" s="2">
        <v>362131</v>
      </c>
    </row>
    <row r="100" spans="1:8" x14ac:dyDescent="0.25">
      <c r="A100" t="str">
        <f t="shared" si="1"/>
        <v>20100-4</v>
      </c>
      <c r="B100">
        <v>2010</v>
      </c>
      <c r="C100" t="s">
        <v>6</v>
      </c>
      <c r="D100" t="s">
        <v>26</v>
      </c>
      <c r="E100">
        <v>1</v>
      </c>
      <c r="F100" t="s">
        <v>21</v>
      </c>
      <c r="G100" s="7">
        <v>2</v>
      </c>
      <c r="H100" s="2">
        <v>1348289</v>
      </c>
    </row>
    <row r="101" spans="1:8" x14ac:dyDescent="0.25">
      <c r="A101" t="str">
        <f t="shared" si="1"/>
        <v>201015-24</v>
      </c>
      <c r="B101">
        <v>2010</v>
      </c>
      <c r="C101" t="s">
        <v>4</v>
      </c>
      <c r="D101" t="s">
        <v>26</v>
      </c>
      <c r="E101">
        <v>1</v>
      </c>
      <c r="F101" t="s">
        <v>21</v>
      </c>
      <c r="G101" s="7">
        <v>52</v>
      </c>
      <c r="H101" s="2">
        <v>2590746</v>
      </c>
    </row>
    <row r="102" spans="1:8" x14ac:dyDescent="0.25">
      <c r="A102" t="str">
        <f t="shared" si="1"/>
        <v>201025-44</v>
      </c>
      <c r="B102">
        <v>2010</v>
      </c>
      <c r="C102" t="s">
        <v>3</v>
      </c>
      <c r="D102" t="s">
        <v>26</v>
      </c>
      <c r="E102">
        <v>1</v>
      </c>
      <c r="F102" t="s">
        <v>21</v>
      </c>
      <c r="G102" s="7">
        <v>434</v>
      </c>
      <c r="H102" s="2">
        <v>4228246</v>
      </c>
    </row>
    <row r="103" spans="1:8" x14ac:dyDescent="0.25">
      <c r="A103" t="str">
        <f t="shared" si="1"/>
        <v>201045-64</v>
      </c>
      <c r="B103">
        <v>2010</v>
      </c>
      <c r="C103" t="s">
        <v>2</v>
      </c>
      <c r="D103" t="s">
        <v>26</v>
      </c>
      <c r="E103">
        <v>1</v>
      </c>
      <c r="F103" t="s">
        <v>21</v>
      </c>
      <c r="G103" s="7">
        <v>2157</v>
      </c>
      <c r="H103" s="2">
        <v>2464321</v>
      </c>
    </row>
    <row r="104" spans="1:8" x14ac:dyDescent="0.25">
      <c r="A104" t="str">
        <f t="shared" si="1"/>
        <v>20105-14</v>
      </c>
      <c r="B104">
        <v>2010</v>
      </c>
      <c r="C104" t="s">
        <v>5</v>
      </c>
      <c r="D104" t="s">
        <v>26</v>
      </c>
      <c r="E104">
        <v>1</v>
      </c>
      <c r="F104" t="s">
        <v>21</v>
      </c>
      <c r="G104" s="7">
        <v>4</v>
      </c>
      <c r="H104" s="2">
        <v>2674173</v>
      </c>
    </row>
    <row r="105" spans="1:8" x14ac:dyDescent="0.25">
      <c r="A105" t="str">
        <f t="shared" si="1"/>
        <v>201065-74</v>
      </c>
      <c r="B105">
        <v>2010</v>
      </c>
      <c r="C105" t="s">
        <v>1</v>
      </c>
      <c r="D105" t="s">
        <v>26</v>
      </c>
      <c r="E105">
        <v>1</v>
      </c>
      <c r="F105" t="s">
        <v>21</v>
      </c>
      <c r="G105" s="7">
        <v>2296</v>
      </c>
      <c r="H105" s="2">
        <v>538921</v>
      </c>
    </row>
    <row r="106" spans="1:8" x14ac:dyDescent="0.25">
      <c r="A106" t="str">
        <f t="shared" si="1"/>
        <v>201075+</v>
      </c>
      <c r="B106">
        <v>2010</v>
      </c>
      <c r="C106" t="s">
        <v>0</v>
      </c>
      <c r="D106" t="s">
        <v>26</v>
      </c>
      <c r="E106">
        <v>1</v>
      </c>
      <c r="F106" t="s">
        <v>21</v>
      </c>
      <c r="G106" s="7">
        <v>7222</v>
      </c>
      <c r="H106" s="2">
        <v>373918</v>
      </c>
    </row>
    <row r="107" spans="1:8" x14ac:dyDescent="0.25">
      <c r="A107" t="str">
        <f t="shared" si="1"/>
        <v>20110-4</v>
      </c>
      <c r="B107">
        <v>2011</v>
      </c>
      <c r="C107" t="s">
        <v>6</v>
      </c>
      <c r="D107" t="s">
        <v>26</v>
      </c>
      <c r="E107">
        <v>1</v>
      </c>
      <c r="F107" t="s">
        <v>21</v>
      </c>
      <c r="G107" s="7">
        <v>1</v>
      </c>
      <c r="H107" s="2">
        <v>1344595</v>
      </c>
    </row>
    <row r="108" spans="1:8" x14ac:dyDescent="0.25">
      <c r="A108" t="str">
        <f t="shared" si="1"/>
        <v>201115-24</v>
      </c>
      <c r="B108">
        <v>2011</v>
      </c>
      <c r="C108" t="s">
        <v>4</v>
      </c>
      <c r="D108" t="s">
        <v>26</v>
      </c>
      <c r="E108">
        <v>1</v>
      </c>
      <c r="F108" t="s">
        <v>21</v>
      </c>
      <c r="G108" s="7">
        <v>57</v>
      </c>
      <c r="H108" s="2">
        <v>2593350</v>
      </c>
    </row>
    <row r="109" spans="1:8" x14ac:dyDescent="0.25">
      <c r="A109" t="str">
        <f t="shared" si="1"/>
        <v>201125-44</v>
      </c>
      <c r="B109">
        <v>2011</v>
      </c>
      <c r="C109" t="s">
        <v>3</v>
      </c>
      <c r="D109" t="s">
        <v>26</v>
      </c>
      <c r="E109">
        <v>1</v>
      </c>
      <c r="F109" t="s">
        <v>21</v>
      </c>
      <c r="G109" s="7">
        <v>425</v>
      </c>
      <c r="H109" s="2">
        <v>4299392</v>
      </c>
    </row>
    <row r="110" spans="1:8" x14ac:dyDescent="0.25">
      <c r="A110" t="str">
        <f t="shared" si="1"/>
        <v>201145-64</v>
      </c>
      <c r="B110">
        <v>2011</v>
      </c>
      <c r="C110" t="s">
        <v>2</v>
      </c>
      <c r="D110" t="s">
        <v>26</v>
      </c>
      <c r="E110">
        <v>1</v>
      </c>
      <c r="F110" t="s">
        <v>21</v>
      </c>
      <c r="G110" s="7">
        <v>2325</v>
      </c>
      <c r="H110" s="2">
        <v>2561836</v>
      </c>
    </row>
    <row r="111" spans="1:8" x14ac:dyDescent="0.25">
      <c r="A111" t="str">
        <f t="shared" si="1"/>
        <v>20115-14</v>
      </c>
      <c r="B111">
        <v>2011</v>
      </c>
      <c r="C111" t="s">
        <v>5</v>
      </c>
      <c r="D111" t="s">
        <v>26</v>
      </c>
      <c r="E111">
        <v>1</v>
      </c>
      <c r="F111" t="s">
        <v>21</v>
      </c>
      <c r="G111" s="7">
        <v>14</v>
      </c>
      <c r="H111" s="2">
        <v>2684312</v>
      </c>
    </row>
    <row r="112" spans="1:8" x14ac:dyDescent="0.25">
      <c r="A112" t="str">
        <f t="shared" si="1"/>
        <v>201165-74</v>
      </c>
      <c r="B112">
        <v>2011</v>
      </c>
      <c r="C112" t="s">
        <v>1</v>
      </c>
      <c r="D112" t="s">
        <v>26</v>
      </c>
      <c r="E112">
        <v>1</v>
      </c>
      <c r="F112" t="s">
        <v>21</v>
      </c>
      <c r="G112" s="7">
        <v>2312</v>
      </c>
      <c r="H112" s="2">
        <v>559899</v>
      </c>
    </row>
    <row r="113" spans="1:8" x14ac:dyDescent="0.25">
      <c r="A113" t="str">
        <f t="shared" si="1"/>
        <v>201175+</v>
      </c>
      <c r="B113">
        <v>2011</v>
      </c>
      <c r="C113" t="s">
        <v>0</v>
      </c>
      <c r="D113" t="s">
        <v>26</v>
      </c>
      <c r="E113">
        <v>1</v>
      </c>
      <c r="F113" t="s">
        <v>21</v>
      </c>
      <c r="G113" s="7">
        <v>7759</v>
      </c>
      <c r="H113" s="2">
        <v>385721</v>
      </c>
    </row>
    <row r="114" spans="1:8" x14ac:dyDescent="0.25">
      <c r="A114" t="str">
        <f t="shared" si="1"/>
        <v>20120-4</v>
      </c>
      <c r="B114">
        <v>2012</v>
      </c>
      <c r="C114" t="s">
        <v>6</v>
      </c>
      <c r="D114" t="s">
        <v>26</v>
      </c>
      <c r="E114">
        <v>1</v>
      </c>
      <c r="F114" t="s">
        <v>21</v>
      </c>
      <c r="G114" s="7">
        <v>5</v>
      </c>
      <c r="H114" s="2">
        <v>1340586.3214094499</v>
      </c>
    </row>
    <row r="115" spans="1:8" x14ac:dyDescent="0.25">
      <c r="A115" t="str">
        <f t="shared" si="1"/>
        <v>201215-24</v>
      </c>
      <c r="B115">
        <v>2012</v>
      </c>
      <c r="C115" t="s">
        <v>4</v>
      </c>
      <c r="D115" t="s">
        <v>26</v>
      </c>
      <c r="E115">
        <v>1</v>
      </c>
      <c r="F115" t="s">
        <v>21</v>
      </c>
      <c r="G115" s="7">
        <v>57</v>
      </c>
      <c r="H115" s="2">
        <v>2596932.5593387499</v>
      </c>
    </row>
    <row r="116" spans="1:8" x14ac:dyDescent="0.25">
      <c r="A116" t="str">
        <f t="shared" si="1"/>
        <v>201225-44</v>
      </c>
      <c r="B116">
        <v>2012</v>
      </c>
      <c r="C116" t="s">
        <v>3</v>
      </c>
      <c r="D116" t="s">
        <v>26</v>
      </c>
      <c r="E116">
        <v>1</v>
      </c>
      <c r="F116" t="s">
        <v>21</v>
      </c>
      <c r="G116" s="7">
        <v>409</v>
      </c>
      <c r="H116" s="2">
        <v>4370928.8062696801</v>
      </c>
    </row>
    <row r="117" spans="1:8" x14ac:dyDescent="0.25">
      <c r="A117" t="str">
        <f t="shared" si="1"/>
        <v>201245-64</v>
      </c>
      <c r="B117">
        <v>2012</v>
      </c>
      <c r="C117" t="s">
        <v>2</v>
      </c>
      <c r="D117" t="s">
        <v>26</v>
      </c>
      <c r="E117">
        <v>1</v>
      </c>
      <c r="F117" t="s">
        <v>21</v>
      </c>
      <c r="G117" s="7">
        <v>2236</v>
      </c>
      <c r="H117" s="2">
        <v>2658291.2681631502</v>
      </c>
    </row>
    <row r="118" spans="1:8" x14ac:dyDescent="0.25">
      <c r="A118" t="str">
        <f t="shared" si="1"/>
        <v>20125-14</v>
      </c>
      <c r="B118">
        <v>2012</v>
      </c>
      <c r="C118" t="s">
        <v>5</v>
      </c>
      <c r="D118" t="s">
        <v>26</v>
      </c>
      <c r="E118">
        <v>1</v>
      </c>
      <c r="F118" t="s">
        <v>21</v>
      </c>
      <c r="G118" s="7">
        <v>9</v>
      </c>
      <c r="H118" s="2">
        <v>2693165.8826794801</v>
      </c>
    </row>
    <row r="119" spans="1:8" x14ac:dyDescent="0.25">
      <c r="A119" t="str">
        <f t="shared" si="1"/>
        <v>201265-74</v>
      </c>
      <c r="B119">
        <v>2012</v>
      </c>
      <c r="C119" t="s">
        <v>1</v>
      </c>
      <c r="D119" t="s">
        <v>26</v>
      </c>
      <c r="E119">
        <v>1</v>
      </c>
      <c r="F119" t="s">
        <v>21</v>
      </c>
      <c r="G119" s="7">
        <v>2224</v>
      </c>
      <c r="H119" s="2">
        <v>582433.94467592705</v>
      </c>
    </row>
    <row r="120" spans="1:8" x14ac:dyDescent="0.25">
      <c r="A120" t="str">
        <f t="shared" si="1"/>
        <v>201275+</v>
      </c>
      <c r="B120">
        <v>2012</v>
      </c>
      <c r="C120" t="s">
        <v>0</v>
      </c>
      <c r="D120" t="s">
        <v>26</v>
      </c>
      <c r="E120">
        <v>1</v>
      </c>
      <c r="F120" t="s">
        <v>21</v>
      </c>
      <c r="G120" s="7">
        <v>7719</v>
      </c>
      <c r="H120" s="2">
        <v>398069.84835797001</v>
      </c>
    </row>
    <row r="121" spans="1:8" x14ac:dyDescent="0.25">
      <c r="A121" t="str">
        <f t="shared" si="1"/>
        <v>20130-4</v>
      </c>
      <c r="B121">
        <v>2013</v>
      </c>
      <c r="C121" t="s">
        <v>6</v>
      </c>
      <c r="D121" t="s">
        <v>26</v>
      </c>
      <c r="E121">
        <v>1</v>
      </c>
      <c r="F121" t="s">
        <v>21</v>
      </c>
      <c r="G121" s="7">
        <v>18</v>
      </c>
      <c r="H121" s="2">
        <v>1336364.77993838</v>
      </c>
    </row>
    <row r="122" spans="1:8" x14ac:dyDescent="0.25">
      <c r="A122" t="str">
        <f t="shared" si="1"/>
        <v>201315-24</v>
      </c>
      <c r="B122">
        <v>2013</v>
      </c>
      <c r="C122" t="s">
        <v>4</v>
      </c>
      <c r="D122" t="s">
        <v>26</v>
      </c>
      <c r="E122">
        <v>1</v>
      </c>
      <c r="F122" t="s">
        <v>21</v>
      </c>
      <c r="G122" s="7">
        <v>50</v>
      </c>
      <c r="H122" s="2">
        <v>2602650.6589393602</v>
      </c>
    </row>
    <row r="123" spans="1:8" x14ac:dyDescent="0.25">
      <c r="A123" t="str">
        <f t="shared" si="1"/>
        <v>201325-44</v>
      </c>
      <c r="B123">
        <v>2013</v>
      </c>
      <c r="C123" t="s">
        <v>3</v>
      </c>
      <c r="D123" t="s">
        <v>26</v>
      </c>
      <c r="E123">
        <v>1</v>
      </c>
      <c r="F123" t="s">
        <v>21</v>
      </c>
      <c r="G123" s="7">
        <v>411</v>
      </c>
      <c r="H123" s="2">
        <v>4442157.0636299504</v>
      </c>
    </row>
    <row r="124" spans="1:8" x14ac:dyDescent="0.25">
      <c r="A124" t="str">
        <f t="shared" si="1"/>
        <v>201345-64</v>
      </c>
      <c r="B124">
        <v>2013</v>
      </c>
      <c r="C124" t="s">
        <v>2</v>
      </c>
      <c r="D124" t="s">
        <v>26</v>
      </c>
      <c r="E124">
        <v>1</v>
      </c>
      <c r="F124" t="s">
        <v>21</v>
      </c>
      <c r="G124" s="7">
        <v>2211</v>
      </c>
      <c r="H124" s="2">
        <v>2752738.9724179399</v>
      </c>
    </row>
    <row r="125" spans="1:8" x14ac:dyDescent="0.25">
      <c r="A125" t="str">
        <f t="shared" si="1"/>
        <v>20135-14</v>
      </c>
      <c r="B125">
        <v>2013</v>
      </c>
      <c r="C125" t="s">
        <v>5</v>
      </c>
      <c r="D125" t="s">
        <v>26</v>
      </c>
      <c r="E125">
        <v>1</v>
      </c>
      <c r="F125" t="s">
        <v>21</v>
      </c>
      <c r="G125" s="7">
        <v>3</v>
      </c>
      <c r="H125" s="2">
        <v>2699988.6782491799</v>
      </c>
    </row>
    <row r="126" spans="1:8" x14ac:dyDescent="0.25">
      <c r="A126" t="str">
        <f t="shared" si="1"/>
        <v>201365-74</v>
      </c>
      <c r="B126">
        <v>2013</v>
      </c>
      <c r="C126" t="s">
        <v>1</v>
      </c>
      <c r="D126" t="s">
        <v>26</v>
      </c>
      <c r="E126">
        <v>1</v>
      </c>
      <c r="F126" t="s">
        <v>21</v>
      </c>
      <c r="G126" s="7">
        <v>2310</v>
      </c>
      <c r="H126" s="2">
        <v>606480.27141564596</v>
      </c>
    </row>
    <row r="127" spans="1:8" x14ac:dyDescent="0.25">
      <c r="A127" t="str">
        <f t="shared" si="1"/>
        <v>201375+</v>
      </c>
      <c r="B127">
        <v>2013</v>
      </c>
      <c r="C127" t="s">
        <v>0</v>
      </c>
      <c r="D127" t="s">
        <v>26</v>
      </c>
      <c r="E127">
        <v>1</v>
      </c>
      <c r="F127" t="s">
        <v>21</v>
      </c>
      <c r="G127" s="7">
        <v>7784</v>
      </c>
      <c r="H127" s="2">
        <v>411257.72175729403</v>
      </c>
    </row>
    <row r="128" spans="1:8" x14ac:dyDescent="0.25">
      <c r="A128" t="str">
        <f t="shared" si="1"/>
        <v>20140-4</v>
      </c>
      <c r="B128">
        <v>2014</v>
      </c>
      <c r="C128" t="s">
        <v>6</v>
      </c>
      <c r="D128" t="s">
        <v>26</v>
      </c>
      <c r="E128">
        <v>1</v>
      </c>
      <c r="F128" t="s">
        <v>21</v>
      </c>
      <c r="G128" s="7">
        <v>8</v>
      </c>
      <c r="H128" s="2">
        <v>1331891</v>
      </c>
    </row>
    <row r="129" spans="1:8" x14ac:dyDescent="0.25">
      <c r="A129" t="str">
        <f t="shared" si="1"/>
        <v>201415-24</v>
      </c>
      <c r="B129">
        <v>2014</v>
      </c>
      <c r="C129" t="s">
        <v>4</v>
      </c>
      <c r="D129" t="s">
        <v>26</v>
      </c>
      <c r="E129">
        <v>1</v>
      </c>
      <c r="F129" t="s">
        <v>21</v>
      </c>
      <c r="G129" s="7">
        <v>43</v>
      </c>
      <c r="H129" s="2">
        <v>2610538</v>
      </c>
    </row>
    <row r="130" spans="1:8" x14ac:dyDescent="0.25">
      <c r="A130" t="str">
        <f t="shared" ref="A130:A193" si="2">+CONCATENATE(B130,C130)</f>
        <v>201425-44</v>
      </c>
      <c r="B130">
        <v>2014</v>
      </c>
      <c r="C130" t="s">
        <v>3</v>
      </c>
      <c r="D130" t="s">
        <v>26</v>
      </c>
      <c r="E130">
        <v>1</v>
      </c>
      <c r="F130" t="s">
        <v>21</v>
      </c>
      <c r="G130" s="7">
        <v>472</v>
      </c>
      <c r="H130" s="2">
        <v>4511948</v>
      </c>
    </row>
    <row r="131" spans="1:8" x14ac:dyDescent="0.25">
      <c r="A131" t="str">
        <f t="shared" si="2"/>
        <v>201445-64</v>
      </c>
      <c r="B131">
        <v>2014</v>
      </c>
      <c r="C131" t="s">
        <v>2</v>
      </c>
      <c r="D131" t="s">
        <v>26</v>
      </c>
      <c r="E131">
        <v>1</v>
      </c>
      <c r="F131" t="s">
        <v>21</v>
      </c>
      <c r="G131" s="7">
        <v>2507</v>
      </c>
      <c r="H131" s="2">
        <v>2845267</v>
      </c>
    </row>
    <row r="132" spans="1:8" x14ac:dyDescent="0.25">
      <c r="A132" t="str">
        <f t="shared" si="2"/>
        <v>20145-14</v>
      </c>
      <c r="B132">
        <v>2014</v>
      </c>
      <c r="C132" t="s">
        <v>5</v>
      </c>
      <c r="D132" t="s">
        <v>26</v>
      </c>
      <c r="E132">
        <v>1</v>
      </c>
      <c r="F132" t="s">
        <v>21</v>
      </c>
      <c r="G132" s="7">
        <v>8</v>
      </c>
      <c r="H132" s="2">
        <v>2704490</v>
      </c>
    </row>
    <row r="133" spans="1:8" x14ac:dyDescent="0.25">
      <c r="A133" t="str">
        <f t="shared" si="2"/>
        <v>201465-74</v>
      </c>
      <c r="B133">
        <v>2014</v>
      </c>
      <c r="C133" t="s">
        <v>1</v>
      </c>
      <c r="D133" t="s">
        <v>26</v>
      </c>
      <c r="E133">
        <v>1</v>
      </c>
      <c r="F133" t="s">
        <v>21</v>
      </c>
      <c r="G133" s="7">
        <v>2504</v>
      </c>
      <c r="H133" s="2">
        <v>631943</v>
      </c>
    </row>
    <row r="134" spans="1:8" x14ac:dyDescent="0.25">
      <c r="A134" t="str">
        <f t="shared" si="2"/>
        <v>201475+</v>
      </c>
      <c r="B134">
        <v>2014</v>
      </c>
      <c r="C134" t="s">
        <v>0</v>
      </c>
      <c r="D134" t="s">
        <v>26</v>
      </c>
      <c r="E134">
        <v>1</v>
      </c>
      <c r="F134" t="s">
        <v>21</v>
      </c>
      <c r="G134" s="7">
        <v>9094</v>
      </c>
      <c r="H134" s="2">
        <v>425486</v>
      </c>
    </row>
    <row r="135" spans="1:8" x14ac:dyDescent="0.25">
      <c r="A135" t="str">
        <f t="shared" si="2"/>
        <v>19960-4</v>
      </c>
      <c r="B135">
        <v>1996</v>
      </c>
      <c r="C135" t="s">
        <v>6</v>
      </c>
      <c r="D135" t="s">
        <v>26</v>
      </c>
      <c r="E135" t="s">
        <v>36</v>
      </c>
      <c r="F135" t="s">
        <v>20</v>
      </c>
      <c r="G135" s="7">
        <v>62</v>
      </c>
      <c r="H135" s="2">
        <v>1308550.7828250399</v>
      </c>
    </row>
    <row r="136" spans="1:8" x14ac:dyDescent="0.25">
      <c r="A136" t="str">
        <f t="shared" si="2"/>
        <v>199615-24</v>
      </c>
      <c r="B136">
        <v>1996</v>
      </c>
      <c r="C136" t="s">
        <v>4</v>
      </c>
      <c r="D136" t="s">
        <v>26</v>
      </c>
      <c r="E136" t="s">
        <v>36</v>
      </c>
      <c r="F136" t="s">
        <v>20</v>
      </c>
      <c r="G136" s="7">
        <v>130</v>
      </c>
      <c r="H136" s="2">
        <v>2136825.68729656</v>
      </c>
    </row>
    <row r="137" spans="1:8" x14ac:dyDescent="0.25">
      <c r="A137" t="str">
        <f t="shared" si="2"/>
        <v>199625-44</v>
      </c>
      <c r="B137">
        <v>1996</v>
      </c>
      <c r="C137" t="s">
        <v>3</v>
      </c>
      <c r="D137" t="s">
        <v>26</v>
      </c>
      <c r="E137" t="s">
        <v>36</v>
      </c>
      <c r="F137" t="s">
        <v>20</v>
      </c>
      <c r="G137" s="7">
        <v>1119</v>
      </c>
      <c r="H137" s="2">
        <v>3245545.2890741802</v>
      </c>
    </row>
    <row r="138" spans="1:8" x14ac:dyDescent="0.25">
      <c r="A138" t="str">
        <f t="shared" si="2"/>
        <v>199645-64</v>
      </c>
      <c r="B138">
        <v>1996</v>
      </c>
      <c r="C138" t="s">
        <v>2</v>
      </c>
      <c r="D138" t="s">
        <v>26</v>
      </c>
      <c r="E138" t="s">
        <v>36</v>
      </c>
      <c r="F138" t="s">
        <v>20</v>
      </c>
      <c r="G138" s="7">
        <v>2420</v>
      </c>
      <c r="H138" s="2">
        <v>1448877.9572723201</v>
      </c>
    </row>
    <row r="139" spans="1:8" x14ac:dyDescent="0.25">
      <c r="A139" t="str">
        <f t="shared" si="2"/>
        <v>19965-14</v>
      </c>
      <c r="B139">
        <v>1996</v>
      </c>
      <c r="C139" t="s">
        <v>5</v>
      </c>
      <c r="D139" t="s">
        <v>26</v>
      </c>
      <c r="E139" t="s">
        <v>36</v>
      </c>
      <c r="F139" t="s">
        <v>20</v>
      </c>
      <c r="G139" s="7">
        <v>114</v>
      </c>
      <c r="H139" s="2">
        <v>2617766.7452121698</v>
      </c>
    </row>
    <row r="140" spans="1:8" x14ac:dyDescent="0.25">
      <c r="A140" t="str">
        <f t="shared" si="2"/>
        <v>199665-74</v>
      </c>
      <c r="B140">
        <v>1996</v>
      </c>
      <c r="C140" t="s">
        <v>1</v>
      </c>
      <c r="D140" t="s">
        <v>26</v>
      </c>
      <c r="E140" t="s">
        <v>36</v>
      </c>
      <c r="F140" t="s">
        <v>20</v>
      </c>
      <c r="G140" s="7">
        <v>1478</v>
      </c>
      <c r="H140" s="2">
        <v>373487.34083337098</v>
      </c>
    </row>
    <row r="141" spans="1:8" x14ac:dyDescent="0.25">
      <c r="A141" t="str">
        <f t="shared" si="2"/>
        <v>199675+</v>
      </c>
      <c r="B141">
        <v>1996</v>
      </c>
      <c r="C141" t="s">
        <v>0</v>
      </c>
      <c r="D141" t="s">
        <v>26</v>
      </c>
      <c r="E141" t="s">
        <v>36</v>
      </c>
      <c r="F141" t="s">
        <v>20</v>
      </c>
      <c r="G141" s="7">
        <v>1582</v>
      </c>
      <c r="H141" s="2">
        <v>186458.585231801</v>
      </c>
    </row>
    <row r="142" spans="1:8" x14ac:dyDescent="0.25">
      <c r="A142" t="str">
        <f t="shared" si="2"/>
        <v>19970-4</v>
      </c>
      <c r="B142">
        <v>1997</v>
      </c>
      <c r="C142" t="s">
        <v>6</v>
      </c>
      <c r="D142" t="s">
        <v>26</v>
      </c>
      <c r="E142" t="s">
        <v>36</v>
      </c>
      <c r="F142" t="s">
        <v>20</v>
      </c>
      <c r="G142" s="7">
        <v>60</v>
      </c>
      <c r="H142" s="2">
        <v>1317732.8696950199</v>
      </c>
    </row>
    <row r="143" spans="1:8" x14ac:dyDescent="0.25">
      <c r="A143" t="str">
        <f t="shared" si="2"/>
        <v>199715-24</v>
      </c>
      <c r="B143">
        <v>1997</v>
      </c>
      <c r="C143" t="s">
        <v>4</v>
      </c>
      <c r="D143" t="s">
        <v>26</v>
      </c>
      <c r="E143" t="s">
        <v>36</v>
      </c>
      <c r="F143" t="s">
        <v>20</v>
      </c>
      <c r="G143" s="7">
        <v>120</v>
      </c>
      <c r="H143" s="2">
        <v>2190257.4123779298</v>
      </c>
    </row>
    <row r="144" spans="1:8" x14ac:dyDescent="0.25">
      <c r="A144" t="str">
        <f t="shared" si="2"/>
        <v>199725-44</v>
      </c>
      <c r="B144">
        <v>1997</v>
      </c>
      <c r="C144" t="s">
        <v>3</v>
      </c>
      <c r="D144" t="s">
        <v>26</v>
      </c>
      <c r="E144" t="s">
        <v>36</v>
      </c>
      <c r="F144" t="s">
        <v>20</v>
      </c>
      <c r="G144" s="7">
        <v>1160</v>
      </c>
      <c r="H144" s="2">
        <v>3319788.9734445098</v>
      </c>
    </row>
    <row r="145" spans="1:8" x14ac:dyDescent="0.25">
      <c r="A145" t="str">
        <f t="shared" si="2"/>
        <v>199745-64</v>
      </c>
      <c r="B145">
        <v>1997</v>
      </c>
      <c r="C145" t="s">
        <v>2</v>
      </c>
      <c r="D145" t="s">
        <v>26</v>
      </c>
      <c r="E145" t="s">
        <v>36</v>
      </c>
      <c r="F145" t="s">
        <v>20</v>
      </c>
      <c r="G145" s="7">
        <v>2488</v>
      </c>
      <c r="H145" s="2">
        <v>1494497.7743633899</v>
      </c>
    </row>
    <row r="146" spans="1:8" x14ac:dyDescent="0.25">
      <c r="A146" t="str">
        <f t="shared" si="2"/>
        <v>19975-14</v>
      </c>
      <c r="B146">
        <v>1997</v>
      </c>
      <c r="C146" t="s">
        <v>5</v>
      </c>
      <c r="D146" t="s">
        <v>26</v>
      </c>
      <c r="E146" t="s">
        <v>36</v>
      </c>
      <c r="F146" t="s">
        <v>20</v>
      </c>
      <c r="G146" s="7">
        <v>102</v>
      </c>
      <c r="H146" s="2">
        <v>2625110.0471272999</v>
      </c>
    </row>
    <row r="147" spans="1:8" x14ac:dyDescent="0.25">
      <c r="A147" t="str">
        <f t="shared" si="2"/>
        <v>199765-74</v>
      </c>
      <c r="B147">
        <v>1997</v>
      </c>
      <c r="C147" t="s">
        <v>1</v>
      </c>
      <c r="D147" t="s">
        <v>26</v>
      </c>
      <c r="E147" t="s">
        <v>36</v>
      </c>
      <c r="F147" t="s">
        <v>20</v>
      </c>
      <c r="G147" s="7">
        <v>1575</v>
      </c>
      <c r="H147" s="2">
        <v>377918.60450002301</v>
      </c>
    </row>
    <row r="148" spans="1:8" x14ac:dyDescent="0.25">
      <c r="A148" t="str">
        <f t="shared" si="2"/>
        <v>199775+</v>
      </c>
      <c r="B148">
        <v>1997</v>
      </c>
      <c r="C148" t="s">
        <v>0</v>
      </c>
      <c r="D148" t="s">
        <v>26</v>
      </c>
      <c r="E148" t="s">
        <v>36</v>
      </c>
      <c r="F148" t="s">
        <v>20</v>
      </c>
      <c r="G148" s="7">
        <v>1533</v>
      </c>
      <c r="H148" s="2">
        <v>197836.55113907999</v>
      </c>
    </row>
    <row r="149" spans="1:8" x14ac:dyDescent="0.25">
      <c r="A149" t="str">
        <f t="shared" si="2"/>
        <v>19980-4</v>
      </c>
      <c r="B149">
        <v>1998</v>
      </c>
      <c r="C149" t="s">
        <v>6</v>
      </c>
      <c r="D149" t="s">
        <v>26</v>
      </c>
      <c r="E149" t="s">
        <v>36</v>
      </c>
      <c r="F149" t="s">
        <v>20</v>
      </c>
      <c r="G149" s="7">
        <v>53</v>
      </c>
      <c r="H149" s="2">
        <v>1325697.93484751</v>
      </c>
    </row>
    <row r="150" spans="1:8" x14ac:dyDescent="0.25">
      <c r="A150" t="str">
        <f t="shared" si="2"/>
        <v>199815-24</v>
      </c>
      <c r="B150">
        <v>1998</v>
      </c>
      <c r="C150" t="s">
        <v>4</v>
      </c>
      <c r="D150" t="s">
        <v>26</v>
      </c>
      <c r="E150" t="s">
        <v>36</v>
      </c>
      <c r="F150" t="s">
        <v>20</v>
      </c>
      <c r="G150" s="7">
        <v>112</v>
      </c>
      <c r="H150" s="2">
        <v>2242694.2061889698</v>
      </c>
    </row>
    <row r="151" spans="1:8" x14ac:dyDescent="0.25">
      <c r="A151" t="str">
        <f t="shared" si="2"/>
        <v>199825-44</v>
      </c>
      <c r="B151">
        <v>1998</v>
      </c>
      <c r="C151" t="s">
        <v>3</v>
      </c>
      <c r="D151" t="s">
        <v>26</v>
      </c>
      <c r="E151" t="s">
        <v>36</v>
      </c>
      <c r="F151" t="s">
        <v>20</v>
      </c>
      <c r="G151" s="7">
        <v>1064</v>
      </c>
      <c r="H151" s="2">
        <v>3392799.98672225</v>
      </c>
    </row>
    <row r="152" spans="1:8" x14ac:dyDescent="0.25">
      <c r="A152" t="str">
        <f t="shared" si="2"/>
        <v>199845-64</v>
      </c>
      <c r="B152">
        <v>1998</v>
      </c>
      <c r="C152" t="s">
        <v>2</v>
      </c>
      <c r="D152" t="s">
        <v>26</v>
      </c>
      <c r="E152" t="s">
        <v>36</v>
      </c>
      <c r="F152" t="s">
        <v>20</v>
      </c>
      <c r="G152" s="7">
        <v>2537</v>
      </c>
      <c r="H152" s="2">
        <v>1544756.3871817</v>
      </c>
    </row>
    <row r="153" spans="1:8" x14ac:dyDescent="0.25">
      <c r="A153" t="str">
        <f t="shared" si="2"/>
        <v>19985-14</v>
      </c>
      <c r="B153">
        <v>1998</v>
      </c>
      <c r="C153" t="s">
        <v>5</v>
      </c>
      <c r="D153" t="s">
        <v>26</v>
      </c>
      <c r="E153" t="s">
        <v>36</v>
      </c>
      <c r="F153" t="s">
        <v>20</v>
      </c>
      <c r="G153" s="7">
        <v>87</v>
      </c>
      <c r="H153" s="2">
        <v>2628255.52356365</v>
      </c>
    </row>
    <row r="154" spans="1:8" x14ac:dyDescent="0.25">
      <c r="A154" t="str">
        <f t="shared" si="2"/>
        <v>199865-74</v>
      </c>
      <c r="B154">
        <v>1998</v>
      </c>
      <c r="C154" t="s">
        <v>1</v>
      </c>
      <c r="D154" t="s">
        <v>26</v>
      </c>
      <c r="E154" t="s">
        <v>36</v>
      </c>
      <c r="F154" t="s">
        <v>20</v>
      </c>
      <c r="G154" s="7">
        <v>1555</v>
      </c>
      <c r="H154" s="2">
        <v>383636.80225001101</v>
      </c>
    </row>
    <row r="155" spans="1:8" x14ac:dyDescent="0.25">
      <c r="A155" t="str">
        <f t="shared" si="2"/>
        <v>199875+</v>
      </c>
      <c r="B155">
        <v>1998</v>
      </c>
      <c r="C155" t="s">
        <v>0</v>
      </c>
      <c r="D155" t="s">
        <v>26</v>
      </c>
      <c r="E155" t="s">
        <v>36</v>
      </c>
      <c r="F155" t="s">
        <v>20</v>
      </c>
      <c r="G155" s="7">
        <v>1625</v>
      </c>
      <c r="H155" s="2">
        <v>210840.77556954001</v>
      </c>
    </row>
    <row r="156" spans="1:8" x14ac:dyDescent="0.25">
      <c r="A156" t="str">
        <f t="shared" si="2"/>
        <v>19990-4</v>
      </c>
      <c r="B156">
        <v>1999</v>
      </c>
      <c r="C156" t="s">
        <v>6</v>
      </c>
      <c r="D156" t="s">
        <v>26</v>
      </c>
      <c r="E156" t="s">
        <v>36</v>
      </c>
      <c r="F156" t="s">
        <v>20</v>
      </c>
      <c r="G156" s="7">
        <v>47</v>
      </c>
      <c r="H156" s="2">
        <v>1332528.9782825001</v>
      </c>
    </row>
    <row r="157" spans="1:8" x14ac:dyDescent="0.25">
      <c r="A157" t="str">
        <f t="shared" si="2"/>
        <v>199915-24</v>
      </c>
      <c r="B157">
        <v>1999</v>
      </c>
      <c r="C157" t="s">
        <v>4</v>
      </c>
      <c r="D157" t="s">
        <v>26</v>
      </c>
      <c r="E157" t="s">
        <v>36</v>
      </c>
      <c r="F157" t="s">
        <v>20</v>
      </c>
      <c r="G157" s="7">
        <v>153</v>
      </c>
      <c r="H157" s="2">
        <v>2293434.06872966</v>
      </c>
    </row>
    <row r="158" spans="1:8" x14ac:dyDescent="0.25">
      <c r="A158" t="str">
        <f t="shared" si="2"/>
        <v>199925-44</v>
      </c>
      <c r="B158">
        <v>1999</v>
      </c>
      <c r="C158" t="s">
        <v>3</v>
      </c>
      <c r="D158" t="s">
        <v>26</v>
      </c>
      <c r="E158" t="s">
        <v>36</v>
      </c>
      <c r="F158" t="s">
        <v>20</v>
      </c>
      <c r="G158" s="7">
        <v>1077</v>
      </c>
      <c r="H158" s="2">
        <v>3464730.3289074199</v>
      </c>
    </row>
    <row r="159" spans="1:8" x14ac:dyDescent="0.25">
      <c r="A159" t="str">
        <f t="shared" si="2"/>
        <v>199945-64</v>
      </c>
      <c r="B159">
        <v>1999</v>
      </c>
      <c r="C159" t="s">
        <v>2</v>
      </c>
      <c r="D159" t="s">
        <v>26</v>
      </c>
      <c r="E159" t="s">
        <v>36</v>
      </c>
      <c r="F159" t="s">
        <v>20</v>
      </c>
      <c r="G159" s="7">
        <v>2645</v>
      </c>
      <c r="H159" s="2">
        <v>1599513.7957272299</v>
      </c>
    </row>
    <row r="160" spans="1:8" x14ac:dyDescent="0.25">
      <c r="A160" t="str">
        <f t="shared" si="2"/>
        <v>19995-14</v>
      </c>
      <c r="B160">
        <v>1999</v>
      </c>
      <c r="C160" t="s">
        <v>5</v>
      </c>
      <c r="D160" t="s">
        <v>26</v>
      </c>
      <c r="E160" t="s">
        <v>36</v>
      </c>
      <c r="F160" t="s">
        <v>20</v>
      </c>
      <c r="G160" s="7">
        <v>114</v>
      </c>
      <c r="H160" s="2">
        <v>2628380.1745212199</v>
      </c>
    </row>
    <row r="161" spans="1:8" x14ac:dyDescent="0.25">
      <c r="A161" t="str">
        <f t="shared" si="2"/>
        <v>199965-74</v>
      </c>
      <c r="B161">
        <v>1999</v>
      </c>
      <c r="C161" t="s">
        <v>1</v>
      </c>
      <c r="D161" t="s">
        <v>26</v>
      </c>
      <c r="E161" t="s">
        <v>36</v>
      </c>
      <c r="F161" t="s">
        <v>20</v>
      </c>
      <c r="G161" s="7">
        <v>1679</v>
      </c>
      <c r="H161" s="2">
        <v>390568.93408333702</v>
      </c>
    </row>
    <row r="162" spans="1:8" x14ac:dyDescent="0.25">
      <c r="A162" t="str">
        <f t="shared" si="2"/>
        <v>199975+</v>
      </c>
      <c r="B162">
        <v>1999</v>
      </c>
      <c r="C162" t="s">
        <v>0</v>
      </c>
      <c r="D162" t="s">
        <v>26</v>
      </c>
      <c r="E162" t="s">
        <v>36</v>
      </c>
      <c r="F162" t="s">
        <v>20</v>
      </c>
      <c r="G162" s="7">
        <v>1707</v>
      </c>
      <c r="H162" s="2">
        <v>225043.25852318</v>
      </c>
    </row>
    <row r="163" spans="1:8" x14ac:dyDescent="0.25">
      <c r="A163" t="str">
        <f t="shared" si="2"/>
        <v>20000-4</v>
      </c>
      <c r="B163">
        <v>2000</v>
      </c>
      <c r="C163" t="s">
        <v>6</v>
      </c>
      <c r="D163" t="s">
        <v>26</v>
      </c>
      <c r="E163" t="s">
        <v>36</v>
      </c>
      <c r="F163" t="s">
        <v>20</v>
      </c>
      <c r="G163" s="7">
        <v>53</v>
      </c>
      <c r="H163" s="2">
        <v>1338309</v>
      </c>
    </row>
    <row r="164" spans="1:8" x14ac:dyDescent="0.25">
      <c r="A164" t="str">
        <f t="shared" si="2"/>
        <v>200015-24</v>
      </c>
      <c r="B164">
        <v>2000</v>
      </c>
      <c r="C164" t="s">
        <v>4</v>
      </c>
      <c r="D164" t="s">
        <v>26</v>
      </c>
      <c r="E164" t="s">
        <v>36</v>
      </c>
      <c r="F164" t="s">
        <v>20</v>
      </c>
      <c r="G164" s="7">
        <v>131</v>
      </c>
      <c r="H164" s="2">
        <v>2341775</v>
      </c>
    </row>
    <row r="165" spans="1:8" x14ac:dyDescent="0.25">
      <c r="A165" t="str">
        <f t="shared" si="2"/>
        <v>200025-44</v>
      </c>
      <c r="B165">
        <v>2000</v>
      </c>
      <c r="C165" t="s">
        <v>3</v>
      </c>
      <c r="D165" t="s">
        <v>26</v>
      </c>
      <c r="E165" t="s">
        <v>36</v>
      </c>
      <c r="F165" t="s">
        <v>20</v>
      </c>
      <c r="G165" s="7">
        <v>1092</v>
      </c>
      <c r="H165" s="2">
        <v>3535732</v>
      </c>
    </row>
    <row r="166" spans="1:8" x14ac:dyDescent="0.25">
      <c r="A166" t="str">
        <f t="shared" si="2"/>
        <v>200045-64</v>
      </c>
      <c r="B166">
        <v>2000</v>
      </c>
      <c r="C166" t="s">
        <v>2</v>
      </c>
      <c r="D166" t="s">
        <v>26</v>
      </c>
      <c r="E166" t="s">
        <v>36</v>
      </c>
      <c r="F166" t="s">
        <v>20</v>
      </c>
      <c r="G166" s="7">
        <v>2667</v>
      </c>
      <c r="H166" s="2">
        <v>1658630</v>
      </c>
    </row>
    <row r="167" spans="1:8" x14ac:dyDescent="0.25">
      <c r="A167" t="str">
        <f t="shared" si="2"/>
        <v>20005-14</v>
      </c>
      <c r="B167">
        <v>2000</v>
      </c>
      <c r="C167" t="s">
        <v>5</v>
      </c>
      <c r="D167" t="s">
        <v>26</v>
      </c>
      <c r="E167" t="s">
        <v>36</v>
      </c>
      <c r="F167" t="s">
        <v>20</v>
      </c>
      <c r="G167" s="7">
        <v>99</v>
      </c>
      <c r="H167" s="2">
        <v>2626661</v>
      </c>
    </row>
    <row r="168" spans="1:8" x14ac:dyDescent="0.25">
      <c r="A168" t="str">
        <f t="shared" si="2"/>
        <v>200065-74</v>
      </c>
      <c r="B168">
        <v>2000</v>
      </c>
      <c r="C168" t="s">
        <v>1</v>
      </c>
      <c r="D168" t="s">
        <v>26</v>
      </c>
      <c r="E168" t="s">
        <v>36</v>
      </c>
      <c r="F168" t="s">
        <v>20</v>
      </c>
      <c r="G168" s="7">
        <v>1645</v>
      </c>
      <c r="H168" s="2">
        <v>398642</v>
      </c>
    </row>
    <row r="169" spans="1:8" x14ac:dyDescent="0.25">
      <c r="A169" t="str">
        <f t="shared" si="2"/>
        <v>200075+</v>
      </c>
      <c r="B169">
        <v>2000</v>
      </c>
      <c r="C169" t="s">
        <v>0</v>
      </c>
      <c r="D169" t="s">
        <v>26</v>
      </c>
      <c r="E169" t="s">
        <v>36</v>
      </c>
      <c r="F169" t="s">
        <v>20</v>
      </c>
      <c r="G169" s="7">
        <v>1833</v>
      </c>
      <c r="H169" s="2">
        <v>240016</v>
      </c>
    </row>
    <row r="170" spans="1:8" x14ac:dyDescent="0.25">
      <c r="A170" t="str">
        <f t="shared" si="2"/>
        <v>20010-4</v>
      </c>
      <c r="B170">
        <v>2001</v>
      </c>
      <c r="C170" t="s">
        <v>6</v>
      </c>
      <c r="D170" t="s">
        <v>26</v>
      </c>
      <c r="E170" t="s">
        <v>36</v>
      </c>
      <c r="F170" t="s">
        <v>20</v>
      </c>
      <c r="G170" s="7">
        <v>53</v>
      </c>
      <c r="H170" s="2">
        <v>1343121</v>
      </c>
    </row>
    <row r="171" spans="1:8" x14ac:dyDescent="0.25">
      <c r="A171" t="str">
        <f t="shared" si="2"/>
        <v>200115-24</v>
      </c>
      <c r="B171">
        <v>2001</v>
      </c>
      <c r="C171" t="s">
        <v>4</v>
      </c>
      <c r="D171" t="s">
        <v>26</v>
      </c>
      <c r="E171" t="s">
        <v>36</v>
      </c>
      <c r="F171" t="s">
        <v>20</v>
      </c>
      <c r="G171" s="7">
        <v>118</v>
      </c>
      <c r="H171" s="2">
        <v>2387015</v>
      </c>
    </row>
    <row r="172" spans="1:8" x14ac:dyDescent="0.25">
      <c r="A172" t="str">
        <f t="shared" si="2"/>
        <v>200125-44</v>
      </c>
      <c r="B172">
        <v>2001</v>
      </c>
      <c r="C172" t="s">
        <v>3</v>
      </c>
      <c r="D172" t="s">
        <v>26</v>
      </c>
      <c r="E172" t="s">
        <v>36</v>
      </c>
      <c r="F172" t="s">
        <v>20</v>
      </c>
      <c r="G172" s="7">
        <v>1149</v>
      </c>
      <c r="H172" s="2">
        <v>3605957</v>
      </c>
    </row>
    <row r="173" spans="1:8" x14ac:dyDescent="0.25">
      <c r="A173" t="str">
        <f t="shared" si="2"/>
        <v>200145-64</v>
      </c>
      <c r="B173">
        <v>2001</v>
      </c>
      <c r="C173" t="s">
        <v>2</v>
      </c>
      <c r="D173" t="s">
        <v>26</v>
      </c>
      <c r="E173" t="s">
        <v>36</v>
      </c>
      <c r="F173" t="s">
        <v>20</v>
      </c>
      <c r="G173" s="7">
        <v>2782</v>
      </c>
      <c r="H173" s="2">
        <v>1721965</v>
      </c>
    </row>
    <row r="174" spans="1:8" x14ac:dyDescent="0.25">
      <c r="A174" t="str">
        <f t="shared" si="2"/>
        <v>20015-14</v>
      </c>
      <c r="B174">
        <v>2001</v>
      </c>
      <c r="C174" t="s">
        <v>5</v>
      </c>
      <c r="D174" t="s">
        <v>26</v>
      </c>
      <c r="E174" t="s">
        <v>36</v>
      </c>
      <c r="F174" t="s">
        <v>20</v>
      </c>
      <c r="G174" s="7">
        <v>115</v>
      </c>
      <c r="H174" s="2">
        <v>2624275</v>
      </c>
    </row>
    <row r="175" spans="1:8" x14ac:dyDescent="0.25">
      <c r="A175" t="str">
        <f t="shared" si="2"/>
        <v>200165-74</v>
      </c>
      <c r="B175">
        <v>2001</v>
      </c>
      <c r="C175" t="s">
        <v>1</v>
      </c>
      <c r="D175" t="s">
        <v>26</v>
      </c>
      <c r="E175" t="s">
        <v>36</v>
      </c>
      <c r="F175" t="s">
        <v>20</v>
      </c>
      <c r="G175" s="7">
        <v>1784</v>
      </c>
      <c r="H175" s="2">
        <v>407783</v>
      </c>
    </row>
    <row r="176" spans="1:8" x14ac:dyDescent="0.25">
      <c r="A176" t="str">
        <f t="shared" si="2"/>
        <v>200175+</v>
      </c>
      <c r="B176">
        <v>2001</v>
      </c>
      <c r="C176" t="s">
        <v>0</v>
      </c>
      <c r="D176" t="s">
        <v>26</v>
      </c>
      <c r="E176" t="s">
        <v>36</v>
      </c>
      <c r="F176" t="s">
        <v>20</v>
      </c>
      <c r="G176" s="7">
        <v>1809</v>
      </c>
      <c r="H176" s="2">
        <v>255331</v>
      </c>
    </row>
    <row r="177" spans="1:8" x14ac:dyDescent="0.25">
      <c r="A177" t="str">
        <f t="shared" si="2"/>
        <v>20020-4</v>
      </c>
      <c r="B177">
        <v>2002</v>
      </c>
      <c r="C177" t="s">
        <v>6</v>
      </c>
      <c r="D177" t="s">
        <v>26</v>
      </c>
      <c r="E177" t="s">
        <v>36</v>
      </c>
      <c r="F177" t="s">
        <v>20</v>
      </c>
      <c r="G177" s="7">
        <v>42</v>
      </c>
      <c r="H177" s="2">
        <v>1347045</v>
      </c>
    </row>
    <row r="178" spans="1:8" x14ac:dyDescent="0.25">
      <c r="A178" t="str">
        <f t="shared" si="2"/>
        <v>200215-24</v>
      </c>
      <c r="B178">
        <v>2002</v>
      </c>
      <c r="C178" t="s">
        <v>4</v>
      </c>
      <c r="D178" t="s">
        <v>26</v>
      </c>
      <c r="E178" t="s">
        <v>36</v>
      </c>
      <c r="F178" t="s">
        <v>20</v>
      </c>
      <c r="G178" s="7">
        <v>145</v>
      </c>
      <c r="H178" s="2">
        <v>2428415</v>
      </c>
    </row>
    <row r="179" spans="1:8" x14ac:dyDescent="0.25">
      <c r="A179" t="str">
        <f t="shared" si="2"/>
        <v>200225-44</v>
      </c>
      <c r="B179">
        <v>2002</v>
      </c>
      <c r="C179" t="s">
        <v>3</v>
      </c>
      <c r="D179" t="s">
        <v>26</v>
      </c>
      <c r="E179" t="s">
        <v>36</v>
      </c>
      <c r="F179" t="s">
        <v>20</v>
      </c>
      <c r="G179" s="7">
        <v>1228</v>
      </c>
      <c r="H179" s="2">
        <v>3675559</v>
      </c>
    </row>
    <row r="180" spans="1:8" x14ac:dyDescent="0.25">
      <c r="A180" t="str">
        <f t="shared" si="2"/>
        <v>200245-64</v>
      </c>
      <c r="B180">
        <v>2002</v>
      </c>
      <c r="C180" t="s">
        <v>2</v>
      </c>
      <c r="D180" t="s">
        <v>26</v>
      </c>
      <c r="E180" t="s">
        <v>36</v>
      </c>
      <c r="F180" t="s">
        <v>20</v>
      </c>
      <c r="G180" s="7">
        <v>3026</v>
      </c>
      <c r="H180" s="2">
        <v>1789361</v>
      </c>
    </row>
    <row r="181" spans="1:8" x14ac:dyDescent="0.25">
      <c r="A181" t="str">
        <f t="shared" si="2"/>
        <v>20025-14</v>
      </c>
      <c r="B181">
        <v>2002</v>
      </c>
      <c r="C181" t="s">
        <v>5</v>
      </c>
      <c r="D181" t="s">
        <v>26</v>
      </c>
      <c r="E181" t="s">
        <v>36</v>
      </c>
      <c r="F181" t="s">
        <v>20</v>
      </c>
      <c r="G181" s="7">
        <v>116</v>
      </c>
      <c r="H181" s="2">
        <v>2622422</v>
      </c>
    </row>
    <row r="182" spans="1:8" x14ac:dyDescent="0.25">
      <c r="A182" t="str">
        <f t="shared" si="2"/>
        <v>200265-74</v>
      </c>
      <c r="B182">
        <v>2002</v>
      </c>
      <c r="C182" t="s">
        <v>1</v>
      </c>
      <c r="D182" t="s">
        <v>26</v>
      </c>
      <c r="E182" t="s">
        <v>36</v>
      </c>
      <c r="F182" t="s">
        <v>20</v>
      </c>
      <c r="G182" s="7">
        <v>1817</v>
      </c>
      <c r="H182" s="2">
        <v>417907</v>
      </c>
    </row>
    <row r="183" spans="1:8" x14ac:dyDescent="0.25">
      <c r="A183" t="str">
        <f t="shared" si="2"/>
        <v>200275+</v>
      </c>
      <c r="B183">
        <v>2002</v>
      </c>
      <c r="C183" t="s">
        <v>0</v>
      </c>
      <c r="D183" t="s">
        <v>26</v>
      </c>
      <c r="E183" t="s">
        <v>36</v>
      </c>
      <c r="F183" t="s">
        <v>20</v>
      </c>
      <c r="G183" s="7">
        <v>1923</v>
      </c>
      <c r="H183" s="2">
        <v>270538</v>
      </c>
    </row>
    <row r="184" spans="1:8" x14ac:dyDescent="0.25">
      <c r="A184" t="str">
        <f t="shared" si="2"/>
        <v>20030-4</v>
      </c>
      <c r="B184">
        <v>2003</v>
      </c>
      <c r="C184" t="s">
        <v>6</v>
      </c>
      <c r="D184" t="s">
        <v>26</v>
      </c>
      <c r="E184" t="s">
        <v>36</v>
      </c>
      <c r="F184" t="s">
        <v>20</v>
      </c>
      <c r="G184" s="7">
        <v>62</v>
      </c>
      <c r="H184" s="2">
        <v>1350164</v>
      </c>
    </row>
    <row r="185" spans="1:8" x14ac:dyDescent="0.25">
      <c r="A185" t="str">
        <f t="shared" si="2"/>
        <v>200315-24</v>
      </c>
      <c r="B185">
        <v>2003</v>
      </c>
      <c r="C185" t="s">
        <v>4</v>
      </c>
      <c r="D185" t="s">
        <v>26</v>
      </c>
      <c r="E185" t="s">
        <v>36</v>
      </c>
      <c r="F185" t="s">
        <v>20</v>
      </c>
      <c r="G185" s="7">
        <v>142</v>
      </c>
      <c r="H185" s="2">
        <v>2465273</v>
      </c>
    </row>
    <row r="186" spans="1:8" x14ac:dyDescent="0.25">
      <c r="A186" t="str">
        <f t="shared" si="2"/>
        <v>200325-44</v>
      </c>
      <c r="B186">
        <v>2003</v>
      </c>
      <c r="C186" t="s">
        <v>3</v>
      </c>
      <c r="D186" t="s">
        <v>26</v>
      </c>
      <c r="E186" t="s">
        <v>36</v>
      </c>
      <c r="F186" t="s">
        <v>20</v>
      </c>
      <c r="G186" s="7">
        <v>1233</v>
      </c>
      <c r="H186" s="2">
        <v>3744690</v>
      </c>
    </row>
    <row r="187" spans="1:8" x14ac:dyDescent="0.25">
      <c r="A187" t="str">
        <f t="shared" si="2"/>
        <v>200345-64</v>
      </c>
      <c r="B187">
        <v>2003</v>
      </c>
      <c r="C187" t="s">
        <v>2</v>
      </c>
      <c r="D187" t="s">
        <v>26</v>
      </c>
      <c r="E187" t="s">
        <v>36</v>
      </c>
      <c r="F187" t="s">
        <v>20</v>
      </c>
      <c r="G187" s="7">
        <v>3131</v>
      </c>
      <c r="H187" s="2">
        <v>1860678</v>
      </c>
    </row>
    <row r="188" spans="1:8" x14ac:dyDescent="0.25">
      <c r="A188" t="str">
        <f t="shared" si="2"/>
        <v>20035-14</v>
      </c>
      <c r="B188">
        <v>2003</v>
      </c>
      <c r="C188" t="s">
        <v>5</v>
      </c>
      <c r="D188" t="s">
        <v>26</v>
      </c>
      <c r="E188" t="s">
        <v>36</v>
      </c>
      <c r="F188" t="s">
        <v>20</v>
      </c>
      <c r="G188" s="7">
        <v>90</v>
      </c>
      <c r="H188" s="2">
        <v>2622279</v>
      </c>
    </row>
    <row r="189" spans="1:8" x14ac:dyDescent="0.25">
      <c r="A189" t="str">
        <f t="shared" si="2"/>
        <v>200365-74</v>
      </c>
      <c r="B189">
        <v>2003</v>
      </c>
      <c r="C189" t="s">
        <v>1</v>
      </c>
      <c r="D189" t="s">
        <v>26</v>
      </c>
      <c r="E189" t="s">
        <v>36</v>
      </c>
      <c r="F189" t="s">
        <v>20</v>
      </c>
      <c r="G189" s="7">
        <v>1836</v>
      </c>
      <c r="H189" s="2">
        <v>428941</v>
      </c>
    </row>
    <row r="190" spans="1:8" x14ac:dyDescent="0.25">
      <c r="A190" t="str">
        <f t="shared" si="2"/>
        <v>200375+</v>
      </c>
      <c r="B190">
        <v>2003</v>
      </c>
      <c r="C190" t="s">
        <v>0</v>
      </c>
      <c r="D190" t="s">
        <v>26</v>
      </c>
      <c r="E190" t="s">
        <v>36</v>
      </c>
      <c r="F190" t="s">
        <v>20</v>
      </c>
      <c r="G190" s="7">
        <v>2171</v>
      </c>
      <c r="H190" s="2">
        <v>285209</v>
      </c>
    </row>
    <row r="191" spans="1:8" x14ac:dyDescent="0.25">
      <c r="A191" t="str">
        <f t="shared" si="2"/>
        <v>20040-4</v>
      </c>
      <c r="B191">
        <v>2004</v>
      </c>
      <c r="C191" t="s">
        <v>6</v>
      </c>
      <c r="D191" t="s">
        <v>26</v>
      </c>
      <c r="E191" t="s">
        <v>36</v>
      </c>
      <c r="F191" t="s">
        <v>20</v>
      </c>
      <c r="G191" s="7">
        <v>50</v>
      </c>
      <c r="H191" s="2">
        <v>1352508</v>
      </c>
    </row>
    <row r="192" spans="1:8" x14ac:dyDescent="0.25">
      <c r="A192" t="str">
        <f t="shared" si="2"/>
        <v>200415-24</v>
      </c>
      <c r="B192">
        <v>2004</v>
      </c>
      <c r="C192" t="s">
        <v>4</v>
      </c>
      <c r="D192" t="s">
        <v>26</v>
      </c>
      <c r="E192" t="s">
        <v>36</v>
      </c>
      <c r="F192" t="s">
        <v>20</v>
      </c>
      <c r="G192" s="7">
        <v>150</v>
      </c>
      <c r="H192" s="2">
        <v>2497409</v>
      </c>
    </row>
    <row r="193" spans="1:8" x14ac:dyDescent="0.25">
      <c r="A193" t="str">
        <f t="shared" si="2"/>
        <v>200425-44</v>
      </c>
      <c r="B193">
        <v>2004</v>
      </c>
      <c r="C193" t="s">
        <v>3</v>
      </c>
      <c r="D193" t="s">
        <v>26</v>
      </c>
      <c r="E193" t="s">
        <v>36</v>
      </c>
      <c r="F193" t="s">
        <v>20</v>
      </c>
      <c r="G193" s="7">
        <v>1177</v>
      </c>
      <c r="H193" s="2">
        <v>3813358</v>
      </c>
    </row>
    <row r="194" spans="1:8" x14ac:dyDescent="0.25">
      <c r="A194" t="str">
        <f t="shared" ref="A194:A257" si="3">+CONCATENATE(B194,C194)</f>
        <v>200445-64</v>
      </c>
      <c r="B194">
        <v>2004</v>
      </c>
      <c r="C194" t="s">
        <v>2</v>
      </c>
      <c r="D194" t="s">
        <v>26</v>
      </c>
      <c r="E194" t="s">
        <v>36</v>
      </c>
      <c r="F194" t="s">
        <v>20</v>
      </c>
      <c r="G194" s="7">
        <v>3239</v>
      </c>
      <c r="H194" s="2">
        <v>1936129</v>
      </c>
    </row>
    <row r="195" spans="1:8" x14ac:dyDescent="0.25">
      <c r="A195" t="str">
        <f t="shared" si="3"/>
        <v>20045-14</v>
      </c>
      <c r="B195">
        <v>2004</v>
      </c>
      <c r="C195" t="s">
        <v>5</v>
      </c>
      <c r="D195" t="s">
        <v>26</v>
      </c>
      <c r="E195" t="s">
        <v>36</v>
      </c>
      <c r="F195" t="s">
        <v>20</v>
      </c>
      <c r="G195" s="7">
        <v>108</v>
      </c>
      <c r="H195" s="2">
        <v>2624530</v>
      </c>
    </row>
    <row r="196" spans="1:8" x14ac:dyDescent="0.25">
      <c r="A196" t="str">
        <f t="shared" si="3"/>
        <v>200465-74</v>
      </c>
      <c r="B196">
        <v>2004</v>
      </c>
      <c r="C196" t="s">
        <v>1</v>
      </c>
      <c r="D196" t="s">
        <v>26</v>
      </c>
      <c r="E196" t="s">
        <v>36</v>
      </c>
      <c r="F196" t="s">
        <v>20</v>
      </c>
      <c r="G196" s="7">
        <v>1854</v>
      </c>
      <c r="H196" s="2">
        <v>441018</v>
      </c>
    </row>
    <row r="197" spans="1:8" x14ac:dyDescent="0.25">
      <c r="A197" t="str">
        <f t="shared" si="3"/>
        <v>200475+</v>
      </c>
      <c r="B197">
        <v>2004</v>
      </c>
      <c r="C197" t="s">
        <v>0</v>
      </c>
      <c r="D197" t="s">
        <v>26</v>
      </c>
      <c r="E197" t="s">
        <v>36</v>
      </c>
      <c r="F197" t="s">
        <v>20</v>
      </c>
      <c r="G197" s="7">
        <v>2094</v>
      </c>
      <c r="H197" s="2">
        <v>299301</v>
      </c>
    </row>
    <row r="198" spans="1:8" x14ac:dyDescent="0.25">
      <c r="A198" t="str">
        <f t="shared" si="3"/>
        <v>20050-4</v>
      </c>
      <c r="B198">
        <v>2005</v>
      </c>
      <c r="C198" t="s">
        <v>6</v>
      </c>
      <c r="D198" t="s">
        <v>26</v>
      </c>
      <c r="E198" t="s">
        <v>36</v>
      </c>
      <c r="F198" t="s">
        <v>20</v>
      </c>
      <c r="G198" s="7">
        <v>44</v>
      </c>
      <c r="H198" s="2">
        <v>1353852</v>
      </c>
    </row>
    <row r="199" spans="1:8" x14ac:dyDescent="0.25">
      <c r="A199" t="str">
        <f t="shared" si="3"/>
        <v>200515-24</v>
      </c>
      <c r="B199">
        <v>2005</v>
      </c>
      <c r="C199" t="s">
        <v>4</v>
      </c>
      <c r="D199" t="s">
        <v>26</v>
      </c>
      <c r="E199" t="s">
        <v>36</v>
      </c>
      <c r="F199" t="s">
        <v>20</v>
      </c>
      <c r="G199" s="7">
        <v>159</v>
      </c>
      <c r="H199" s="2">
        <v>2524017</v>
      </c>
    </row>
    <row r="200" spans="1:8" x14ac:dyDescent="0.25">
      <c r="A200" t="str">
        <f t="shared" si="3"/>
        <v>200525-44</v>
      </c>
      <c r="B200">
        <v>2005</v>
      </c>
      <c r="C200" t="s">
        <v>3</v>
      </c>
      <c r="D200" t="s">
        <v>26</v>
      </c>
      <c r="E200" t="s">
        <v>36</v>
      </c>
      <c r="F200" t="s">
        <v>20</v>
      </c>
      <c r="G200" s="7">
        <v>1195</v>
      </c>
      <c r="H200" s="2">
        <v>3881062</v>
      </c>
    </row>
    <row r="201" spans="1:8" x14ac:dyDescent="0.25">
      <c r="A201" t="str">
        <f t="shared" si="3"/>
        <v>200545-64</v>
      </c>
      <c r="B201">
        <v>2005</v>
      </c>
      <c r="C201" t="s">
        <v>2</v>
      </c>
      <c r="D201" t="s">
        <v>26</v>
      </c>
      <c r="E201" t="s">
        <v>36</v>
      </c>
      <c r="F201" t="s">
        <v>20</v>
      </c>
      <c r="G201" s="7">
        <v>3395</v>
      </c>
      <c r="H201" s="2">
        <v>2016148</v>
      </c>
    </row>
    <row r="202" spans="1:8" x14ac:dyDescent="0.25">
      <c r="A202" t="str">
        <f t="shared" si="3"/>
        <v>20055-14</v>
      </c>
      <c r="B202">
        <v>2005</v>
      </c>
      <c r="C202" t="s">
        <v>5</v>
      </c>
      <c r="D202" t="s">
        <v>26</v>
      </c>
      <c r="E202" t="s">
        <v>36</v>
      </c>
      <c r="F202" t="s">
        <v>20</v>
      </c>
      <c r="G202" s="7">
        <v>97</v>
      </c>
      <c r="H202" s="2">
        <v>2629864</v>
      </c>
    </row>
    <row r="203" spans="1:8" x14ac:dyDescent="0.25">
      <c r="A203" t="str">
        <f t="shared" si="3"/>
        <v>200565-74</v>
      </c>
      <c r="B203">
        <v>2005</v>
      </c>
      <c r="C203" t="s">
        <v>1</v>
      </c>
      <c r="D203" t="s">
        <v>26</v>
      </c>
      <c r="E203" t="s">
        <v>36</v>
      </c>
      <c r="F203" t="s">
        <v>20</v>
      </c>
      <c r="G203" s="7">
        <v>1876</v>
      </c>
      <c r="H203" s="2">
        <v>454245</v>
      </c>
    </row>
    <row r="204" spans="1:8" x14ac:dyDescent="0.25">
      <c r="A204" t="str">
        <f t="shared" si="3"/>
        <v>200575+</v>
      </c>
      <c r="B204">
        <v>2005</v>
      </c>
      <c r="C204" t="s">
        <v>0</v>
      </c>
      <c r="D204" t="s">
        <v>26</v>
      </c>
      <c r="E204" t="s">
        <v>36</v>
      </c>
      <c r="F204" t="s">
        <v>20</v>
      </c>
      <c r="G204" s="7">
        <v>2304</v>
      </c>
      <c r="H204" s="2">
        <v>312767</v>
      </c>
    </row>
    <row r="205" spans="1:8" x14ac:dyDescent="0.25">
      <c r="A205" t="str">
        <f t="shared" si="3"/>
        <v>20060-4</v>
      </c>
      <c r="B205">
        <v>2006</v>
      </c>
      <c r="C205" t="s">
        <v>6</v>
      </c>
      <c r="D205" t="s">
        <v>26</v>
      </c>
      <c r="E205" t="s">
        <v>36</v>
      </c>
      <c r="F205" t="s">
        <v>20</v>
      </c>
      <c r="G205" s="7">
        <v>52</v>
      </c>
      <c r="H205" s="2">
        <v>1354432</v>
      </c>
    </row>
    <row r="206" spans="1:8" x14ac:dyDescent="0.25">
      <c r="A206" t="str">
        <f t="shared" si="3"/>
        <v>200615-24</v>
      </c>
      <c r="B206">
        <v>2006</v>
      </c>
      <c r="C206" t="s">
        <v>4</v>
      </c>
      <c r="D206" t="s">
        <v>26</v>
      </c>
      <c r="E206" t="s">
        <v>36</v>
      </c>
      <c r="F206" t="s">
        <v>20</v>
      </c>
      <c r="G206" s="7">
        <v>148</v>
      </c>
      <c r="H206" s="2">
        <v>2544731</v>
      </c>
    </row>
    <row r="207" spans="1:8" x14ac:dyDescent="0.25">
      <c r="A207" t="str">
        <f t="shared" si="3"/>
        <v>200625-44</v>
      </c>
      <c r="B207">
        <v>2006</v>
      </c>
      <c r="C207" t="s">
        <v>3</v>
      </c>
      <c r="D207" t="s">
        <v>26</v>
      </c>
      <c r="E207" t="s">
        <v>36</v>
      </c>
      <c r="F207" t="s">
        <v>20</v>
      </c>
      <c r="G207" s="7">
        <v>1247</v>
      </c>
      <c r="H207" s="2">
        <v>3947836</v>
      </c>
    </row>
    <row r="208" spans="1:8" x14ac:dyDescent="0.25">
      <c r="A208" t="str">
        <f t="shared" si="3"/>
        <v>200645-64</v>
      </c>
      <c r="B208">
        <v>2006</v>
      </c>
      <c r="C208" t="s">
        <v>2</v>
      </c>
      <c r="D208" t="s">
        <v>26</v>
      </c>
      <c r="E208" t="s">
        <v>36</v>
      </c>
      <c r="F208" t="s">
        <v>20</v>
      </c>
      <c r="G208" s="7">
        <v>3489</v>
      </c>
      <c r="H208" s="2">
        <v>2100791</v>
      </c>
    </row>
    <row r="209" spans="1:8" x14ac:dyDescent="0.25">
      <c r="A209" t="str">
        <f t="shared" si="3"/>
        <v>20065-14</v>
      </c>
      <c r="B209">
        <v>2006</v>
      </c>
      <c r="C209" t="s">
        <v>5</v>
      </c>
      <c r="D209" t="s">
        <v>26</v>
      </c>
      <c r="E209" t="s">
        <v>36</v>
      </c>
      <c r="F209" t="s">
        <v>20</v>
      </c>
      <c r="G209" s="7">
        <v>110</v>
      </c>
      <c r="H209" s="2">
        <v>2638747</v>
      </c>
    </row>
    <row r="210" spans="1:8" x14ac:dyDescent="0.25">
      <c r="A210" t="str">
        <f t="shared" si="3"/>
        <v>200665-74</v>
      </c>
      <c r="B210">
        <v>2006</v>
      </c>
      <c r="C210" t="s">
        <v>1</v>
      </c>
      <c r="D210" t="s">
        <v>26</v>
      </c>
      <c r="E210" t="s">
        <v>36</v>
      </c>
      <c r="F210" t="s">
        <v>20</v>
      </c>
      <c r="G210" s="7">
        <v>1763</v>
      </c>
      <c r="H210" s="2">
        <v>468680</v>
      </c>
    </row>
    <row r="211" spans="1:8" x14ac:dyDescent="0.25">
      <c r="A211" t="str">
        <f t="shared" si="3"/>
        <v>200675+</v>
      </c>
      <c r="B211">
        <v>2006</v>
      </c>
      <c r="C211" t="s">
        <v>0</v>
      </c>
      <c r="D211" t="s">
        <v>26</v>
      </c>
      <c r="E211" t="s">
        <v>36</v>
      </c>
      <c r="F211" t="s">
        <v>20</v>
      </c>
      <c r="G211" s="7">
        <v>2321</v>
      </c>
      <c r="H211" s="2">
        <v>325672</v>
      </c>
    </row>
    <row r="212" spans="1:8" x14ac:dyDescent="0.25">
      <c r="A212" t="str">
        <f t="shared" si="3"/>
        <v>20070-4</v>
      </c>
      <c r="B212">
        <v>2007</v>
      </c>
      <c r="C212" t="s">
        <v>6</v>
      </c>
      <c r="D212" t="s">
        <v>26</v>
      </c>
      <c r="E212" t="s">
        <v>36</v>
      </c>
      <c r="F212" t="s">
        <v>20</v>
      </c>
      <c r="G212" s="7">
        <v>46</v>
      </c>
      <c r="H212" s="2">
        <v>1354234</v>
      </c>
    </row>
    <row r="213" spans="1:8" x14ac:dyDescent="0.25">
      <c r="A213" t="str">
        <f t="shared" si="3"/>
        <v>200715-24</v>
      </c>
      <c r="B213">
        <v>2007</v>
      </c>
      <c r="C213" t="s">
        <v>4</v>
      </c>
      <c r="D213" t="s">
        <v>26</v>
      </c>
      <c r="E213" t="s">
        <v>36</v>
      </c>
      <c r="F213" t="s">
        <v>20</v>
      </c>
      <c r="G213" s="7">
        <v>146</v>
      </c>
      <c r="H213" s="2">
        <v>2561885</v>
      </c>
    </row>
    <row r="214" spans="1:8" x14ac:dyDescent="0.25">
      <c r="A214" t="str">
        <f t="shared" si="3"/>
        <v>200725-44</v>
      </c>
      <c r="B214">
        <v>2007</v>
      </c>
      <c r="C214" t="s">
        <v>3</v>
      </c>
      <c r="D214" t="s">
        <v>26</v>
      </c>
      <c r="E214" t="s">
        <v>36</v>
      </c>
      <c r="F214" t="s">
        <v>20</v>
      </c>
      <c r="G214" s="7">
        <v>1220</v>
      </c>
      <c r="H214" s="2">
        <v>4016163</v>
      </c>
    </row>
    <row r="215" spans="1:8" x14ac:dyDescent="0.25">
      <c r="A215" t="str">
        <f t="shared" si="3"/>
        <v>200745-64</v>
      </c>
      <c r="B215">
        <v>2007</v>
      </c>
      <c r="C215" t="s">
        <v>2</v>
      </c>
      <c r="D215" t="s">
        <v>26</v>
      </c>
      <c r="E215" t="s">
        <v>36</v>
      </c>
      <c r="F215" t="s">
        <v>20</v>
      </c>
      <c r="G215" s="7">
        <v>3438</v>
      </c>
      <c r="H215" s="2">
        <v>2188071</v>
      </c>
    </row>
    <row r="216" spans="1:8" x14ac:dyDescent="0.25">
      <c r="A216" t="str">
        <f t="shared" si="3"/>
        <v>20075-14</v>
      </c>
      <c r="B216">
        <v>2007</v>
      </c>
      <c r="C216" t="s">
        <v>5</v>
      </c>
      <c r="D216" t="s">
        <v>26</v>
      </c>
      <c r="E216" t="s">
        <v>36</v>
      </c>
      <c r="F216" t="s">
        <v>20</v>
      </c>
      <c r="G216" s="7">
        <v>96</v>
      </c>
      <c r="H216" s="2">
        <v>2647233</v>
      </c>
    </row>
    <row r="217" spans="1:8" x14ac:dyDescent="0.25">
      <c r="A217" t="str">
        <f t="shared" si="3"/>
        <v>200765-74</v>
      </c>
      <c r="B217">
        <v>2007</v>
      </c>
      <c r="C217" t="s">
        <v>1</v>
      </c>
      <c r="D217" t="s">
        <v>26</v>
      </c>
      <c r="E217" t="s">
        <v>36</v>
      </c>
      <c r="F217" t="s">
        <v>20</v>
      </c>
      <c r="G217" s="7">
        <v>1997</v>
      </c>
      <c r="H217" s="2">
        <v>484321</v>
      </c>
    </row>
    <row r="218" spans="1:8" x14ac:dyDescent="0.25">
      <c r="A218" t="str">
        <f t="shared" si="3"/>
        <v>200775+</v>
      </c>
      <c r="B218">
        <v>2007</v>
      </c>
      <c r="C218" t="s">
        <v>0</v>
      </c>
      <c r="D218" t="s">
        <v>26</v>
      </c>
      <c r="E218" t="s">
        <v>36</v>
      </c>
      <c r="F218" t="s">
        <v>20</v>
      </c>
      <c r="G218" s="7">
        <v>2427</v>
      </c>
      <c r="H218" s="2">
        <v>338128</v>
      </c>
    </row>
    <row r="219" spans="1:8" x14ac:dyDescent="0.25">
      <c r="A219" t="str">
        <f t="shared" si="3"/>
        <v>20080-4</v>
      </c>
      <c r="B219">
        <v>2008</v>
      </c>
      <c r="C219" t="s">
        <v>6</v>
      </c>
      <c r="D219" t="s">
        <v>26</v>
      </c>
      <c r="E219" t="s">
        <v>36</v>
      </c>
      <c r="F219" t="s">
        <v>20</v>
      </c>
      <c r="G219" s="7">
        <v>44</v>
      </c>
      <c r="H219" s="2">
        <v>1353145</v>
      </c>
    </row>
    <row r="220" spans="1:8" x14ac:dyDescent="0.25">
      <c r="A220" t="str">
        <f t="shared" si="3"/>
        <v>200815-24</v>
      </c>
      <c r="B220">
        <v>2008</v>
      </c>
      <c r="C220" t="s">
        <v>4</v>
      </c>
      <c r="D220" t="s">
        <v>26</v>
      </c>
      <c r="E220" t="s">
        <v>36</v>
      </c>
      <c r="F220" t="s">
        <v>20</v>
      </c>
      <c r="G220" s="7">
        <v>144</v>
      </c>
      <c r="H220" s="2">
        <v>2575138</v>
      </c>
    </row>
    <row r="221" spans="1:8" x14ac:dyDescent="0.25">
      <c r="A221" t="str">
        <f t="shared" si="3"/>
        <v>200825-44</v>
      </c>
      <c r="B221">
        <v>2008</v>
      </c>
      <c r="C221" t="s">
        <v>3</v>
      </c>
      <c r="D221" t="s">
        <v>26</v>
      </c>
      <c r="E221" t="s">
        <v>36</v>
      </c>
      <c r="F221" t="s">
        <v>20</v>
      </c>
      <c r="G221" s="7">
        <v>1233</v>
      </c>
      <c r="H221" s="2">
        <v>4085944</v>
      </c>
    </row>
    <row r="222" spans="1:8" x14ac:dyDescent="0.25">
      <c r="A222" t="str">
        <f t="shared" si="3"/>
        <v>200845-64</v>
      </c>
      <c r="B222">
        <v>2008</v>
      </c>
      <c r="C222" t="s">
        <v>2</v>
      </c>
      <c r="D222" t="s">
        <v>26</v>
      </c>
      <c r="E222" t="s">
        <v>36</v>
      </c>
      <c r="F222" t="s">
        <v>20</v>
      </c>
      <c r="G222" s="7">
        <v>3672</v>
      </c>
      <c r="H222" s="2">
        <v>2277674</v>
      </c>
    </row>
    <row r="223" spans="1:8" x14ac:dyDescent="0.25">
      <c r="A223" t="str">
        <f t="shared" si="3"/>
        <v>20085-14</v>
      </c>
      <c r="B223">
        <v>2008</v>
      </c>
      <c r="C223" t="s">
        <v>5</v>
      </c>
      <c r="D223" t="s">
        <v>26</v>
      </c>
      <c r="E223" t="s">
        <v>36</v>
      </c>
      <c r="F223" t="s">
        <v>20</v>
      </c>
      <c r="G223" s="7">
        <v>93</v>
      </c>
      <c r="H223" s="2">
        <v>2655740</v>
      </c>
    </row>
    <row r="224" spans="1:8" x14ac:dyDescent="0.25">
      <c r="A224" t="str">
        <f t="shared" si="3"/>
        <v>200865-74</v>
      </c>
      <c r="B224">
        <v>2008</v>
      </c>
      <c r="C224" t="s">
        <v>1</v>
      </c>
      <c r="D224" t="s">
        <v>26</v>
      </c>
      <c r="E224" t="s">
        <v>36</v>
      </c>
      <c r="F224" t="s">
        <v>20</v>
      </c>
      <c r="G224" s="7">
        <v>1973</v>
      </c>
      <c r="H224" s="2">
        <v>501201</v>
      </c>
    </row>
    <row r="225" spans="1:8" x14ac:dyDescent="0.25">
      <c r="A225" t="str">
        <f t="shared" si="3"/>
        <v>200875+</v>
      </c>
      <c r="B225">
        <v>2008</v>
      </c>
      <c r="C225" t="s">
        <v>0</v>
      </c>
      <c r="D225" t="s">
        <v>26</v>
      </c>
      <c r="E225" t="s">
        <v>36</v>
      </c>
      <c r="F225" t="s">
        <v>20</v>
      </c>
      <c r="G225" s="7">
        <v>2477</v>
      </c>
      <c r="H225" s="2">
        <v>350235</v>
      </c>
    </row>
    <row r="226" spans="1:8" x14ac:dyDescent="0.25">
      <c r="A226" t="str">
        <f t="shared" si="3"/>
        <v>20090-4</v>
      </c>
      <c r="B226">
        <v>2009</v>
      </c>
      <c r="C226" t="s">
        <v>6</v>
      </c>
      <c r="D226" t="s">
        <v>26</v>
      </c>
      <c r="E226" t="s">
        <v>36</v>
      </c>
      <c r="F226" t="s">
        <v>20</v>
      </c>
      <c r="G226" s="7">
        <v>41</v>
      </c>
      <c r="H226" s="2">
        <v>1351158</v>
      </c>
    </row>
    <row r="227" spans="1:8" x14ac:dyDescent="0.25">
      <c r="A227" t="str">
        <f t="shared" si="3"/>
        <v>200915-24</v>
      </c>
      <c r="B227">
        <v>2009</v>
      </c>
      <c r="C227" t="s">
        <v>4</v>
      </c>
      <c r="D227" t="s">
        <v>26</v>
      </c>
      <c r="E227" t="s">
        <v>36</v>
      </c>
      <c r="F227" t="s">
        <v>20</v>
      </c>
      <c r="G227" s="7">
        <v>132</v>
      </c>
      <c r="H227" s="2">
        <v>2584791</v>
      </c>
    </row>
    <row r="228" spans="1:8" x14ac:dyDescent="0.25">
      <c r="A228" t="str">
        <f t="shared" si="3"/>
        <v>200925-44</v>
      </c>
      <c r="B228">
        <v>2009</v>
      </c>
      <c r="C228" t="s">
        <v>3</v>
      </c>
      <c r="D228" t="s">
        <v>26</v>
      </c>
      <c r="E228" t="s">
        <v>36</v>
      </c>
      <c r="F228" t="s">
        <v>20</v>
      </c>
      <c r="G228" s="7">
        <v>1231</v>
      </c>
      <c r="H228" s="2">
        <v>4156891</v>
      </c>
    </row>
    <row r="229" spans="1:8" x14ac:dyDescent="0.25">
      <c r="A229" t="str">
        <f t="shared" si="3"/>
        <v>200945-64</v>
      </c>
      <c r="B229">
        <v>2009</v>
      </c>
      <c r="C229" t="s">
        <v>2</v>
      </c>
      <c r="D229" t="s">
        <v>26</v>
      </c>
      <c r="E229" t="s">
        <v>36</v>
      </c>
      <c r="F229" t="s">
        <v>20</v>
      </c>
      <c r="G229" s="7">
        <v>3850</v>
      </c>
      <c r="H229" s="2">
        <v>2369589</v>
      </c>
    </row>
    <row r="230" spans="1:8" x14ac:dyDescent="0.25">
      <c r="A230" t="str">
        <f t="shared" si="3"/>
        <v>20095-14</v>
      </c>
      <c r="B230">
        <v>2009</v>
      </c>
      <c r="C230" t="s">
        <v>5</v>
      </c>
      <c r="D230" t="s">
        <v>26</v>
      </c>
      <c r="E230" t="s">
        <v>36</v>
      </c>
      <c r="F230" t="s">
        <v>20</v>
      </c>
      <c r="G230" s="7">
        <v>81</v>
      </c>
      <c r="H230" s="2">
        <v>2664671</v>
      </c>
    </row>
    <row r="231" spans="1:8" x14ac:dyDescent="0.25">
      <c r="A231" t="str">
        <f t="shared" si="3"/>
        <v>200965-74</v>
      </c>
      <c r="B231">
        <v>2009</v>
      </c>
      <c r="C231" t="s">
        <v>1</v>
      </c>
      <c r="D231" t="s">
        <v>26</v>
      </c>
      <c r="E231" t="s">
        <v>36</v>
      </c>
      <c r="F231" t="s">
        <v>20</v>
      </c>
      <c r="G231" s="7">
        <v>2067</v>
      </c>
      <c r="H231" s="2">
        <v>519377</v>
      </c>
    </row>
    <row r="232" spans="1:8" x14ac:dyDescent="0.25">
      <c r="A232" t="str">
        <f t="shared" si="3"/>
        <v>200975+</v>
      </c>
      <c r="B232">
        <v>2009</v>
      </c>
      <c r="C232" t="s">
        <v>0</v>
      </c>
      <c r="D232" t="s">
        <v>26</v>
      </c>
      <c r="E232" t="s">
        <v>36</v>
      </c>
      <c r="F232" t="s">
        <v>20</v>
      </c>
      <c r="G232" s="7">
        <v>2552</v>
      </c>
      <c r="H232" s="2">
        <v>362131</v>
      </c>
    </row>
    <row r="233" spans="1:8" x14ac:dyDescent="0.25">
      <c r="A233" t="str">
        <f t="shared" si="3"/>
        <v>20100-4</v>
      </c>
      <c r="B233">
        <v>2010</v>
      </c>
      <c r="C233" t="s">
        <v>6</v>
      </c>
      <c r="D233" t="s">
        <v>26</v>
      </c>
      <c r="E233" t="s">
        <v>36</v>
      </c>
      <c r="F233" t="s">
        <v>20</v>
      </c>
      <c r="G233" s="7">
        <v>54</v>
      </c>
      <c r="H233" s="2">
        <v>1348289</v>
      </c>
    </row>
    <row r="234" spans="1:8" x14ac:dyDescent="0.25">
      <c r="A234" t="str">
        <f t="shared" si="3"/>
        <v>201015-24</v>
      </c>
      <c r="B234">
        <v>2010</v>
      </c>
      <c r="C234" t="s">
        <v>4</v>
      </c>
      <c r="D234" t="s">
        <v>26</v>
      </c>
      <c r="E234" t="s">
        <v>36</v>
      </c>
      <c r="F234" t="s">
        <v>20</v>
      </c>
      <c r="G234" s="7">
        <v>136</v>
      </c>
      <c r="H234" s="2">
        <v>2590746</v>
      </c>
    </row>
    <row r="235" spans="1:8" x14ac:dyDescent="0.25">
      <c r="A235" t="str">
        <f t="shared" si="3"/>
        <v>201025-44</v>
      </c>
      <c r="B235">
        <v>2010</v>
      </c>
      <c r="C235" t="s">
        <v>3</v>
      </c>
      <c r="D235" t="s">
        <v>26</v>
      </c>
      <c r="E235" t="s">
        <v>36</v>
      </c>
      <c r="F235" t="s">
        <v>20</v>
      </c>
      <c r="G235" s="7">
        <v>1338</v>
      </c>
      <c r="H235" s="2">
        <v>4228246</v>
      </c>
    </row>
    <row r="236" spans="1:8" x14ac:dyDescent="0.25">
      <c r="A236" t="str">
        <f t="shared" si="3"/>
        <v>201045-64</v>
      </c>
      <c r="B236">
        <v>2010</v>
      </c>
      <c r="C236" t="s">
        <v>2</v>
      </c>
      <c r="D236" t="s">
        <v>26</v>
      </c>
      <c r="E236" t="s">
        <v>36</v>
      </c>
      <c r="F236" t="s">
        <v>20</v>
      </c>
      <c r="G236" s="7">
        <v>3915</v>
      </c>
      <c r="H236" s="2">
        <v>2464321</v>
      </c>
    </row>
    <row r="237" spans="1:8" x14ac:dyDescent="0.25">
      <c r="A237" t="str">
        <f t="shared" si="3"/>
        <v>20105-14</v>
      </c>
      <c r="B237">
        <v>2010</v>
      </c>
      <c r="C237" t="s">
        <v>5</v>
      </c>
      <c r="D237" t="s">
        <v>26</v>
      </c>
      <c r="E237" t="s">
        <v>36</v>
      </c>
      <c r="F237" t="s">
        <v>20</v>
      </c>
      <c r="G237" s="7">
        <v>96</v>
      </c>
      <c r="H237" s="2">
        <v>2674173</v>
      </c>
    </row>
    <row r="238" spans="1:8" x14ac:dyDescent="0.25">
      <c r="A238" t="str">
        <f t="shared" si="3"/>
        <v>201065-74</v>
      </c>
      <c r="B238">
        <v>2010</v>
      </c>
      <c r="C238" t="s">
        <v>1</v>
      </c>
      <c r="D238" t="s">
        <v>26</v>
      </c>
      <c r="E238" t="s">
        <v>36</v>
      </c>
      <c r="F238" t="s">
        <v>20</v>
      </c>
      <c r="G238" s="7">
        <v>2083</v>
      </c>
      <c r="H238" s="2">
        <v>538921</v>
      </c>
    </row>
    <row r="239" spans="1:8" x14ac:dyDescent="0.25">
      <c r="A239" t="str">
        <f t="shared" si="3"/>
        <v>201075+</v>
      </c>
      <c r="B239">
        <v>2010</v>
      </c>
      <c r="C239" t="s">
        <v>0</v>
      </c>
      <c r="D239" t="s">
        <v>26</v>
      </c>
      <c r="E239" t="s">
        <v>36</v>
      </c>
      <c r="F239" t="s">
        <v>20</v>
      </c>
      <c r="G239" s="7">
        <v>2647</v>
      </c>
      <c r="H239" s="2">
        <v>373918</v>
      </c>
    </row>
    <row r="240" spans="1:8" x14ac:dyDescent="0.25">
      <c r="A240" t="str">
        <f t="shared" si="3"/>
        <v>20110-4</v>
      </c>
      <c r="B240">
        <v>2011</v>
      </c>
      <c r="C240" t="s">
        <v>6</v>
      </c>
      <c r="D240" t="s">
        <v>26</v>
      </c>
      <c r="E240" t="s">
        <v>36</v>
      </c>
      <c r="F240" t="s">
        <v>20</v>
      </c>
      <c r="G240" s="7">
        <v>63</v>
      </c>
      <c r="H240" s="2">
        <v>1344595</v>
      </c>
    </row>
    <row r="241" spans="1:8" x14ac:dyDescent="0.25">
      <c r="A241" t="str">
        <f t="shared" si="3"/>
        <v>201115-24</v>
      </c>
      <c r="B241">
        <v>2011</v>
      </c>
      <c r="C241" t="s">
        <v>4</v>
      </c>
      <c r="D241" t="s">
        <v>26</v>
      </c>
      <c r="E241" t="s">
        <v>36</v>
      </c>
      <c r="F241" t="s">
        <v>20</v>
      </c>
      <c r="G241" s="7">
        <v>131</v>
      </c>
      <c r="H241" s="2">
        <v>2593350</v>
      </c>
    </row>
    <row r="242" spans="1:8" x14ac:dyDescent="0.25">
      <c r="A242" t="str">
        <f t="shared" si="3"/>
        <v>201125-44</v>
      </c>
      <c r="B242">
        <v>2011</v>
      </c>
      <c r="C242" t="s">
        <v>3</v>
      </c>
      <c r="D242" t="s">
        <v>26</v>
      </c>
      <c r="E242" t="s">
        <v>36</v>
      </c>
      <c r="F242" t="s">
        <v>20</v>
      </c>
      <c r="G242" s="7">
        <v>1358</v>
      </c>
      <c r="H242" s="2">
        <v>4299392</v>
      </c>
    </row>
    <row r="243" spans="1:8" x14ac:dyDescent="0.25">
      <c r="A243" t="str">
        <f t="shared" si="3"/>
        <v>201145-64</v>
      </c>
      <c r="B243">
        <v>2011</v>
      </c>
      <c r="C243" t="s">
        <v>2</v>
      </c>
      <c r="D243" t="s">
        <v>26</v>
      </c>
      <c r="E243" t="s">
        <v>36</v>
      </c>
      <c r="F243" t="s">
        <v>20</v>
      </c>
      <c r="G243" s="7">
        <v>4243</v>
      </c>
      <c r="H243" s="2">
        <v>2561836</v>
      </c>
    </row>
    <row r="244" spans="1:8" x14ac:dyDescent="0.25">
      <c r="A244" t="str">
        <f t="shared" si="3"/>
        <v>20115-14</v>
      </c>
      <c r="B244">
        <v>2011</v>
      </c>
      <c r="C244" t="s">
        <v>5</v>
      </c>
      <c r="D244" t="s">
        <v>26</v>
      </c>
      <c r="E244" t="s">
        <v>36</v>
      </c>
      <c r="F244" t="s">
        <v>20</v>
      </c>
      <c r="G244" s="7">
        <v>116</v>
      </c>
      <c r="H244" s="2">
        <v>2684312</v>
      </c>
    </row>
    <row r="245" spans="1:8" x14ac:dyDescent="0.25">
      <c r="A245" t="str">
        <f t="shared" si="3"/>
        <v>201165-74</v>
      </c>
      <c r="B245">
        <v>2011</v>
      </c>
      <c r="C245" t="s">
        <v>1</v>
      </c>
      <c r="D245" t="s">
        <v>26</v>
      </c>
      <c r="E245" t="s">
        <v>36</v>
      </c>
      <c r="F245" t="s">
        <v>20</v>
      </c>
      <c r="G245" s="7">
        <v>2248</v>
      </c>
      <c r="H245" s="2">
        <v>559899</v>
      </c>
    </row>
    <row r="246" spans="1:8" x14ac:dyDescent="0.25">
      <c r="A246" t="str">
        <f t="shared" si="3"/>
        <v>201175+</v>
      </c>
      <c r="B246">
        <v>2011</v>
      </c>
      <c r="C246" t="s">
        <v>0</v>
      </c>
      <c r="D246" t="s">
        <v>26</v>
      </c>
      <c r="E246" t="s">
        <v>36</v>
      </c>
      <c r="F246" t="s">
        <v>20</v>
      </c>
      <c r="G246" s="7">
        <v>2746</v>
      </c>
      <c r="H246" s="2">
        <v>385721</v>
      </c>
    </row>
    <row r="247" spans="1:8" x14ac:dyDescent="0.25">
      <c r="A247" t="str">
        <f t="shared" si="3"/>
        <v>20120-4</v>
      </c>
      <c r="B247">
        <v>2012</v>
      </c>
      <c r="C247" t="s">
        <v>6</v>
      </c>
      <c r="D247" t="s">
        <v>26</v>
      </c>
      <c r="E247" t="s">
        <v>36</v>
      </c>
      <c r="F247" t="s">
        <v>20</v>
      </c>
      <c r="G247" s="7">
        <v>75</v>
      </c>
      <c r="H247" s="2">
        <v>1340586.3214094499</v>
      </c>
    </row>
    <row r="248" spans="1:8" x14ac:dyDescent="0.25">
      <c r="A248" t="str">
        <f t="shared" si="3"/>
        <v>201215-24</v>
      </c>
      <c r="B248">
        <v>2012</v>
      </c>
      <c r="C248" t="s">
        <v>4</v>
      </c>
      <c r="D248" t="s">
        <v>26</v>
      </c>
      <c r="E248" t="s">
        <v>36</v>
      </c>
      <c r="F248" t="s">
        <v>20</v>
      </c>
      <c r="G248" s="7">
        <v>160</v>
      </c>
      <c r="H248" s="2">
        <v>2596932.5593387499</v>
      </c>
    </row>
    <row r="249" spans="1:8" x14ac:dyDescent="0.25">
      <c r="A249" t="str">
        <f t="shared" si="3"/>
        <v>201225-44</v>
      </c>
      <c r="B249">
        <v>2012</v>
      </c>
      <c r="C249" t="s">
        <v>3</v>
      </c>
      <c r="D249" t="s">
        <v>26</v>
      </c>
      <c r="E249" t="s">
        <v>36</v>
      </c>
      <c r="F249" t="s">
        <v>20</v>
      </c>
      <c r="G249" s="7">
        <v>1305</v>
      </c>
      <c r="H249" s="2">
        <v>4370928.8062696801</v>
      </c>
    </row>
    <row r="250" spans="1:8" x14ac:dyDescent="0.25">
      <c r="A250" t="str">
        <f t="shared" si="3"/>
        <v>201245-64</v>
      </c>
      <c r="B250">
        <v>2012</v>
      </c>
      <c r="C250" t="s">
        <v>2</v>
      </c>
      <c r="D250" t="s">
        <v>26</v>
      </c>
      <c r="E250" t="s">
        <v>36</v>
      </c>
      <c r="F250" t="s">
        <v>20</v>
      </c>
      <c r="G250" s="7">
        <v>4528</v>
      </c>
      <c r="H250" s="2">
        <v>2658291.2681631502</v>
      </c>
    </row>
    <row r="251" spans="1:8" x14ac:dyDescent="0.25">
      <c r="A251" t="str">
        <f t="shared" si="3"/>
        <v>20125-14</v>
      </c>
      <c r="B251">
        <v>2012</v>
      </c>
      <c r="C251" t="s">
        <v>5</v>
      </c>
      <c r="D251" t="s">
        <v>26</v>
      </c>
      <c r="E251" t="s">
        <v>36</v>
      </c>
      <c r="F251" t="s">
        <v>20</v>
      </c>
      <c r="G251" s="7">
        <v>116</v>
      </c>
      <c r="H251" s="2">
        <v>2693165.8826794801</v>
      </c>
    </row>
    <row r="252" spans="1:8" x14ac:dyDescent="0.25">
      <c r="A252" t="str">
        <f t="shared" si="3"/>
        <v>201265-74</v>
      </c>
      <c r="B252">
        <v>2012</v>
      </c>
      <c r="C252" t="s">
        <v>1</v>
      </c>
      <c r="D252" t="s">
        <v>26</v>
      </c>
      <c r="E252" t="s">
        <v>36</v>
      </c>
      <c r="F252" t="s">
        <v>20</v>
      </c>
      <c r="G252" s="7">
        <v>2197</v>
      </c>
      <c r="H252" s="2">
        <v>582433.94467592705</v>
      </c>
    </row>
    <row r="253" spans="1:8" x14ac:dyDescent="0.25">
      <c r="A253" t="str">
        <f t="shared" si="3"/>
        <v>201275+</v>
      </c>
      <c r="B253">
        <v>2012</v>
      </c>
      <c r="C253" t="s">
        <v>0</v>
      </c>
      <c r="D253" t="s">
        <v>26</v>
      </c>
      <c r="E253" t="s">
        <v>36</v>
      </c>
      <c r="F253" t="s">
        <v>20</v>
      </c>
      <c r="G253" s="7">
        <v>2945</v>
      </c>
      <c r="H253" s="2">
        <v>398069.84835797001</v>
      </c>
    </row>
    <row r="254" spans="1:8" x14ac:dyDescent="0.25">
      <c r="A254" t="str">
        <f t="shared" si="3"/>
        <v>20130-4</v>
      </c>
      <c r="B254">
        <v>2013</v>
      </c>
      <c r="C254" t="s">
        <v>6</v>
      </c>
      <c r="D254" t="s">
        <v>26</v>
      </c>
      <c r="E254" t="s">
        <v>36</v>
      </c>
      <c r="F254" t="s">
        <v>20</v>
      </c>
      <c r="G254" s="7">
        <v>44</v>
      </c>
      <c r="H254" s="2">
        <v>1336364.77993838</v>
      </c>
    </row>
    <row r="255" spans="1:8" x14ac:dyDescent="0.25">
      <c r="A255" t="str">
        <f t="shared" si="3"/>
        <v>201315-24</v>
      </c>
      <c r="B255">
        <v>2013</v>
      </c>
      <c r="C255" t="s">
        <v>4</v>
      </c>
      <c r="D255" t="s">
        <v>26</v>
      </c>
      <c r="E255" t="s">
        <v>36</v>
      </c>
      <c r="F255" t="s">
        <v>20</v>
      </c>
      <c r="G255" s="7">
        <v>158</v>
      </c>
      <c r="H255" s="2">
        <v>2602650.6589393602</v>
      </c>
    </row>
    <row r="256" spans="1:8" x14ac:dyDescent="0.25">
      <c r="A256" t="str">
        <f t="shared" si="3"/>
        <v>201325-44</v>
      </c>
      <c r="B256">
        <v>2013</v>
      </c>
      <c r="C256" t="s">
        <v>3</v>
      </c>
      <c r="D256" t="s">
        <v>26</v>
      </c>
      <c r="E256" t="s">
        <v>36</v>
      </c>
      <c r="F256" t="s">
        <v>20</v>
      </c>
      <c r="G256" s="7">
        <v>1362</v>
      </c>
      <c r="H256" s="2">
        <v>4442157.0636299504</v>
      </c>
    </row>
    <row r="257" spans="1:8" x14ac:dyDescent="0.25">
      <c r="A257" t="str">
        <f t="shared" si="3"/>
        <v>201345-64</v>
      </c>
      <c r="B257">
        <v>2013</v>
      </c>
      <c r="C257" t="s">
        <v>2</v>
      </c>
      <c r="D257" t="s">
        <v>26</v>
      </c>
      <c r="E257" t="s">
        <v>36</v>
      </c>
      <c r="F257" t="s">
        <v>20</v>
      </c>
      <c r="G257" s="7">
        <v>4444</v>
      </c>
      <c r="H257" s="2">
        <v>2752738.9724179399</v>
      </c>
    </row>
    <row r="258" spans="1:8" x14ac:dyDescent="0.25">
      <c r="A258" t="str">
        <f t="shared" ref="A258:A321" si="4">+CONCATENATE(B258,C258)</f>
        <v>20135-14</v>
      </c>
      <c r="B258">
        <v>2013</v>
      </c>
      <c r="C258" t="s">
        <v>5</v>
      </c>
      <c r="D258" t="s">
        <v>26</v>
      </c>
      <c r="E258" t="s">
        <v>36</v>
      </c>
      <c r="F258" t="s">
        <v>20</v>
      </c>
      <c r="G258" s="7">
        <v>109</v>
      </c>
      <c r="H258" s="2">
        <v>2699988.6782491799</v>
      </c>
    </row>
    <row r="259" spans="1:8" x14ac:dyDescent="0.25">
      <c r="A259" t="str">
        <f t="shared" si="4"/>
        <v>201365-74</v>
      </c>
      <c r="B259">
        <v>2013</v>
      </c>
      <c r="C259" t="s">
        <v>1</v>
      </c>
      <c r="D259" t="s">
        <v>26</v>
      </c>
      <c r="E259" t="s">
        <v>36</v>
      </c>
      <c r="F259" t="s">
        <v>20</v>
      </c>
      <c r="G259" s="7">
        <v>2409</v>
      </c>
      <c r="H259" s="2">
        <v>606480.27141564596</v>
      </c>
    </row>
    <row r="260" spans="1:8" x14ac:dyDescent="0.25">
      <c r="A260" t="str">
        <f t="shared" si="4"/>
        <v>201375+</v>
      </c>
      <c r="B260">
        <v>2013</v>
      </c>
      <c r="C260" t="s">
        <v>0</v>
      </c>
      <c r="D260" t="s">
        <v>26</v>
      </c>
      <c r="E260" t="s">
        <v>36</v>
      </c>
      <c r="F260" t="s">
        <v>20</v>
      </c>
      <c r="G260" s="7">
        <v>2930</v>
      </c>
      <c r="H260" s="2">
        <v>411257.72175729403</v>
      </c>
    </row>
    <row r="261" spans="1:8" x14ac:dyDescent="0.25">
      <c r="A261" t="str">
        <f t="shared" si="4"/>
        <v>20140-4</v>
      </c>
      <c r="B261">
        <v>2014</v>
      </c>
      <c r="C261" t="s">
        <v>6</v>
      </c>
      <c r="D261" t="s">
        <v>26</v>
      </c>
      <c r="E261" t="s">
        <v>36</v>
      </c>
      <c r="F261" t="s">
        <v>20</v>
      </c>
      <c r="G261" s="7">
        <v>61</v>
      </c>
      <c r="H261" s="2">
        <v>1331891</v>
      </c>
    </row>
    <row r="262" spans="1:8" x14ac:dyDescent="0.25">
      <c r="A262" t="str">
        <f t="shared" si="4"/>
        <v>201415-24</v>
      </c>
      <c r="B262">
        <v>2014</v>
      </c>
      <c r="C262" t="s">
        <v>4</v>
      </c>
      <c r="D262" t="s">
        <v>26</v>
      </c>
      <c r="E262" t="s">
        <v>36</v>
      </c>
      <c r="F262" t="s">
        <v>20</v>
      </c>
      <c r="G262" s="7">
        <v>151</v>
      </c>
      <c r="H262" s="2">
        <v>2610538</v>
      </c>
    </row>
    <row r="263" spans="1:8" x14ac:dyDescent="0.25">
      <c r="A263" t="str">
        <f t="shared" si="4"/>
        <v>201425-44</v>
      </c>
      <c r="B263">
        <v>2014</v>
      </c>
      <c r="C263" t="s">
        <v>3</v>
      </c>
      <c r="D263" t="s">
        <v>26</v>
      </c>
      <c r="E263" t="s">
        <v>36</v>
      </c>
      <c r="F263" t="s">
        <v>20</v>
      </c>
      <c r="G263" s="7">
        <v>1352</v>
      </c>
      <c r="H263" s="2">
        <v>4511948</v>
      </c>
    </row>
    <row r="264" spans="1:8" x14ac:dyDescent="0.25">
      <c r="A264" t="str">
        <f t="shared" si="4"/>
        <v>201445-64</v>
      </c>
      <c r="B264">
        <v>2014</v>
      </c>
      <c r="C264" t="s">
        <v>2</v>
      </c>
      <c r="D264" t="s">
        <v>26</v>
      </c>
      <c r="E264" t="s">
        <v>36</v>
      </c>
      <c r="F264" t="s">
        <v>20</v>
      </c>
      <c r="G264" s="7">
        <v>4651</v>
      </c>
      <c r="H264" s="2">
        <v>2845267</v>
      </c>
    </row>
    <row r="265" spans="1:8" x14ac:dyDescent="0.25">
      <c r="A265" t="str">
        <f t="shared" si="4"/>
        <v>20145-14</v>
      </c>
      <c r="B265">
        <v>2014</v>
      </c>
      <c r="C265" t="s">
        <v>5</v>
      </c>
      <c r="D265" t="s">
        <v>26</v>
      </c>
      <c r="E265" t="s">
        <v>36</v>
      </c>
      <c r="F265" t="s">
        <v>20</v>
      </c>
      <c r="G265" s="7">
        <v>83</v>
      </c>
      <c r="H265" s="2">
        <v>2704490</v>
      </c>
    </row>
    <row r="266" spans="1:8" x14ac:dyDescent="0.25">
      <c r="A266" t="str">
        <f t="shared" si="4"/>
        <v>201465-74</v>
      </c>
      <c r="B266">
        <v>2014</v>
      </c>
      <c r="C266" t="s">
        <v>1</v>
      </c>
      <c r="D266" t="s">
        <v>26</v>
      </c>
      <c r="E266" t="s">
        <v>36</v>
      </c>
      <c r="F266" t="s">
        <v>20</v>
      </c>
      <c r="G266" s="7">
        <v>2538</v>
      </c>
      <c r="H266" s="2">
        <v>631943</v>
      </c>
    </row>
    <row r="267" spans="1:8" x14ac:dyDescent="0.25">
      <c r="A267" t="str">
        <f t="shared" si="4"/>
        <v>201475+</v>
      </c>
      <c r="B267">
        <v>2014</v>
      </c>
      <c r="C267" t="s">
        <v>0</v>
      </c>
      <c r="D267" t="s">
        <v>26</v>
      </c>
      <c r="E267" t="s">
        <v>36</v>
      </c>
      <c r="F267" t="s">
        <v>20</v>
      </c>
      <c r="G267" s="7">
        <v>3174</v>
      </c>
      <c r="H267" s="2">
        <v>425486</v>
      </c>
    </row>
    <row r="268" spans="1:8" x14ac:dyDescent="0.25">
      <c r="A268" t="str">
        <f t="shared" si="4"/>
        <v>19960-4</v>
      </c>
      <c r="B268">
        <v>1996</v>
      </c>
      <c r="C268" t="s">
        <v>6</v>
      </c>
      <c r="D268" t="s">
        <v>26</v>
      </c>
      <c r="E268" t="s">
        <v>37</v>
      </c>
      <c r="F268" t="s">
        <v>19</v>
      </c>
      <c r="G268" s="7">
        <v>6</v>
      </c>
      <c r="H268" s="2">
        <v>1308550.7828250399</v>
      </c>
    </row>
    <row r="269" spans="1:8" x14ac:dyDescent="0.25">
      <c r="A269" t="str">
        <f t="shared" si="4"/>
        <v>199615-24</v>
      </c>
      <c r="B269">
        <v>1996</v>
      </c>
      <c r="C269" t="s">
        <v>4</v>
      </c>
      <c r="D269" t="s">
        <v>26</v>
      </c>
      <c r="E269" t="s">
        <v>37</v>
      </c>
      <c r="F269" t="s">
        <v>19</v>
      </c>
      <c r="G269" s="7">
        <v>28</v>
      </c>
      <c r="H269" s="2">
        <v>2136825.68729656</v>
      </c>
    </row>
    <row r="270" spans="1:8" x14ac:dyDescent="0.25">
      <c r="A270" t="str">
        <f t="shared" si="4"/>
        <v>199625-44</v>
      </c>
      <c r="B270">
        <v>1996</v>
      </c>
      <c r="C270" t="s">
        <v>3</v>
      </c>
      <c r="D270" t="s">
        <v>26</v>
      </c>
      <c r="E270" t="s">
        <v>37</v>
      </c>
      <c r="F270" t="s">
        <v>19</v>
      </c>
      <c r="G270" s="7">
        <v>261</v>
      </c>
      <c r="H270" s="2">
        <v>3245545.2890741802</v>
      </c>
    </row>
    <row r="271" spans="1:8" x14ac:dyDescent="0.25">
      <c r="A271" t="str">
        <f t="shared" si="4"/>
        <v>199645-64</v>
      </c>
      <c r="B271">
        <v>1996</v>
      </c>
      <c r="C271" t="s">
        <v>2</v>
      </c>
      <c r="D271" t="s">
        <v>26</v>
      </c>
      <c r="E271" t="s">
        <v>37</v>
      </c>
      <c r="F271" t="s">
        <v>19</v>
      </c>
      <c r="G271" s="7">
        <v>792</v>
      </c>
      <c r="H271" s="2">
        <v>1448877.9572723201</v>
      </c>
    </row>
    <row r="272" spans="1:8" x14ac:dyDescent="0.25">
      <c r="A272" t="str">
        <f t="shared" si="4"/>
        <v>19965-14</v>
      </c>
      <c r="B272">
        <v>1996</v>
      </c>
      <c r="C272" t="s">
        <v>5</v>
      </c>
      <c r="D272" t="s">
        <v>26</v>
      </c>
      <c r="E272" t="s">
        <v>37</v>
      </c>
      <c r="F272" t="s">
        <v>19</v>
      </c>
      <c r="G272" s="7">
        <v>9</v>
      </c>
      <c r="H272" s="2">
        <v>2617766.7452121698</v>
      </c>
    </row>
    <row r="273" spans="1:8" x14ac:dyDescent="0.25">
      <c r="A273" t="str">
        <f t="shared" si="4"/>
        <v>199665-74</v>
      </c>
      <c r="B273">
        <v>1996</v>
      </c>
      <c r="C273" t="s">
        <v>1</v>
      </c>
      <c r="D273" t="s">
        <v>26</v>
      </c>
      <c r="E273" t="s">
        <v>37</v>
      </c>
      <c r="F273" t="s">
        <v>19</v>
      </c>
      <c r="G273" s="7">
        <v>820</v>
      </c>
      <c r="H273" s="2">
        <v>373487.34083337098</v>
      </c>
    </row>
    <row r="274" spans="1:8" x14ac:dyDescent="0.25">
      <c r="A274" t="str">
        <f t="shared" si="4"/>
        <v>199675+</v>
      </c>
      <c r="B274">
        <v>1996</v>
      </c>
      <c r="C274" t="s">
        <v>0</v>
      </c>
      <c r="D274" t="s">
        <v>26</v>
      </c>
      <c r="E274" t="s">
        <v>37</v>
      </c>
      <c r="F274" t="s">
        <v>19</v>
      </c>
      <c r="G274" s="7">
        <v>1961</v>
      </c>
      <c r="H274" s="2">
        <v>186458.585231801</v>
      </c>
    </row>
    <row r="275" spans="1:8" x14ac:dyDescent="0.25">
      <c r="A275" t="str">
        <f t="shared" si="4"/>
        <v>19970-4</v>
      </c>
      <c r="B275">
        <v>1997</v>
      </c>
      <c r="C275" t="s">
        <v>6</v>
      </c>
      <c r="D275" t="s">
        <v>26</v>
      </c>
      <c r="E275" t="s">
        <v>37</v>
      </c>
      <c r="F275" t="s">
        <v>19</v>
      </c>
      <c r="G275" s="7">
        <v>4</v>
      </c>
      <c r="H275" s="2">
        <v>1317732.8696950199</v>
      </c>
    </row>
    <row r="276" spans="1:8" x14ac:dyDescent="0.25">
      <c r="A276" t="str">
        <f t="shared" si="4"/>
        <v>199715-24</v>
      </c>
      <c r="B276">
        <v>1997</v>
      </c>
      <c r="C276" t="s">
        <v>4</v>
      </c>
      <c r="D276" t="s">
        <v>26</v>
      </c>
      <c r="E276" t="s">
        <v>37</v>
      </c>
      <c r="F276" t="s">
        <v>19</v>
      </c>
      <c r="G276" s="7">
        <v>27</v>
      </c>
      <c r="H276" s="2">
        <v>2190257.4123779298</v>
      </c>
    </row>
    <row r="277" spans="1:8" x14ac:dyDescent="0.25">
      <c r="A277" t="str">
        <f t="shared" si="4"/>
        <v>199725-44</v>
      </c>
      <c r="B277">
        <v>1997</v>
      </c>
      <c r="C277" t="s">
        <v>3</v>
      </c>
      <c r="D277" t="s">
        <v>26</v>
      </c>
      <c r="E277" t="s">
        <v>37</v>
      </c>
      <c r="F277" t="s">
        <v>19</v>
      </c>
      <c r="G277" s="7">
        <v>289</v>
      </c>
      <c r="H277" s="2">
        <v>3319788.9734445098</v>
      </c>
    </row>
    <row r="278" spans="1:8" x14ac:dyDescent="0.25">
      <c r="A278" t="str">
        <f t="shared" si="4"/>
        <v>199745-64</v>
      </c>
      <c r="B278">
        <v>1997</v>
      </c>
      <c r="C278" t="s">
        <v>2</v>
      </c>
      <c r="D278" t="s">
        <v>26</v>
      </c>
      <c r="E278" t="s">
        <v>37</v>
      </c>
      <c r="F278" t="s">
        <v>19</v>
      </c>
      <c r="G278" s="7">
        <v>764</v>
      </c>
      <c r="H278" s="2">
        <v>1494497.7743633899</v>
      </c>
    </row>
    <row r="279" spans="1:8" x14ac:dyDescent="0.25">
      <c r="A279" t="str">
        <f t="shared" si="4"/>
        <v>19975-14</v>
      </c>
      <c r="B279">
        <v>1997</v>
      </c>
      <c r="C279" t="s">
        <v>5</v>
      </c>
      <c r="D279" t="s">
        <v>26</v>
      </c>
      <c r="E279" t="s">
        <v>37</v>
      </c>
      <c r="F279" t="s">
        <v>19</v>
      </c>
      <c r="G279" s="7">
        <v>14</v>
      </c>
      <c r="H279" s="2">
        <v>2625110.0471272999</v>
      </c>
    </row>
    <row r="280" spans="1:8" x14ac:dyDescent="0.25">
      <c r="A280" t="str">
        <f t="shared" si="4"/>
        <v>199765-74</v>
      </c>
      <c r="B280">
        <v>1997</v>
      </c>
      <c r="C280" t="s">
        <v>1</v>
      </c>
      <c r="D280" t="s">
        <v>26</v>
      </c>
      <c r="E280" t="s">
        <v>37</v>
      </c>
      <c r="F280" t="s">
        <v>19</v>
      </c>
      <c r="G280" s="7">
        <v>758</v>
      </c>
      <c r="H280" s="2">
        <v>377918.60450002301</v>
      </c>
    </row>
    <row r="281" spans="1:8" x14ac:dyDescent="0.25">
      <c r="A281" t="str">
        <f t="shared" si="4"/>
        <v>199775+</v>
      </c>
      <c r="B281">
        <v>1997</v>
      </c>
      <c r="C281" t="s">
        <v>0</v>
      </c>
      <c r="D281" t="s">
        <v>26</v>
      </c>
      <c r="E281" t="s">
        <v>37</v>
      </c>
      <c r="F281" t="s">
        <v>19</v>
      </c>
      <c r="G281" s="7">
        <v>1950</v>
      </c>
      <c r="H281" s="2">
        <v>197836.55113907999</v>
      </c>
    </row>
    <row r="282" spans="1:8" x14ac:dyDescent="0.25">
      <c r="A282" t="str">
        <f t="shared" si="4"/>
        <v>19980-4</v>
      </c>
      <c r="B282">
        <v>1998</v>
      </c>
      <c r="C282" t="s">
        <v>6</v>
      </c>
      <c r="D282" t="s">
        <v>26</v>
      </c>
      <c r="E282" t="s">
        <v>37</v>
      </c>
      <c r="F282" t="s">
        <v>19</v>
      </c>
      <c r="G282" s="7">
        <v>10</v>
      </c>
      <c r="H282" s="2">
        <v>1325697.93484751</v>
      </c>
    </row>
    <row r="283" spans="1:8" x14ac:dyDescent="0.25">
      <c r="A283" t="str">
        <f t="shared" si="4"/>
        <v>199815-24</v>
      </c>
      <c r="B283">
        <v>1998</v>
      </c>
      <c r="C283" t="s">
        <v>4</v>
      </c>
      <c r="D283" t="s">
        <v>26</v>
      </c>
      <c r="E283" t="s">
        <v>37</v>
      </c>
      <c r="F283" t="s">
        <v>19</v>
      </c>
      <c r="G283" s="7">
        <v>22</v>
      </c>
      <c r="H283" s="2">
        <v>2242694.2061889698</v>
      </c>
    </row>
    <row r="284" spans="1:8" x14ac:dyDescent="0.25">
      <c r="A284" t="str">
        <f t="shared" si="4"/>
        <v>199825-44</v>
      </c>
      <c r="B284">
        <v>1998</v>
      </c>
      <c r="C284" t="s">
        <v>3</v>
      </c>
      <c r="D284" t="s">
        <v>26</v>
      </c>
      <c r="E284" t="s">
        <v>37</v>
      </c>
      <c r="F284" t="s">
        <v>19</v>
      </c>
      <c r="G284" s="7">
        <v>238</v>
      </c>
      <c r="H284" s="2">
        <v>3392799.98672225</v>
      </c>
    </row>
    <row r="285" spans="1:8" x14ac:dyDescent="0.25">
      <c r="A285" t="str">
        <f t="shared" si="4"/>
        <v>199845-64</v>
      </c>
      <c r="B285">
        <v>1998</v>
      </c>
      <c r="C285" t="s">
        <v>2</v>
      </c>
      <c r="D285" t="s">
        <v>26</v>
      </c>
      <c r="E285" t="s">
        <v>37</v>
      </c>
      <c r="F285" t="s">
        <v>19</v>
      </c>
      <c r="G285" s="7">
        <v>756</v>
      </c>
      <c r="H285" s="2">
        <v>1544756.3871817</v>
      </c>
    </row>
    <row r="286" spans="1:8" x14ac:dyDescent="0.25">
      <c r="A286" t="str">
        <f t="shared" si="4"/>
        <v>19985-14</v>
      </c>
      <c r="B286">
        <v>1998</v>
      </c>
      <c r="C286" t="s">
        <v>5</v>
      </c>
      <c r="D286" t="s">
        <v>26</v>
      </c>
      <c r="E286" t="s">
        <v>37</v>
      </c>
      <c r="F286" t="s">
        <v>19</v>
      </c>
      <c r="G286" s="7">
        <v>17</v>
      </c>
      <c r="H286" s="2">
        <v>2628255.52356365</v>
      </c>
    </row>
    <row r="287" spans="1:8" x14ac:dyDescent="0.25">
      <c r="A287" t="str">
        <f t="shared" si="4"/>
        <v>199865-74</v>
      </c>
      <c r="B287">
        <v>1998</v>
      </c>
      <c r="C287" t="s">
        <v>1</v>
      </c>
      <c r="D287" t="s">
        <v>26</v>
      </c>
      <c r="E287" t="s">
        <v>37</v>
      </c>
      <c r="F287" t="s">
        <v>19</v>
      </c>
      <c r="G287" s="7">
        <v>833</v>
      </c>
      <c r="H287" s="2">
        <v>383636.80225001101</v>
      </c>
    </row>
    <row r="288" spans="1:8" x14ac:dyDescent="0.25">
      <c r="A288" t="str">
        <f t="shared" si="4"/>
        <v>199875+</v>
      </c>
      <c r="B288">
        <v>1998</v>
      </c>
      <c r="C288" t="s">
        <v>0</v>
      </c>
      <c r="D288" t="s">
        <v>26</v>
      </c>
      <c r="E288" t="s">
        <v>37</v>
      </c>
      <c r="F288" t="s">
        <v>19</v>
      </c>
      <c r="G288" s="7">
        <v>1905</v>
      </c>
      <c r="H288" s="2">
        <v>210840.77556954001</v>
      </c>
    </row>
    <row r="289" spans="1:8" x14ac:dyDescent="0.25">
      <c r="A289" t="str">
        <f t="shared" si="4"/>
        <v>19990-4</v>
      </c>
      <c r="B289">
        <v>1999</v>
      </c>
      <c r="C289" t="s">
        <v>6</v>
      </c>
      <c r="D289" t="s">
        <v>26</v>
      </c>
      <c r="E289" t="s">
        <v>37</v>
      </c>
      <c r="F289" t="s">
        <v>19</v>
      </c>
      <c r="G289" s="7">
        <v>14</v>
      </c>
      <c r="H289" s="2">
        <v>1332528.9782825001</v>
      </c>
    </row>
    <row r="290" spans="1:8" x14ac:dyDescent="0.25">
      <c r="A290" t="str">
        <f t="shared" si="4"/>
        <v>199915-24</v>
      </c>
      <c r="B290">
        <v>1999</v>
      </c>
      <c r="C290" t="s">
        <v>4</v>
      </c>
      <c r="D290" t="s">
        <v>26</v>
      </c>
      <c r="E290" t="s">
        <v>37</v>
      </c>
      <c r="F290" t="s">
        <v>19</v>
      </c>
      <c r="G290" s="7">
        <v>29</v>
      </c>
      <c r="H290" s="2">
        <v>2293434.06872966</v>
      </c>
    </row>
    <row r="291" spans="1:8" x14ac:dyDescent="0.25">
      <c r="A291" t="str">
        <f t="shared" si="4"/>
        <v>199925-44</v>
      </c>
      <c r="B291">
        <v>1999</v>
      </c>
      <c r="C291" t="s">
        <v>3</v>
      </c>
      <c r="D291" t="s">
        <v>26</v>
      </c>
      <c r="E291" t="s">
        <v>37</v>
      </c>
      <c r="F291" t="s">
        <v>19</v>
      </c>
      <c r="G291" s="7">
        <v>264</v>
      </c>
      <c r="H291" s="2">
        <v>3464730.3289074199</v>
      </c>
    </row>
    <row r="292" spans="1:8" x14ac:dyDescent="0.25">
      <c r="A292" t="str">
        <f t="shared" si="4"/>
        <v>199945-64</v>
      </c>
      <c r="B292">
        <v>1999</v>
      </c>
      <c r="C292" t="s">
        <v>2</v>
      </c>
      <c r="D292" t="s">
        <v>26</v>
      </c>
      <c r="E292" t="s">
        <v>37</v>
      </c>
      <c r="F292" t="s">
        <v>19</v>
      </c>
      <c r="G292" s="7">
        <v>902</v>
      </c>
      <c r="H292" s="2">
        <v>1599513.7957272299</v>
      </c>
    </row>
    <row r="293" spans="1:8" x14ac:dyDescent="0.25">
      <c r="A293" t="str">
        <f t="shared" si="4"/>
        <v>19995-14</v>
      </c>
      <c r="B293">
        <v>1999</v>
      </c>
      <c r="C293" t="s">
        <v>5</v>
      </c>
      <c r="D293" t="s">
        <v>26</v>
      </c>
      <c r="E293" t="s">
        <v>37</v>
      </c>
      <c r="F293" t="s">
        <v>19</v>
      </c>
      <c r="G293" s="7">
        <v>10</v>
      </c>
      <c r="H293" s="2">
        <v>2628380.1745212199</v>
      </c>
    </row>
    <row r="294" spans="1:8" x14ac:dyDescent="0.25">
      <c r="A294" t="str">
        <f t="shared" si="4"/>
        <v>199965-74</v>
      </c>
      <c r="B294">
        <v>1999</v>
      </c>
      <c r="C294" t="s">
        <v>1</v>
      </c>
      <c r="D294" t="s">
        <v>26</v>
      </c>
      <c r="E294" t="s">
        <v>37</v>
      </c>
      <c r="F294" t="s">
        <v>19</v>
      </c>
      <c r="G294" s="7">
        <v>843</v>
      </c>
      <c r="H294" s="2">
        <v>390568.93408333702</v>
      </c>
    </row>
    <row r="295" spans="1:8" x14ac:dyDescent="0.25">
      <c r="A295" t="str">
        <f t="shared" si="4"/>
        <v>199975+</v>
      </c>
      <c r="B295">
        <v>1999</v>
      </c>
      <c r="C295" t="s">
        <v>0</v>
      </c>
      <c r="D295" t="s">
        <v>26</v>
      </c>
      <c r="E295" t="s">
        <v>37</v>
      </c>
      <c r="F295" t="s">
        <v>19</v>
      </c>
      <c r="G295" s="7">
        <v>2179</v>
      </c>
      <c r="H295" s="2">
        <v>225043.25852318</v>
      </c>
    </row>
    <row r="296" spans="1:8" x14ac:dyDescent="0.25">
      <c r="A296" t="str">
        <f t="shared" si="4"/>
        <v>20000-4</v>
      </c>
      <c r="B296">
        <v>2000</v>
      </c>
      <c r="C296" t="s">
        <v>6</v>
      </c>
      <c r="D296" t="s">
        <v>26</v>
      </c>
      <c r="E296" t="s">
        <v>37</v>
      </c>
      <c r="F296" t="s">
        <v>19</v>
      </c>
      <c r="G296" s="7">
        <v>7</v>
      </c>
      <c r="H296" s="2">
        <v>1338309</v>
      </c>
    </row>
    <row r="297" spans="1:8" x14ac:dyDescent="0.25">
      <c r="A297" t="str">
        <f t="shared" si="4"/>
        <v>200015-24</v>
      </c>
      <c r="B297">
        <v>2000</v>
      </c>
      <c r="C297" t="s">
        <v>4</v>
      </c>
      <c r="D297" t="s">
        <v>26</v>
      </c>
      <c r="E297" t="s">
        <v>37</v>
      </c>
      <c r="F297" t="s">
        <v>19</v>
      </c>
      <c r="G297" s="7">
        <v>31</v>
      </c>
      <c r="H297" s="2">
        <v>2341775</v>
      </c>
    </row>
    <row r="298" spans="1:8" x14ac:dyDescent="0.25">
      <c r="A298" t="str">
        <f t="shared" si="4"/>
        <v>200025-44</v>
      </c>
      <c r="B298">
        <v>2000</v>
      </c>
      <c r="C298" t="s">
        <v>3</v>
      </c>
      <c r="D298" t="s">
        <v>26</v>
      </c>
      <c r="E298" t="s">
        <v>37</v>
      </c>
      <c r="F298" t="s">
        <v>19</v>
      </c>
      <c r="G298" s="7">
        <v>267</v>
      </c>
      <c r="H298" s="2">
        <v>3535732</v>
      </c>
    </row>
    <row r="299" spans="1:8" x14ac:dyDescent="0.25">
      <c r="A299" t="str">
        <f t="shared" si="4"/>
        <v>200045-64</v>
      </c>
      <c r="B299">
        <v>2000</v>
      </c>
      <c r="C299" t="s">
        <v>2</v>
      </c>
      <c r="D299" t="s">
        <v>26</v>
      </c>
      <c r="E299" t="s">
        <v>37</v>
      </c>
      <c r="F299" t="s">
        <v>19</v>
      </c>
      <c r="G299" s="7">
        <v>786</v>
      </c>
      <c r="H299" s="2">
        <v>1658630</v>
      </c>
    </row>
    <row r="300" spans="1:8" x14ac:dyDescent="0.25">
      <c r="A300" t="str">
        <f t="shared" si="4"/>
        <v>20005-14</v>
      </c>
      <c r="B300">
        <v>2000</v>
      </c>
      <c r="C300" t="s">
        <v>5</v>
      </c>
      <c r="D300" t="s">
        <v>26</v>
      </c>
      <c r="E300" t="s">
        <v>37</v>
      </c>
      <c r="F300" t="s">
        <v>19</v>
      </c>
      <c r="G300" s="7">
        <v>10</v>
      </c>
      <c r="H300" s="2">
        <v>2626661</v>
      </c>
    </row>
    <row r="301" spans="1:8" x14ac:dyDescent="0.25">
      <c r="A301" t="str">
        <f t="shared" si="4"/>
        <v>200065-74</v>
      </c>
      <c r="B301">
        <v>2000</v>
      </c>
      <c r="C301" t="s">
        <v>1</v>
      </c>
      <c r="D301" t="s">
        <v>26</v>
      </c>
      <c r="E301" t="s">
        <v>37</v>
      </c>
      <c r="F301" t="s">
        <v>19</v>
      </c>
      <c r="G301" s="7">
        <v>812</v>
      </c>
      <c r="H301" s="2">
        <v>398642</v>
      </c>
    </row>
    <row r="302" spans="1:8" x14ac:dyDescent="0.25">
      <c r="A302" t="str">
        <f t="shared" si="4"/>
        <v>200075+</v>
      </c>
      <c r="B302">
        <v>2000</v>
      </c>
      <c r="C302" t="s">
        <v>0</v>
      </c>
      <c r="D302" t="s">
        <v>26</v>
      </c>
      <c r="E302" t="s">
        <v>37</v>
      </c>
      <c r="F302" t="s">
        <v>19</v>
      </c>
      <c r="G302" s="7">
        <v>2088</v>
      </c>
      <c r="H302" s="2">
        <v>240016</v>
      </c>
    </row>
    <row r="303" spans="1:8" x14ac:dyDescent="0.25">
      <c r="A303" t="str">
        <f t="shared" si="4"/>
        <v>20010-4</v>
      </c>
      <c r="B303">
        <v>2001</v>
      </c>
      <c r="C303" t="s">
        <v>6</v>
      </c>
      <c r="D303" t="s">
        <v>26</v>
      </c>
      <c r="E303" t="s">
        <v>37</v>
      </c>
      <c r="F303" t="s">
        <v>19</v>
      </c>
      <c r="G303" s="7">
        <v>4</v>
      </c>
      <c r="H303" s="2">
        <v>1343121</v>
      </c>
    </row>
    <row r="304" spans="1:8" x14ac:dyDescent="0.25">
      <c r="A304" t="str">
        <f t="shared" si="4"/>
        <v>200115-24</v>
      </c>
      <c r="B304">
        <v>2001</v>
      </c>
      <c r="C304" t="s">
        <v>4</v>
      </c>
      <c r="D304" t="s">
        <v>26</v>
      </c>
      <c r="E304" t="s">
        <v>37</v>
      </c>
      <c r="F304" t="s">
        <v>19</v>
      </c>
      <c r="G304" s="7">
        <v>27</v>
      </c>
      <c r="H304" s="2">
        <v>2387015</v>
      </c>
    </row>
    <row r="305" spans="1:8" x14ac:dyDescent="0.25">
      <c r="A305" t="str">
        <f t="shared" si="4"/>
        <v>200125-44</v>
      </c>
      <c r="B305">
        <v>2001</v>
      </c>
      <c r="C305" t="s">
        <v>3</v>
      </c>
      <c r="D305" t="s">
        <v>26</v>
      </c>
      <c r="E305" t="s">
        <v>37</v>
      </c>
      <c r="F305" t="s">
        <v>19</v>
      </c>
      <c r="G305" s="7">
        <v>260</v>
      </c>
      <c r="H305" s="2">
        <v>3605957</v>
      </c>
    </row>
    <row r="306" spans="1:8" x14ac:dyDescent="0.25">
      <c r="A306" t="str">
        <f t="shared" si="4"/>
        <v>200145-64</v>
      </c>
      <c r="B306">
        <v>2001</v>
      </c>
      <c r="C306" t="s">
        <v>2</v>
      </c>
      <c r="D306" t="s">
        <v>26</v>
      </c>
      <c r="E306" t="s">
        <v>37</v>
      </c>
      <c r="F306" t="s">
        <v>19</v>
      </c>
      <c r="G306" s="7">
        <v>778</v>
      </c>
      <c r="H306" s="2">
        <v>1721965</v>
      </c>
    </row>
    <row r="307" spans="1:8" x14ac:dyDescent="0.25">
      <c r="A307" t="str">
        <f t="shared" si="4"/>
        <v>20015-14</v>
      </c>
      <c r="B307">
        <v>2001</v>
      </c>
      <c r="C307" t="s">
        <v>5</v>
      </c>
      <c r="D307" t="s">
        <v>26</v>
      </c>
      <c r="E307" t="s">
        <v>37</v>
      </c>
      <c r="F307" t="s">
        <v>19</v>
      </c>
      <c r="G307" s="7">
        <v>7</v>
      </c>
      <c r="H307" s="2">
        <v>2624275</v>
      </c>
    </row>
    <row r="308" spans="1:8" x14ac:dyDescent="0.25">
      <c r="A308" t="str">
        <f t="shared" si="4"/>
        <v>200165-74</v>
      </c>
      <c r="B308">
        <v>2001</v>
      </c>
      <c r="C308" t="s">
        <v>1</v>
      </c>
      <c r="D308" t="s">
        <v>26</v>
      </c>
      <c r="E308" t="s">
        <v>37</v>
      </c>
      <c r="F308" t="s">
        <v>19</v>
      </c>
      <c r="G308" s="7">
        <v>863</v>
      </c>
      <c r="H308" s="2">
        <v>407783</v>
      </c>
    </row>
    <row r="309" spans="1:8" x14ac:dyDescent="0.25">
      <c r="A309" t="str">
        <f t="shared" si="4"/>
        <v>200175+</v>
      </c>
      <c r="B309">
        <v>2001</v>
      </c>
      <c r="C309" t="s">
        <v>0</v>
      </c>
      <c r="D309" t="s">
        <v>26</v>
      </c>
      <c r="E309" t="s">
        <v>37</v>
      </c>
      <c r="F309" t="s">
        <v>19</v>
      </c>
      <c r="G309" s="7">
        <v>2303</v>
      </c>
      <c r="H309" s="2">
        <v>255331</v>
      </c>
    </row>
    <row r="310" spans="1:8" x14ac:dyDescent="0.25">
      <c r="A310" t="str">
        <f t="shared" si="4"/>
        <v>20020-4</v>
      </c>
      <c r="B310">
        <v>2002</v>
      </c>
      <c r="C310" t="s">
        <v>6</v>
      </c>
      <c r="D310" t="s">
        <v>26</v>
      </c>
      <c r="E310" t="s">
        <v>37</v>
      </c>
      <c r="F310" t="s">
        <v>19</v>
      </c>
      <c r="G310" s="7">
        <v>5</v>
      </c>
      <c r="H310" s="2">
        <v>1347045</v>
      </c>
    </row>
    <row r="311" spans="1:8" x14ac:dyDescent="0.25">
      <c r="A311" t="str">
        <f t="shared" si="4"/>
        <v>200215-24</v>
      </c>
      <c r="B311">
        <v>2002</v>
      </c>
      <c r="C311" t="s">
        <v>4</v>
      </c>
      <c r="D311" t="s">
        <v>26</v>
      </c>
      <c r="E311" t="s">
        <v>37</v>
      </c>
      <c r="F311" t="s">
        <v>19</v>
      </c>
      <c r="G311" s="7">
        <v>25</v>
      </c>
      <c r="H311" s="2">
        <v>2428415</v>
      </c>
    </row>
    <row r="312" spans="1:8" x14ac:dyDescent="0.25">
      <c r="A312" t="str">
        <f t="shared" si="4"/>
        <v>200225-44</v>
      </c>
      <c r="B312">
        <v>2002</v>
      </c>
      <c r="C312" t="s">
        <v>3</v>
      </c>
      <c r="D312" t="s">
        <v>26</v>
      </c>
      <c r="E312" t="s">
        <v>37</v>
      </c>
      <c r="F312" t="s">
        <v>19</v>
      </c>
      <c r="G312" s="7">
        <v>232</v>
      </c>
      <c r="H312" s="2">
        <v>3675559</v>
      </c>
    </row>
    <row r="313" spans="1:8" x14ac:dyDescent="0.25">
      <c r="A313" t="str">
        <f t="shared" si="4"/>
        <v>200245-64</v>
      </c>
      <c r="B313">
        <v>2002</v>
      </c>
      <c r="C313" t="s">
        <v>2</v>
      </c>
      <c r="D313" t="s">
        <v>26</v>
      </c>
      <c r="E313" t="s">
        <v>37</v>
      </c>
      <c r="F313" t="s">
        <v>19</v>
      </c>
      <c r="G313" s="7">
        <v>870</v>
      </c>
      <c r="H313" s="2">
        <v>1789361</v>
      </c>
    </row>
    <row r="314" spans="1:8" x14ac:dyDescent="0.25">
      <c r="A314" t="str">
        <f t="shared" si="4"/>
        <v>20025-14</v>
      </c>
      <c r="B314">
        <v>2002</v>
      </c>
      <c r="C314" t="s">
        <v>5</v>
      </c>
      <c r="D314" t="s">
        <v>26</v>
      </c>
      <c r="E314" t="s">
        <v>37</v>
      </c>
      <c r="F314" t="s">
        <v>19</v>
      </c>
      <c r="G314" s="7">
        <v>17</v>
      </c>
      <c r="H314" s="2">
        <v>2622422</v>
      </c>
    </row>
    <row r="315" spans="1:8" x14ac:dyDescent="0.25">
      <c r="A315" t="str">
        <f t="shared" si="4"/>
        <v>200265-74</v>
      </c>
      <c r="B315">
        <v>2002</v>
      </c>
      <c r="C315" t="s">
        <v>1</v>
      </c>
      <c r="D315" t="s">
        <v>26</v>
      </c>
      <c r="E315" t="s">
        <v>37</v>
      </c>
      <c r="F315" t="s">
        <v>19</v>
      </c>
      <c r="G315" s="7">
        <v>842</v>
      </c>
      <c r="H315" s="2">
        <v>417907</v>
      </c>
    </row>
    <row r="316" spans="1:8" x14ac:dyDescent="0.25">
      <c r="A316" t="str">
        <f t="shared" si="4"/>
        <v>200275+</v>
      </c>
      <c r="B316">
        <v>2002</v>
      </c>
      <c r="C316" t="s">
        <v>0</v>
      </c>
      <c r="D316" t="s">
        <v>26</v>
      </c>
      <c r="E316" t="s">
        <v>37</v>
      </c>
      <c r="F316" t="s">
        <v>19</v>
      </c>
      <c r="G316" s="7">
        <v>2216</v>
      </c>
      <c r="H316" s="2">
        <v>270538</v>
      </c>
    </row>
    <row r="317" spans="1:8" x14ac:dyDescent="0.25">
      <c r="A317" t="str">
        <f t="shared" si="4"/>
        <v>20030-4</v>
      </c>
      <c r="B317">
        <v>2003</v>
      </c>
      <c r="C317" t="s">
        <v>6</v>
      </c>
      <c r="D317" t="s">
        <v>26</v>
      </c>
      <c r="E317" t="s">
        <v>37</v>
      </c>
      <c r="F317" t="s">
        <v>19</v>
      </c>
      <c r="G317" s="7">
        <v>0</v>
      </c>
      <c r="H317" s="2">
        <v>1350164</v>
      </c>
    </row>
    <row r="318" spans="1:8" x14ac:dyDescent="0.25">
      <c r="A318" t="str">
        <f t="shared" si="4"/>
        <v>200315-24</v>
      </c>
      <c r="B318">
        <v>2003</v>
      </c>
      <c r="C318" t="s">
        <v>4</v>
      </c>
      <c r="D318" t="s">
        <v>26</v>
      </c>
      <c r="E318" t="s">
        <v>37</v>
      </c>
      <c r="F318" t="s">
        <v>19</v>
      </c>
      <c r="G318" s="7">
        <v>25</v>
      </c>
      <c r="H318" s="2">
        <v>2465273</v>
      </c>
    </row>
    <row r="319" spans="1:8" x14ac:dyDescent="0.25">
      <c r="A319" t="str">
        <f t="shared" si="4"/>
        <v>200325-44</v>
      </c>
      <c r="B319">
        <v>2003</v>
      </c>
      <c r="C319" t="s">
        <v>3</v>
      </c>
      <c r="D319" t="s">
        <v>26</v>
      </c>
      <c r="E319" t="s">
        <v>37</v>
      </c>
      <c r="F319" t="s">
        <v>19</v>
      </c>
      <c r="G319" s="7">
        <v>235</v>
      </c>
      <c r="H319" s="2">
        <v>3744690</v>
      </c>
    </row>
    <row r="320" spans="1:8" x14ac:dyDescent="0.25">
      <c r="A320" t="str">
        <f t="shared" si="4"/>
        <v>200345-64</v>
      </c>
      <c r="B320">
        <v>2003</v>
      </c>
      <c r="C320" t="s">
        <v>2</v>
      </c>
      <c r="D320" t="s">
        <v>26</v>
      </c>
      <c r="E320" t="s">
        <v>37</v>
      </c>
      <c r="F320" t="s">
        <v>19</v>
      </c>
      <c r="G320" s="7">
        <v>870</v>
      </c>
      <c r="H320" s="2">
        <v>1860678</v>
      </c>
    </row>
    <row r="321" spans="1:8" x14ac:dyDescent="0.25">
      <c r="A321" t="str">
        <f t="shared" si="4"/>
        <v>20035-14</v>
      </c>
      <c r="B321">
        <v>2003</v>
      </c>
      <c r="C321" t="s">
        <v>5</v>
      </c>
      <c r="D321" t="s">
        <v>26</v>
      </c>
      <c r="E321" t="s">
        <v>37</v>
      </c>
      <c r="F321" t="s">
        <v>19</v>
      </c>
      <c r="G321" s="7">
        <v>6</v>
      </c>
      <c r="H321" s="2">
        <v>2622279</v>
      </c>
    </row>
    <row r="322" spans="1:8" x14ac:dyDescent="0.25">
      <c r="A322" t="str">
        <f t="shared" ref="A322:A385" si="5">+CONCATENATE(B322,C322)</f>
        <v>200365-74</v>
      </c>
      <c r="B322">
        <v>2003</v>
      </c>
      <c r="C322" t="s">
        <v>1</v>
      </c>
      <c r="D322" t="s">
        <v>26</v>
      </c>
      <c r="E322" t="s">
        <v>37</v>
      </c>
      <c r="F322" t="s">
        <v>19</v>
      </c>
      <c r="G322" s="7">
        <v>864</v>
      </c>
      <c r="H322" s="2">
        <v>428941</v>
      </c>
    </row>
    <row r="323" spans="1:8" x14ac:dyDescent="0.25">
      <c r="A323" t="str">
        <f t="shared" si="5"/>
        <v>200375+</v>
      </c>
      <c r="B323">
        <v>2003</v>
      </c>
      <c r="C323" t="s">
        <v>0</v>
      </c>
      <c r="D323" t="s">
        <v>26</v>
      </c>
      <c r="E323" t="s">
        <v>37</v>
      </c>
      <c r="F323" t="s">
        <v>19</v>
      </c>
      <c r="G323" s="7">
        <v>2463</v>
      </c>
      <c r="H323" s="2">
        <v>285209</v>
      </c>
    </row>
    <row r="324" spans="1:8" x14ac:dyDescent="0.25">
      <c r="A324" t="str">
        <f t="shared" si="5"/>
        <v>20040-4</v>
      </c>
      <c r="B324">
        <v>2004</v>
      </c>
      <c r="C324" t="s">
        <v>6</v>
      </c>
      <c r="D324" t="s">
        <v>26</v>
      </c>
      <c r="E324" t="s">
        <v>37</v>
      </c>
      <c r="F324" t="s">
        <v>19</v>
      </c>
      <c r="G324" s="7">
        <v>0</v>
      </c>
      <c r="H324" s="2">
        <v>1352508</v>
      </c>
    </row>
    <row r="325" spans="1:8" x14ac:dyDescent="0.25">
      <c r="A325" t="str">
        <f t="shared" si="5"/>
        <v>200415-24</v>
      </c>
      <c r="B325">
        <v>2004</v>
      </c>
      <c r="C325" t="s">
        <v>4</v>
      </c>
      <c r="D325" t="s">
        <v>26</v>
      </c>
      <c r="E325" t="s">
        <v>37</v>
      </c>
      <c r="F325" t="s">
        <v>19</v>
      </c>
      <c r="G325" s="7">
        <v>25</v>
      </c>
      <c r="H325" s="2">
        <v>2497409</v>
      </c>
    </row>
    <row r="326" spans="1:8" x14ac:dyDescent="0.25">
      <c r="A326" t="str">
        <f t="shared" si="5"/>
        <v>200425-44</v>
      </c>
      <c r="B326">
        <v>2004</v>
      </c>
      <c r="C326" t="s">
        <v>3</v>
      </c>
      <c r="D326" t="s">
        <v>26</v>
      </c>
      <c r="E326" t="s">
        <v>37</v>
      </c>
      <c r="F326" t="s">
        <v>19</v>
      </c>
      <c r="G326" s="7">
        <v>223</v>
      </c>
      <c r="H326" s="2">
        <v>3813358</v>
      </c>
    </row>
    <row r="327" spans="1:8" x14ac:dyDescent="0.25">
      <c r="A327" t="str">
        <f t="shared" si="5"/>
        <v>200445-64</v>
      </c>
      <c r="B327">
        <v>2004</v>
      </c>
      <c r="C327" t="s">
        <v>2</v>
      </c>
      <c r="D327" t="s">
        <v>26</v>
      </c>
      <c r="E327" t="s">
        <v>37</v>
      </c>
      <c r="F327" t="s">
        <v>19</v>
      </c>
      <c r="G327" s="7">
        <v>829</v>
      </c>
      <c r="H327" s="2">
        <v>1936129</v>
      </c>
    </row>
    <row r="328" spans="1:8" x14ac:dyDescent="0.25">
      <c r="A328" t="str">
        <f t="shared" si="5"/>
        <v>20045-14</v>
      </c>
      <c r="B328">
        <v>2004</v>
      </c>
      <c r="C328" t="s">
        <v>5</v>
      </c>
      <c r="D328" t="s">
        <v>26</v>
      </c>
      <c r="E328" t="s">
        <v>37</v>
      </c>
      <c r="F328" t="s">
        <v>19</v>
      </c>
      <c r="G328" s="7">
        <v>5</v>
      </c>
      <c r="H328" s="2">
        <v>2624530</v>
      </c>
    </row>
    <row r="329" spans="1:8" x14ac:dyDescent="0.25">
      <c r="A329" t="str">
        <f t="shared" si="5"/>
        <v>200465-74</v>
      </c>
      <c r="B329">
        <v>2004</v>
      </c>
      <c r="C329" t="s">
        <v>1</v>
      </c>
      <c r="D329" t="s">
        <v>26</v>
      </c>
      <c r="E329" t="s">
        <v>37</v>
      </c>
      <c r="F329" t="s">
        <v>19</v>
      </c>
      <c r="G329" s="7">
        <v>818</v>
      </c>
      <c r="H329" s="2">
        <v>441018</v>
      </c>
    </row>
    <row r="330" spans="1:8" x14ac:dyDescent="0.25">
      <c r="A330" t="str">
        <f t="shared" si="5"/>
        <v>200475+</v>
      </c>
      <c r="B330">
        <v>2004</v>
      </c>
      <c r="C330" t="s">
        <v>0</v>
      </c>
      <c r="D330" t="s">
        <v>26</v>
      </c>
      <c r="E330" t="s">
        <v>37</v>
      </c>
      <c r="F330" t="s">
        <v>19</v>
      </c>
      <c r="G330" s="7">
        <v>2259</v>
      </c>
      <c r="H330" s="2">
        <v>299301</v>
      </c>
    </row>
    <row r="331" spans="1:8" x14ac:dyDescent="0.25">
      <c r="A331" t="str">
        <f t="shared" si="5"/>
        <v>20050-4</v>
      </c>
      <c r="B331">
        <v>2005</v>
      </c>
      <c r="C331" t="s">
        <v>6</v>
      </c>
      <c r="D331" t="s">
        <v>26</v>
      </c>
      <c r="E331" t="s">
        <v>37</v>
      </c>
      <c r="F331" t="s">
        <v>19</v>
      </c>
      <c r="G331" s="7">
        <v>3</v>
      </c>
      <c r="H331" s="2">
        <v>1353852</v>
      </c>
    </row>
    <row r="332" spans="1:8" x14ac:dyDescent="0.25">
      <c r="A332" t="str">
        <f t="shared" si="5"/>
        <v>200515-24</v>
      </c>
      <c r="B332">
        <v>2005</v>
      </c>
      <c r="C332" t="s">
        <v>4</v>
      </c>
      <c r="D332" t="s">
        <v>26</v>
      </c>
      <c r="E332" t="s">
        <v>37</v>
      </c>
      <c r="F332" t="s">
        <v>19</v>
      </c>
      <c r="G332" s="7">
        <v>39</v>
      </c>
      <c r="H332" s="2">
        <v>2524017</v>
      </c>
    </row>
    <row r="333" spans="1:8" x14ac:dyDescent="0.25">
      <c r="A333" t="str">
        <f t="shared" si="5"/>
        <v>200525-44</v>
      </c>
      <c r="B333">
        <v>2005</v>
      </c>
      <c r="C333" t="s">
        <v>3</v>
      </c>
      <c r="D333" t="s">
        <v>26</v>
      </c>
      <c r="E333" t="s">
        <v>37</v>
      </c>
      <c r="F333" t="s">
        <v>19</v>
      </c>
      <c r="G333" s="7">
        <v>220</v>
      </c>
      <c r="H333" s="2">
        <v>3881062</v>
      </c>
    </row>
    <row r="334" spans="1:8" x14ac:dyDescent="0.25">
      <c r="A334" t="str">
        <f t="shared" si="5"/>
        <v>200545-64</v>
      </c>
      <c r="B334">
        <v>2005</v>
      </c>
      <c r="C334" t="s">
        <v>2</v>
      </c>
      <c r="D334" t="s">
        <v>26</v>
      </c>
      <c r="E334" t="s">
        <v>37</v>
      </c>
      <c r="F334" t="s">
        <v>19</v>
      </c>
      <c r="G334" s="7">
        <v>853</v>
      </c>
      <c r="H334" s="2">
        <v>2016148</v>
      </c>
    </row>
    <row r="335" spans="1:8" x14ac:dyDescent="0.25">
      <c r="A335" t="str">
        <f t="shared" si="5"/>
        <v>20055-14</v>
      </c>
      <c r="B335">
        <v>2005</v>
      </c>
      <c r="C335" t="s">
        <v>5</v>
      </c>
      <c r="D335" t="s">
        <v>26</v>
      </c>
      <c r="E335" t="s">
        <v>37</v>
      </c>
      <c r="F335" t="s">
        <v>19</v>
      </c>
      <c r="G335" s="7">
        <v>0</v>
      </c>
      <c r="H335" s="2">
        <v>2629864</v>
      </c>
    </row>
    <row r="336" spans="1:8" x14ac:dyDescent="0.25">
      <c r="A336" t="str">
        <f t="shared" si="5"/>
        <v>200565-74</v>
      </c>
      <c r="B336">
        <v>2005</v>
      </c>
      <c r="C336" t="s">
        <v>1</v>
      </c>
      <c r="D336" t="s">
        <v>26</v>
      </c>
      <c r="E336" t="s">
        <v>37</v>
      </c>
      <c r="F336" t="s">
        <v>19</v>
      </c>
      <c r="G336" s="7">
        <v>828</v>
      </c>
      <c r="H336" s="2">
        <v>454245</v>
      </c>
    </row>
    <row r="337" spans="1:8" x14ac:dyDescent="0.25">
      <c r="A337" t="str">
        <f t="shared" si="5"/>
        <v>200575+</v>
      </c>
      <c r="B337">
        <v>2005</v>
      </c>
      <c r="C337" t="s">
        <v>0</v>
      </c>
      <c r="D337" t="s">
        <v>26</v>
      </c>
      <c r="E337" t="s">
        <v>37</v>
      </c>
      <c r="F337" t="s">
        <v>19</v>
      </c>
      <c r="G337" s="7">
        <v>2450</v>
      </c>
      <c r="H337" s="2">
        <v>312767</v>
      </c>
    </row>
    <row r="338" spans="1:8" x14ac:dyDescent="0.25">
      <c r="A338" t="str">
        <f t="shared" si="5"/>
        <v>20060-4</v>
      </c>
      <c r="B338">
        <v>2006</v>
      </c>
      <c r="C338" t="s">
        <v>6</v>
      </c>
      <c r="D338" t="s">
        <v>26</v>
      </c>
      <c r="E338" t="s">
        <v>37</v>
      </c>
      <c r="F338" t="s">
        <v>19</v>
      </c>
      <c r="G338" s="7">
        <v>2</v>
      </c>
      <c r="H338" s="2">
        <v>1354432</v>
      </c>
    </row>
    <row r="339" spans="1:8" x14ac:dyDescent="0.25">
      <c r="A339" t="str">
        <f t="shared" si="5"/>
        <v>200615-24</v>
      </c>
      <c r="B339">
        <v>2006</v>
      </c>
      <c r="C339" t="s">
        <v>4</v>
      </c>
      <c r="D339" t="s">
        <v>26</v>
      </c>
      <c r="E339" t="s">
        <v>37</v>
      </c>
      <c r="F339" t="s">
        <v>19</v>
      </c>
      <c r="G339" s="7">
        <v>34</v>
      </c>
      <c r="H339" s="2">
        <v>2544731</v>
      </c>
    </row>
    <row r="340" spans="1:8" x14ac:dyDescent="0.25">
      <c r="A340" t="str">
        <f t="shared" si="5"/>
        <v>200625-44</v>
      </c>
      <c r="B340">
        <v>2006</v>
      </c>
      <c r="C340" t="s">
        <v>3</v>
      </c>
      <c r="D340" t="s">
        <v>26</v>
      </c>
      <c r="E340" t="s">
        <v>37</v>
      </c>
      <c r="F340" t="s">
        <v>19</v>
      </c>
      <c r="G340" s="7">
        <v>223</v>
      </c>
      <c r="H340" s="2">
        <v>3947836</v>
      </c>
    </row>
    <row r="341" spans="1:8" x14ac:dyDescent="0.25">
      <c r="A341" t="str">
        <f t="shared" si="5"/>
        <v>200645-64</v>
      </c>
      <c r="B341">
        <v>2006</v>
      </c>
      <c r="C341" t="s">
        <v>2</v>
      </c>
      <c r="D341" t="s">
        <v>26</v>
      </c>
      <c r="E341" t="s">
        <v>37</v>
      </c>
      <c r="F341" t="s">
        <v>19</v>
      </c>
      <c r="G341" s="7">
        <v>894</v>
      </c>
      <c r="H341" s="2">
        <v>2100791</v>
      </c>
    </row>
    <row r="342" spans="1:8" x14ac:dyDescent="0.25">
      <c r="A342" t="str">
        <f t="shared" si="5"/>
        <v>20065-14</v>
      </c>
      <c r="B342">
        <v>2006</v>
      </c>
      <c r="C342" t="s">
        <v>5</v>
      </c>
      <c r="D342" t="s">
        <v>26</v>
      </c>
      <c r="E342" t="s">
        <v>37</v>
      </c>
      <c r="F342" t="s">
        <v>19</v>
      </c>
      <c r="G342" s="7">
        <v>5</v>
      </c>
      <c r="H342" s="2">
        <v>2638747</v>
      </c>
    </row>
    <row r="343" spans="1:8" x14ac:dyDescent="0.25">
      <c r="A343" t="str">
        <f t="shared" si="5"/>
        <v>200665-74</v>
      </c>
      <c r="B343">
        <v>2006</v>
      </c>
      <c r="C343" t="s">
        <v>1</v>
      </c>
      <c r="D343" t="s">
        <v>26</v>
      </c>
      <c r="E343" t="s">
        <v>37</v>
      </c>
      <c r="F343" t="s">
        <v>19</v>
      </c>
      <c r="G343" s="7">
        <v>872</v>
      </c>
      <c r="H343" s="2">
        <v>468680</v>
      </c>
    </row>
    <row r="344" spans="1:8" x14ac:dyDescent="0.25">
      <c r="A344" t="str">
        <f t="shared" si="5"/>
        <v>200675+</v>
      </c>
      <c r="B344">
        <v>2006</v>
      </c>
      <c r="C344" t="s">
        <v>0</v>
      </c>
      <c r="D344" t="s">
        <v>26</v>
      </c>
      <c r="E344" t="s">
        <v>37</v>
      </c>
      <c r="F344" t="s">
        <v>19</v>
      </c>
      <c r="G344" s="7">
        <v>2679</v>
      </c>
      <c r="H344" s="2">
        <v>325672</v>
      </c>
    </row>
    <row r="345" spans="1:8" x14ac:dyDescent="0.25">
      <c r="A345" t="str">
        <f t="shared" si="5"/>
        <v>20070-4</v>
      </c>
      <c r="B345">
        <v>2007</v>
      </c>
      <c r="C345" t="s">
        <v>6</v>
      </c>
      <c r="D345" t="s">
        <v>26</v>
      </c>
      <c r="E345" t="s">
        <v>37</v>
      </c>
      <c r="F345" t="s">
        <v>19</v>
      </c>
      <c r="G345" s="7">
        <v>1</v>
      </c>
      <c r="H345" s="2">
        <v>1354234</v>
      </c>
    </row>
    <row r="346" spans="1:8" x14ac:dyDescent="0.25">
      <c r="A346" t="str">
        <f t="shared" si="5"/>
        <v>200715-24</v>
      </c>
      <c r="B346">
        <v>2007</v>
      </c>
      <c r="C346" t="s">
        <v>4</v>
      </c>
      <c r="D346" t="s">
        <v>26</v>
      </c>
      <c r="E346" t="s">
        <v>37</v>
      </c>
      <c r="F346" t="s">
        <v>19</v>
      </c>
      <c r="G346" s="7">
        <v>28</v>
      </c>
      <c r="H346" s="2">
        <v>2561885</v>
      </c>
    </row>
    <row r="347" spans="1:8" x14ac:dyDescent="0.25">
      <c r="A347" t="str">
        <f t="shared" si="5"/>
        <v>200725-44</v>
      </c>
      <c r="B347">
        <v>2007</v>
      </c>
      <c r="C347" t="s">
        <v>3</v>
      </c>
      <c r="D347" t="s">
        <v>26</v>
      </c>
      <c r="E347" t="s">
        <v>37</v>
      </c>
      <c r="F347" t="s">
        <v>19</v>
      </c>
      <c r="G347" s="7">
        <v>215</v>
      </c>
      <c r="H347" s="2">
        <v>4016163</v>
      </c>
    </row>
    <row r="348" spans="1:8" x14ac:dyDescent="0.25">
      <c r="A348" t="str">
        <f t="shared" si="5"/>
        <v>200745-64</v>
      </c>
      <c r="B348">
        <v>2007</v>
      </c>
      <c r="C348" t="s">
        <v>2</v>
      </c>
      <c r="D348" t="s">
        <v>26</v>
      </c>
      <c r="E348" t="s">
        <v>37</v>
      </c>
      <c r="F348" t="s">
        <v>19</v>
      </c>
      <c r="G348" s="7">
        <v>901</v>
      </c>
      <c r="H348" s="2">
        <v>2188071</v>
      </c>
    </row>
    <row r="349" spans="1:8" x14ac:dyDescent="0.25">
      <c r="A349" t="str">
        <f t="shared" si="5"/>
        <v>20075-14</v>
      </c>
      <c r="B349">
        <v>2007</v>
      </c>
      <c r="C349" t="s">
        <v>5</v>
      </c>
      <c r="D349" t="s">
        <v>26</v>
      </c>
      <c r="E349" t="s">
        <v>37</v>
      </c>
      <c r="F349" t="s">
        <v>19</v>
      </c>
      <c r="G349" s="7">
        <v>2</v>
      </c>
      <c r="H349" s="2">
        <v>2647233</v>
      </c>
    </row>
    <row r="350" spans="1:8" x14ac:dyDescent="0.25">
      <c r="A350" t="str">
        <f t="shared" si="5"/>
        <v>200765-74</v>
      </c>
      <c r="B350">
        <v>2007</v>
      </c>
      <c r="C350" t="s">
        <v>1</v>
      </c>
      <c r="D350" t="s">
        <v>26</v>
      </c>
      <c r="E350" t="s">
        <v>37</v>
      </c>
      <c r="F350" t="s">
        <v>19</v>
      </c>
      <c r="G350" s="7">
        <v>841</v>
      </c>
      <c r="H350" s="2">
        <v>484321</v>
      </c>
    </row>
    <row r="351" spans="1:8" x14ac:dyDescent="0.25">
      <c r="A351" t="str">
        <f t="shared" si="5"/>
        <v>200775+</v>
      </c>
      <c r="B351">
        <v>2007</v>
      </c>
      <c r="C351" t="s">
        <v>0</v>
      </c>
      <c r="D351" t="s">
        <v>26</v>
      </c>
      <c r="E351" t="s">
        <v>37</v>
      </c>
      <c r="F351" t="s">
        <v>19</v>
      </c>
      <c r="G351" s="7">
        <v>2905</v>
      </c>
      <c r="H351" s="2">
        <v>338128</v>
      </c>
    </row>
    <row r="352" spans="1:8" x14ac:dyDescent="0.25">
      <c r="A352" t="str">
        <f t="shared" si="5"/>
        <v>20080-4</v>
      </c>
      <c r="B352">
        <v>2008</v>
      </c>
      <c r="C352" t="s">
        <v>6</v>
      </c>
      <c r="D352" t="s">
        <v>26</v>
      </c>
      <c r="E352" t="s">
        <v>37</v>
      </c>
      <c r="F352" t="s">
        <v>19</v>
      </c>
      <c r="G352" s="7">
        <v>0</v>
      </c>
      <c r="H352" s="2">
        <v>1353145</v>
      </c>
    </row>
    <row r="353" spans="1:8" x14ac:dyDescent="0.25">
      <c r="A353" t="str">
        <f t="shared" si="5"/>
        <v>200815-24</v>
      </c>
      <c r="B353">
        <v>2008</v>
      </c>
      <c r="C353" t="s">
        <v>4</v>
      </c>
      <c r="D353" t="s">
        <v>26</v>
      </c>
      <c r="E353" t="s">
        <v>37</v>
      </c>
      <c r="F353" t="s">
        <v>19</v>
      </c>
      <c r="G353" s="7">
        <v>33</v>
      </c>
      <c r="H353" s="2">
        <v>2575138</v>
      </c>
    </row>
    <row r="354" spans="1:8" x14ac:dyDescent="0.25">
      <c r="A354" t="str">
        <f t="shared" si="5"/>
        <v>200825-44</v>
      </c>
      <c r="B354">
        <v>2008</v>
      </c>
      <c r="C354" t="s">
        <v>3</v>
      </c>
      <c r="D354" t="s">
        <v>26</v>
      </c>
      <c r="E354" t="s">
        <v>37</v>
      </c>
      <c r="F354" t="s">
        <v>19</v>
      </c>
      <c r="G354" s="7">
        <v>217</v>
      </c>
      <c r="H354" s="2">
        <v>4085944</v>
      </c>
    </row>
    <row r="355" spans="1:8" x14ac:dyDescent="0.25">
      <c r="A355" t="str">
        <f t="shared" si="5"/>
        <v>200845-64</v>
      </c>
      <c r="B355">
        <v>2008</v>
      </c>
      <c r="C355" t="s">
        <v>2</v>
      </c>
      <c r="D355" t="s">
        <v>26</v>
      </c>
      <c r="E355" t="s">
        <v>37</v>
      </c>
      <c r="F355" t="s">
        <v>19</v>
      </c>
      <c r="G355" s="7">
        <v>937</v>
      </c>
      <c r="H355" s="2">
        <v>2277674</v>
      </c>
    </row>
    <row r="356" spans="1:8" x14ac:dyDescent="0.25">
      <c r="A356" t="str">
        <f t="shared" si="5"/>
        <v>20085-14</v>
      </c>
      <c r="B356">
        <v>2008</v>
      </c>
      <c r="C356" t="s">
        <v>5</v>
      </c>
      <c r="D356" t="s">
        <v>26</v>
      </c>
      <c r="E356" t="s">
        <v>37</v>
      </c>
      <c r="F356" t="s">
        <v>19</v>
      </c>
      <c r="G356" s="7">
        <v>4</v>
      </c>
      <c r="H356" s="2">
        <v>2655740</v>
      </c>
    </row>
    <row r="357" spans="1:8" x14ac:dyDescent="0.25">
      <c r="A357" t="str">
        <f t="shared" si="5"/>
        <v>200865-74</v>
      </c>
      <c r="B357">
        <v>2008</v>
      </c>
      <c r="C357" t="s">
        <v>1</v>
      </c>
      <c r="D357" t="s">
        <v>26</v>
      </c>
      <c r="E357" t="s">
        <v>37</v>
      </c>
      <c r="F357" t="s">
        <v>19</v>
      </c>
      <c r="G357" s="7">
        <v>835</v>
      </c>
      <c r="H357" s="2">
        <v>501201</v>
      </c>
    </row>
    <row r="358" spans="1:8" x14ac:dyDescent="0.25">
      <c r="A358" t="str">
        <f t="shared" si="5"/>
        <v>200875+</v>
      </c>
      <c r="B358">
        <v>2008</v>
      </c>
      <c r="C358" t="s">
        <v>0</v>
      </c>
      <c r="D358" t="s">
        <v>26</v>
      </c>
      <c r="E358" t="s">
        <v>37</v>
      </c>
      <c r="F358" t="s">
        <v>19</v>
      </c>
      <c r="G358" s="7">
        <v>2901</v>
      </c>
      <c r="H358" s="2">
        <v>350235</v>
      </c>
    </row>
    <row r="359" spans="1:8" x14ac:dyDescent="0.25">
      <c r="A359" t="str">
        <f t="shared" si="5"/>
        <v>20090-4</v>
      </c>
      <c r="B359">
        <v>2009</v>
      </c>
      <c r="C359" t="s">
        <v>6</v>
      </c>
      <c r="D359" t="s">
        <v>26</v>
      </c>
      <c r="E359" t="s">
        <v>37</v>
      </c>
      <c r="F359" t="s">
        <v>19</v>
      </c>
      <c r="G359" s="7">
        <v>3</v>
      </c>
      <c r="H359" s="2">
        <v>1351158</v>
      </c>
    </row>
    <row r="360" spans="1:8" x14ac:dyDescent="0.25">
      <c r="A360" t="str">
        <f t="shared" si="5"/>
        <v>200915-24</v>
      </c>
      <c r="B360">
        <v>2009</v>
      </c>
      <c r="C360" t="s">
        <v>4</v>
      </c>
      <c r="D360" t="s">
        <v>26</v>
      </c>
      <c r="E360" t="s">
        <v>37</v>
      </c>
      <c r="F360" t="s">
        <v>19</v>
      </c>
      <c r="G360" s="7">
        <v>29</v>
      </c>
      <c r="H360" s="2">
        <v>2584791</v>
      </c>
    </row>
    <row r="361" spans="1:8" x14ac:dyDescent="0.25">
      <c r="A361" t="str">
        <f t="shared" si="5"/>
        <v>200925-44</v>
      </c>
      <c r="B361">
        <v>2009</v>
      </c>
      <c r="C361" t="s">
        <v>3</v>
      </c>
      <c r="D361" t="s">
        <v>26</v>
      </c>
      <c r="E361" t="s">
        <v>37</v>
      </c>
      <c r="F361" t="s">
        <v>19</v>
      </c>
      <c r="G361" s="7">
        <v>232</v>
      </c>
      <c r="H361" s="2">
        <v>4156891</v>
      </c>
    </row>
    <row r="362" spans="1:8" x14ac:dyDescent="0.25">
      <c r="A362" t="str">
        <f t="shared" si="5"/>
        <v>200945-64</v>
      </c>
      <c r="B362">
        <v>2009</v>
      </c>
      <c r="C362" t="s">
        <v>2</v>
      </c>
      <c r="D362" t="s">
        <v>26</v>
      </c>
      <c r="E362" t="s">
        <v>37</v>
      </c>
      <c r="F362" t="s">
        <v>19</v>
      </c>
      <c r="G362" s="7">
        <v>877</v>
      </c>
      <c r="H362" s="2">
        <v>2369589</v>
      </c>
    </row>
    <row r="363" spans="1:8" x14ac:dyDescent="0.25">
      <c r="A363" t="str">
        <f t="shared" si="5"/>
        <v>20095-14</v>
      </c>
      <c r="B363">
        <v>2009</v>
      </c>
      <c r="C363" t="s">
        <v>5</v>
      </c>
      <c r="D363" t="s">
        <v>26</v>
      </c>
      <c r="E363" t="s">
        <v>37</v>
      </c>
      <c r="F363" t="s">
        <v>19</v>
      </c>
      <c r="G363" s="7">
        <v>5</v>
      </c>
      <c r="H363" s="2">
        <v>2664671</v>
      </c>
    </row>
    <row r="364" spans="1:8" x14ac:dyDescent="0.25">
      <c r="A364" t="str">
        <f t="shared" si="5"/>
        <v>200965-74</v>
      </c>
      <c r="B364">
        <v>2009</v>
      </c>
      <c r="C364" t="s">
        <v>1</v>
      </c>
      <c r="D364" t="s">
        <v>26</v>
      </c>
      <c r="E364" t="s">
        <v>37</v>
      </c>
      <c r="F364" t="s">
        <v>19</v>
      </c>
      <c r="G364" s="7">
        <v>831</v>
      </c>
      <c r="H364" s="2">
        <v>519377</v>
      </c>
    </row>
    <row r="365" spans="1:8" x14ac:dyDescent="0.25">
      <c r="A365" t="str">
        <f t="shared" si="5"/>
        <v>200975+</v>
      </c>
      <c r="B365">
        <v>2009</v>
      </c>
      <c r="C365" t="s">
        <v>0</v>
      </c>
      <c r="D365" t="s">
        <v>26</v>
      </c>
      <c r="E365" t="s">
        <v>37</v>
      </c>
      <c r="F365" t="s">
        <v>19</v>
      </c>
      <c r="G365" s="7">
        <v>2956</v>
      </c>
      <c r="H365" s="2">
        <v>362131</v>
      </c>
    </row>
    <row r="366" spans="1:8" x14ac:dyDescent="0.25">
      <c r="A366" t="str">
        <f t="shared" si="5"/>
        <v>20100-4</v>
      </c>
      <c r="B366">
        <v>2010</v>
      </c>
      <c r="C366" t="s">
        <v>6</v>
      </c>
      <c r="D366" t="s">
        <v>26</v>
      </c>
      <c r="E366" t="s">
        <v>37</v>
      </c>
      <c r="F366" t="s">
        <v>19</v>
      </c>
      <c r="G366" s="7">
        <v>3</v>
      </c>
      <c r="H366" s="2">
        <v>1348289</v>
      </c>
    </row>
    <row r="367" spans="1:8" x14ac:dyDescent="0.25">
      <c r="A367" t="str">
        <f t="shared" si="5"/>
        <v>201015-24</v>
      </c>
      <c r="B367">
        <v>2010</v>
      </c>
      <c r="C367" t="s">
        <v>4</v>
      </c>
      <c r="D367" t="s">
        <v>26</v>
      </c>
      <c r="E367" t="s">
        <v>37</v>
      </c>
      <c r="F367" t="s">
        <v>19</v>
      </c>
      <c r="G367" s="7">
        <v>37</v>
      </c>
      <c r="H367" s="2">
        <v>2590746</v>
      </c>
    </row>
    <row r="368" spans="1:8" x14ac:dyDescent="0.25">
      <c r="A368" t="str">
        <f t="shared" si="5"/>
        <v>201025-44</v>
      </c>
      <c r="B368">
        <v>2010</v>
      </c>
      <c r="C368" t="s">
        <v>3</v>
      </c>
      <c r="D368" t="s">
        <v>26</v>
      </c>
      <c r="E368" t="s">
        <v>37</v>
      </c>
      <c r="F368" t="s">
        <v>19</v>
      </c>
      <c r="G368" s="7">
        <v>216</v>
      </c>
      <c r="H368" s="2">
        <v>4228246</v>
      </c>
    </row>
    <row r="369" spans="1:8" x14ac:dyDescent="0.25">
      <c r="A369" t="str">
        <f t="shared" si="5"/>
        <v>201045-64</v>
      </c>
      <c r="B369">
        <v>2010</v>
      </c>
      <c r="C369" t="s">
        <v>2</v>
      </c>
      <c r="D369" t="s">
        <v>26</v>
      </c>
      <c r="E369" t="s">
        <v>37</v>
      </c>
      <c r="F369" t="s">
        <v>19</v>
      </c>
      <c r="G369" s="7">
        <v>945</v>
      </c>
      <c r="H369" s="2">
        <v>2464321</v>
      </c>
    </row>
    <row r="370" spans="1:8" x14ac:dyDescent="0.25">
      <c r="A370" t="str">
        <f t="shared" si="5"/>
        <v>20105-14</v>
      </c>
      <c r="B370">
        <v>2010</v>
      </c>
      <c r="C370" t="s">
        <v>5</v>
      </c>
      <c r="D370" t="s">
        <v>26</v>
      </c>
      <c r="E370" t="s">
        <v>37</v>
      </c>
      <c r="F370" t="s">
        <v>19</v>
      </c>
      <c r="G370" s="7">
        <v>3</v>
      </c>
      <c r="H370" s="2">
        <v>2674173</v>
      </c>
    </row>
    <row r="371" spans="1:8" x14ac:dyDescent="0.25">
      <c r="A371" t="str">
        <f t="shared" si="5"/>
        <v>201065-74</v>
      </c>
      <c r="B371">
        <v>2010</v>
      </c>
      <c r="C371" t="s">
        <v>1</v>
      </c>
      <c r="D371" t="s">
        <v>26</v>
      </c>
      <c r="E371" t="s">
        <v>37</v>
      </c>
      <c r="F371" t="s">
        <v>19</v>
      </c>
      <c r="G371" s="7">
        <v>942</v>
      </c>
      <c r="H371" s="2">
        <v>538921</v>
      </c>
    </row>
    <row r="372" spans="1:8" x14ac:dyDescent="0.25">
      <c r="A372" t="str">
        <f t="shared" si="5"/>
        <v>201075+</v>
      </c>
      <c r="B372">
        <v>2010</v>
      </c>
      <c r="C372" t="s">
        <v>0</v>
      </c>
      <c r="D372" t="s">
        <v>26</v>
      </c>
      <c r="E372" t="s">
        <v>37</v>
      </c>
      <c r="F372" t="s">
        <v>19</v>
      </c>
      <c r="G372" s="7">
        <v>3186</v>
      </c>
      <c r="H372" s="2">
        <v>373918</v>
      </c>
    </row>
    <row r="373" spans="1:8" x14ac:dyDescent="0.25">
      <c r="A373" t="str">
        <f t="shared" si="5"/>
        <v>20110-4</v>
      </c>
      <c r="B373">
        <v>2011</v>
      </c>
      <c r="C373" t="s">
        <v>6</v>
      </c>
      <c r="D373" t="s">
        <v>26</v>
      </c>
      <c r="E373" t="s">
        <v>37</v>
      </c>
      <c r="F373" t="s">
        <v>19</v>
      </c>
      <c r="G373" s="7">
        <v>4</v>
      </c>
      <c r="H373" s="2">
        <v>1344595</v>
      </c>
    </row>
    <row r="374" spans="1:8" x14ac:dyDescent="0.25">
      <c r="A374" t="str">
        <f t="shared" si="5"/>
        <v>201115-24</v>
      </c>
      <c r="B374">
        <v>2011</v>
      </c>
      <c r="C374" t="s">
        <v>4</v>
      </c>
      <c r="D374" t="s">
        <v>26</v>
      </c>
      <c r="E374" t="s">
        <v>37</v>
      </c>
      <c r="F374" t="s">
        <v>19</v>
      </c>
      <c r="G374" s="7">
        <v>33</v>
      </c>
      <c r="H374" s="2">
        <v>2593350</v>
      </c>
    </row>
    <row r="375" spans="1:8" x14ac:dyDescent="0.25">
      <c r="A375" t="str">
        <f t="shared" si="5"/>
        <v>201125-44</v>
      </c>
      <c r="B375">
        <v>2011</v>
      </c>
      <c r="C375" t="s">
        <v>3</v>
      </c>
      <c r="D375" t="s">
        <v>26</v>
      </c>
      <c r="E375" t="s">
        <v>37</v>
      </c>
      <c r="F375" t="s">
        <v>19</v>
      </c>
      <c r="G375" s="7">
        <v>250</v>
      </c>
      <c r="H375" s="2">
        <v>4299392</v>
      </c>
    </row>
    <row r="376" spans="1:8" x14ac:dyDescent="0.25">
      <c r="A376" t="str">
        <f t="shared" si="5"/>
        <v>201145-64</v>
      </c>
      <c r="B376">
        <v>2011</v>
      </c>
      <c r="C376" t="s">
        <v>2</v>
      </c>
      <c r="D376" t="s">
        <v>26</v>
      </c>
      <c r="E376" t="s">
        <v>37</v>
      </c>
      <c r="F376" t="s">
        <v>19</v>
      </c>
      <c r="G376" s="7">
        <v>1017</v>
      </c>
      <c r="H376" s="2">
        <v>2561836</v>
      </c>
    </row>
    <row r="377" spans="1:8" x14ac:dyDescent="0.25">
      <c r="A377" t="str">
        <f t="shared" si="5"/>
        <v>20115-14</v>
      </c>
      <c r="B377">
        <v>2011</v>
      </c>
      <c r="C377" t="s">
        <v>5</v>
      </c>
      <c r="D377" t="s">
        <v>26</v>
      </c>
      <c r="E377" t="s">
        <v>37</v>
      </c>
      <c r="F377" t="s">
        <v>19</v>
      </c>
      <c r="G377" s="7">
        <v>5</v>
      </c>
      <c r="H377" s="2">
        <v>2684312</v>
      </c>
    </row>
    <row r="378" spans="1:8" x14ac:dyDescent="0.25">
      <c r="A378" t="str">
        <f t="shared" si="5"/>
        <v>201165-74</v>
      </c>
      <c r="B378">
        <v>2011</v>
      </c>
      <c r="C378" t="s">
        <v>1</v>
      </c>
      <c r="D378" t="s">
        <v>26</v>
      </c>
      <c r="E378" t="s">
        <v>37</v>
      </c>
      <c r="F378" t="s">
        <v>19</v>
      </c>
      <c r="G378" s="7">
        <v>874</v>
      </c>
      <c r="H378" s="2">
        <v>559899</v>
      </c>
    </row>
    <row r="379" spans="1:8" x14ac:dyDescent="0.25">
      <c r="A379" t="str">
        <f t="shared" si="5"/>
        <v>201175+</v>
      </c>
      <c r="B379">
        <v>2011</v>
      </c>
      <c r="C379" t="s">
        <v>0</v>
      </c>
      <c r="D379" t="s">
        <v>26</v>
      </c>
      <c r="E379" t="s">
        <v>37</v>
      </c>
      <c r="F379" t="s">
        <v>19</v>
      </c>
      <c r="G379" s="7">
        <v>3322</v>
      </c>
      <c r="H379" s="2">
        <v>385721</v>
      </c>
    </row>
    <row r="380" spans="1:8" x14ac:dyDescent="0.25">
      <c r="A380" t="str">
        <f t="shared" si="5"/>
        <v>20120-4</v>
      </c>
      <c r="B380">
        <v>2012</v>
      </c>
      <c r="C380" t="s">
        <v>6</v>
      </c>
      <c r="D380" t="s">
        <v>26</v>
      </c>
      <c r="E380" t="s">
        <v>37</v>
      </c>
      <c r="F380" t="s">
        <v>19</v>
      </c>
      <c r="G380" s="7">
        <v>0</v>
      </c>
      <c r="H380" s="2">
        <v>1340586.3214094499</v>
      </c>
    </row>
    <row r="381" spans="1:8" x14ac:dyDescent="0.25">
      <c r="A381" t="str">
        <f t="shared" si="5"/>
        <v>201215-24</v>
      </c>
      <c r="B381">
        <v>2012</v>
      </c>
      <c r="C381" t="s">
        <v>4</v>
      </c>
      <c r="D381" t="s">
        <v>26</v>
      </c>
      <c r="E381" t="s">
        <v>37</v>
      </c>
      <c r="F381" t="s">
        <v>19</v>
      </c>
      <c r="G381" s="7">
        <v>33</v>
      </c>
      <c r="H381" s="2">
        <v>2596932.5593387499</v>
      </c>
    </row>
    <row r="382" spans="1:8" x14ac:dyDescent="0.25">
      <c r="A382" t="str">
        <f t="shared" si="5"/>
        <v>201225-44</v>
      </c>
      <c r="B382">
        <v>2012</v>
      </c>
      <c r="C382" t="s">
        <v>3</v>
      </c>
      <c r="D382" t="s">
        <v>26</v>
      </c>
      <c r="E382" t="s">
        <v>37</v>
      </c>
      <c r="F382" t="s">
        <v>19</v>
      </c>
      <c r="G382" s="7">
        <v>218</v>
      </c>
      <c r="H382" s="2">
        <v>4370928.8062696801</v>
      </c>
    </row>
    <row r="383" spans="1:8" x14ac:dyDescent="0.25">
      <c r="A383" t="str">
        <f t="shared" si="5"/>
        <v>201245-64</v>
      </c>
      <c r="B383">
        <v>2012</v>
      </c>
      <c r="C383" t="s">
        <v>2</v>
      </c>
      <c r="D383" t="s">
        <v>26</v>
      </c>
      <c r="E383" t="s">
        <v>37</v>
      </c>
      <c r="F383" t="s">
        <v>19</v>
      </c>
      <c r="G383" s="7">
        <v>1035</v>
      </c>
      <c r="H383" s="2">
        <v>2658291.2681631502</v>
      </c>
    </row>
    <row r="384" spans="1:8" x14ac:dyDescent="0.25">
      <c r="A384" t="str">
        <f t="shared" si="5"/>
        <v>20125-14</v>
      </c>
      <c r="B384">
        <v>2012</v>
      </c>
      <c r="C384" t="s">
        <v>5</v>
      </c>
      <c r="D384" t="s">
        <v>26</v>
      </c>
      <c r="E384" t="s">
        <v>37</v>
      </c>
      <c r="F384" t="s">
        <v>19</v>
      </c>
      <c r="G384" s="7">
        <v>1</v>
      </c>
      <c r="H384" s="2">
        <v>2693165.8826794801</v>
      </c>
    </row>
    <row r="385" spans="1:8" x14ac:dyDescent="0.25">
      <c r="A385" t="str">
        <f t="shared" si="5"/>
        <v>201265-74</v>
      </c>
      <c r="B385">
        <v>2012</v>
      </c>
      <c r="C385" t="s">
        <v>1</v>
      </c>
      <c r="D385" t="s">
        <v>26</v>
      </c>
      <c r="E385" t="s">
        <v>37</v>
      </c>
      <c r="F385" t="s">
        <v>19</v>
      </c>
      <c r="G385" s="7">
        <v>921</v>
      </c>
      <c r="H385" s="2">
        <v>582433.94467592705</v>
      </c>
    </row>
    <row r="386" spans="1:8" x14ac:dyDescent="0.25">
      <c r="A386" t="str">
        <f t="shared" ref="A386:A449" si="6">+CONCATENATE(B386,C386)</f>
        <v>201275+</v>
      </c>
      <c r="B386">
        <v>2012</v>
      </c>
      <c r="C386" t="s">
        <v>0</v>
      </c>
      <c r="D386" t="s">
        <v>26</v>
      </c>
      <c r="E386" t="s">
        <v>37</v>
      </c>
      <c r="F386" t="s">
        <v>19</v>
      </c>
      <c r="G386" s="7">
        <v>3342</v>
      </c>
      <c r="H386" s="2">
        <v>398069.84835797001</v>
      </c>
    </row>
    <row r="387" spans="1:8" x14ac:dyDescent="0.25">
      <c r="A387" t="str">
        <f t="shared" si="6"/>
        <v>20130-4</v>
      </c>
      <c r="B387">
        <v>2013</v>
      </c>
      <c r="C387" t="s">
        <v>6</v>
      </c>
      <c r="D387" t="s">
        <v>26</v>
      </c>
      <c r="E387" t="s">
        <v>37</v>
      </c>
      <c r="F387" t="s">
        <v>19</v>
      </c>
      <c r="G387" s="7">
        <v>11</v>
      </c>
      <c r="H387" s="2">
        <v>1336364.77993838</v>
      </c>
    </row>
    <row r="388" spans="1:8" x14ac:dyDescent="0.25">
      <c r="A388" t="str">
        <f t="shared" si="6"/>
        <v>201315-24</v>
      </c>
      <c r="B388">
        <v>2013</v>
      </c>
      <c r="C388" t="s">
        <v>4</v>
      </c>
      <c r="D388" t="s">
        <v>26</v>
      </c>
      <c r="E388" t="s">
        <v>37</v>
      </c>
      <c r="F388" t="s">
        <v>19</v>
      </c>
      <c r="G388" s="7">
        <v>45</v>
      </c>
      <c r="H388" s="2">
        <v>2602650.6589393602</v>
      </c>
    </row>
    <row r="389" spans="1:8" x14ac:dyDescent="0.25">
      <c r="A389" t="str">
        <f t="shared" si="6"/>
        <v>201325-44</v>
      </c>
      <c r="B389">
        <v>2013</v>
      </c>
      <c r="C389" t="s">
        <v>3</v>
      </c>
      <c r="D389" t="s">
        <v>26</v>
      </c>
      <c r="E389" t="s">
        <v>37</v>
      </c>
      <c r="F389" t="s">
        <v>19</v>
      </c>
      <c r="G389" s="7">
        <v>225</v>
      </c>
      <c r="H389" s="2">
        <v>4442157.0636299504</v>
      </c>
    </row>
    <row r="390" spans="1:8" x14ac:dyDescent="0.25">
      <c r="A390" t="str">
        <f t="shared" si="6"/>
        <v>201345-64</v>
      </c>
      <c r="B390">
        <v>2013</v>
      </c>
      <c r="C390" t="s">
        <v>2</v>
      </c>
      <c r="D390" t="s">
        <v>26</v>
      </c>
      <c r="E390" t="s">
        <v>37</v>
      </c>
      <c r="F390" t="s">
        <v>19</v>
      </c>
      <c r="G390" s="7">
        <v>1012</v>
      </c>
      <c r="H390" s="2">
        <v>2752738.9724179399</v>
      </c>
    </row>
    <row r="391" spans="1:8" x14ac:dyDescent="0.25">
      <c r="A391" t="str">
        <f t="shared" si="6"/>
        <v>20135-14</v>
      </c>
      <c r="B391">
        <v>2013</v>
      </c>
      <c r="C391" t="s">
        <v>5</v>
      </c>
      <c r="D391" t="s">
        <v>26</v>
      </c>
      <c r="E391" t="s">
        <v>37</v>
      </c>
      <c r="F391" t="s">
        <v>19</v>
      </c>
      <c r="G391" s="7">
        <v>8</v>
      </c>
      <c r="H391" s="2">
        <v>2699988.6782491799</v>
      </c>
    </row>
    <row r="392" spans="1:8" x14ac:dyDescent="0.25">
      <c r="A392" t="str">
        <f t="shared" si="6"/>
        <v>201365-74</v>
      </c>
      <c r="B392">
        <v>2013</v>
      </c>
      <c r="C392" t="s">
        <v>1</v>
      </c>
      <c r="D392" t="s">
        <v>26</v>
      </c>
      <c r="E392" t="s">
        <v>37</v>
      </c>
      <c r="F392" t="s">
        <v>19</v>
      </c>
      <c r="G392" s="7">
        <v>922</v>
      </c>
      <c r="H392" s="2">
        <v>606480.27141564596</v>
      </c>
    </row>
    <row r="393" spans="1:8" x14ac:dyDescent="0.25">
      <c r="A393" t="str">
        <f t="shared" si="6"/>
        <v>201375+</v>
      </c>
      <c r="B393">
        <v>2013</v>
      </c>
      <c r="C393" t="s">
        <v>0</v>
      </c>
      <c r="D393" t="s">
        <v>26</v>
      </c>
      <c r="E393" t="s">
        <v>37</v>
      </c>
      <c r="F393" t="s">
        <v>19</v>
      </c>
      <c r="G393" s="7">
        <v>3324</v>
      </c>
      <c r="H393" s="2">
        <v>411257.72175729403</v>
      </c>
    </row>
    <row r="394" spans="1:8" x14ac:dyDescent="0.25">
      <c r="A394" t="str">
        <f t="shared" si="6"/>
        <v>20140-4</v>
      </c>
      <c r="B394">
        <v>2014</v>
      </c>
      <c r="C394" t="s">
        <v>6</v>
      </c>
      <c r="D394" t="s">
        <v>26</v>
      </c>
      <c r="E394" t="s">
        <v>37</v>
      </c>
      <c r="F394" t="s">
        <v>19</v>
      </c>
      <c r="G394" s="7">
        <v>3</v>
      </c>
      <c r="H394" s="2">
        <v>1331891</v>
      </c>
    </row>
    <row r="395" spans="1:8" x14ac:dyDescent="0.25">
      <c r="A395" t="str">
        <f t="shared" si="6"/>
        <v>201415-24</v>
      </c>
      <c r="B395">
        <v>2014</v>
      </c>
      <c r="C395" t="s">
        <v>4</v>
      </c>
      <c r="D395" t="s">
        <v>26</v>
      </c>
      <c r="E395" t="s">
        <v>37</v>
      </c>
      <c r="F395" t="s">
        <v>19</v>
      </c>
      <c r="G395" s="7">
        <v>27</v>
      </c>
      <c r="H395" s="2">
        <v>2610538</v>
      </c>
    </row>
    <row r="396" spans="1:8" x14ac:dyDescent="0.25">
      <c r="A396" t="str">
        <f t="shared" si="6"/>
        <v>201425-44</v>
      </c>
      <c r="B396">
        <v>2014</v>
      </c>
      <c r="C396" t="s">
        <v>3</v>
      </c>
      <c r="D396" t="s">
        <v>26</v>
      </c>
      <c r="E396" t="s">
        <v>37</v>
      </c>
      <c r="F396" t="s">
        <v>19</v>
      </c>
      <c r="G396" s="7">
        <v>228</v>
      </c>
      <c r="H396" s="2">
        <v>4511948</v>
      </c>
    </row>
    <row r="397" spans="1:8" x14ac:dyDescent="0.25">
      <c r="A397" t="str">
        <f t="shared" si="6"/>
        <v>201445-64</v>
      </c>
      <c r="B397">
        <v>2014</v>
      </c>
      <c r="C397" t="s">
        <v>2</v>
      </c>
      <c r="D397" t="s">
        <v>26</v>
      </c>
      <c r="E397" t="s">
        <v>37</v>
      </c>
      <c r="F397" t="s">
        <v>19</v>
      </c>
      <c r="G397" s="7">
        <v>1012</v>
      </c>
      <c r="H397" s="2">
        <v>2845267</v>
      </c>
    </row>
    <row r="398" spans="1:8" x14ac:dyDescent="0.25">
      <c r="A398" t="str">
        <f t="shared" si="6"/>
        <v>20145-14</v>
      </c>
      <c r="B398">
        <v>2014</v>
      </c>
      <c r="C398" t="s">
        <v>5</v>
      </c>
      <c r="D398" t="s">
        <v>26</v>
      </c>
      <c r="E398" t="s">
        <v>37</v>
      </c>
      <c r="F398" t="s">
        <v>19</v>
      </c>
      <c r="G398" s="7">
        <v>7</v>
      </c>
      <c r="H398" s="2">
        <v>2704490</v>
      </c>
    </row>
    <row r="399" spans="1:8" x14ac:dyDescent="0.25">
      <c r="A399" t="str">
        <f t="shared" si="6"/>
        <v>201465-74</v>
      </c>
      <c r="B399">
        <v>2014</v>
      </c>
      <c r="C399" t="s">
        <v>1</v>
      </c>
      <c r="D399" t="s">
        <v>26</v>
      </c>
      <c r="E399" t="s">
        <v>37</v>
      </c>
      <c r="F399" t="s">
        <v>19</v>
      </c>
      <c r="G399" s="7">
        <v>935</v>
      </c>
      <c r="H399" s="2">
        <v>631943</v>
      </c>
    </row>
    <row r="400" spans="1:8" x14ac:dyDescent="0.25">
      <c r="A400" t="str">
        <f t="shared" si="6"/>
        <v>201475+</v>
      </c>
      <c r="B400">
        <v>2014</v>
      </c>
      <c r="C400" t="s">
        <v>0</v>
      </c>
      <c r="D400" t="s">
        <v>26</v>
      </c>
      <c r="E400" t="s">
        <v>37</v>
      </c>
      <c r="F400" t="s">
        <v>19</v>
      </c>
      <c r="G400" s="7">
        <v>3567</v>
      </c>
      <c r="H400" s="2">
        <v>425486</v>
      </c>
    </row>
    <row r="401" spans="1:8" x14ac:dyDescent="0.25">
      <c r="A401" t="str">
        <f t="shared" si="6"/>
        <v>19960-4</v>
      </c>
      <c r="B401">
        <v>1996</v>
      </c>
      <c r="C401" t="s">
        <v>6</v>
      </c>
      <c r="D401" t="s">
        <v>26</v>
      </c>
      <c r="E401" t="s">
        <v>38</v>
      </c>
      <c r="F401" t="s">
        <v>18</v>
      </c>
      <c r="G401" s="7">
        <v>6</v>
      </c>
      <c r="H401" s="2">
        <v>1308550.7828250399</v>
      </c>
    </row>
    <row r="402" spans="1:8" x14ac:dyDescent="0.25">
      <c r="A402" t="str">
        <f t="shared" si="6"/>
        <v>199615-24</v>
      </c>
      <c r="B402">
        <v>1996</v>
      </c>
      <c r="C402" t="s">
        <v>4</v>
      </c>
      <c r="D402" t="s">
        <v>26</v>
      </c>
      <c r="E402" t="s">
        <v>38</v>
      </c>
      <c r="F402" t="s">
        <v>18</v>
      </c>
      <c r="G402" s="7">
        <v>34</v>
      </c>
      <c r="H402" s="2">
        <v>2136825.68729656</v>
      </c>
    </row>
    <row r="403" spans="1:8" x14ac:dyDescent="0.25">
      <c r="A403" t="str">
        <f t="shared" si="6"/>
        <v>199625-44</v>
      </c>
      <c r="B403">
        <v>1996</v>
      </c>
      <c r="C403" t="s">
        <v>3</v>
      </c>
      <c r="D403" t="s">
        <v>26</v>
      </c>
      <c r="E403" t="s">
        <v>38</v>
      </c>
      <c r="F403" t="s">
        <v>18</v>
      </c>
      <c r="G403" s="7">
        <v>113</v>
      </c>
      <c r="H403" s="2">
        <v>3245545.2890741802</v>
      </c>
    </row>
    <row r="404" spans="1:8" x14ac:dyDescent="0.25">
      <c r="A404" t="str">
        <f t="shared" si="6"/>
        <v>199645-64</v>
      </c>
      <c r="B404">
        <v>1996</v>
      </c>
      <c r="C404" t="s">
        <v>2</v>
      </c>
      <c r="D404" t="s">
        <v>26</v>
      </c>
      <c r="E404" t="s">
        <v>38</v>
      </c>
      <c r="F404" t="s">
        <v>18</v>
      </c>
      <c r="G404" s="7">
        <v>689</v>
      </c>
      <c r="H404" s="2">
        <v>1448877.9572723201</v>
      </c>
    </row>
    <row r="405" spans="1:8" x14ac:dyDescent="0.25">
      <c r="A405" t="str">
        <f t="shared" si="6"/>
        <v>19965-14</v>
      </c>
      <c r="B405">
        <v>1996</v>
      </c>
      <c r="C405" t="s">
        <v>5</v>
      </c>
      <c r="D405" t="s">
        <v>26</v>
      </c>
      <c r="E405" t="s">
        <v>38</v>
      </c>
      <c r="F405" t="s">
        <v>18</v>
      </c>
      <c r="G405" s="7">
        <v>11</v>
      </c>
      <c r="H405" s="2">
        <v>2617766.7452121698</v>
      </c>
    </row>
    <row r="406" spans="1:8" x14ac:dyDescent="0.25">
      <c r="A406" t="str">
        <f t="shared" si="6"/>
        <v>199665-74</v>
      </c>
      <c r="B406">
        <v>1996</v>
      </c>
      <c r="C406" t="s">
        <v>1</v>
      </c>
      <c r="D406" t="s">
        <v>26</v>
      </c>
      <c r="E406" t="s">
        <v>38</v>
      </c>
      <c r="F406" t="s">
        <v>18</v>
      </c>
      <c r="G406" s="7">
        <v>707</v>
      </c>
      <c r="H406" s="2">
        <v>373487.34083337098</v>
      </c>
    </row>
    <row r="407" spans="1:8" x14ac:dyDescent="0.25">
      <c r="A407" t="str">
        <f t="shared" si="6"/>
        <v>199675+</v>
      </c>
      <c r="B407">
        <v>1996</v>
      </c>
      <c r="C407" t="s">
        <v>0</v>
      </c>
      <c r="D407" t="s">
        <v>26</v>
      </c>
      <c r="E407" t="s">
        <v>38</v>
      </c>
      <c r="F407" t="s">
        <v>18</v>
      </c>
      <c r="G407" s="7">
        <v>819</v>
      </c>
      <c r="H407" s="2">
        <v>186458.585231801</v>
      </c>
    </row>
    <row r="408" spans="1:8" x14ac:dyDescent="0.25">
      <c r="A408" t="str">
        <f t="shared" si="6"/>
        <v>19970-4</v>
      </c>
      <c r="B408">
        <v>1997</v>
      </c>
      <c r="C408" t="s">
        <v>6</v>
      </c>
      <c r="D408" t="s">
        <v>26</v>
      </c>
      <c r="E408" t="s">
        <v>38</v>
      </c>
      <c r="F408" t="s">
        <v>18</v>
      </c>
      <c r="G408" s="7">
        <v>5</v>
      </c>
      <c r="H408" s="2">
        <v>1317732.8696950199</v>
      </c>
    </row>
    <row r="409" spans="1:8" x14ac:dyDescent="0.25">
      <c r="A409" t="str">
        <f t="shared" si="6"/>
        <v>199715-24</v>
      </c>
      <c r="B409">
        <v>1997</v>
      </c>
      <c r="C409" t="s">
        <v>4</v>
      </c>
      <c r="D409" t="s">
        <v>26</v>
      </c>
      <c r="E409" t="s">
        <v>38</v>
      </c>
      <c r="F409" t="s">
        <v>18</v>
      </c>
      <c r="G409" s="7">
        <v>30</v>
      </c>
      <c r="H409" s="2">
        <v>2190257.4123779298</v>
      </c>
    </row>
    <row r="410" spans="1:8" x14ac:dyDescent="0.25">
      <c r="A410" t="str">
        <f t="shared" si="6"/>
        <v>199725-44</v>
      </c>
      <c r="B410">
        <v>1997</v>
      </c>
      <c r="C410" t="s">
        <v>3</v>
      </c>
      <c r="D410" t="s">
        <v>26</v>
      </c>
      <c r="E410" t="s">
        <v>38</v>
      </c>
      <c r="F410" t="s">
        <v>18</v>
      </c>
      <c r="G410" s="7">
        <v>121</v>
      </c>
      <c r="H410" s="2">
        <v>3319788.9734445098</v>
      </c>
    </row>
    <row r="411" spans="1:8" x14ac:dyDescent="0.25">
      <c r="A411" t="str">
        <f t="shared" si="6"/>
        <v>199745-64</v>
      </c>
      <c r="B411">
        <v>1997</v>
      </c>
      <c r="C411" t="s">
        <v>2</v>
      </c>
      <c r="D411" t="s">
        <v>26</v>
      </c>
      <c r="E411" t="s">
        <v>38</v>
      </c>
      <c r="F411" t="s">
        <v>18</v>
      </c>
      <c r="G411" s="7">
        <v>758</v>
      </c>
      <c r="H411" s="2">
        <v>1494497.7743633899</v>
      </c>
    </row>
    <row r="412" spans="1:8" x14ac:dyDescent="0.25">
      <c r="A412" t="str">
        <f t="shared" si="6"/>
        <v>19975-14</v>
      </c>
      <c r="B412">
        <v>1997</v>
      </c>
      <c r="C412" t="s">
        <v>5</v>
      </c>
      <c r="D412" t="s">
        <v>26</v>
      </c>
      <c r="E412" t="s">
        <v>38</v>
      </c>
      <c r="F412" t="s">
        <v>18</v>
      </c>
      <c r="G412" s="7">
        <v>8</v>
      </c>
      <c r="H412" s="2">
        <v>2625110.0471272999</v>
      </c>
    </row>
    <row r="413" spans="1:8" x14ac:dyDescent="0.25">
      <c r="A413" t="str">
        <f t="shared" si="6"/>
        <v>199765-74</v>
      </c>
      <c r="B413">
        <v>1997</v>
      </c>
      <c r="C413" t="s">
        <v>1</v>
      </c>
      <c r="D413" t="s">
        <v>26</v>
      </c>
      <c r="E413" t="s">
        <v>38</v>
      </c>
      <c r="F413" t="s">
        <v>18</v>
      </c>
      <c r="G413" s="7">
        <v>763</v>
      </c>
      <c r="H413" s="2">
        <v>377918.60450002301</v>
      </c>
    </row>
    <row r="414" spans="1:8" x14ac:dyDescent="0.25">
      <c r="A414" t="str">
        <f t="shared" si="6"/>
        <v>199775+</v>
      </c>
      <c r="B414">
        <v>1997</v>
      </c>
      <c r="C414" t="s">
        <v>0</v>
      </c>
      <c r="D414" t="s">
        <v>26</v>
      </c>
      <c r="E414" t="s">
        <v>38</v>
      </c>
      <c r="F414" t="s">
        <v>18</v>
      </c>
      <c r="G414" s="7">
        <v>935</v>
      </c>
      <c r="H414" s="2">
        <v>197836.55113907999</v>
      </c>
    </row>
    <row r="415" spans="1:8" x14ac:dyDescent="0.25">
      <c r="A415" t="str">
        <f t="shared" si="6"/>
        <v>19980-4</v>
      </c>
      <c r="B415">
        <v>1998</v>
      </c>
      <c r="C415" t="s">
        <v>6</v>
      </c>
      <c r="D415" t="s">
        <v>26</v>
      </c>
      <c r="E415" t="s">
        <v>38</v>
      </c>
      <c r="F415" t="s">
        <v>18</v>
      </c>
      <c r="G415" s="7">
        <v>2</v>
      </c>
      <c r="H415" s="2">
        <v>1325697.93484751</v>
      </c>
    </row>
    <row r="416" spans="1:8" x14ac:dyDescent="0.25">
      <c r="A416" t="str">
        <f t="shared" si="6"/>
        <v>199815-24</v>
      </c>
      <c r="B416">
        <v>1998</v>
      </c>
      <c r="C416" t="s">
        <v>4</v>
      </c>
      <c r="D416" t="s">
        <v>26</v>
      </c>
      <c r="E416" t="s">
        <v>38</v>
      </c>
      <c r="F416" t="s">
        <v>18</v>
      </c>
      <c r="G416" s="7">
        <v>32</v>
      </c>
      <c r="H416" s="2">
        <v>2242694.2061889698</v>
      </c>
    </row>
    <row r="417" spans="1:8" x14ac:dyDescent="0.25">
      <c r="A417" t="str">
        <f t="shared" si="6"/>
        <v>199825-44</v>
      </c>
      <c r="B417">
        <v>1998</v>
      </c>
      <c r="C417" t="s">
        <v>3</v>
      </c>
      <c r="D417" t="s">
        <v>26</v>
      </c>
      <c r="E417" t="s">
        <v>38</v>
      </c>
      <c r="F417" t="s">
        <v>18</v>
      </c>
      <c r="G417" s="7">
        <v>115</v>
      </c>
      <c r="H417" s="2">
        <v>3392799.98672225</v>
      </c>
    </row>
    <row r="418" spans="1:8" x14ac:dyDescent="0.25">
      <c r="A418" t="str">
        <f t="shared" si="6"/>
        <v>199845-64</v>
      </c>
      <c r="B418">
        <v>1998</v>
      </c>
      <c r="C418" t="s">
        <v>2</v>
      </c>
      <c r="D418" t="s">
        <v>26</v>
      </c>
      <c r="E418" t="s">
        <v>38</v>
      </c>
      <c r="F418" t="s">
        <v>18</v>
      </c>
      <c r="G418" s="7">
        <v>711</v>
      </c>
      <c r="H418" s="2">
        <v>1544756.3871817</v>
      </c>
    </row>
    <row r="419" spans="1:8" x14ac:dyDescent="0.25">
      <c r="A419" t="str">
        <f t="shared" si="6"/>
        <v>19985-14</v>
      </c>
      <c r="B419">
        <v>1998</v>
      </c>
      <c r="C419" t="s">
        <v>5</v>
      </c>
      <c r="D419" t="s">
        <v>26</v>
      </c>
      <c r="E419" t="s">
        <v>38</v>
      </c>
      <c r="F419" t="s">
        <v>18</v>
      </c>
      <c r="G419" s="7">
        <v>9</v>
      </c>
      <c r="H419" s="2">
        <v>2628255.52356365</v>
      </c>
    </row>
    <row r="420" spans="1:8" x14ac:dyDescent="0.25">
      <c r="A420" t="str">
        <f t="shared" si="6"/>
        <v>199865-74</v>
      </c>
      <c r="B420">
        <v>1998</v>
      </c>
      <c r="C420" t="s">
        <v>1</v>
      </c>
      <c r="D420" t="s">
        <v>26</v>
      </c>
      <c r="E420" t="s">
        <v>38</v>
      </c>
      <c r="F420" t="s">
        <v>18</v>
      </c>
      <c r="G420" s="7">
        <v>761</v>
      </c>
      <c r="H420" s="2">
        <v>383636.80225001101</v>
      </c>
    </row>
    <row r="421" spans="1:8" x14ac:dyDescent="0.25">
      <c r="A421" t="str">
        <f t="shared" si="6"/>
        <v>199875+</v>
      </c>
      <c r="B421">
        <v>1998</v>
      </c>
      <c r="C421" t="s">
        <v>0</v>
      </c>
      <c r="D421" t="s">
        <v>26</v>
      </c>
      <c r="E421" t="s">
        <v>38</v>
      </c>
      <c r="F421" t="s">
        <v>18</v>
      </c>
      <c r="G421" s="7">
        <v>963</v>
      </c>
      <c r="H421" s="2">
        <v>210840.77556954001</v>
      </c>
    </row>
    <row r="422" spans="1:8" x14ac:dyDescent="0.25">
      <c r="A422" t="str">
        <f t="shared" si="6"/>
        <v>19990-4</v>
      </c>
      <c r="B422">
        <v>1999</v>
      </c>
      <c r="C422" t="s">
        <v>6</v>
      </c>
      <c r="D422" t="s">
        <v>26</v>
      </c>
      <c r="E422" t="s">
        <v>38</v>
      </c>
      <c r="F422" t="s">
        <v>18</v>
      </c>
      <c r="G422" s="7">
        <v>6</v>
      </c>
      <c r="H422" s="2">
        <v>1332528.9782825001</v>
      </c>
    </row>
    <row r="423" spans="1:8" x14ac:dyDescent="0.25">
      <c r="A423" t="str">
        <f t="shared" si="6"/>
        <v>199915-24</v>
      </c>
      <c r="B423">
        <v>1999</v>
      </c>
      <c r="C423" t="s">
        <v>4</v>
      </c>
      <c r="D423" t="s">
        <v>26</v>
      </c>
      <c r="E423" t="s">
        <v>38</v>
      </c>
      <c r="F423" t="s">
        <v>18</v>
      </c>
      <c r="G423" s="7">
        <v>26</v>
      </c>
      <c r="H423" s="2">
        <v>2293434.06872966</v>
      </c>
    </row>
    <row r="424" spans="1:8" x14ac:dyDescent="0.25">
      <c r="A424" t="str">
        <f t="shared" si="6"/>
        <v>199925-44</v>
      </c>
      <c r="B424">
        <v>1999</v>
      </c>
      <c r="C424" t="s">
        <v>3</v>
      </c>
      <c r="D424" t="s">
        <v>26</v>
      </c>
      <c r="E424" t="s">
        <v>38</v>
      </c>
      <c r="F424" t="s">
        <v>18</v>
      </c>
      <c r="G424" s="7">
        <v>116</v>
      </c>
      <c r="H424" s="2">
        <v>3464730.3289074199</v>
      </c>
    </row>
    <row r="425" spans="1:8" x14ac:dyDescent="0.25">
      <c r="A425" t="str">
        <f t="shared" si="6"/>
        <v>199945-64</v>
      </c>
      <c r="B425">
        <v>1999</v>
      </c>
      <c r="C425" t="s">
        <v>2</v>
      </c>
      <c r="D425" t="s">
        <v>26</v>
      </c>
      <c r="E425" t="s">
        <v>38</v>
      </c>
      <c r="F425" t="s">
        <v>18</v>
      </c>
      <c r="G425" s="7">
        <v>817</v>
      </c>
      <c r="H425" s="2">
        <v>1599513.7957272299</v>
      </c>
    </row>
    <row r="426" spans="1:8" x14ac:dyDescent="0.25">
      <c r="A426" t="str">
        <f t="shared" si="6"/>
        <v>19995-14</v>
      </c>
      <c r="B426">
        <v>1999</v>
      </c>
      <c r="C426" t="s">
        <v>5</v>
      </c>
      <c r="D426" t="s">
        <v>26</v>
      </c>
      <c r="E426" t="s">
        <v>38</v>
      </c>
      <c r="F426" t="s">
        <v>18</v>
      </c>
      <c r="G426" s="7">
        <v>8</v>
      </c>
      <c r="H426" s="2">
        <v>2628380.1745212199</v>
      </c>
    </row>
    <row r="427" spans="1:8" x14ac:dyDescent="0.25">
      <c r="A427" t="str">
        <f t="shared" si="6"/>
        <v>199965-74</v>
      </c>
      <c r="B427">
        <v>1999</v>
      </c>
      <c r="C427" t="s">
        <v>1</v>
      </c>
      <c r="D427" t="s">
        <v>26</v>
      </c>
      <c r="E427" t="s">
        <v>38</v>
      </c>
      <c r="F427" t="s">
        <v>18</v>
      </c>
      <c r="G427" s="7">
        <v>946</v>
      </c>
      <c r="H427" s="2">
        <v>390568.93408333702</v>
      </c>
    </row>
    <row r="428" spans="1:8" x14ac:dyDescent="0.25">
      <c r="A428" t="str">
        <f t="shared" si="6"/>
        <v>199975+</v>
      </c>
      <c r="B428">
        <v>1999</v>
      </c>
      <c r="C428" t="s">
        <v>0</v>
      </c>
      <c r="D428" t="s">
        <v>26</v>
      </c>
      <c r="E428" t="s">
        <v>38</v>
      </c>
      <c r="F428" t="s">
        <v>18</v>
      </c>
      <c r="G428" s="7">
        <v>1126</v>
      </c>
      <c r="H428" s="2">
        <v>225043.25852318</v>
      </c>
    </row>
    <row r="429" spans="1:8" x14ac:dyDescent="0.25">
      <c r="A429" t="str">
        <f t="shared" si="6"/>
        <v>20000-4</v>
      </c>
      <c r="B429">
        <v>2000</v>
      </c>
      <c r="C429" t="s">
        <v>6</v>
      </c>
      <c r="D429" t="s">
        <v>26</v>
      </c>
      <c r="E429" t="s">
        <v>38</v>
      </c>
      <c r="F429" t="s">
        <v>18</v>
      </c>
      <c r="G429" s="7">
        <v>9</v>
      </c>
      <c r="H429" s="2">
        <v>1338309</v>
      </c>
    </row>
    <row r="430" spans="1:8" x14ac:dyDescent="0.25">
      <c r="A430" t="str">
        <f t="shared" si="6"/>
        <v>200015-24</v>
      </c>
      <c r="B430">
        <v>2000</v>
      </c>
      <c r="C430" t="s">
        <v>4</v>
      </c>
      <c r="D430" t="s">
        <v>26</v>
      </c>
      <c r="E430" t="s">
        <v>38</v>
      </c>
      <c r="F430" t="s">
        <v>18</v>
      </c>
      <c r="G430" s="7">
        <v>28</v>
      </c>
      <c r="H430" s="2">
        <v>2341775</v>
      </c>
    </row>
    <row r="431" spans="1:8" x14ac:dyDescent="0.25">
      <c r="A431" t="str">
        <f t="shared" si="6"/>
        <v>200025-44</v>
      </c>
      <c r="B431">
        <v>2000</v>
      </c>
      <c r="C431" t="s">
        <v>3</v>
      </c>
      <c r="D431" t="s">
        <v>26</v>
      </c>
      <c r="E431" t="s">
        <v>38</v>
      </c>
      <c r="F431" t="s">
        <v>18</v>
      </c>
      <c r="G431" s="7">
        <v>129</v>
      </c>
      <c r="H431" s="2">
        <v>3535732</v>
      </c>
    </row>
    <row r="432" spans="1:8" x14ac:dyDescent="0.25">
      <c r="A432" t="str">
        <f t="shared" si="6"/>
        <v>200045-64</v>
      </c>
      <c r="B432">
        <v>2000</v>
      </c>
      <c r="C432" t="s">
        <v>2</v>
      </c>
      <c r="D432" t="s">
        <v>26</v>
      </c>
      <c r="E432" t="s">
        <v>38</v>
      </c>
      <c r="F432" t="s">
        <v>18</v>
      </c>
      <c r="G432" s="7">
        <v>878</v>
      </c>
      <c r="H432" s="2">
        <v>1658630</v>
      </c>
    </row>
    <row r="433" spans="1:8" x14ac:dyDescent="0.25">
      <c r="A433" t="str">
        <f t="shared" si="6"/>
        <v>20005-14</v>
      </c>
      <c r="B433">
        <v>2000</v>
      </c>
      <c r="C433" t="s">
        <v>5</v>
      </c>
      <c r="D433" t="s">
        <v>26</v>
      </c>
      <c r="E433" t="s">
        <v>38</v>
      </c>
      <c r="F433" t="s">
        <v>18</v>
      </c>
      <c r="G433" s="7">
        <v>13</v>
      </c>
      <c r="H433" s="2">
        <v>2626661</v>
      </c>
    </row>
    <row r="434" spans="1:8" x14ac:dyDescent="0.25">
      <c r="A434" t="str">
        <f t="shared" si="6"/>
        <v>200065-74</v>
      </c>
      <c r="B434">
        <v>2000</v>
      </c>
      <c r="C434" t="s">
        <v>1</v>
      </c>
      <c r="D434" t="s">
        <v>26</v>
      </c>
      <c r="E434" t="s">
        <v>38</v>
      </c>
      <c r="F434" t="s">
        <v>18</v>
      </c>
      <c r="G434" s="7">
        <v>936</v>
      </c>
      <c r="H434" s="2">
        <v>398642</v>
      </c>
    </row>
    <row r="435" spans="1:8" x14ac:dyDescent="0.25">
      <c r="A435" t="str">
        <f t="shared" si="6"/>
        <v>200075+</v>
      </c>
      <c r="B435">
        <v>2000</v>
      </c>
      <c r="C435" t="s">
        <v>0</v>
      </c>
      <c r="D435" t="s">
        <v>26</v>
      </c>
      <c r="E435" t="s">
        <v>38</v>
      </c>
      <c r="F435" t="s">
        <v>18</v>
      </c>
      <c r="G435" s="7">
        <v>1113</v>
      </c>
      <c r="H435" s="2">
        <v>240016</v>
      </c>
    </row>
    <row r="436" spans="1:8" x14ac:dyDescent="0.25">
      <c r="A436" t="str">
        <f t="shared" si="6"/>
        <v>20010-4</v>
      </c>
      <c r="B436">
        <v>2001</v>
      </c>
      <c r="C436" t="s">
        <v>6</v>
      </c>
      <c r="D436" t="s">
        <v>26</v>
      </c>
      <c r="E436" t="s">
        <v>38</v>
      </c>
      <c r="F436" t="s">
        <v>18</v>
      </c>
      <c r="G436" s="7">
        <v>7</v>
      </c>
      <c r="H436" s="2">
        <v>1343121</v>
      </c>
    </row>
    <row r="437" spans="1:8" x14ac:dyDescent="0.25">
      <c r="A437" t="str">
        <f t="shared" si="6"/>
        <v>200115-24</v>
      </c>
      <c r="B437">
        <v>2001</v>
      </c>
      <c r="C437" t="s">
        <v>4</v>
      </c>
      <c r="D437" t="s">
        <v>26</v>
      </c>
      <c r="E437" t="s">
        <v>38</v>
      </c>
      <c r="F437" t="s">
        <v>18</v>
      </c>
      <c r="G437" s="7">
        <v>29</v>
      </c>
      <c r="H437" s="2">
        <v>2387015</v>
      </c>
    </row>
    <row r="438" spans="1:8" x14ac:dyDescent="0.25">
      <c r="A438" t="str">
        <f t="shared" si="6"/>
        <v>200125-44</v>
      </c>
      <c r="B438">
        <v>2001</v>
      </c>
      <c r="C438" t="s">
        <v>3</v>
      </c>
      <c r="D438" t="s">
        <v>26</v>
      </c>
      <c r="E438" t="s">
        <v>38</v>
      </c>
      <c r="F438" t="s">
        <v>18</v>
      </c>
      <c r="G438" s="7">
        <v>124</v>
      </c>
      <c r="H438" s="2">
        <v>3605957</v>
      </c>
    </row>
    <row r="439" spans="1:8" x14ac:dyDescent="0.25">
      <c r="A439" t="str">
        <f t="shared" si="6"/>
        <v>200145-64</v>
      </c>
      <c r="B439">
        <v>2001</v>
      </c>
      <c r="C439" t="s">
        <v>2</v>
      </c>
      <c r="D439" t="s">
        <v>26</v>
      </c>
      <c r="E439" t="s">
        <v>38</v>
      </c>
      <c r="F439" t="s">
        <v>18</v>
      </c>
      <c r="G439" s="7">
        <v>912</v>
      </c>
      <c r="H439" s="2">
        <v>1721965</v>
      </c>
    </row>
    <row r="440" spans="1:8" x14ac:dyDescent="0.25">
      <c r="A440" t="str">
        <f t="shared" si="6"/>
        <v>20015-14</v>
      </c>
      <c r="B440">
        <v>2001</v>
      </c>
      <c r="C440" t="s">
        <v>5</v>
      </c>
      <c r="D440" t="s">
        <v>26</v>
      </c>
      <c r="E440" t="s">
        <v>38</v>
      </c>
      <c r="F440" t="s">
        <v>18</v>
      </c>
      <c r="G440" s="7">
        <v>4</v>
      </c>
      <c r="H440" s="2">
        <v>2624275</v>
      </c>
    </row>
    <row r="441" spans="1:8" x14ac:dyDescent="0.25">
      <c r="A441" t="str">
        <f t="shared" si="6"/>
        <v>200165-74</v>
      </c>
      <c r="B441">
        <v>2001</v>
      </c>
      <c r="C441" t="s">
        <v>1</v>
      </c>
      <c r="D441" t="s">
        <v>26</v>
      </c>
      <c r="E441" t="s">
        <v>38</v>
      </c>
      <c r="F441" t="s">
        <v>18</v>
      </c>
      <c r="G441" s="7">
        <v>927</v>
      </c>
      <c r="H441" s="2">
        <v>407783</v>
      </c>
    </row>
    <row r="442" spans="1:8" x14ac:dyDescent="0.25">
      <c r="A442" t="str">
        <f t="shared" si="6"/>
        <v>200175+</v>
      </c>
      <c r="B442">
        <v>2001</v>
      </c>
      <c r="C442" t="s">
        <v>0</v>
      </c>
      <c r="D442" t="s">
        <v>26</v>
      </c>
      <c r="E442" t="s">
        <v>38</v>
      </c>
      <c r="F442" t="s">
        <v>18</v>
      </c>
      <c r="G442" s="7">
        <v>1253</v>
      </c>
      <c r="H442" s="2">
        <v>255331</v>
      </c>
    </row>
    <row r="443" spans="1:8" x14ac:dyDescent="0.25">
      <c r="A443" t="str">
        <f t="shared" si="6"/>
        <v>20020-4</v>
      </c>
      <c r="B443">
        <v>2002</v>
      </c>
      <c r="C443" t="s">
        <v>6</v>
      </c>
      <c r="D443" t="s">
        <v>26</v>
      </c>
      <c r="E443" t="s">
        <v>38</v>
      </c>
      <c r="F443" t="s">
        <v>18</v>
      </c>
      <c r="G443" s="7">
        <v>3</v>
      </c>
      <c r="H443" s="2">
        <v>1347045</v>
      </c>
    </row>
    <row r="444" spans="1:8" x14ac:dyDescent="0.25">
      <c r="A444" t="str">
        <f t="shared" si="6"/>
        <v>200215-24</v>
      </c>
      <c r="B444">
        <v>2002</v>
      </c>
      <c r="C444" t="s">
        <v>4</v>
      </c>
      <c r="D444" t="s">
        <v>26</v>
      </c>
      <c r="E444" t="s">
        <v>38</v>
      </c>
      <c r="F444" t="s">
        <v>18</v>
      </c>
      <c r="G444" s="7">
        <v>24</v>
      </c>
      <c r="H444" s="2">
        <v>2428415</v>
      </c>
    </row>
    <row r="445" spans="1:8" x14ac:dyDescent="0.25">
      <c r="A445" t="str">
        <f t="shared" si="6"/>
        <v>200225-44</v>
      </c>
      <c r="B445">
        <v>2002</v>
      </c>
      <c r="C445" t="s">
        <v>3</v>
      </c>
      <c r="D445" t="s">
        <v>26</v>
      </c>
      <c r="E445" t="s">
        <v>38</v>
      </c>
      <c r="F445" t="s">
        <v>18</v>
      </c>
      <c r="G445" s="7">
        <v>126</v>
      </c>
      <c r="H445" s="2">
        <v>3675559</v>
      </c>
    </row>
    <row r="446" spans="1:8" x14ac:dyDescent="0.25">
      <c r="A446" t="str">
        <f t="shared" si="6"/>
        <v>200245-64</v>
      </c>
      <c r="B446">
        <v>2002</v>
      </c>
      <c r="C446" t="s">
        <v>2</v>
      </c>
      <c r="D446" t="s">
        <v>26</v>
      </c>
      <c r="E446" t="s">
        <v>38</v>
      </c>
      <c r="F446" t="s">
        <v>18</v>
      </c>
      <c r="G446" s="7">
        <v>951</v>
      </c>
      <c r="H446" s="2">
        <v>1789361</v>
      </c>
    </row>
    <row r="447" spans="1:8" x14ac:dyDescent="0.25">
      <c r="A447" t="str">
        <f t="shared" si="6"/>
        <v>20025-14</v>
      </c>
      <c r="B447">
        <v>2002</v>
      </c>
      <c r="C447" t="s">
        <v>5</v>
      </c>
      <c r="D447" t="s">
        <v>26</v>
      </c>
      <c r="E447" t="s">
        <v>38</v>
      </c>
      <c r="F447" t="s">
        <v>18</v>
      </c>
      <c r="G447" s="7">
        <v>4</v>
      </c>
      <c r="H447" s="2">
        <v>2622422</v>
      </c>
    </row>
    <row r="448" spans="1:8" x14ac:dyDescent="0.25">
      <c r="A448" t="str">
        <f t="shared" si="6"/>
        <v>200265-74</v>
      </c>
      <c r="B448">
        <v>2002</v>
      </c>
      <c r="C448" t="s">
        <v>1</v>
      </c>
      <c r="D448" t="s">
        <v>26</v>
      </c>
      <c r="E448" t="s">
        <v>38</v>
      </c>
      <c r="F448" t="s">
        <v>18</v>
      </c>
      <c r="G448" s="7">
        <v>962</v>
      </c>
      <c r="H448" s="2">
        <v>417907</v>
      </c>
    </row>
    <row r="449" spans="1:8" x14ac:dyDescent="0.25">
      <c r="A449" t="str">
        <f t="shared" si="6"/>
        <v>200275+</v>
      </c>
      <c r="B449">
        <v>2002</v>
      </c>
      <c r="C449" t="s">
        <v>0</v>
      </c>
      <c r="D449" t="s">
        <v>26</v>
      </c>
      <c r="E449" t="s">
        <v>38</v>
      </c>
      <c r="F449" t="s">
        <v>18</v>
      </c>
      <c r="G449" s="7">
        <v>1271</v>
      </c>
      <c r="H449" s="2">
        <v>270538</v>
      </c>
    </row>
    <row r="450" spans="1:8" x14ac:dyDescent="0.25">
      <c r="A450" t="str">
        <f t="shared" ref="A450:A513" si="7">+CONCATENATE(B450,C450)</f>
        <v>20030-4</v>
      </c>
      <c r="B450">
        <v>2003</v>
      </c>
      <c r="C450" t="s">
        <v>6</v>
      </c>
      <c r="D450" t="s">
        <v>26</v>
      </c>
      <c r="E450" t="s">
        <v>38</v>
      </c>
      <c r="F450" t="s">
        <v>18</v>
      </c>
      <c r="G450" s="7">
        <v>1</v>
      </c>
      <c r="H450" s="2">
        <v>1350164</v>
      </c>
    </row>
    <row r="451" spans="1:8" x14ac:dyDescent="0.25">
      <c r="A451" t="str">
        <f t="shared" si="7"/>
        <v>200315-24</v>
      </c>
      <c r="B451">
        <v>2003</v>
      </c>
      <c r="C451" t="s">
        <v>4</v>
      </c>
      <c r="D451" t="s">
        <v>26</v>
      </c>
      <c r="E451" t="s">
        <v>38</v>
      </c>
      <c r="F451" t="s">
        <v>18</v>
      </c>
      <c r="G451" s="7">
        <v>22</v>
      </c>
      <c r="H451" s="2">
        <v>2465273</v>
      </c>
    </row>
    <row r="452" spans="1:8" x14ac:dyDescent="0.25">
      <c r="A452" t="str">
        <f t="shared" si="7"/>
        <v>200325-44</v>
      </c>
      <c r="B452">
        <v>2003</v>
      </c>
      <c r="C452" t="s">
        <v>3</v>
      </c>
      <c r="D452" t="s">
        <v>26</v>
      </c>
      <c r="E452" t="s">
        <v>38</v>
      </c>
      <c r="F452" t="s">
        <v>18</v>
      </c>
      <c r="G452" s="7">
        <v>123</v>
      </c>
      <c r="H452" s="2">
        <v>3744690</v>
      </c>
    </row>
    <row r="453" spans="1:8" x14ac:dyDescent="0.25">
      <c r="A453" t="str">
        <f t="shared" si="7"/>
        <v>200345-64</v>
      </c>
      <c r="B453">
        <v>2003</v>
      </c>
      <c r="C453" t="s">
        <v>2</v>
      </c>
      <c r="D453" t="s">
        <v>26</v>
      </c>
      <c r="E453" t="s">
        <v>38</v>
      </c>
      <c r="F453" t="s">
        <v>18</v>
      </c>
      <c r="G453" s="7">
        <v>990</v>
      </c>
      <c r="H453" s="2">
        <v>1860678</v>
      </c>
    </row>
    <row r="454" spans="1:8" x14ac:dyDescent="0.25">
      <c r="A454" t="str">
        <f t="shared" si="7"/>
        <v>20035-14</v>
      </c>
      <c r="B454">
        <v>2003</v>
      </c>
      <c r="C454" t="s">
        <v>5</v>
      </c>
      <c r="D454" t="s">
        <v>26</v>
      </c>
      <c r="E454" t="s">
        <v>38</v>
      </c>
      <c r="F454" t="s">
        <v>18</v>
      </c>
      <c r="G454" s="7">
        <v>14</v>
      </c>
      <c r="H454" s="2">
        <v>2622279</v>
      </c>
    </row>
    <row r="455" spans="1:8" x14ac:dyDescent="0.25">
      <c r="A455" t="str">
        <f t="shared" si="7"/>
        <v>200365-74</v>
      </c>
      <c r="B455">
        <v>2003</v>
      </c>
      <c r="C455" t="s">
        <v>1</v>
      </c>
      <c r="D455" t="s">
        <v>26</v>
      </c>
      <c r="E455" t="s">
        <v>38</v>
      </c>
      <c r="F455" t="s">
        <v>18</v>
      </c>
      <c r="G455" s="7">
        <v>1031</v>
      </c>
      <c r="H455" s="2">
        <v>428941</v>
      </c>
    </row>
    <row r="456" spans="1:8" x14ac:dyDescent="0.25">
      <c r="A456" t="str">
        <f t="shared" si="7"/>
        <v>200375+</v>
      </c>
      <c r="B456">
        <v>2003</v>
      </c>
      <c r="C456" t="s">
        <v>0</v>
      </c>
      <c r="D456" t="s">
        <v>26</v>
      </c>
      <c r="E456" t="s">
        <v>38</v>
      </c>
      <c r="F456" t="s">
        <v>18</v>
      </c>
      <c r="G456" s="7">
        <v>1394</v>
      </c>
      <c r="H456" s="2">
        <v>285209</v>
      </c>
    </row>
    <row r="457" spans="1:8" x14ac:dyDescent="0.25">
      <c r="A457" t="str">
        <f t="shared" si="7"/>
        <v>20040-4</v>
      </c>
      <c r="B457">
        <v>2004</v>
      </c>
      <c r="C457" t="s">
        <v>6</v>
      </c>
      <c r="D457" t="s">
        <v>26</v>
      </c>
      <c r="E457" t="s">
        <v>38</v>
      </c>
      <c r="F457" t="s">
        <v>18</v>
      </c>
      <c r="G457" s="7">
        <v>1</v>
      </c>
      <c r="H457" s="2">
        <v>1352508</v>
      </c>
    </row>
    <row r="458" spans="1:8" x14ac:dyDescent="0.25">
      <c r="A458" t="str">
        <f t="shared" si="7"/>
        <v>200415-24</v>
      </c>
      <c r="B458">
        <v>2004</v>
      </c>
      <c r="C458" t="s">
        <v>4</v>
      </c>
      <c r="D458" t="s">
        <v>26</v>
      </c>
      <c r="E458" t="s">
        <v>38</v>
      </c>
      <c r="F458" t="s">
        <v>18</v>
      </c>
      <c r="G458" s="7">
        <v>37</v>
      </c>
      <c r="H458" s="2">
        <v>2497409</v>
      </c>
    </row>
    <row r="459" spans="1:8" x14ac:dyDescent="0.25">
      <c r="A459" t="str">
        <f t="shared" si="7"/>
        <v>200425-44</v>
      </c>
      <c r="B459">
        <v>2004</v>
      </c>
      <c r="C459" t="s">
        <v>3</v>
      </c>
      <c r="D459" t="s">
        <v>26</v>
      </c>
      <c r="E459" t="s">
        <v>38</v>
      </c>
      <c r="F459" t="s">
        <v>18</v>
      </c>
      <c r="G459" s="7">
        <v>124</v>
      </c>
      <c r="H459" s="2">
        <v>3813358</v>
      </c>
    </row>
    <row r="460" spans="1:8" x14ac:dyDescent="0.25">
      <c r="A460" t="str">
        <f t="shared" si="7"/>
        <v>200445-64</v>
      </c>
      <c r="B460">
        <v>2004</v>
      </c>
      <c r="C460" t="s">
        <v>2</v>
      </c>
      <c r="D460" t="s">
        <v>26</v>
      </c>
      <c r="E460" t="s">
        <v>38</v>
      </c>
      <c r="F460" t="s">
        <v>18</v>
      </c>
      <c r="G460" s="7">
        <v>1004</v>
      </c>
      <c r="H460" s="2">
        <v>1936129</v>
      </c>
    </row>
    <row r="461" spans="1:8" x14ac:dyDescent="0.25">
      <c r="A461" t="str">
        <f t="shared" si="7"/>
        <v>20045-14</v>
      </c>
      <c r="B461">
        <v>2004</v>
      </c>
      <c r="C461" t="s">
        <v>5</v>
      </c>
      <c r="D461" t="s">
        <v>26</v>
      </c>
      <c r="E461" t="s">
        <v>38</v>
      </c>
      <c r="F461" t="s">
        <v>18</v>
      </c>
      <c r="G461" s="7">
        <v>5</v>
      </c>
      <c r="H461" s="2">
        <v>2624530</v>
      </c>
    </row>
    <row r="462" spans="1:8" x14ac:dyDescent="0.25">
      <c r="A462" t="str">
        <f t="shared" si="7"/>
        <v>200465-74</v>
      </c>
      <c r="B462">
        <v>2004</v>
      </c>
      <c r="C462" t="s">
        <v>1</v>
      </c>
      <c r="D462" t="s">
        <v>26</v>
      </c>
      <c r="E462" t="s">
        <v>38</v>
      </c>
      <c r="F462" t="s">
        <v>18</v>
      </c>
      <c r="G462" s="7">
        <v>1049</v>
      </c>
      <c r="H462" s="2">
        <v>441018</v>
      </c>
    </row>
    <row r="463" spans="1:8" x14ac:dyDescent="0.25">
      <c r="A463" t="str">
        <f t="shared" si="7"/>
        <v>200475+</v>
      </c>
      <c r="B463">
        <v>2004</v>
      </c>
      <c r="C463" t="s">
        <v>0</v>
      </c>
      <c r="D463" t="s">
        <v>26</v>
      </c>
      <c r="E463" t="s">
        <v>38</v>
      </c>
      <c r="F463" t="s">
        <v>18</v>
      </c>
      <c r="G463" s="7">
        <v>1458</v>
      </c>
      <c r="H463" s="2">
        <v>299301</v>
      </c>
    </row>
    <row r="464" spans="1:8" x14ac:dyDescent="0.25">
      <c r="A464" t="str">
        <f t="shared" si="7"/>
        <v>20050-4</v>
      </c>
      <c r="B464">
        <v>2005</v>
      </c>
      <c r="C464" t="s">
        <v>6</v>
      </c>
      <c r="D464" t="s">
        <v>26</v>
      </c>
      <c r="E464" t="s">
        <v>38</v>
      </c>
      <c r="F464" t="s">
        <v>18</v>
      </c>
      <c r="G464" s="7">
        <v>6</v>
      </c>
      <c r="H464" s="2">
        <v>1353852</v>
      </c>
    </row>
    <row r="465" spans="1:8" x14ac:dyDescent="0.25">
      <c r="A465" t="str">
        <f t="shared" si="7"/>
        <v>200515-24</v>
      </c>
      <c r="B465">
        <v>2005</v>
      </c>
      <c r="C465" t="s">
        <v>4</v>
      </c>
      <c r="D465" t="s">
        <v>26</v>
      </c>
      <c r="E465" t="s">
        <v>38</v>
      </c>
      <c r="F465" t="s">
        <v>18</v>
      </c>
      <c r="G465" s="7">
        <v>40</v>
      </c>
      <c r="H465" s="2">
        <v>2524017</v>
      </c>
    </row>
    <row r="466" spans="1:8" x14ac:dyDescent="0.25">
      <c r="A466" t="str">
        <f t="shared" si="7"/>
        <v>200525-44</v>
      </c>
      <c r="B466">
        <v>2005</v>
      </c>
      <c r="C466" t="s">
        <v>3</v>
      </c>
      <c r="D466" t="s">
        <v>26</v>
      </c>
      <c r="E466" t="s">
        <v>38</v>
      </c>
      <c r="F466" t="s">
        <v>18</v>
      </c>
      <c r="G466" s="7">
        <v>129</v>
      </c>
      <c r="H466" s="2">
        <v>3881062</v>
      </c>
    </row>
    <row r="467" spans="1:8" x14ac:dyDescent="0.25">
      <c r="A467" t="str">
        <f t="shared" si="7"/>
        <v>200545-64</v>
      </c>
      <c r="B467">
        <v>2005</v>
      </c>
      <c r="C467" t="s">
        <v>2</v>
      </c>
      <c r="D467" t="s">
        <v>26</v>
      </c>
      <c r="E467" t="s">
        <v>38</v>
      </c>
      <c r="F467" t="s">
        <v>18</v>
      </c>
      <c r="G467" s="7">
        <v>1020</v>
      </c>
      <c r="H467" s="2">
        <v>2016148</v>
      </c>
    </row>
    <row r="468" spans="1:8" x14ac:dyDescent="0.25">
      <c r="A468" t="str">
        <f t="shared" si="7"/>
        <v>20055-14</v>
      </c>
      <c r="B468">
        <v>2005</v>
      </c>
      <c r="C468" t="s">
        <v>5</v>
      </c>
      <c r="D468" t="s">
        <v>26</v>
      </c>
      <c r="E468" t="s">
        <v>38</v>
      </c>
      <c r="F468" t="s">
        <v>18</v>
      </c>
      <c r="G468" s="7">
        <v>5</v>
      </c>
      <c r="H468" s="2">
        <v>2629864</v>
      </c>
    </row>
    <row r="469" spans="1:8" x14ac:dyDescent="0.25">
      <c r="A469" t="str">
        <f t="shared" si="7"/>
        <v>200565-74</v>
      </c>
      <c r="B469">
        <v>2005</v>
      </c>
      <c r="C469" t="s">
        <v>1</v>
      </c>
      <c r="D469" t="s">
        <v>26</v>
      </c>
      <c r="E469" t="s">
        <v>38</v>
      </c>
      <c r="F469" t="s">
        <v>18</v>
      </c>
      <c r="G469" s="7">
        <v>1043</v>
      </c>
      <c r="H469" s="2">
        <v>454245</v>
      </c>
    </row>
    <row r="470" spans="1:8" x14ac:dyDescent="0.25">
      <c r="A470" t="str">
        <f t="shared" si="7"/>
        <v>200575+</v>
      </c>
      <c r="B470">
        <v>2005</v>
      </c>
      <c r="C470" t="s">
        <v>0</v>
      </c>
      <c r="D470" t="s">
        <v>26</v>
      </c>
      <c r="E470" t="s">
        <v>38</v>
      </c>
      <c r="F470" t="s">
        <v>18</v>
      </c>
      <c r="G470" s="7">
        <v>1499</v>
      </c>
      <c r="H470" s="2">
        <v>312767</v>
      </c>
    </row>
    <row r="471" spans="1:8" x14ac:dyDescent="0.25">
      <c r="A471" t="str">
        <f t="shared" si="7"/>
        <v>20060-4</v>
      </c>
      <c r="B471">
        <v>2006</v>
      </c>
      <c r="C471" t="s">
        <v>6</v>
      </c>
      <c r="D471" t="s">
        <v>26</v>
      </c>
      <c r="E471" t="s">
        <v>38</v>
      </c>
      <c r="F471" t="s">
        <v>18</v>
      </c>
      <c r="G471" s="7">
        <v>1</v>
      </c>
      <c r="H471" s="2">
        <v>1354432</v>
      </c>
    </row>
    <row r="472" spans="1:8" x14ac:dyDescent="0.25">
      <c r="A472" t="str">
        <f t="shared" si="7"/>
        <v>200615-24</v>
      </c>
      <c r="B472">
        <v>2006</v>
      </c>
      <c r="C472" t="s">
        <v>4</v>
      </c>
      <c r="D472" t="s">
        <v>26</v>
      </c>
      <c r="E472" t="s">
        <v>38</v>
      </c>
      <c r="F472" t="s">
        <v>18</v>
      </c>
      <c r="G472" s="7">
        <v>29</v>
      </c>
      <c r="H472" s="2">
        <v>2544731</v>
      </c>
    </row>
    <row r="473" spans="1:8" x14ac:dyDescent="0.25">
      <c r="A473" t="str">
        <f t="shared" si="7"/>
        <v>200625-44</v>
      </c>
      <c r="B473">
        <v>2006</v>
      </c>
      <c r="C473" t="s">
        <v>3</v>
      </c>
      <c r="D473" t="s">
        <v>26</v>
      </c>
      <c r="E473" t="s">
        <v>38</v>
      </c>
      <c r="F473" t="s">
        <v>18</v>
      </c>
      <c r="G473" s="7">
        <v>135</v>
      </c>
      <c r="H473" s="2">
        <v>3947836</v>
      </c>
    </row>
    <row r="474" spans="1:8" x14ac:dyDescent="0.25">
      <c r="A474" t="str">
        <f t="shared" si="7"/>
        <v>200645-64</v>
      </c>
      <c r="B474">
        <v>2006</v>
      </c>
      <c r="C474" t="s">
        <v>2</v>
      </c>
      <c r="D474" t="s">
        <v>26</v>
      </c>
      <c r="E474" t="s">
        <v>38</v>
      </c>
      <c r="F474" t="s">
        <v>18</v>
      </c>
      <c r="G474" s="7">
        <v>1086</v>
      </c>
      <c r="H474" s="2">
        <v>2100791</v>
      </c>
    </row>
    <row r="475" spans="1:8" x14ac:dyDescent="0.25">
      <c r="A475" t="str">
        <f t="shared" si="7"/>
        <v>20065-14</v>
      </c>
      <c r="B475">
        <v>2006</v>
      </c>
      <c r="C475" t="s">
        <v>5</v>
      </c>
      <c r="D475" t="s">
        <v>26</v>
      </c>
      <c r="E475" t="s">
        <v>38</v>
      </c>
      <c r="F475" t="s">
        <v>18</v>
      </c>
      <c r="G475" s="7">
        <v>9</v>
      </c>
      <c r="H475" s="2">
        <v>2638747</v>
      </c>
    </row>
    <row r="476" spans="1:8" x14ac:dyDescent="0.25">
      <c r="A476" t="str">
        <f t="shared" si="7"/>
        <v>200665-74</v>
      </c>
      <c r="B476">
        <v>2006</v>
      </c>
      <c r="C476" t="s">
        <v>1</v>
      </c>
      <c r="D476" t="s">
        <v>26</v>
      </c>
      <c r="E476" t="s">
        <v>38</v>
      </c>
      <c r="F476" t="s">
        <v>18</v>
      </c>
      <c r="G476" s="7">
        <v>1015</v>
      </c>
      <c r="H476" s="2">
        <v>468680</v>
      </c>
    </row>
    <row r="477" spans="1:8" x14ac:dyDescent="0.25">
      <c r="A477" t="str">
        <f t="shared" si="7"/>
        <v>200675+</v>
      </c>
      <c r="B477">
        <v>2006</v>
      </c>
      <c r="C477" t="s">
        <v>0</v>
      </c>
      <c r="D477" t="s">
        <v>26</v>
      </c>
      <c r="E477" t="s">
        <v>38</v>
      </c>
      <c r="F477" t="s">
        <v>18</v>
      </c>
      <c r="G477" s="7">
        <v>1472</v>
      </c>
      <c r="H477" s="2">
        <v>325672</v>
      </c>
    </row>
    <row r="478" spans="1:8" x14ac:dyDescent="0.25">
      <c r="A478" t="str">
        <f t="shared" si="7"/>
        <v>20070-4</v>
      </c>
      <c r="B478">
        <v>2007</v>
      </c>
      <c r="C478" t="s">
        <v>6</v>
      </c>
      <c r="D478" t="s">
        <v>26</v>
      </c>
      <c r="E478" t="s">
        <v>38</v>
      </c>
      <c r="F478" t="s">
        <v>18</v>
      </c>
      <c r="G478" s="7">
        <v>6</v>
      </c>
      <c r="H478" s="2">
        <v>1354234</v>
      </c>
    </row>
    <row r="479" spans="1:8" x14ac:dyDescent="0.25">
      <c r="A479" t="str">
        <f t="shared" si="7"/>
        <v>200715-24</v>
      </c>
      <c r="B479">
        <v>2007</v>
      </c>
      <c r="C479" t="s">
        <v>4</v>
      </c>
      <c r="D479" t="s">
        <v>26</v>
      </c>
      <c r="E479" t="s">
        <v>38</v>
      </c>
      <c r="F479" t="s">
        <v>18</v>
      </c>
      <c r="G479" s="7">
        <v>19</v>
      </c>
      <c r="H479" s="2">
        <v>2561885</v>
      </c>
    </row>
    <row r="480" spans="1:8" x14ac:dyDescent="0.25">
      <c r="A480" t="str">
        <f t="shared" si="7"/>
        <v>200725-44</v>
      </c>
      <c r="B480">
        <v>2007</v>
      </c>
      <c r="C480" t="s">
        <v>3</v>
      </c>
      <c r="D480" t="s">
        <v>26</v>
      </c>
      <c r="E480" t="s">
        <v>38</v>
      </c>
      <c r="F480" t="s">
        <v>18</v>
      </c>
      <c r="G480" s="7">
        <v>155</v>
      </c>
      <c r="H480" s="2">
        <v>4016163</v>
      </c>
    </row>
    <row r="481" spans="1:8" x14ac:dyDescent="0.25">
      <c r="A481" t="str">
        <f t="shared" si="7"/>
        <v>200745-64</v>
      </c>
      <c r="B481">
        <v>2007</v>
      </c>
      <c r="C481" t="s">
        <v>2</v>
      </c>
      <c r="D481" t="s">
        <v>26</v>
      </c>
      <c r="E481" t="s">
        <v>38</v>
      </c>
      <c r="F481" t="s">
        <v>18</v>
      </c>
      <c r="G481" s="7">
        <v>1130</v>
      </c>
      <c r="H481" s="2">
        <v>2188071</v>
      </c>
    </row>
    <row r="482" spans="1:8" x14ac:dyDescent="0.25">
      <c r="A482" t="str">
        <f t="shared" si="7"/>
        <v>20075-14</v>
      </c>
      <c r="B482">
        <v>2007</v>
      </c>
      <c r="C482" t="s">
        <v>5</v>
      </c>
      <c r="D482" t="s">
        <v>26</v>
      </c>
      <c r="E482" t="s">
        <v>38</v>
      </c>
      <c r="F482" t="s">
        <v>18</v>
      </c>
      <c r="G482" s="7">
        <v>6</v>
      </c>
      <c r="H482" s="2">
        <v>2647233</v>
      </c>
    </row>
    <row r="483" spans="1:8" x14ac:dyDescent="0.25">
      <c r="A483" t="str">
        <f t="shared" si="7"/>
        <v>200765-74</v>
      </c>
      <c r="B483">
        <v>2007</v>
      </c>
      <c r="C483" t="s">
        <v>1</v>
      </c>
      <c r="D483" t="s">
        <v>26</v>
      </c>
      <c r="E483" t="s">
        <v>38</v>
      </c>
      <c r="F483" t="s">
        <v>18</v>
      </c>
      <c r="G483" s="7">
        <v>1065</v>
      </c>
      <c r="H483" s="2">
        <v>484321</v>
      </c>
    </row>
    <row r="484" spans="1:8" x14ac:dyDescent="0.25">
      <c r="A484" t="str">
        <f t="shared" si="7"/>
        <v>200775+</v>
      </c>
      <c r="B484">
        <v>2007</v>
      </c>
      <c r="C484" t="s">
        <v>0</v>
      </c>
      <c r="D484" t="s">
        <v>26</v>
      </c>
      <c r="E484" t="s">
        <v>38</v>
      </c>
      <c r="F484" t="s">
        <v>18</v>
      </c>
      <c r="G484" s="7">
        <v>1618</v>
      </c>
      <c r="H484" s="2">
        <v>338128</v>
      </c>
    </row>
    <row r="485" spans="1:8" x14ac:dyDescent="0.25">
      <c r="A485" t="str">
        <f t="shared" si="7"/>
        <v>20080-4</v>
      </c>
      <c r="B485">
        <v>2008</v>
      </c>
      <c r="C485" t="s">
        <v>6</v>
      </c>
      <c r="D485" t="s">
        <v>26</v>
      </c>
      <c r="E485" t="s">
        <v>38</v>
      </c>
      <c r="F485" t="s">
        <v>18</v>
      </c>
      <c r="G485" s="7">
        <v>2</v>
      </c>
      <c r="H485" s="2">
        <v>1353145</v>
      </c>
    </row>
    <row r="486" spans="1:8" x14ac:dyDescent="0.25">
      <c r="A486" t="str">
        <f t="shared" si="7"/>
        <v>200815-24</v>
      </c>
      <c r="B486">
        <v>2008</v>
      </c>
      <c r="C486" t="s">
        <v>4</v>
      </c>
      <c r="D486" t="s">
        <v>26</v>
      </c>
      <c r="E486" t="s">
        <v>38</v>
      </c>
      <c r="F486" t="s">
        <v>18</v>
      </c>
      <c r="G486" s="7">
        <v>30</v>
      </c>
      <c r="H486" s="2">
        <v>2575138</v>
      </c>
    </row>
    <row r="487" spans="1:8" x14ac:dyDescent="0.25">
      <c r="A487" t="str">
        <f t="shared" si="7"/>
        <v>200825-44</v>
      </c>
      <c r="B487">
        <v>2008</v>
      </c>
      <c r="C487" t="s">
        <v>3</v>
      </c>
      <c r="D487" t="s">
        <v>26</v>
      </c>
      <c r="E487" t="s">
        <v>38</v>
      </c>
      <c r="F487" t="s">
        <v>18</v>
      </c>
      <c r="G487" s="7">
        <v>131</v>
      </c>
      <c r="H487" s="2">
        <v>4085944</v>
      </c>
    </row>
    <row r="488" spans="1:8" x14ac:dyDescent="0.25">
      <c r="A488" t="str">
        <f t="shared" si="7"/>
        <v>200845-64</v>
      </c>
      <c r="B488">
        <v>2008</v>
      </c>
      <c r="C488" t="s">
        <v>2</v>
      </c>
      <c r="D488" t="s">
        <v>26</v>
      </c>
      <c r="E488" t="s">
        <v>38</v>
      </c>
      <c r="F488" t="s">
        <v>18</v>
      </c>
      <c r="G488" s="7">
        <v>1132</v>
      </c>
      <c r="H488" s="2">
        <v>2277674</v>
      </c>
    </row>
    <row r="489" spans="1:8" x14ac:dyDescent="0.25">
      <c r="A489" t="str">
        <f t="shared" si="7"/>
        <v>20085-14</v>
      </c>
      <c r="B489">
        <v>2008</v>
      </c>
      <c r="C489" t="s">
        <v>5</v>
      </c>
      <c r="D489" t="s">
        <v>26</v>
      </c>
      <c r="E489" t="s">
        <v>38</v>
      </c>
      <c r="F489" t="s">
        <v>18</v>
      </c>
      <c r="G489" s="7">
        <v>4</v>
      </c>
      <c r="H489" s="2">
        <v>2655740</v>
      </c>
    </row>
    <row r="490" spans="1:8" x14ac:dyDescent="0.25">
      <c r="A490" t="str">
        <f t="shared" si="7"/>
        <v>200865-74</v>
      </c>
      <c r="B490">
        <v>2008</v>
      </c>
      <c r="C490" t="s">
        <v>1</v>
      </c>
      <c r="D490" t="s">
        <v>26</v>
      </c>
      <c r="E490" t="s">
        <v>38</v>
      </c>
      <c r="F490" t="s">
        <v>18</v>
      </c>
      <c r="G490" s="7">
        <v>1209</v>
      </c>
      <c r="H490" s="2">
        <v>501201</v>
      </c>
    </row>
    <row r="491" spans="1:8" x14ac:dyDescent="0.25">
      <c r="A491" t="str">
        <f t="shared" si="7"/>
        <v>200875+</v>
      </c>
      <c r="B491">
        <v>2008</v>
      </c>
      <c r="C491" t="s">
        <v>0</v>
      </c>
      <c r="D491" t="s">
        <v>26</v>
      </c>
      <c r="E491" t="s">
        <v>38</v>
      </c>
      <c r="F491" t="s">
        <v>18</v>
      </c>
      <c r="G491" s="7">
        <v>1734</v>
      </c>
      <c r="H491" s="2">
        <v>350235</v>
      </c>
    </row>
    <row r="492" spans="1:8" x14ac:dyDescent="0.25">
      <c r="A492" t="str">
        <f t="shared" si="7"/>
        <v>20090-4</v>
      </c>
      <c r="B492">
        <v>2009</v>
      </c>
      <c r="C492" t="s">
        <v>6</v>
      </c>
      <c r="D492" t="s">
        <v>26</v>
      </c>
      <c r="E492" t="s">
        <v>38</v>
      </c>
      <c r="F492" t="s">
        <v>18</v>
      </c>
      <c r="G492" s="7">
        <v>2</v>
      </c>
      <c r="H492" s="2">
        <v>1351158</v>
      </c>
    </row>
    <row r="493" spans="1:8" x14ac:dyDescent="0.25">
      <c r="A493" t="str">
        <f t="shared" si="7"/>
        <v>200915-24</v>
      </c>
      <c r="B493">
        <v>2009</v>
      </c>
      <c r="C493" t="s">
        <v>4</v>
      </c>
      <c r="D493" t="s">
        <v>26</v>
      </c>
      <c r="E493" t="s">
        <v>38</v>
      </c>
      <c r="F493" t="s">
        <v>18</v>
      </c>
      <c r="G493" s="7">
        <v>35</v>
      </c>
      <c r="H493" s="2">
        <v>2584791</v>
      </c>
    </row>
    <row r="494" spans="1:8" x14ac:dyDescent="0.25">
      <c r="A494" t="str">
        <f t="shared" si="7"/>
        <v>200925-44</v>
      </c>
      <c r="B494">
        <v>2009</v>
      </c>
      <c r="C494" t="s">
        <v>3</v>
      </c>
      <c r="D494" t="s">
        <v>26</v>
      </c>
      <c r="E494" t="s">
        <v>38</v>
      </c>
      <c r="F494" t="s">
        <v>18</v>
      </c>
      <c r="G494" s="7">
        <v>173</v>
      </c>
      <c r="H494" s="2">
        <v>4156891</v>
      </c>
    </row>
    <row r="495" spans="1:8" x14ac:dyDescent="0.25">
      <c r="A495" t="str">
        <f t="shared" si="7"/>
        <v>200945-64</v>
      </c>
      <c r="B495">
        <v>2009</v>
      </c>
      <c r="C495" t="s">
        <v>2</v>
      </c>
      <c r="D495" t="s">
        <v>26</v>
      </c>
      <c r="E495" t="s">
        <v>38</v>
      </c>
      <c r="F495" t="s">
        <v>18</v>
      </c>
      <c r="G495" s="7">
        <v>1227</v>
      </c>
      <c r="H495" s="2">
        <v>2369589</v>
      </c>
    </row>
    <row r="496" spans="1:8" x14ac:dyDescent="0.25">
      <c r="A496" t="str">
        <f t="shared" si="7"/>
        <v>20095-14</v>
      </c>
      <c r="B496">
        <v>2009</v>
      </c>
      <c r="C496" t="s">
        <v>5</v>
      </c>
      <c r="D496" t="s">
        <v>26</v>
      </c>
      <c r="E496" t="s">
        <v>38</v>
      </c>
      <c r="F496" t="s">
        <v>18</v>
      </c>
      <c r="G496" s="7">
        <v>6</v>
      </c>
      <c r="H496" s="2">
        <v>2664671</v>
      </c>
    </row>
    <row r="497" spans="1:8" x14ac:dyDescent="0.25">
      <c r="A497" t="str">
        <f t="shared" si="7"/>
        <v>200965-74</v>
      </c>
      <c r="B497">
        <v>2009</v>
      </c>
      <c r="C497" t="s">
        <v>1</v>
      </c>
      <c r="D497" t="s">
        <v>26</v>
      </c>
      <c r="E497" t="s">
        <v>38</v>
      </c>
      <c r="F497" t="s">
        <v>18</v>
      </c>
      <c r="G497" s="7">
        <v>1214</v>
      </c>
      <c r="H497" s="2">
        <v>519377</v>
      </c>
    </row>
    <row r="498" spans="1:8" x14ac:dyDescent="0.25">
      <c r="A498" t="str">
        <f t="shared" si="7"/>
        <v>200975+</v>
      </c>
      <c r="B498">
        <v>2009</v>
      </c>
      <c r="C498" t="s">
        <v>0</v>
      </c>
      <c r="D498" t="s">
        <v>26</v>
      </c>
      <c r="E498" t="s">
        <v>38</v>
      </c>
      <c r="F498" t="s">
        <v>18</v>
      </c>
      <c r="G498" s="7">
        <v>1850</v>
      </c>
      <c r="H498" s="2">
        <v>362131</v>
      </c>
    </row>
    <row r="499" spans="1:8" x14ac:dyDescent="0.25">
      <c r="A499" t="str">
        <f t="shared" si="7"/>
        <v>20100-4</v>
      </c>
      <c r="B499">
        <v>2010</v>
      </c>
      <c r="C499" t="s">
        <v>6</v>
      </c>
      <c r="D499" t="s">
        <v>26</v>
      </c>
      <c r="E499" t="s">
        <v>38</v>
      </c>
      <c r="F499" t="s">
        <v>18</v>
      </c>
      <c r="G499" s="7">
        <v>2</v>
      </c>
      <c r="H499" s="2">
        <v>1348289</v>
      </c>
    </row>
    <row r="500" spans="1:8" x14ac:dyDescent="0.25">
      <c r="A500" t="str">
        <f t="shared" si="7"/>
        <v>201015-24</v>
      </c>
      <c r="B500">
        <v>2010</v>
      </c>
      <c r="C500" t="s">
        <v>4</v>
      </c>
      <c r="D500" t="s">
        <v>26</v>
      </c>
      <c r="E500" t="s">
        <v>38</v>
      </c>
      <c r="F500" t="s">
        <v>18</v>
      </c>
      <c r="G500" s="7">
        <v>35</v>
      </c>
      <c r="H500" s="2">
        <v>2590746</v>
      </c>
    </row>
    <row r="501" spans="1:8" x14ac:dyDescent="0.25">
      <c r="A501" t="str">
        <f t="shared" si="7"/>
        <v>201025-44</v>
      </c>
      <c r="B501">
        <v>2010</v>
      </c>
      <c r="C501" t="s">
        <v>3</v>
      </c>
      <c r="D501" t="s">
        <v>26</v>
      </c>
      <c r="E501" t="s">
        <v>38</v>
      </c>
      <c r="F501" t="s">
        <v>18</v>
      </c>
      <c r="G501" s="7">
        <v>181</v>
      </c>
      <c r="H501" s="2">
        <v>4228246</v>
      </c>
    </row>
    <row r="502" spans="1:8" x14ac:dyDescent="0.25">
      <c r="A502" t="str">
        <f t="shared" si="7"/>
        <v>201045-64</v>
      </c>
      <c r="B502">
        <v>2010</v>
      </c>
      <c r="C502" t="s">
        <v>2</v>
      </c>
      <c r="D502" t="s">
        <v>26</v>
      </c>
      <c r="E502" t="s">
        <v>38</v>
      </c>
      <c r="F502" t="s">
        <v>18</v>
      </c>
      <c r="G502" s="7">
        <v>1287</v>
      </c>
      <c r="H502" s="2">
        <v>2464321</v>
      </c>
    </row>
    <row r="503" spans="1:8" x14ac:dyDescent="0.25">
      <c r="A503" t="str">
        <f t="shared" si="7"/>
        <v>20105-14</v>
      </c>
      <c r="B503">
        <v>2010</v>
      </c>
      <c r="C503" t="s">
        <v>5</v>
      </c>
      <c r="D503" t="s">
        <v>26</v>
      </c>
      <c r="E503" t="s">
        <v>38</v>
      </c>
      <c r="F503" t="s">
        <v>18</v>
      </c>
      <c r="G503" s="7">
        <v>8</v>
      </c>
      <c r="H503" s="2">
        <v>2674173</v>
      </c>
    </row>
    <row r="504" spans="1:8" x14ac:dyDescent="0.25">
      <c r="A504" t="str">
        <f t="shared" si="7"/>
        <v>201065-74</v>
      </c>
      <c r="B504">
        <v>2010</v>
      </c>
      <c r="C504" t="s">
        <v>1</v>
      </c>
      <c r="D504" t="s">
        <v>26</v>
      </c>
      <c r="E504" t="s">
        <v>38</v>
      </c>
      <c r="F504" t="s">
        <v>18</v>
      </c>
      <c r="G504" s="7">
        <v>1282</v>
      </c>
      <c r="H504" s="2">
        <v>538921</v>
      </c>
    </row>
    <row r="505" spans="1:8" x14ac:dyDescent="0.25">
      <c r="A505" t="str">
        <f t="shared" si="7"/>
        <v>201075+</v>
      </c>
      <c r="B505">
        <v>2010</v>
      </c>
      <c r="C505" t="s">
        <v>0</v>
      </c>
      <c r="D505" t="s">
        <v>26</v>
      </c>
      <c r="E505" t="s">
        <v>38</v>
      </c>
      <c r="F505" t="s">
        <v>18</v>
      </c>
      <c r="G505" s="7">
        <v>2020</v>
      </c>
      <c r="H505" s="2">
        <v>373918</v>
      </c>
    </row>
    <row r="506" spans="1:8" x14ac:dyDescent="0.25">
      <c r="A506" t="str">
        <f t="shared" si="7"/>
        <v>20110-4</v>
      </c>
      <c r="B506">
        <v>2011</v>
      </c>
      <c r="C506" t="s">
        <v>6</v>
      </c>
      <c r="D506" t="s">
        <v>26</v>
      </c>
      <c r="E506" t="s">
        <v>38</v>
      </c>
      <c r="F506" t="s">
        <v>18</v>
      </c>
      <c r="G506" s="7">
        <v>4</v>
      </c>
      <c r="H506" s="2">
        <v>1344595</v>
      </c>
    </row>
    <row r="507" spans="1:8" x14ac:dyDescent="0.25">
      <c r="A507" t="str">
        <f t="shared" si="7"/>
        <v>201115-24</v>
      </c>
      <c r="B507">
        <v>2011</v>
      </c>
      <c r="C507" t="s">
        <v>4</v>
      </c>
      <c r="D507" t="s">
        <v>26</v>
      </c>
      <c r="E507" t="s">
        <v>38</v>
      </c>
      <c r="F507" t="s">
        <v>18</v>
      </c>
      <c r="G507" s="7">
        <v>31</v>
      </c>
      <c r="H507" s="2">
        <v>2593350</v>
      </c>
    </row>
    <row r="508" spans="1:8" x14ac:dyDescent="0.25">
      <c r="A508" t="str">
        <f t="shared" si="7"/>
        <v>201125-44</v>
      </c>
      <c r="B508">
        <v>2011</v>
      </c>
      <c r="C508" t="s">
        <v>3</v>
      </c>
      <c r="D508" t="s">
        <v>26</v>
      </c>
      <c r="E508" t="s">
        <v>38</v>
      </c>
      <c r="F508" t="s">
        <v>18</v>
      </c>
      <c r="G508" s="7">
        <v>145</v>
      </c>
      <c r="H508" s="2">
        <v>4299392</v>
      </c>
    </row>
    <row r="509" spans="1:8" x14ac:dyDescent="0.25">
      <c r="A509" t="str">
        <f t="shared" si="7"/>
        <v>201145-64</v>
      </c>
      <c r="B509">
        <v>2011</v>
      </c>
      <c r="C509" t="s">
        <v>2</v>
      </c>
      <c r="D509" t="s">
        <v>26</v>
      </c>
      <c r="E509" t="s">
        <v>38</v>
      </c>
      <c r="F509" t="s">
        <v>18</v>
      </c>
      <c r="G509" s="7">
        <v>1319</v>
      </c>
      <c r="H509" s="2">
        <v>2561836</v>
      </c>
    </row>
    <row r="510" spans="1:8" x14ac:dyDescent="0.25">
      <c r="A510" t="str">
        <f t="shared" si="7"/>
        <v>20115-14</v>
      </c>
      <c r="B510">
        <v>2011</v>
      </c>
      <c r="C510" t="s">
        <v>5</v>
      </c>
      <c r="D510" t="s">
        <v>26</v>
      </c>
      <c r="E510" t="s">
        <v>38</v>
      </c>
      <c r="F510" t="s">
        <v>18</v>
      </c>
      <c r="G510" s="7">
        <v>9</v>
      </c>
      <c r="H510" s="2">
        <v>2684312</v>
      </c>
    </row>
    <row r="511" spans="1:8" x14ac:dyDescent="0.25">
      <c r="A511" t="str">
        <f t="shared" si="7"/>
        <v>201165-74</v>
      </c>
      <c r="B511">
        <v>2011</v>
      </c>
      <c r="C511" t="s">
        <v>1</v>
      </c>
      <c r="D511" t="s">
        <v>26</v>
      </c>
      <c r="E511" t="s">
        <v>38</v>
      </c>
      <c r="F511" t="s">
        <v>18</v>
      </c>
      <c r="G511" s="7">
        <v>1250</v>
      </c>
      <c r="H511" s="2">
        <v>559899</v>
      </c>
    </row>
    <row r="512" spans="1:8" x14ac:dyDescent="0.25">
      <c r="A512" t="str">
        <f t="shared" si="7"/>
        <v>201175+</v>
      </c>
      <c r="B512">
        <v>2011</v>
      </c>
      <c r="C512" t="s">
        <v>0</v>
      </c>
      <c r="D512" t="s">
        <v>26</v>
      </c>
      <c r="E512" t="s">
        <v>38</v>
      </c>
      <c r="F512" t="s">
        <v>18</v>
      </c>
      <c r="G512" s="7">
        <v>2141</v>
      </c>
      <c r="H512" s="2">
        <v>385721</v>
      </c>
    </row>
    <row r="513" spans="1:8" x14ac:dyDescent="0.25">
      <c r="A513" t="str">
        <f t="shared" si="7"/>
        <v>20120-4</v>
      </c>
      <c r="B513">
        <v>2012</v>
      </c>
      <c r="C513" t="s">
        <v>6</v>
      </c>
      <c r="D513" t="s">
        <v>26</v>
      </c>
      <c r="E513" t="s">
        <v>38</v>
      </c>
      <c r="F513" t="s">
        <v>18</v>
      </c>
      <c r="G513" s="7">
        <v>0</v>
      </c>
      <c r="H513" s="2">
        <v>1340586.3214094499</v>
      </c>
    </row>
    <row r="514" spans="1:8" x14ac:dyDescent="0.25">
      <c r="A514" t="str">
        <f t="shared" ref="A514:A577" si="8">+CONCATENATE(B514,C514)</f>
        <v>201215-24</v>
      </c>
      <c r="B514">
        <v>2012</v>
      </c>
      <c r="C514" t="s">
        <v>4</v>
      </c>
      <c r="D514" t="s">
        <v>26</v>
      </c>
      <c r="E514" t="s">
        <v>38</v>
      </c>
      <c r="F514" t="s">
        <v>18</v>
      </c>
      <c r="G514" s="7">
        <v>28</v>
      </c>
      <c r="H514" s="2">
        <v>2596932.5593387499</v>
      </c>
    </row>
    <row r="515" spans="1:8" x14ac:dyDescent="0.25">
      <c r="A515" t="str">
        <f t="shared" si="8"/>
        <v>201225-44</v>
      </c>
      <c r="B515">
        <v>2012</v>
      </c>
      <c r="C515" t="s">
        <v>3</v>
      </c>
      <c r="D515" t="s">
        <v>26</v>
      </c>
      <c r="E515" t="s">
        <v>38</v>
      </c>
      <c r="F515" t="s">
        <v>18</v>
      </c>
      <c r="G515" s="7">
        <v>178</v>
      </c>
      <c r="H515" s="2">
        <v>4370928.8062696801</v>
      </c>
    </row>
    <row r="516" spans="1:8" x14ac:dyDescent="0.25">
      <c r="A516" t="str">
        <f t="shared" si="8"/>
        <v>201245-64</v>
      </c>
      <c r="B516">
        <v>2012</v>
      </c>
      <c r="C516" t="s">
        <v>2</v>
      </c>
      <c r="D516" t="s">
        <v>26</v>
      </c>
      <c r="E516" t="s">
        <v>38</v>
      </c>
      <c r="F516" t="s">
        <v>18</v>
      </c>
      <c r="G516" s="7">
        <v>1402</v>
      </c>
      <c r="H516" s="2">
        <v>2658291.2681631502</v>
      </c>
    </row>
    <row r="517" spans="1:8" x14ac:dyDescent="0.25">
      <c r="A517" t="str">
        <f t="shared" si="8"/>
        <v>20125-14</v>
      </c>
      <c r="B517">
        <v>2012</v>
      </c>
      <c r="C517" t="s">
        <v>5</v>
      </c>
      <c r="D517" t="s">
        <v>26</v>
      </c>
      <c r="E517" t="s">
        <v>38</v>
      </c>
      <c r="F517" t="s">
        <v>18</v>
      </c>
      <c r="G517" s="7">
        <v>0</v>
      </c>
      <c r="H517" s="2">
        <v>2693165.8826794801</v>
      </c>
    </row>
    <row r="518" spans="1:8" x14ac:dyDescent="0.25">
      <c r="A518" t="str">
        <f t="shared" si="8"/>
        <v>201265-74</v>
      </c>
      <c r="B518">
        <v>2012</v>
      </c>
      <c r="C518" t="s">
        <v>1</v>
      </c>
      <c r="D518" t="s">
        <v>26</v>
      </c>
      <c r="E518" t="s">
        <v>38</v>
      </c>
      <c r="F518" t="s">
        <v>18</v>
      </c>
      <c r="G518" s="7">
        <v>1375</v>
      </c>
      <c r="H518" s="2">
        <v>582433.94467592705</v>
      </c>
    </row>
    <row r="519" spans="1:8" x14ac:dyDescent="0.25">
      <c r="A519" t="str">
        <f t="shared" si="8"/>
        <v>201275+</v>
      </c>
      <c r="B519">
        <v>2012</v>
      </c>
      <c r="C519" t="s">
        <v>0</v>
      </c>
      <c r="D519" t="s">
        <v>26</v>
      </c>
      <c r="E519" t="s">
        <v>38</v>
      </c>
      <c r="F519" t="s">
        <v>18</v>
      </c>
      <c r="G519" s="7">
        <v>2343</v>
      </c>
      <c r="H519" s="2">
        <v>398069.84835797001</v>
      </c>
    </row>
    <row r="520" spans="1:8" x14ac:dyDescent="0.25">
      <c r="A520" t="str">
        <f t="shared" si="8"/>
        <v>20130-4</v>
      </c>
      <c r="B520">
        <v>2013</v>
      </c>
      <c r="C520" t="s">
        <v>6</v>
      </c>
      <c r="D520" t="s">
        <v>26</v>
      </c>
      <c r="E520" t="s">
        <v>38</v>
      </c>
      <c r="F520" t="s">
        <v>18</v>
      </c>
      <c r="G520" s="7">
        <v>2</v>
      </c>
      <c r="H520" s="2">
        <v>1336364.77993838</v>
      </c>
    </row>
    <row r="521" spans="1:8" x14ac:dyDescent="0.25">
      <c r="A521" t="str">
        <f t="shared" si="8"/>
        <v>201315-24</v>
      </c>
      <c r="B521">
        <v>2013</v>
      </c>
      <c r="C521" t="s">
        <v>4</v>
      </c>
      <c r="D521" t="s">
        <v>26</v>
      </c>
      <c r="E521" t="s">
        <v>38</v>
      </c>
      <c r="F521" t="s">
        <v>18</v>
      </c>
      <c r="G521" s="7">
        <v>42</v>
      </c>
      <c r="H521" s="2">
        <v>2602650.6589393602</v>
      </c>
    </row>
    <row r="522" spans="1:8" x14ac:dyDescent="0.25">
      <c r="A522" t="str">
        <f t="shared" si="8"/>
        <v>201325-44</v>
      </c>
      <c r="B522">
        <v>2013</v>
      </c>
      <c r="C522" t="s">
        <v>3</v>
      </c>
      <c r="D522" t="s">
        <v>26</v>
      </c>
      <c r="E522" t="s">
        <v>38</v>
      </c>
      <c r="F522" t="s">
        <v>18</v>
      </c>
      <c r="G522" s="7">
        <v>168</v>
      </c>
      <c r="H522" s="2">
        <v>4442157.0636299504</v>
      </c>
    </row>
    <row r="523" spans="1:8" x14ac:dyDescent="0.25">
      <c r="A523" t="str">
        <f t="shared" si="8"/>
        <v>201345-64</v>
      </c>
      <c r="B523">
        <v>2013</v>
      </c>
      <c r="C523" t="s">
        <v>2</v>
      </c>
      <c r="D523" t="s">
        <v>26</v>
      </c>
      <c r="E523" t="s">
        <v>38</v>
      </c>
      <c r="F523" t="s">
        <v>18</v>
      </c>
      <c r="G523" s="7">
        <v>1504</v>
      </c>
      <c r="H523" s="2">
        <v>2752738.9724179399</v>
      </c>
    </row>
    <row r="524" spans="1:8" x14ac:dyDescent="0.25">
      <c r="A524" t="str">
        <f t="shared" si="8"/>
        <v>20135-14</v>
      </c>
      <c r="B524">
        <v>2013</v>
      </c>
      <c r="C524" t="s">
        <v>5</v>
      </c>
      <c r="D524" t="s">
        <v>26</v>
      </c>
      <c r="E524" t="s">
        <v>38</v>
      </c>
      <c r="F524" t="s">
        <v>18</v>
      </c>
      <c r="G524" s="7">
        <v>8</v>
      </c>
      <c r="H524" s="2">
        <v>2699988.6782491799</v>
      </c>
    </row>
    <row r="525" spans="1:8" x14ac:dyDescent="0.25">
      <c r="A525" t="str">
        <f t="shared" si="8"/>
        <v>201365-74</v>
      </c>
      <c r="B525">
        <v>2013</v>
      </c>
      <c r="C525" t="s">
        <v>1</v>
      </c>
      <c r="D525" t="s">
        <v>26</v>
      </c>
      <c r="E525" t="s">
        <v>38</v>
      </c>
      <c r="F525" t="s">
        <v>18</v>
      </c>
      <c r="G525" s="7">
        <v>1480</v>
      </c>
      <c r="H525" s="2">
        <v>606480.27141564596</v>
      </c>
    </row>
    <row r="526" spans="1:8" x14ac:dyDescent="0.25">
      <c r="A526" t="str">
        <f t="shared" si="8"/>
        <v>201375+</v>
      </c>
      <c r="B526">
        <v>2013</v>
      </c>
      <c r="C526" t="s">
        <v>0</v>
      </c>
      <c r="D526" t="s">
        <v>26</v>
      </c>
      <c r="E526" t="s">
        <v>38</v>
      </c>
      <c r="F526" t="s">
        <v>18</v>
      </c>
      <c r="G526" s="7">
        <v>2436</v>
      </c>
      <c r="H526" s="2">
        <v>411257.72175729403</v>
      </c>
    </row>
    <row r="527" spans="1:8" x14ac:dyDescent="0.25">
      <c r="A527" t="str">
        <f t="shared" si="8"/>
        <v>20140-4</v>
      </c>
      <c r="B527">
        <v>2014</v>
      </c>
      <c r="C527" t="s">
        <v>6</v>
      </c>
      <c r="D527" t="s">
        <v>26</v>
      </c>
      <c r="E527" t="s">
        <v>38</v>
      </c>
      <c r="F527" t="s">
        <v>18</v>
      </c>
      <c r="G527" s="7">
        <v>1</v>
      </c>
      <c r="H527" s="2">
        <v>1331891</v>
      </c>
    </row>
    <row r="528" spans="1:8" x14ac:dyDescent="0.25">
      <c r="A528" t="str">
        <f t="shared" si="8"/>
        <v>201415-24</v>
      </c>
      <c r="B528">
        <v>2014</v>
      </c>
      <c r="C528" t="s">
        <v>4</v>
      </c>
      <c r="D528" t="s">
        <v>26</v>
      </c>
      <c r="E528" t="s">
        <v>38</v>
      </c>
      <c r="F528" t="s">
        <v>18</v>
      </c>
      <c r="G528" s="7">
        <v>40</v>
      </c>
      <c r="H528" s="2">
        <v>2610538</v>
      </c>
    </row>
    <row r="529" spans="1:8" x14ac:dyDescent="0.25">
      <c r="A529" t="str">
        <f t="shared" si="8"/>
        <v>201425-44</v>
      </c>
      <c r="B529">
        <v>2014</v>
      </c>
      <c r="C529" t="s">
        <v>3</v>
      </c>
      <c r="D529" t="s">
        <v>26</v>
      </c>
      <c r="E529" t="s">
        <v>38</v>
      </c>
      <c r="F529" t="s">
        <v>18</v>
      </c>
      <c r="G529" s="7">
        <v>213</v>
      </c>
      <c r="H529" s="2">
        <v>4511948</v>
      </c>
    </row>
    <row r="530" spans="1:8" x14ac:dyDescent="0.25">
      <c r="A530" t="str">
        <f t="shared" si="8"/>
        <v>201445-64</v>
      </c>
      <c r="B530">
        <v>2014</v>
      </c>
      <c r="C530" t="s">
        <v>2</v>
      </c>
      <c r="D530" t="s">
        <v>26</v>
      </c>
      <c r="E530" t="s">
        <v>38</v>
      </c>
      <c r="F530" t="s">
        <v>18</v>
      </c>
      <c r="G530" s="7">
        <v>1710</v>
      </c>
      <c r="H530" s="2">
        <v>2845267</v>
      </c>
    </row>
    <row r="531" spans="1:8" x14ac:dyDescent="0.25">
      <c r="A531" t="str">
        <f t="shared" si="8"/>
        <v>20145-14</v>
      </c>
      <c r="B531">
        <v>2014</v>
      </c>
      <c r="C531" t="s">
        <v>5</v>
      </c>
      <c r="D531" t="s">
        <v>26</v>
      </c>
      <c r="E531" t="s">
        <v>38</v>
      </c>
      <c r="F531" t="s">
        <v>18</v>
      </c>
      <c r="G531" s="7">
        <v>7</v>
      </c>
      <c r="H531" s="2">
        <v>2704490</v>
      </c>
    </row>
    <row r="532" spans="1:8" x14ac:dyDescent="0.25">
      <c r="A532" t="str">
        <f t="shared" si="8"/>
        <v>201465-74</v>
      </c>
      <c r="B532">
        <v>2014</v>
      </c>
      <c r="C532" t="s">
        <v>1</v>
      </c>
      <c r="D532" t="s">
        <v>26</v>
      </c>
      <c r="E532" t="s">
        <v>38</v>
      </c>
      <c r="F532" t="s">
        <v>18</v>
      </c>
      <c r="G532" s="7">
        <v>1663</v>
      </c>
      <c r="H532" s="2">
        <v>631943</v>
      </c>
    </row>
    <row r="533" spans="1:8" x14ac:dyDescent="0.25">
      <c r="A533" t="str">
        <f t="shared" si="8"/>
        <v>201475+</v>
      </c>
      <c r="B533">
        <v>2014</v>
      </c>
      <c r="C533" t="s">
        <v>0</v>
      </c>
      <c r="D533" t="s">
        <v>26</v>
      </c>
      <c r="E533" t="s">
        <v>38</v>
      </c>
      <c r="F533" t="s">
        <v>18</v>
      </c>
      <c r="G533" s="7">
        <v>3039</v>
      </c>
      <c r="H533" s="2">
        <v>425486</v>
      </c>
    </row>
    <row r="534" spans="1:8" x14ac:dyDescent="0.25">
      <c r="A534" t="str">
        <f t="shared" si="8"/>
        <v>19960-4</v>
      </c>
      <c r="B534">
        <v>1996</v>
      </c>
      <c r="C534" t="s">
        <v>6</v>
      </c>
      <c r="D534" t="s">
        <v>26</v>
      </c>
      <c r="E534" t="s">
        <v>39</v>
      </c>
      <c r="F534" t="s">
        <v>17</v>
      </c>
      <c r="G534" s="7">
        <v>2365</v>
      </c>
      <c r="H534" s="2">
        <v>1308550.7828250399</v>
      </c>
    </row>
    <row r="535" spans="1:8" x14ac:dyDescent="0.25">
      <c r="A535" t="str">
        <f t="shared" si="8"/>
        <v>199615-24</v>
      </c>
      <c r="B535">
        <v>1996</v>
      </c>
      <c r="C535" t="s">
        <v>4</v>
      </c>
      <c r="D535" t="s">
        <v>26</v>
      </c>
      <c r="E535" t="s">
        <v>39</v>
      </c>
      <c r="F535" t="s">
        <v>17</v>
      </c>
      <c r="G535" s="7">
        <v>0</v>
      </c>
      <c r="H535" s="2">
        <v>2136825.68729656</v>
      </c>
    </row>
    <row r="536" spans="1:8" x14ac:dyDescent="0.25">
      <c r="A536" t="str">
        <f t="shared" si="8"/>
        <v>199625-44</v>
      </c>
      <c r="B536">
        <v>1996</v>
      </c>
      <c r="C536" t="s">
        <v>3</v>
      </c>
      <c r="D536" t="s">
        <v>26</v>
      </c>
      <c r="E536" t="s">
        <v>39</v>
      </c>
      <c r="F536" t="s">
        <v>17</v>
      </c>
      <c r="G536" s="7">
        <v>1</v>
      </c>
      <c r="H536" s="2">
        <v>3245545.2890741802</v>
      </c>
    </row>
    <row r="537" spans="1:8" x14ac:dyDescent="0.25">
      <c r="A537" t="str">
        <f t="shared" si="8"/>
        <v>199645-64</v>
      </c>
      <c r="B537">
        <v>1996</v>
      </c>
      <c r="C537" t="s">
        <v>2</v>
      </c>
      <c r="D537" t="s">
        <v>26</v>
      </c>
      <c r="E537" t="s">
        <v>39</v>
      </c>
      <c r="F537" t="s">
        <v>17</v>
      </c>
      <c r="G537" s="7">
        <v>0</v>
      </c>
      <c r="H537" s="2">
        <v>1448877.9572723201</v>
      </c>
    </row>
    <row r="538" spans="1:8" x14ac:dyDescent="0.25">
      <c r="A538" t="str">
        <f t="shared" si="8"/>
        <v>19965-14</v>
      </c>
      <c r="B538">
        <v>1996</v>
      </c>
      <c r="C538" t="s">
        <v>5</v>
      </c>
      <c r="D538" t="s">
        <v>26</v>
      </c>
      <c r="E538" t="s">
        <v>39</v>
      </c>
      <c r="F538" t="s">
        <v>17</v>
      </c>
      <c r="G538" s="7">
        <v>1</v>
      </c>
      <c r="H538" s="2">
        <v>2617766.7452121698</v>
      </c>
    </row>
    <row r="539" spans="1:8" x14ac:dyDescent="0.25">
      <c r="A539" t="str">
        <f t="shared" si="8"/>
        <v>199665-74</v>
      </c>
      <c r="B539">
        <v>1996</v>
      </c>
      <c r="C539" t="s">
        <v>1</v>
      </c>
      <c r="D539" t="s">
        <v>26</v>
      </c>
      <c r="E539" t="s">
        <v>39</v>
      </c>
      <c r="F539" t="s">
        <v>17</v>
      </c>
      <c r="G539" s="7">
        <v>0</v>
      </c>
      <c r="H539" s="2">
        <v>373487.34083337098</v>
      </c>
    </row>
    <row r="540" spans="1:8" x14ac:dyDescent="0.25">
      <c r="A540" t="str">
        <f t="shared" si="8"/>
        <v>199675+</v>
      </c>
      <c r="B540">
        <v>1996</v>
      </c>
      <c r="C540" t="s">
        <v>0</v>
      </c>
      <c r="D540" t="s">
        <v>26</v>
      </c>
      <c r="E540" t="s">
        <v>39</v>
      </c>
      <c r="F540" t="s">
        <v>17</v>
      </c>
      <c r="G540" s="7">
        <v>6</v>
      </c>
      <c r="H540" s="2">
        <v>186458.585231801</v>
      </c>
    </row>
    <row r="541" spans="1:8" x14ac:dyDescent="0.25">
      <c r="A541" t="str">
        <f t="shared" si="8"/>
        <v>19970-4</v>
      </c>
      <c r="B541">
        <v>1997</v>
      </c>
      <c r="C541" t="s">
        <v>6</v>
      </c>
      <c r="D541" t="s">
        <v>26</v>
      </c>
      <c r="E541" t="s">
        <v>39</v>
      </c>
      <c r="F541" t="s">
        <v>17</v>
      </c>
      <c r="G541" s="7">
        <v>2298</v>
      </c>
      <c r="H541" s="2">
        <v>1317732.8696950199</v>
      </c>
    </row>
    <row r="542" spans="1:8" x14ac:dyDescent="0.25">
      <c r="A542" t="str">
        <f t="shared" si="8"/>
        <v>199715-24</v>
      </c>
      <c r="B542">
        <v>1997</v>
      </c>
      <c r="C542" t="s">
        <v>4</v>
      </c>
      <c r="D542" t="s">
        <v>26</v>
      </c>
      <c r="E542" t="s">
        <v>39</v>
      </c>
      <c r="F542" t="s">
        <v>17</v>
      </c>
      <c r="G542" s="7">
        <v>1</v>
      </c>
      <c r="H542" s="2">
        <v>2190257.4123779298</v>
      </c>
    </row>
    <row r="543" spans="1:8" x14ac:dyDescent="0.25">
      <c r="A543" t="str">
        <f t="shared" si="8"/>
        <v>199725-44</v>
      </c>
      <c r="B543">
        <v>1997</v>
      </c>
      <c r="C543" t="s">
        <v>3</v>
      </c>
      <c r="D543" t="s">
        <v>26</v>
      </c>
      <c r="E543" t="s">
        <v>39</v>
      </c>
      <c r="F543" t="s">
        <v>17</v>
      </c>
      <c r="G543" s="7">
        <v>0</v>
      </c>
      <c r="H543" s="2">
        <v>3319788.9734445098</v>
      </c>
    </row>
    <row r="544" spans="1:8" x14ac:dyDescent="0.25">
      <c r="A544" t="str">
        <f t="shared" si="8"/>
        <v>199745-64</v>
      </c>
      <c r="B544">
        <v>1997</v>
      </c>
      <c r="C544" t="s">
        <v>2</v>
      </c>
      <c r="D544" t="s">
        <v>26</v>
      </c>
      <c r="E544" t="s">
        <v>39</v>
      </c>
      <c r="F544" t="s">
        <v>17</v>
      </c>
      <c r="G544" s="7">
        <v>0</v>
      </c>
      <c r="H544" s="2">
        <v>1494497.7743633899</v>
      </c>
    </row>
    <row r="545" spans="1:8" x14ac:dyDescent="0.25">
      <c r="A545" t="str">
        <f t="shared" si="8"/>
        <v>19975-14</v>
      </c>
      <c r="B545">
        <v>1997</v>
      </c>
      <c r="C545" t="s">
        <v>5</v>
      </c>
      <c r="D545" t="s">
        <v>26</v>
      </c>
      <c r="E545" t="s">
        <v>39</v>
      </c>
      <c r="F545" t="s">
        <v>17</v>
      </c>
      <c r="G545" s="7">
        <v>0</v>
      </c>
      <c r="H545" s="2">
        <v>2625110.0471272999</v>
      </c>
    </row>
    <row r="546" spans="1:8" x14ac:dyDescent="0.25">
      <c r="A546" t="str">
        <f t="shared" si="8"/>
        <v>199765-74</v>
      </c>
      <c r="B546">
        <v>1997</v>
      </c>
      <c r="C546" t="s">
        <v>1</v>
      </c>
      <c r="D546" t="s">
        <v>26</v>
      </c>
      <c r="E546" t="s">
        <v>39</v>
      </c>
      <c r="F546" t="s">
        <v>17</v>
      </c>
      <c r="G546" s="7">
        <v>0</v>
      </c>
      <c r="H546" s="2">
        <v>377918.60450002301</v>
      </c>
    </row>
    <row r="547" spans="1:8" x14ac:dyDescent="0.25">
      <c r="A547" t="str">
        <f t="shared" si="8"/>
        <v>199775+</v>
      </c>
      <c r="B547">
        <v>1997</v>
      </c>
      <c r="C547" t="s">
        <v>0</v>
      </c>
      <c r="D547" t="s">
        <v>26</v>
      </c>
      <c r="E547" t="s">
        <v>39</v>
      </c>
      <c r="F547" t="s">
        <v>17</v>
      </c>
      <c r="G547" s="7">
        <v>1</v>
      </c>
      <c r="H547" s="2">
        <v>197836.55113907999</v>
      </c>
    </row>
    <row r="548" spans="1:8" x14ac:dyDescent="0.25">
      <c r="A548" t="str">
        <f t="shared" si="8"/>
        <v>19980-4</v>
      </c>
      <c r="B548">
        <v>1998</v>
      </c>
      <c r="C548" t="s">
        <v>6</v>
      </c>
      <c r="D548" t="s">
        <v>26</v>
      </c>
      <c r="E548" t="s">
        <v>39</v>
      </c>
      <c r="F548" t="s">
        <v>17</v>
      </c>
      <c r="G548" s="7">
        <v>2184</v>
      </c>
      <c r="H548" s="2">
        <v>1325697.93484751</v>
      </c>
    </row>
    <row r="549" spans="1:8" x14ac:dyDescent="0.25">
      <c r="A549" t="str">
        <f t="shared" si="8"/>
        <v>199815-24</v>
      </c>
      <c r="B549">
        <v>1998</v>
      </c>
      <c r="C549" t="s">
        <v>4</v>
      </c>
      <c r="D549" t="s">
        <v>26</v>
      </c>
      <c r="E549" t="s">
        <v>39</v>
      </c>
      <c r="F549" t="s">
        <v>17</v>
      </c>
      <c r="G549" s="7">
        <v>0</v>
      </c>
      <c r="H549" s="2">
        <v>2242694.2061889698</v>
      </c>
    </row>
    <row r="550" spans="1:8" x14ac:dyDescent="0.25">
      <c r="A550" t="str">
        <f t="shared" si="8"/>
        <v>199825-44</v>
      </c>
      <c r="B550">
        <v>1998</v>
      </c>
      <c r="C550" t="s">
        <v>3</v>
      </c>
      <c r="D550" t="s">
        <v>26</v>
      </c>
      <c r="E550" t="s">
        <v>39</v>
      </c>
      <c r="F550" t="s">
        <v>17</v>
      </c>
      <c r="G550" s="7">
        <v>0</v>
      </c>
      <c r="H550" s="2">
        <v>3392799.98672225</v>
      </c>
    </row>
    <row r="551" spans="1:8" x14ac:dyDescent="0.25">
      <c r="A551" t="str">
        <f t="shared" si="8"/>
        <v>199845-64</v>
      </c>
      <c r="B551">
        <v>1998</v>
      </c>
      <c r="C551" t="s">
        <v>2</v>
      </c>
      <c r="D551" t="s">
        <v>26</v>
      </c>
      <c r="E551" t="s">
        <v>39</v>
      </c>
      <c r="F551" t="s">
        <v>17</v>
      </c>
      <c r="G551" s="7">
        <v>0</v>
      </c>
      <c r="H551" s="2">
        <v>1544756.3871817</v>
      </c>
    </row>
    <row r="552" spans="1:8" x14ac:dyDescent="0.25">
      <c r="A552" t="str">
        <f t="shared" si="8"/>
        <v>19985-14</v>
      </c>
      <c r="B552">
        <v>1998</v>
      </c>
      <c r="C552" t="s">
        <v>5</v>
      </c>
      <c r="D552" t="s">
        <v>26</v>
      </c>
      <c r="E552" t="s">
        <v>39</v>
      </c>
      <c r="F552" t="s">
        <v>17</v>
      </c>
      <c r="G552" s="7">
        <v>0</v>
      </c>
      <c r="H552" s="2">
        <v>2628255.52356365</v>
      </c>
    </row>
    <row r="553" spans="1:8" x14ac:dyDescent="0.25">
      <c r="A553" t="str">
        <f t="shared" si="8"/>
        <v>199865-74</v>
      </c>
      <c r="B553">
        <v>1998</v>
      </c>
      <c r="C553" t="s">
        <v>1</v>
      </c>
      <c r="D553" t="s">
        <v>26</v>
      </c>
      <c r="E553" t="s">
        <v>39</v>
      </c>
      <c r="F553" t="s">
        <v>17</v>
      </c>
      <c r="G553" s="7">
        <v>0</v>
      </c>
      <c r="H553" s="2">
        <v>383636.80225001101</v>
      </c>
    </row>
    <row r="554" spans="1:8" x14ac:dyDescent="0.25">
      <c r="A554" t="str">
        <f t="shared" si="8"/>
        <v>199875+</v>
      </c>
      <c r="B554">
        <v>1998</v>
      </c>
      <c r="C554" t="s">
        <v>0</v>
      </c>
      <c r="D554" t="s">
        <v>26</v>
      </c>
      <c r="E554" t="s">
        <v>39</v>
      </c>
      <c r="F554" t="s">
        <v>17</v>
      </c>
      <c r="G554" s="7">
        <v>0</v>
      </c>
      <c r="H554" s="2">
        <v>210840.77556954001</v>
      </c>
    </row>
    <row r="555" spans="1:8" x14ac:dyDescent="0.25">
      <c r="A555" t="str">
        <f t="shared" si="8"/>
        <v>19990-4</v>
      </c>
      <c r="B555">
        <v>1999</v>
      </c>
      <c r="C555" t="s">
        <v>6</v>
      </c>
      <c r="D555" t="s">
        <v>26</v>
      </c>
      <c r="E555" t="s">
        <v>39</v>
      </c>
      <c r="F555" t="s">
        <v>17</v>
      </c>
      <c r="G555" s="7">
        <v>2162</v>
      </c>
      <c r="H555" s="2">
        <v>1332528.9782825001</v>
      </c>
    </row>
    <row r="556" spans="1:8" x14ac:dyDescent="0.25">
      <c r="A556" t="str">
        <f t="shared" si="8"/>
        <v>199915-24</v>
      </c>
      <c r="B556">
        <v>1999</v>
      </c>
      <c r="C556" t="s">
        <v>4</v>
      </c>
      <c r="D556" t="s">
        <v>26</v>
      </c>
      <c r="E556" t="s">
        <v>39</v>
      </c>
      <c r="F556" t="s">
        <v>17</v>
      </c>
      <c r="G556" s="7">
        <v>0</v>
      </c>
      <c r="H556" s="2">
        <v>2293434.06872966</v>
      </c>
    </row>
    <row r="557" spans="1:8" x14ac:dyDescent="0.25">
      <c r="A557" t="str">
        <f t="shared" si="8"/>
        <v>199925-44</v>
      </c>
      <c r="B557">
        <v>1999</v>
      </c>
      <c r="C557" t="s">
        <v>3</v>
      </c>
      <c r="D557" t="s">
        <v>26</v>
      </c>
      <c r="E557" t="s">
        <v>39</v>
      </c>
      <c r="F557" t="s">
        <v>17</v>
      </c>
      <c r="G557" s="7">
        <v>0</v>
      </c>
      <c r="H557" s="2">
        <v>3464730.3289074199</v>
      </c>
    </row>
    <row r="558" spans="1:8" x14ac:dyDescent="0.25">
      <c r="A558" t="str">
        <f t="shared" si="8"/>
        <v>199945-64</v>
      </c>
      <c r="B558">
        <v>1999</v>
      </c>
      <c r="C558" t="s">
        <v>2</v>
      </c>
      <c r="D558" t="s">
        <v>26</v>
      </c>
      <c r="E558" t="s">
        <v>39</v>
      </c>
      <c r="F558" t="s">
        <v>17</v>
      </c>
      <c r="G558" s="7">
        <v>0</v>
      </c>
      <c r="H558" s="2">
        <v>1599513.7957272299</v>
      </c>
    </row>
    <row r="559" spans="1:8" x14ac:dyDescent="0.25">
      <c r="A559" t="str">
        <f t="shared" si="8"/>
        <v>19995-14</v>
      </c>
      <c r="B559">
        <v>1999</v>
      </c>
      <c r="C559" t="s">
        <v>5</v>
      </c>
      <c r="D559" t="s">
        <v>26</v>
      </c>
      <c r="E559" t="s">
        <v>39</v>
      </c>
      <c r="F559" t="s">
        <v>17</v>
      </c>
      <c r="G559" s="7">
        <v>0</v>
      </c>
      <c r="H559" s="2">
        <v>2628380.1745212199</v>
      </c>
    </row>
    <row r="560" spans="1:8" x14ac:dyDescent="0.25">
      <c r="A560" t="str">
        <f t="shared" si="8"/>
        <v>199965-74</v>
      </c>
      <c r="B560">
        <v>1999</v>
      </c>
      <c r="C560" t="s">
        <v>1</v>
      </c>
      <c r="D560" t="s">
        <v>26</v>
      </c>
      <c r="E560" t="s">
        <v>39</v>
      </c>
      <c r="F560" t="s">
        <v>17</v>
      </c>
      <c r="G560" s="7">
        <v>0</v>
      </c>
      <c r="H560" s="2">
        <v>390568.93408333702</v>
      </c>
    </row>
    <row r="561" spans="1:8" x14ac:dyDescent="0.25">
      <c r="A561" t="str">
        <f t="shared" si="8"/>
        <v>199975+</v>
      </c>
      <c r="B561">
        <v>1999</v>
      </c>
      <c r="C561" t="s">
        <v>0</v>
      </c>
      <c r="D561" t="s">
        <v>26</v>
      </c>
      <c r="E561" t="s">
        <v>39</v>
      </c>
      <c r="F561" t="s">
        <v>17</v>
      </c>
      <c r="G561" s="7">
        <v>3</v>
      </c>
      <c r="H561" s="2">
        <v>225043.25852318</v>
      </c>
    </row>
    <row r="562" spans="1:8" x14ac:dyDescent="0.25">
      <c r="A562" t="str">
        <f t="shared" si="8"/>
        <v>20000-4</v>
      </c>
      <c r="B562">
        <v>2000</v>
      </c>
      <c r="C562" t="s">
        <v>6</v>
      </c>
      <c r="D562" t="s">
        <v>26</v>
      </c>
      <c r="E562" t="s">
        <v>39</v>
      </c>
      <c r="F562" t="s">
        <v>17</v>
      </c>
      <c r="G562" s="7">
        <v>2139</v>
      </c>
      <c r="H562" s="2">
        <v>1338309</v>
      </c>
    </row>
    <row r="563" spans="1:8" x14ac:dyDescent="0.25">
      <c r="A563" t="str">
        <f t="shared" si="8"/>
        <v>200015-24</v>
      </c>
      <c r="B563">
        <v>2000</v>
      </c>
      <c r="C563" t="s">
        <v>4</v>
      </c>
      <c r="D563" t="s">
        <v>26</v>
      </c>
      <c r="E563" t="s">
        <v>39</v>
      </c>
      <c r="F563" t="s">
        <v>17</v>
      </c>
      <c r="G563" s="7">
        <v>0</v>
      </c>
      <c r="H563" s="2">
        <v>2341775</v>
      </c>
    </row>
    <row r="564" spans="1:8" x14ac:dyDescent="0.25">
      <c r="A564" t="str">
        <f t="shared" si="8"/>
        <v>200025-44</v>
      </c>
      <c r="B564">
        <v>2000</v>
      </c>
      <c r="C564" t="s">
        <v>3</v>
      </c>
      <c r="D564" t="s">
        <v>26</v>
      </c>
      <c r="E564" t="s">
        <v>39</v>
      </c>
      <c r="F564" t="s">
        <v>17</v>
      </c>
      <c r="G564" s="7">
        <v>0</v>
      </c>
      <c r="H564" s="2">
        <v>3535732</v>
      </c>
    </row>
    <row r="565" spans="1:8" x14ac:dyDescent="0.25">
      <c r="A565" t="str">
        <f t="shared" si="8"/>
        <v>200045-64</v>
      </c>
      <c r="B565">
        <v>2000</v>
      </c>
      <c r="C565" t="s">
        <v>2</v>
      </c>
      <c r="D565" t="s">
        <v>26</v>
      </c>
      <c r="E565" t="s">
        <v>39</v>
      </c>
      <c r="F565" t="s">
        <v>17</v>
      </c>
      <c r="G565" s="7">
        <v>0</v>
      </c>
      <c r="H565" s="2">
        <v>1658630</v>
      </c>
    </row>
    <row r="566" spans="1:8" x14ac:dyDescent="0.25">
      <c r="A566" t="str">
        <f t="shared" si="8"/>
        <v>20005-14</v>
      </c>
      <c r="B566">
        <v>2000</v>
      </c>
      <c r="C566" t="s">
        <v>5</v>
      </c>
      <c r="D566" t="s">
        <v>26</v>
      </c>
      <c r="E566" t="s">
        <v>39</v>
      </c>
      <c r="F566" t="s">
        <v>17</v>
      </c>
      <c r="G566" s="7">
        <v>0</v>
      </c>
      <c r="H566" s="2">
        <v>2626661</v>
      </c>
    </row>
    <row r="567" spans="1:8" x14ac:dyDescent="0.25">
      <c r="A567" t="str">
        <f t="shared" si="8"/>
        <v>200065-74</v>
      </c>
      <c r="B567">
        <v>2000</v>
      </c>
      <c r="C567" t="s">
        <v>1</v>
      </c>
      <c r="D567" t="s">
        <v>26</v>
      </c>
      <c r="E567" t="s">
        <v>39</v>
      </c>
      <c r="F567" t="s">
        <v>17</v>
      </c>
      <c r="G567" s="7">
        <v>0</v>
      </c>
      <c r="H567" s="2">
        <v>398642</v>
      </c>
    </row>
    <row r="568" spans="1:8" x14ac:dyDescent="0.25">
      <c r="A568" t="str">
        <f t="shared" si="8"/>
        <v>200075+</v>
      </c>
      <c r="B568">
        <v>2000</v>
      </c>
      <c r="C568" t="s">
        <v>0</v>
      </c>
      <c r="D568" t="s">
        <v>26</v>
      </c>
      <c r="E568" t="s">
        <v>39</v>
      </c>
      <c r="F568" t="s">
        <v>17</v>
      </c>
      <c r="G568" s="7">
        <v>0</v>
      </c>
      <c r="H568" s="2">
        <v>240016</v>
      </c>
    </row>
    <row r="569" spans="1:8" x14ac:dyDescent="0.25">
      <c r="A569" t="str">
        <f t="shared" si="8"/>
        <v>20010-4</v>
      </c>
      <c r="B569">
        <v>2001</v>
      </c>
      <c r="C569" t="s">
        <v>6</v>
      </c>
      <c r="D569" t="s">
        <v>26</v>
      </c>
      <c r="E569" t="s">
        <v>39</v>
      </c>
      <c r="F569" t="s">
        <v>17</v>
      </c>
      <c r="G569" s="7">
        <v>2066</v>
      </c>
      <c r="H569" s="2">
        <v>1343121</v>
      </c>
    </row>
    <row r="570" spans="1:8" x14ac:dyDescent="0.25">
      <c r="A570" t="str">
        <f t="shared" si="8"/>
        <v>200115-24</v>
      </c>
      <c r="B570">
        <v>2001</v>
      </c>
      <c r="C570" t="s">
        <v>4</v>
      </c>
      <c r="D570" t="s">
        <v>26</v>
      </c>
      <c r="E570" t="s">
        <v>39</v>
      </c>
      <c r="F570" t="s">
        <v>17</v>
      </c>
      <c r="G570" s="7">
        <v>0</v>
      </c>
      <c r="H570" s="2">
        <v>2387015</v>
      </c>
    </row>
    <row r="571" spans="1:8" x14ac:dyDescent="0.25">
      <c r="A571" t="str">
        <f t="shared" si="8"/>
        <v>200125-44</v>
      </c>
      <c r="B571">
        <v>2001</v>
      </c>
      <c r="C571" t="s">
        <v>3</v>
      </c>
      <c r="D571" t="s">
        <v>26</v>
      </c>
      <c r="E571" t="s">
        <v>39</v>
      </c>
      <c r="F571" t="s">
        <v>17</v>
      </c>
      <c r="G571" s="7">
        <v>0</v>
      </c>
      <c r="H571" s="2">
        <v>3605957</v>
      </c>
    </row>
    <row r="572" spans="1:8" x14ac:dyDescent="0.25">
      <c r="A572" t="str">
        <f t="shared" si="8"/>
        <v>200145-64</v>
      </c>
      <c r="B572">
        <v>2001</v>
      </c>
      <c r="C572" t="s">
        <v>2</v>
      </c>
      <c r="D572" t="s">
        <v>26</v>
      </c>
      <c r="E572" t="s">
        <v>39</v>
      </c>
      <c r="F572" t="s">
        <v>17</v>
      </c>
      <c r="G572" s="7">
        <v>0</v>
      </c>
      <c r="H572" s="2">
        <v>1721965</v>
      </c>
    </row>
    <row r="573" spans="1:8" x14ac:dyDescent="0.25">
      <c r="A573" t="str">
        <f t="shared" si="8"/>
        <v>20015-14</v>
      </c>
      <c r="B573">
        <v>2001</v>
      </c>
      <c r="C573" t="s">
        <v>5</v>
      </c>
      <c r="D573" t="s">
        <v>26</v>
      </c>
      <c r="E573" t="s">
        <v>39</v>
      </c>
      <c r="F573" t="s">
        <v>17</v>
      </c>
      <c r="G573" s="7">
        <v>0</v>
      </c>
      <c r="H573" s="2">
        <v>2624275</v>
      </c>
    </row>
    <row r="574" spans="1:8" x14ac:dyDescent="0.25">
      <c r="A574" t="str">
        <f t="shared" si="8"/>
        <v>200165-74</v>
      </c>
      <c r="B574">
        <v>2001</v>
      </c>
      <c r="C574" t="s">
        <v>1</v>
      </c>
      <c r="D574" t="s">
        <v>26</v>
      </c>
      <c r="E574" t="s">
        <v>39</v>
      </c>
      <c r="F574" t="s">
        <v>17</v>
      </c>
      <c r="G574" s="7">
        <v>0</v>
      </c>
      <c r="H574" s="2">
        <v>407783</v>
      </c>
    </row>
    <row r="575" spans="1:8" x14ac:dyDescent="0.25">
      <c r="A575" t="str">
        <f t="shared" si="8"/>
        <v>200175+</v>
      </c>
      <c r="B575">
        <v>2001</v>
      </c>
      <c r="C575" t="s">
        <v>0</v>
      </c>
      <c r="D575" t="s">
        <v>26</v>
      </c>
      <c r="E575" t="s">
        <v>39</v>
      </c>
      <c r="F575" t="s">
        <v>17</v>
      </c>
      <c r="G575" s="7">
        <v>0</v>
      </c>
      <c r="H575" s="2">
        <v>255331</v>
      </c>
    </row>
    <row r="576" spans="1:8" x14ac:dyDescent="0.25">
      <c r="A576" t="str">
        <f t="shared" si="8"/>
        <v>20020-4</v>
      </c>
      <c r="B576">
        <v>2002</v>
      </c>
      <c r="C576" t="s">
        <v>6</v>
      </c>
      <c r="D576" t="s">
        <v>26</v>
      </c>
      <c r="E576" t="s">
        <v>39</v>
      </c>
      <c r="F576" t="s">
        <v>17</v>
      </c>
      <c r="G576" s="7">
        <v>2157</v>
      </c>
      <c r="H576" s="2">
        <v>1347045</v>
      </c>
    </row>
    <row r="577" spans="1:8" x14ac:dyDescent="0.25">
      <c r="A577" t="str">
        <f t="shared" si="8"/>
        <v>200215-24</v>
      </c>
      <c r="B577">
        <v>2002</v>
      </c>
      <c r="C577" t="s">
        <v>4</v>
      </c>
      <c r="D577" t="s">
        <v>26</v>
      </c>
      <c r="E577" t="s">
        <v>39</v>
      </c>
      <c r="F577" t="s">
        <v>17</v>
      </c>
      <c r="G577" s="7">
        <v>0</v>
      </c>
      <c r="H577" s="2">
        <v>2428415</v>
      </c>
    </row>
    <row r="578" spans="1:8" x14ac:dyDescent="0.25">
      <c r="A578" t="str">
        <f t="shared" ref="A578:A641" si="9">+CONCATENATE(B578,C578)</f>
        <v>200225-44</v>
      </c>
      <c r="B578">
        <v>2002</v>
      </c>
      <c r="C578" t="s">
        <v>3</v>
      </c>
      <c r="D578" t="s">
        <v>26</v>
      </c>
      <c r="E578" t="s">
        <v>39</v>
      </c>
      <c r="F578" t="s">
        <v>17</v>
      </c>
      <c r="G578" s="7">
        <v>0</v>
      </c>
      <c r="H578" s="2">
        <v>3675559</v>
      </c>
    </row>
    <row r="579" spans="1:8" x14ac:dyDescent="0.25">
      <c r="A579" t="str">
        <f t="shared" si="9"/>
        <v>200245-64</v>
      </c>
      <c r="B579">
        <v>2002</v>
      </c>
      <c r="C579" t="s">
        <v>2</v>
      </c>
      <c r="D579" t="s">
        <v>26</v>
      </c>
      <c r="E579" t="s">
        <v>39</v>
      </c>
      <c r="F579" t="s">
        <v>17</v>
      </c>
      <c r="G579" s="7">
        <v>0</v>
      </c>
      <c r="H579" s="2">
        <v>1789361</v>
      </c>
    </row>
    <row r="580" spans="1:8" x14ac:dyDescent="0.25">
      <c r="A580" t="str">
        <f t="shared" si="9"/>
        <v>20025-14</v>
      </c>
      <c r="B580">
        <v>2002</v>
      </c>
      <c r="C580" t="s">
        <v>5</v>
      </c>
      <c r="D580" t="s">
        <v>26</v>
      </c>
      <c r="E580" t="s">
        <v>39</v>
      </c>
      <c r="F580" t="s">
        <v>17</v>
      </c>
      <c r="G580" s="7">
        <v>0</v>
      </c>
      <c r="H580" s="2">
        <v>2622422</v>
      </c>
    </row>
    <row r="581" spans="1:8" x14ac:dyDescent="0.25">
      <c r="A581" t="str">
        <f t="shared" si="9"/>
        <v>200265-74</v>
      </c>
      <c r="B581">
        <v>2002</v>
      </c>
      <c r="C581" t="s">
        <v>1</v>
      </c>
      <c r="D581" t="s">
        <v>26</v>
      </c>
      <c r="E581" t="s">
        <v>39</v>
      </c>
      <c r="F581" t="s">
        <v>17</v>
      </c>
      <c r="G581" s="7">
        <v>0</v>
      </c>
      <c r="H581" s="2">
        <v>417907</v>
      </c>
    </row>
    <row r="582" spans="1:8" x14ac:dyDescent="0.25">
      <c r="A582" t="str">
        <f t="shared" si="9"/>
        <v>200275+</v>
      </c>
      <c r="B582">
        <v>2002</v>
      </c>
      <c r="C582" t="s">
        <v>0</v>
      </c>
      <c r="D582" t="s">
        <v>26</v>
      </c>
      <c r="E582" t="s">
        <v>39</v>
      </c>
      <c r="F582" t="s">
        <v>17</v>
      </c>
      <c r="G582" s="7">
        <v>0</v>
      </c>
      <c r="H582" s="2">
        <v>270538</v>
      </c>
    </row>
    <row r="583" spans="1:8" x14ac:dyDescent="0.25">
      <c r="A583" t="str">
        <f t="shared" si="9"/>
        <v>20030-4</v>
      </c>
      <c r="B583">
        <v>2003</v>
      </c>
      <c r="C583" t="s">
        <v>6</v>
      </c>
      <c r="D583" t="s">
        <v>26</v>
      </c>
      <c r="E583" t="s">
        <v>39</v>
      </c>
      <c r="F583" t="s">
        <v>17</v>
      </c>
      <c r="G583" s="7">
        <v>2315</v>
      </c>
      <c r="H583" s="2">
        <v>1350164</v>
      </c>
    </row>
    <row r="584" spans="1:8" x14ac:dyDescent="0.25">
      <c r="A584" t="str">
        <f t="shared" si="9"/>
        <v>200315-24</v>
      </c>
      <c r="B584">
        <v>2003</v>
      </c>
      <c r="C584" t="s">
        <v>4</v>
      </c>
      <c r="D584" t="s">
        <v>26</v>
      </c>
      <c r="E584" t="s">
        <v>39</v>
      </c>
      <c r="F584" t="s">
        <v>17</v>
      </c>
      <c r="G584" s="7">
        <v>0</v>
      </c>
      <c r="H584" s="2">
        <v>2465273</v>
      </c>
    </row>
    <row r="585" spans="1:8" x14ac:dyDescent="0.25">
      <c r="A585" t="str">
        <f t="shared" si="9"/>
        <v>200325-44</v>
      </c>
      <c r="B585">
        <v>2003</v>
      </c>
      <c r="C585" t="s">
        <v>3</v>
      </c>
      <c r="D585" t="s">
        <v>26</v>
      </c>
      <c r="E585" t="s">
        <v>39</v>
      </c>
      <c r="F585" t="s">
        <v>17</v>
      </c>
      <c r="G585" s="7">
        <v>0</v>
      </c>
      <c r="H585" s="2">
        <v>3744690</v>
      </c>
    </row>
    <row r="586" spans="1:8" x14ac:dyDescent="0.25">
      <c r="A586" t="str">
        <f t="shared" si="9"/>
        <v>200345-64</v>
      </c>
      <c r="B586">
        <v>2003</v>
      </c>
      <c r="C586" t="s">
        <v>2</v>
      </c>
      <c r="D586" t="s">
        <v>26</v>
      </c>
      <c r="E586" t="s">
        <v>39</v>
      </c>
      <c r="F586" t="s">
        <v>17</v>
      </c>
      <c r="G586" s="7">
        <v>0</v>
      </c>
      <c r="H586" s="2">
        <v>1860678</v>
      </c>
    </row>
    <row r="587" spans="1:8" x14ac:dyDescent="0.25">
      <c r="A587" t="str">
        <f t="shared" si="9"/>
        <v>20035-14</v>
      </c>
      <c r="B587">
        <v>2003</v>
      </c>
      <c r="C587" t="s">
        <v>5</v>
      </c>
      <c r="D587" t="s">
        <v>26</v>
      </c>
      <c r="E587" t="s">
        <v>39</v>
      </c>
      <c r="F587" t="s">
        <v>17</v>
      </c>
      <c r="G587" s="7">
        <v>0</v>
      </c>
      <c r="H587" s="2">
        <v>2622279</v>
      </c>
    </row>
    <row r="588" spans="1:8" x14ac:dyDescent="0.25">
      <c r="A588" t="str">
        <f t="shared" si="9"/>
        <v>200365-74</v>
      </c>
      <c r="B588">
        <v>2003</v>
      </c>
      <c r="C588" t="s">
        <v>1</v>
      </c>
      <c r="D588" t="s">
        <v>26</v>
      </c>
      <c r="E588" t="s">
        <v>39</v>
      </c>
      <c r="F588" t="s">
        <v>17</v>
      </c>
      <c r="G588" s="7">
        <v>0</v>
      </c>
      <c r="H588" s="2">
        <v>428941</v>
      </c>
    </row>
    <row r="589" spans="1:8" x14ac:dyDescent="0.25">
      <c r="A589" t="str">
        <f t="shared" si="9"/>
        <v>200375+</v>
      </c>
      <c r="B589">
        <v>2003</v>
      </c>
      <c r="C589" t="s">
        <v>0</v>
      </c>
      <c r="D589" t="s">
        <v>26</v>
      </c>
      <c r="E589" t="s">
        <v>39</v>
      </c>
      <c r="F589" t="s">
        <v>17</v>
      </c>
      <c r="G589" s="7">
        <v>0</v>
      </c>
      <c r="H589" s="2">
        <v>285209</v>
      </c>
    </row>
    <row r="590" spans="1:8" x14ac:dyDescent="0.25">
      <c r="A590" t="str">
        <f t="shared" si="9"/>
        <v>20040-4</v>
      </c>
      <c r="B590">
        <v>2004</v>
      </c>
      <c r="C590" t="s">
        <v>6</v>
      </c>
      <c r="D590" t="s">
        <v>26</v>
      </c>
      <c r="E590" t="s">
        <v>39</v>
      </c>
      <c r="F590" t="s">
        <v>17</v>
      </c>
      <c r="G590" s="7">
        <v>2225</v>
      </c>
      <c r="H590" s="2">
        <v>1352508</v>
      </c>
    </row>
    <row r="591" spans="1:8" x14ac:dyDescent="0.25">
      <c r="A591" t="str">
        <f t="shared" si="9"/>
        <v>200415-24</v>
      </c>
      <c r="B591">
        <v>2004</v>
      </c>
      <c r="C591" t="s">
        <v>4</v>
      </c>
      <c r="D591" t="s">
        <v>26</v>
      </c>
      <c r="E591" t="s">
        <v>39</v>
      </c>
      <c r="F591" t="s">
        <v>17</v>
      </c>
      <c r="G591" s="7">
        <v>0</v>
      </c>
      <c r="H591" s="2">
        <v>2497409</v>
      </c>
    </row>
    <row r="592" spans="1:8" x14ac:dyDescent="0.25">
      <c r="A592" t="str">
        <f t="shared" si="9"/>
        <v>200425-44</v>
      </c>
      <c r="B592">
        <v>2004</v>
      </c>
      <c r="C592" t="s">
        <v>3</v>
      </c>
      <c r="D592" t="s">
        <v>26</v>
      </c>
      <c r="E592" t="s">
        <v>39</v>
      </c>
      <c r="F592" t="s">
        <v>17</v>
      </c>
      <c r="G592" s="7">
        <v>0</v>
      </c>
      <c r="H592" s="2">
        <v>3813358</v>
      </c>
    </row>
    <row r="593" spans="1:8" x14ac:dyDescent="0.25">
      <c r="A593" t="str">
        <f t="shared" si="9"/>
        <v>200445-64</v>
      </c>
      <c r="B593">
        <v>2004</v>
      </c>
      <c r="C593" t="s">
        <v>2</v>
      </c>
      <c r="D593" t="s">
        <v>26</v>
      </c>
      <c r="E593" t="s">
        <v>39</v>
      </c>
      <c r="F593" t="s">
        <v>17</v>
      </c>
      <c r="G593" s="7">
        <v>0</v>
      </c>
      <c r="H593" s="2">
        <v>1936129</v>
      </c>
    </row>
    <row r="594" spans="1:8" x14ac:dyDescent="0.25">
      <c r="A594" t="str">
        <f t="shared" si="9"/>
        <v>20045-14</v>
      </c>
      <c r="B594">
        <v>2004</v>
      </c>
      <c r="C594" t="s">
        <v>5</v>
      </c>
      <c r="D594" t="s">
        <v>26</v>
      </c>
      <c r="E594" t="s">
        <v>39</v>
      </c>
      <c r="F594" t="s">
        <v>17</v>
      </c>
      <c r="G594" s="7">
        <v>0</v>
      </c>
      <c r="H594" s="2">
        <v>2624530</v>
      </c>
    </row>
    <row r="595" spans="1:8" x14ac:dyDescent="0.25">
      <c r="A595" t="str">
        <f t="shared" si="9"/>
        <v>200465-74</v>
      </c>
      <c r="B595">
        <v>2004</v>
      </c>
      <c r="C595" t="s">
        <v>1</v>
      </c>
      <c r="D595" t="s">
        <v>26</v>
      </c>
      <c r="E595" t="s">
        <v>39</v>
      </c>
      <c r="F595" t="s">
        <v>17</v>
      </c>
      <c r="G595" s="7">
        <v>0</v>
      </c>
      <c r="H595" s="2">
        <v>441018</v>
      </c>
    </row>
    <row r="596" spans="1:8" x14ac:dyDescent="0.25">
      <c r="A596" t="str">
        <f t="shared" si="9"/>
        <v>200475+</v>
      </c>
      <c r="B596">
        <v>2004</v>
      </c>
      <c r="C596" t="s">
        <v>0</v>
      </c>
      <c r="D596" t="s">
        <v>26</v>
      </c>
      <c r="E596" t="s">
        <v>39</v>
      </c>
      <c r="F596" t="s">
        <v>17</v>
      </c>
      <c r="G596" s="7">
        <v>0</v>
      </c>
      <c r="H596" s="2">
        <v>299301</v>
      </c>
    </row>
    <row r="597" spans="1:8" x14ac:dyDescent="0.25">
      <c r="A597" t="str">
        <f t="shared" si="9"/>
        <v>20050-4</v>
      </c>
      <c r="B597">
        <v>2005</v>
      </c>
      <c r="C597" t="s">
        <v>6</v>
      </c>
      <c r="D597" t="s">
        <v>26</v>
      </c>
      <c r="E597" t="s">
        <v>39</v>
      </c>
      <c r="F597" t="s">
        <v>17</v>
      </c>
      <c r="G597" s="7">
        <v>2271</v>
      </c>
      <c r="H597" s="2">
        <v>1353852</v>
      </c>
    </row>
    <row r="598" spans="1:8" x14ac:dyDescent="0.25">
      <c r="A598" t="str">
        <f t="shared" si="9"/>
        <v>200515-24</v>
      </c>
      <c r="B598">
        <v>2005</v>
      </c>
      <c r="C598" t="s">
        <v>4</v>
      </c>
      <c r="D598" t="s">
        <v>26</v>
      </c>
      <c r="E598" t="s">
        <v>39</v>
      </c>
      <c r="F598" t="s">
        <v>17</v>
      </c>
      <c r="G598" s="7">
        <v>0</v>
      </c>
      <c r="H598" s="2">
        <v>2524017</v>
      </c>
    </row>
    <row r="599" spans="1:8" x14ac:dyDescent="0.25">
      <c r="A599" t="str">
        <f t="shared" si="9"/>
        <v>200525-44</v>
      </c>
      <c r="B599">
        <v>2005</v>
      </c>
      <c r="C599" t="s">
        <v>3</v>
      </c>
      <c r="D599" t="s">
        <v>26</v>
      </c>
      <c r="E599" t="s">
        <v>39</v>
      </c>
      <c r="F599" t="s">
        <v>17</v>
      </c>
      <c r="G599" s="7">
        <v>0</v>
      </c>
      <c r="H599" s="2">
        <v>3881062</v>
      </c>
    </row>
    <row r="600" spans="1:8" x14ac:dyDescent="0.25">
      <c r="A600" t="str">
        <f t="shared" si="9"/>
        <v>200545-64</v>
      </c>
      <c r="B600">
        <v>2005</v>
      </c>
      <c r="C600" t="s">
        <v>2</v>
      </c>
      <c r="D600" t="s">
        <v>26</v>
      </c>
      <c r="E600" t="s">
        <v>39</v>
      </c>
      <c r="F600" t="s">
        <v>17</v>
      </c>
      <c r="G600" s="7">
        <v>0</v>
      </c>
      <c r="H600" s="2">
        <v>2016148</v>
      </c>
    </row>
    <row r="601" spans="1:8" x14ac:dyDescent="0.25">
      <c r="A601" t="str">
        <f t="shared" si="9"/>
        <v>20055-14</v>
      </c>
      <c r="B601">
        <v>2005</v>
      </c>
      <c r="C601" t="s">
        <v>5</v>
      </c>
      <c r="D601" t="s">
        <v>26</v>
      </c>
      <c r="E601" t="s">
        <v>39</v>
      </c>
      <c r="F601" t="s">
        <v>17</v>
      </c>
      <c r="G601" s="7">
        <v>0</v>
      </c>
      <c r="H601" s="2">
        <v>2629864</v>
      </c>
    </row>
    <row r="602" spans="1:8" x14ac:dyDescent="0.25">
      <c r="A602" t="str">
        <f t="shared" si="9"/>
        <v>200565-74</v>
      </c>
      <c r="B602">
        <v>2005</v>
      </c>
      <c r="C602" t="s">
        <v>1</v>
      </c>
      <c r="D602" t="s">
        <v>26</v>
      </c>
      <c r="E602" t="s">
        <v>39</v>
      </c>
      <c r="F602" t="s">
        <v>17</v>
      </c>
      <c r="G602" s="7">
        <v>0</v>
      </c>
      <c r="H602" s="2">
        <v>454245</v>
      </c>
    </row>
    <row r="603" spans="1:8" x14ac:dyDescent="0.25">
      <c r="A603" t="str">
        <f t="shared" si="9"/>
        <v>200575+</v>
      </c>
      <c r="B603">
        <v>2005</v>
      </c>
      <c r="C603" t="s">
        <v>0</v>
      </c>
      <c r="D603" t="s">
        <v>26</v>
      </c>
      <c r="E603" t="s">
        <v>39</v>
      </c>
      <c r="F603" t="s">
        <v>17</v>
      </c>
      <c r="G603" s="7">
        <v>0</v>
      </c>
      <c r="H603" s="2">
        <v>312767</v>
      </c>
    </row>
    <row r="604" spans="1:8" x14ac:dyDescent="0.25">
      <c r="A604" t="str">
        <f t="shared" si="9"/>
        <v>20060-4</v>
      </c>
      <c r="B604">
        <v>2006</v>
      </c>
      <c r="C604" t="s">
        <v>6</v>
      </c>
      <c r="D604" t="s">
        <v>26</v>
      </c>
      <c r="E604" t="s">
        <v>39</v>
      </c>
      <c r="F604" t="s">
        <v>17</v>
      </c>
      <c r="G604" s="7">
        <v>2070</v>
      </c>
      <c r="H604" s="2">
        <v>1354432</v>
      </c>
    </row>
    <row r="605" spans="1:8" x14ac:dyDescent="0.25">
      <c r="A605" t="str">
        <f t="shared" si="9"/>
        <v>200615-24</v>
      </c>
      <c r="B605">
        <v>2006</v>
      </c>
      <c r="C605" t="s">
        <v>4</v>
      </c>
      <c r="D605" t="s">
        <v>26</v>
      </c>
      <c r="E605" t="s">
        <v>39</v>
      </c>
      <c r="F605" t="s">
        <v>17</v>
      </c>
      <c r="G605" s="7">
        <v>0</v>
      </c>
      <c r="H605" s="2">
        <v>2544731</v>
      </c>
    </row>
    <row r="606" spans="1:8" x14ac:dyDescent="0.25">
      <c r="A606" t="str">
        <f t="shared" si="9"/>
        <v>200625-44</v>
      </c>
      <c r="B606">
        <v>2006</v>
      </c>
      <c r="C606" t="s">
        <v>3</v>
      </c>
      <c r="D606" t="s">
        <v>26</v>
      </c>
      <c r="E606" t="s">
        <v>39</v>
      </c>
      <c r="F606" t="s">
        <v>17</v>
      </c>
      <c r="G606" s="7">
        <v>0</v>
      </c>
      <c r="H606" s="2">
        <v>3947836</v>
      </c>
    </row>
    <row r="607" spans="1:8" x14ac:dyDescent="0.25">
      <c r="A607" t="str">
        <f t="shared" si="9"/>
        <v>200645-64</v>
      </c>
      <c r="B607">
        <v>2006</v>
      </c>
      <c r="C607" t="s">
        <v>2</v>
      </c>
      <c r="D607" t="s">
        <v>26</v>
      </c>
      <c r="E607" t="s">
        <v>39</v>
      </c>
      <c r="F607" t="s">
        <v>17</v>
      </c>
      <c r="G607" s="7">
        <v>0</v>
      </c>
      <c r="H607" s="2">
        <v>2100791</v>
      </c>
    </row>
    <row r="608" spans="1:8" x14ac:dyDescent="0.25">
      <c r="A608" t="str">
        <f t="shared" si="9"/>
        <v>20065-14</v>
      </c>
      <c r="B608">
        <v>2006</v>
      </c>
      <c r="C608" t="s">
        <v>5</v>
      </c>
      <c r="D608" t="s">
        <v>26</v>
      </c>
      <c r="E608" t="s">
        <v>39</v>
      </c>
      <c r="F608" t="s">
        <v>17</v>
      </c>
      <c r="G608" s="7">
        <v>0</v>
      </c>
      <c r="H608" s="2">
        <v>2638747</v>
      </c>
    </row>
    <row r="609" spans="1:8" x14ac:dyDescent="0.25">
      <c r="A609" t="str">
        <f t="shared" si="9"/>
        <v>200665-74</v>
      </c>
      <c r="B609">
        <v>2006</v>
      </c>
      <c r="C609" t="s">
        <v>1</v>
      </c>
      <c r="D609" t="s">
        <v>26</v>
      </c>
      <c r="E609" t="s">
        <v>39</v>
      </c>
      <c r="F609" t="s">
        <v>17</v>
      </c>
      <c r="G609" s="7">
        <v>0</v>
      </c>
      <c r="H609" s="2">
        <v>468680</v>
      </c>
    </row>
    <row r="610" spans="1:8" x14ac:dyDescent="0.25">
      <c r="A610" t="str">
        <f t="shared" si="9"/>
        <v>200675+</v>
      </c>
      <c r="B610">
        <v>2006</v>
      </c>
      <c r="C610" t="s">
        <v>0</v>
      </c>
      <c r="D610" t="s">
        <v>26</v>
      </c>
      <c r="E610" t="s">
        <v>39</v>
      </c>
      <c r="F610" t="s">
        <v>17</v>
      </c>
      <c r="G610" s="7">
        <v>0</v>
      </c>
      <c r="H610" s="2">
        <v>325672</v>
      </c>
    </row>
    <row r="611" spans="1:8" x14ac:dyDescent="0.25">
      <c r="A611" t="str">
        <f t="shared" si="9"/>
        <v>20070-4</v>
      </c>
      <c r="B611">
        <v>2007</v>
      </c>
      <c r="C611" t="s">
        <v>6</v>
      </c>
      <c r="D611" t="s">
        <v>26</v>
      </c>
      <c r="E611" t="s">
        <v>39</v>
      </c>
      <c r="F611" t="s">
        <v>17</v>
      </c>
      <c r="G611" s="7">
        <v>2030</v>
      </c>
      <c r="H611" s="2">
        <v>1354234</v>
      </c>
    </row>
    <row r="612" spans="1:8" x14ac:dyDescent="0.25">
      <c r="A612" t="str">
        <f t="shared" si="9"/>
        <v>200715-24</v>
      </c>
      <c r="B612">
        <v>2007</v>
      </c>
      <c r="C612" t="s">
        <v>4</v>
      </c>
      <c r="D612" t="s">
        <v>26</v>
      </c>
      <c r="E612" t="s">
        <v>39</v>
      </c>
      <c r="F612" t="s">
        <v>17</v>
      </c>
      <c r="G612" s="7">
        <v>0</v>
      </c>
      <c r="H612" s="2">
        <v>2561885</v>
      </c>
    </row>
    <row r="613" spans="1:8" x14ac:dyDescent="0.25">
      <c r="A613" t="str">
        <f t="shared" si="9"/>
        <v>200725-44</v>
      </c>
      <c r="B613">
        <v>2007</v>
      </c>
      <c r="C613" t="s">
        <v>3</v>
      </c>
      <c r="D613" t="s">
        <v>26</v>
      </c>
      <c r="E613" t="s">
        <v>39</v>
      </c>
      <c r="F613" t="s">
        <v>17</v>
      </c>
      <c r="G613" s="7">
        <v>0</v>
      </c>
      <c r="H613" s="2">
        <v>4016163</v>
      </c>
    </row>
    <row r="614" spans="1:8" x14ac:dyDescent="0.25">
      <c r="A614" t="str">
        <f t="shared" si="9"/>
        <v>200745-64</v>
      </c>
      <c r="B614">
        <v>2007</v>
      </c>
      <c r="C614" t="s">
        <v>2</v>
      </c>
      <c r="D614" t="s">
        <v>26</v>
      </c>
      <c r="E614" t="s">
        <v>39</v>
      </c>
      <c r="F614" t="s">
        <v>17</v>
      </c>
      <c r="G614" s="7">
        <v>0</v>
      </c>
      <c r="H614" s="2">
        <v>2188071</v>
      </c>
    </row>
    <row r="615" spans="1:8" x14ac:dyDescent="0.25">
      <c r="A615" t="str">
        <f t="shared" si="9"/>
        <v>20075-14</v>
      </c>
      <c r="B615">
        <v>2007</v>
      </c>
      <c r="C615" t="s">
        <v>5</v>
      </c>
      <c r="D615" t="s">
        <v>26</v>
      </c>
      <c r="E615" t="s">
        <v>39</v>
      </c>
      <c r="F615" t="s">
        <v>17</v>
      </c>
      <c r="G615" s="7">
        <v>0</v>
      </c>
      <c r="H615" s="2">
        <v>2647233</v>
      </c>
    </row>
    <row r="616" spans="1:8" x14ac:dyDescent="0.25">
      <c r="A616" t="str">
        <f t="shared" si="9"/>
        <v>200765-74</v>
      </c>
      <c r="B616">
        <v>2007</v>
      </c>
      <c r="C616" t="s">
        <v>1</v>
      </c>
      <c r="D616" t="s">
        <v>26</v>
      </c>
      <c r="E616" t="s">
        <v>39</v>
      </c>
      <c r="F616" t="s">
        <v>17</v>
      </c>
      <c r="G616" s="7">
        <v>0</v>
      </c>
      <c r="H616" s="2">
        <v>484321</v>
      </c>
    </row>
    <row r="617" spans="1:8" x14ac:dyDescent="0.25">
      <c r="A617" t="str">
        <f t="shared" si="9"/>
        <v>200775+</v>
      </c>
      <c r="B617">
        <v>2007</v>
      </c>
      <c r="C617" t="s">
        <v>0</v>
      </c>
      <c r="D617" t="s">
        <v>26</v>
      </c>
      <c r="E617" t="s">
        <v>39</v>
      </c>
      <c r="F617" t="s">
        <v>17</v>
      </c>
      <c r="G617" s="7">
        <v>2</v>
      </c>
      <c r="H617" s="2">
        <v>338128</v>
      </c>
    </row>
    <row r="618" spans="1:8" x14ac:dyDescent="0.25">
      <c r="A618" t="str">
        <f t="shared" si="9"/>
        <v>20080-4</v>
      </c>
      <c r="B618">
        <v>2008</v>
      </c>
      <c r="C618" t="s">
        <v>6</v>
      </c>
      <c r="D618" t="s">
        <v>26</v>
      </c>
      <c r="E618" t="s">
        <v>39</v>
      </c>
      <c r="F618" t="s">
        <v>17</v>
      </c>
      <c r="G618" s="7">
        <v>2097</v>
      </c>
      <c r="H618" s="2">
        <v>1353145</v>
      </c>
    </row>
    <row r="619" spans="1:8" x14ac:dyDescent="0.25">
      <c r="A619" t="str">
        <f t="shared" si="9"/>
        <v>200815-24</v>
      </c>
      <c r="B619">
        <v>2008</v>
      </c>
      <c r="C619" t="s">
        <v>4</v>
      </c>
      <c r="D619" t="s">
        <v>26</v>
      </c>
      <c r="E619" t="s">
        <v>39</v>
      </c>
      <c r="F619" t="s">
        <v>17</v>
      </c>
      <c r="G619" s="7">
        <v>0</v>
      </c>
      <c r="H619" s="2">
        <v>2575138</v>
      </c>
    </row>
    <row r="620" spans="1:8" x14ac:dyDescent="0.25">
      <c r="A620" t="str">
        <f t="shared" si="9"/>
        <v>200825-44</v>
      </c>
      <c r="B620">
        <v>2008</v>
      </c>
      <c r="C620" t="s">
        <v>3</v>
      </c>
      <c r="D620" t="s">
        <v>26</v>
      </c>
      <c r="E620" t="s">
        <v>39</v>
      </c>
      <c r="F620" t="s">
        <v>17</v>
      </c>
      <c r="G620" s="7">
        <v>0</v>
      </c>
      <c r="H620" s="2">
        <v>4085944</v>
      </c>
    </row>
    <row r="621" spans="1:8" x14ac:dyDescent="0.25">
      <c r="A621" t="str">
        <f t="shared" si="9"/>
        <v>200845-64</v>
      </c>
      <c r="B621">
        <v>2008</v>
      </c>
      <c r="C621" t="s">
        <v>2</v>
      </c>
      <c r="D621" t="s">
        <v>26</v>
      </c>
      <c r="E621" t="s">
        <v>39</v>
      </c>
      <c r="F621" t="s">
        <v>17</v>
      </c>
      <c r="G621" s="7">
        <v>0</v>
      </c>
      <c r="H621" s="2">
        <v>2277674</v>
      </c>
    </row>
    <row r="622" spans="1:8" x14ac:dyDescent="0.25">
      <c r="A622" t="str">
        <f t="shared" si="9"/>
        <v>20085-14</v>
      </c>
      <c r="B622">
        <v>2008</v>
      </c>
      <c r="C622" t="s">
        <v>5</v>
      </c>
      <c r="D622" t="s">
        <v>26</v>
      </c>
      <c r="E622" t="s">
        <v>39</v>
      </c>
      <c r="F622" t="s">
        <v>17</v>
      </c>
      <c r="G622" s="7">
        <v>0</v>
      </c>
      <c r="H622" s="2">
        <v>2655740</v>
      </c>
    </row>
    <row r="623" spans="1:8" x14ac:dyDescent="0.25">
      <c r="A623" t="str">
        <f t="shared" si="9"/>
        <v>200865-74</v>
      </c>
      <c r="B623">
        <v>2008</v>
      </c>
      <c r="C623" t="s">
        <v>1</v>
      </c>
      <c r="D623" t="s">
        <v>26</v>
      </c>
      <c r="E623" t="s">
        <v>39</v>
      </c>
      <c r="F623" t="s">
        <v>17</v>
      </c>
      <c r="G623" s="7">
        <v>0</v>
      </c>
      <c r="H623" s="2">
        <v>501201</v>
      </c>
    </row>
    <row r="624" spans="1:8" x14ac:dyDescent="0.25">
      <c r="A624" t="str">
        <f t="shared" si="9"/>
        <v>200875+</v>
      </c>
      <c r="B624">
        <v>2008</v>
      </c>
      <c r="C624" t="s">
        <v>0</v>
      </c>
      <c r="D624" t="s">
        <v>26</v>
      </c>
      <c r="E624" t="s">
        <v>39</v>
      </c>
      <c r="F624" t="s">
        <v>17</v>
      </c>
      <c r="G624" s="7">
        <v>0</v>
      </c>
      <c r="H624" s="2">
        <v>350235</v>
      </c>
    </row>
    <row r="625" spans="1:8" x14ac:dyDescent="0.25">
      <c r="A625" t="str">
        <f t="shared" si="9"/>
        <v>20090-4</v>
      </c>
      <c r="B625">
        <v>2009</v>
      </c>
      <c r="C625" t="s">
        <v>6</v>
      </c>
      <c r="D625" t="s">
        <v>26</v>
      </c>
      <c r="E625" t="s">
        <v>39</v>
      </c>
      <c r="F625" t="s">
        <v>17</v>
      </c>
      <c r="G625" s="7">
        <v>2282</v>
      </c>
      <c r="H625" s="2">
        <v>1351158</v>
      </c>
    </row>
    <row r="626" spans="1:8" x14ac:dyDescent="0.25">
      <c r="A626" t="str">
        <f t="shared" si="9"/>
        <v>200915-24</v>
      </c>
      <c r="B626">
        <v>2009</v>
      </c>
      <c r="C626" t="s">
        <v>4</v>
      </c>
      <c r="D626" t="s">
        <v>26</v>
      </c>
      <c r="E626" t="s">
        <v>39</v>
      </c>
      <c r="F626" t="s">
        <v>17</v>
      </c>
      <c r="G626" s="7">
        <v>0</v>
      </c>
      <c r="H626" s="2">
        <v>2584791</v>
      </c>
    </row>
    <row r="627" spans="1:8" x14ac:dyDescent="0.25">
      <c r="A627" t="str">
        <f t="shared" si="9"/>
        <v>200925-44</v>
      </c>
      <c r="B627">
        <v>2009</v>
      </c>
      <c r="C627" t="s">
        <v>3</v>
      </c>
      <c r="D627" t="s">
        <v>26</v>
      </c>
      <c r="E627" t="s">
        <v>39</v>
      </c>
      <c r="F627" t="s">
        <v>17</v>
      </c>
      <c r="G627" s="7">
        <v>0</v>
      </c>
      <c r="H627" s="2">
        <v>4156891</v>
      </c>
    </row>
    <row r="628" spans="1:8" x14ac:dyDescent="0.25">
      <c r="A628" t="str">
        <f t="shared" si="9"/>
        <v>200945-64</v>
      </c>
      <c r="B628">
        <v>2009</v>
      </c>
      <c r="C628" t="s">
        <v>2</v>
      </c>
      <c r="D628" t="s">
        <v>26</v>
      </c>
      <c r="E628" t="s">
        <v>39</v>
      </c>
      <c r="F628" t="s">
        <v>17</v>
      </c>
      <c r="G628" s="7">
        <v>0</v>
      </c>
      <c r="H628" s="2">
        <v>2369589</v>
      </c>
    </row>
    <row r="629" spans="1:8" x14ac:dyDescent="0.25">
      <c r="A629" t="str">
        <f t="shared" si="9"/>
        <v>20095-14</v>
      </c>
      <c r="B629">
        <v>2009</v>
      </c>
      <c r="C629" t="s">
        <v>5</v>
      </c>
      <c r="D629" t="s">
        <v>26</v>
      </c>
      <c r="E629" t="s">
        <v>39</v>
      </c>
      <c r="F629" t="s">
        <v>17</v>
      </c>
      <c r="G629" s="7">
        <v>0</v>
      </c>
      <c r="H629" s="2">
        <v>2664671</v>
      </c>
    </row>
    <row r="630" spans="1:8" x14ac:dyDescent="0.25">
      <c r="A630" t="str">
        <f t="shared" si="9"/>
        <v>200965-74</v>
      </c>
      <c r="B630">
        <v>2009</v>
      </c>
      <c r="C630" t="s">
        <v>1</v>
      </c>
      <c r="D630" t="s">
        <v>26</v>
      </c>
      <c r="E630" t="s">
        <v>39</v>
      </c>
      <c r="F630" t="s">
        <v>17</v>
      </c>
      <c r="G630" s="7">
        <v>0</v>
      </c>
      <c r="H630" s="2">
        <v>519377</v>
      </c>
    </row>
    <row r="631" spans="1:8" x14ac:dyDescent="0.25">
      <c r="A631" t="str">
        <f t="shared" si="9"/>
        <v>200975+</v>
      </c>
      <c r="B631">
        <v>2009</v>
      </c>
      <c r="C631" t="s">
        <v>0</v>
      </c>
      <c r="D631" t="s">
        <v>26</v>
      </c>
      <c r="E631" t="s">
        <v>39</v>
      </c>
      <c r="F631" t="s">
        <v>17</v>
      </c>
      <c r="G631" s="7">
        <v>0</v>
      </c>
      <c r="H631" s="2">
        <v>362131</v>
      </c>
    </row>
    <row r="632" spans="1:8" x14ac:dyDescent="0.25">
      <c r="A632" t="str">
        <f t="shared" si="9"/>
        <v>20100-4</v>
      </c>
      <c r="B632">
        <v>2010</v>
      </c>
      <c r="C632" t="s">
        <v>6</v>
      </c>
      <c r="D632" t="s">
        <v>26</v>
      </c>
      <c r="E632" t="s">
        <v>39</v>
      </c>
      <c r="F632" t="s">
        <v>17</v>
      </c>
      <c r="G632" s="7">
        <v>2305</v>
      </c>
      <c r="H632" s="2">
        <v>1348289</v>
      </c>
    </row>
    <row r="633" spans="1:8" x14ac:dyDescent="0.25">
      <c r="A633" t="str">
        <f t="shared" si="9"/>
        <v>201015-24</v>
      </c>
      <c r="B633">
        <v>2010</v>
      </c>
      <c r="C633" t="s">
        <v>4</v>
      </c>
      <c r="D633" t="s">
        <v>26</v>
      </c>
      <c r="E633" t="s">
        <v>39</v>
      </c>
      <c r="F633" t="s">
        <v>17</v>
      </c>
      <c r="G633" s="7">
        <v>0</v>
      </c>
      <c r="H633" s="2">
        <v>2590746</v>
      </c>
    </row>
    <row r="634" spans="1:8" x14ac:dyDescent="0.25">
      <c r="A634" t="str">
        <f t="shared" si="9"/>
        <v>201025-44</v>
      </c>
      <c r="B634">
        <v>2010</v>
      </c>
      <c r="C634" t="s">
        <v>3</v>
      </c>
      <c r="D634" t="s">
        <v>26</v>
      </c>
      <c r="E634" t="s">
        <v>39</v>
      </c>
      <c r="F634" t="s">
        <v>17</v>
      </c>
      <c r="G634" s="7">
        <v>0</v>
      </c>
      <c r="H634" s="2">
        <v>4228246</v>
      </c>
    </row>
    <row r="635" spans="1:8" x14ac:dyDescent="0.25">
      <c r="A635" t="str">
        <f t="shared" si="9"/>
        <v>201045-64</v>
      </c>
      <c r="B635">
        <v>2010</v>
      </c>
      <c r="C635" t="s">
        <v>2</v>
      </c>
      <c r="D635" t="s">
        <v>26</v>
      </c>
      <c r="E635" t="s">
        <v>39</v>
      </c>
      <c r="F635" t="s">
        <v>17</v>
      </c>
      <c r="G635" s="7">
        <v>0</v>
      </c>
      <c r="H635" s="2">
        <v>2464321</v>
      </c>
    </row>
    <row r="636" spans="1:8" x14ac:dyDescent="0.25">
      <c r="A636" t="str">
        <f t="shared" si="9"/>
        <v>20105-14</v>
      </c>
      <c r="B636">
        <v>2010</v>
      </c>
      <c r="C636" t="s">
        <v>5</v>
      </c>
      <c r="D636" t="s">
        <v>26</v>
      </c>
      <c r="E636" t="s">
        <v>39</v>
      </c>
      <c r="F636" t="s">
        <v>17</v>
      </c>
      <c r="G636" s="7">
        <v>0</v>
      </c>
      <c r="H636" s="2">
        <v>2674173</v>
      </c>
    </row>
    <row r="637" spans="1:8" x14ac:dyDescent="0.25">
      <c r="A637" t="str">
        <f t="shared" si="9"/>
        <v>201065-74</v>
      </c>
      <c r="B637">
        <v>2010</v>
      </c>
      <c r="C637" t="s">
        <v>1</v>
      </c>
      <c r="D637" t="s">
        <v>26</v>
      </c>
      <c r="E637" t="s">
        <v>39</v>
      </c>
      <c r="F637" t="s">
        <v>17</v>
      </c>
      <c r="G637" s="7">
        <v>0</v>
      </c>
      <c r="H637" s="2">
        <v>538921</v>
      </c>
    </row>
    <row r="638" spans="1:8" x14ac:dyDescent="0.25">
      <c r="A638" t="str">
        <f t="shared" si="9"/>
        <v>201075+</v>
      </c>
      <c r="B638">
        <v>2010</v>
      </c>
      <c r="C638" t="s">
        <v>0</v>
      </c>
      <c r="D638" t="s">
        <v>26</v>
      </c>
      <c r="E638" t="s">
        <v>39</v>
      </c>
      <c r="F638" t="s">
        <v>17</v>
      </c>
      <c r="G638" s="7">
        <v>0</v>
      </c>
      <c r="H638" s="2">
        <v>373918</v>
      </c>
    </row>
    <row r="639" spans="1:8" x14ac:dyDescent="0.25">
      <c r="A639" t="str">
        <f t="shared" si="9"/>
        <v>20110-4</v>
      </c>
      <c r="B639">
        <v>2011</v>
      </c>
      <c r="C639" t="s">
        <v>6</v>
      </c>
      <c r="D639" t="s">
        <v>26</v>
      </c>
      <c r="E639" t="s">
        <v>39</v>
      </c>
      <c r="F639" t="s">
        <v>17</v>
      </c>
      <c r="G639" s="7">
        <v>2346</v>
      </c>
      <c r="H639" s="2">
        <v>1344595</v>
      </c>
    </row>
    <row r="640" spans="1:8" x14ac:dyDescent="0.25">
      <c r="A640" t="str">
        <f t="shared" si="9"/>
        <v>201115-24</v>
      </c>
      <c r="B640">
        <v>2011</v>
      </c>
      <c r="C640" t="s">
        <v>4</v>
      </c>
      <c r="D640" t="s">
        <v>26</v>
      </c>
      <c r="E640" t="s">
        <v>39</v>
      </c>
      <c r="F640" t="s">
        <v>17</v>
      </c>
      <c r="G640" s="7">
        <v>0</v>
      </c>
      <c r="H640" s="2">
        <v>2593350</v>
      </c>
    </row>
    <row r="641" spans="1:8" x14ac:dyDescent="0.25">
      <c r="A641" t="str">
        <f t="shared" si="9"/>
        <v>201125-44</v>
      </c>
      <c r="B641">
        <v>2011</v>
      </c>
      <c r="C641" t="s">
        <v>3</v>
      </c>
      <c r="D641" t="s">
        <v>26</v>
      </c>
      <c r="E641" t="s">
        <v>39</v>
      </c>
      <c r="F641" t="s">
        <v>17</v>
      </c>
      <c r="G641" s="7">
        <v>0</v>
      </c>
      <c r="H641" s="2">
        <v>4299392</v>
      </c>
    </row>
    <row r="642" spans="1:8" x14ac:dyDescent="0.25">
      <c r="A642" t="str">
        <f t="shared" ref="A642:A705" si="10">+CONCATENATE(B642,C642)</f>
        <v>201145-64</v>
      </c>
      <c r="B642">
        <v>2011</v>
      </c>
      <c r="C642" t="s">
        <v>2</v>
      </c>
      <c r="D642" t="s">
        <v>26</v>
      </c>
      <c r="E642" t="s">
        <v>39</v>
      </c>
      <c r="F642" t="s">
        <v>17</v>
      </c>
      <c r="G642" s="7">
        <v>0</v>
      </c>
      <c r="H642" s="2">
        <v>2561836</v>
      </c>
    </row>
    <row r="643" spans="1:8" x14ac:dyDescent="0.25">
      <c r="A643" t="str">
        <f t="shared" si="10"/>
        <v>20115-14</v>
      </c>
      <c r="B643">
        <v>2011</v>
      </c>
      <c r="C643" t="s">
        <v>5</v>
      </c>
      <c r="D643" t="s">
        <v>26</v>
      </c>
      <c r="E643" t="s">
        <v>39</v>
      </c>
      <c r="F643" t="s">
        <v>17</v>
      </c>
      <c r="G643" s="7">
        <v>0</v>
      </c>
      <c r="H643" s="2">
        <v>2684312</v>
      </c>
    </row>
    <row r="644" spans="1:8" x14ac:dyDescent="0.25">
      <c r="A644" t="str">
        <f t="shared" si="10"/>
        <v>201165-74</v>
      </c>
      <c r="B644">
        <v>2011</v>
      </c>
      <c r="C644" t="s">
        <v>1</v>
      </c>
      <c r="D644" t="s">
        <v>26</v>
      </c>
      <c r="E644" t="s">
        <v>39</v>
      </c>
      <c r="F644" t="s">
        <v>17</v>
      </c>
      <c r="G644" s="7">
        <v>0</v>
      </c>
      <c r="H644" s="2">
        <v>559899</v>
      </c>
    </row>
    <row r="645" spans="1:8" x14ac:dyDescent="0.25">
      <c r="A645" t="str">
        <f t="shared" si="10"/>
        <v>201175+</v>
      </c>
      <c r="B645">
        <v>2011</v>
      </c>
      <c r="C645" t="s">
        <v>0</v>
      </c>
      <c r="D645" t="s">
        <v>26</v>
      </c>
      <c r="E645" t="s">
        <v>39</v>
      </c>
      <c r="F645" t="s">
        <v>17</v>
      </c>
      <c r="G645" s="7">
        <v>0</v>
      </c>
      <c r="H645" s="2">
        <v>385721</v>
      </c>
    </row>
    <row r="646" spans="1:8" x14ac:dyDescent="0.25">
      <c r="A646" t="str">
        <f t="shared" si="10"/>
        <v>20120-4</v>
      </c>
      <c r="B646">
        <v>2012</v>
      </c>
      <c r="C646" t="s">
        <v>6</v>
      </c>
      <c r="D646" t="s">
        <v>26</v>
      </c>
      <c r="E646" t="s">
        <v>39</v>
      </c>
      <c r="F646" t="s">
        <v>17</v>
      </c>
      <c r="G646" s="7">
        <v>2256</v>
      </c>
      <c r="H646" s="2">
        <v>1340586.3214094499</v>
      </c>
    </row>
    <row r="647" spans="1:8" x14ac:dyDescent="0.25">
      <c r="A647" t="str">
        <f t="shared" si="10"/>
        <v>201215-24</v>
      </c>
      <c r="B647">
        <v>2012</v>
      </c>
      <c r="C647" t="s">
        <v>4</v>
      </c>
      <c r="D647" t="s">
        <v>26</v>
      </c>
      <c r="E647" t="s">
        <v>39</v>
      </c>
      <c r="F647" t="s">
        <v>17</v>
      </c>
      <c r="G647" s="7">
        <v>0</v>
      </c>
      <c r="H647" s="2">
        <v>2596932.5593387499</v>
      </c>
    </row>
    <row r="648" spans="1:8" x14ac:dyDescent="0.25">
      <c r="A648" t="str">
        <f t="shared" si="10"/>
        <v>201225-44</v>
      </c>
      <c r="B648">
        <v>2012</v>
      </c>
      <c r="C648" t="s">
        <v>3</v>
      </c>
      <c r="D648" t="s">
        <v>26</v>
      </c>
      <c r="E648" t="s">
        <v>39</v>
      </c>
      <c r="F648" t="s">
        <v>17</v>
      </c>
      <c r="G648" s="7">
        <v>0</v>
      </c>
      <c r="H648" s="2">
        <v>4370928.8062696801</v>
      </c>
    </row>
    <row r="649" spans="1:8" x14ac:dyDescent="0.25">
      <c r="A649" t="str">
        <f t="shared" si="10"/>
        <v>201245-64</v>
      </c>
      <c r="B649">
        <v>2012</v>
      </c>
      <c r="C649" t="s">
        <v>2</v>
      </c>
      <c r="D649" t="s">
        <v>26</v>
      </c>
      <c r="E649" t="s">
        <v>39</v>
      </c>
      <c r="F649" t="s">
        <v>17</v>
      </c>
      <c r="G649" s="7">
        <v>0</v>
      </c>
      <c r="H649" s="2">
        <v>2658291.2681631502</v>
      </c>
    </row>
    <row r="650" spans="1:8" x14ac:dyDescent="0.25">
      <c r="A650" t="str">
        <f t="shared" si="10"/>
        <v>20125-14</v>
      </c>
      <c r="B650">
        <v>2012</v>
      </c>
      <c r="C650" t="s">
        <v>5</v>
      </c>
      <c r="D650" t="s">
        <v>26</v>
      </c>
      <c r="E650" t="s">
        <v>39</v>
      </c>
      <c r="F650" t="s">
        <v>17</v>
      </c>
      <c r="G650" s="7">
        <v>0</v>
      </c>
      <c r="H650" s="2">
        <v>2693165.8826794801</v>
      </c>
    </row>
    <row r="651" spans="1:8" x14ac:dyDescent="0.25">
      <c r="A651" t="str">
        <f t="shared" si="10"/>
        <v>201265-74</v>
      </c>
      <c r="B651">
        <v>2012</v>
      </c>
      <c r="C651" t="s">
        <v>1</v>
      </c>
      <c r="D651" t="s">
        <v>26</v>
      </c>
      <c r="E651" t="s">
        <v>39</v>
      </c>
      <c r="F651" t="s">
        <v>17</v>
      </c>
      <c r="G651" s="7">
        <v>0</v>
      </c>
      <c r="H651" s="2">
        <v>582433.94467592705</v>
      </c>
    </row>
    <row r="652" spans="1:8" x14ac:dyDescent="0.25">
      <c r="A652" t="str">
        <f t="shared" si="10"/>
        <v>201275+</v>
      </c>
      <c r="B652">
        <v>2012</v>
      </c>
      <c r="C652" t="s">
        <v>0</v>
      </c>
      <c r="D652" t="s">
        <v>26</v>
      </c>
      <c r="E652" t="s">
        <v>39</v>
      </c>
      <c r="F652" t="s">
        <v>17</v>
      </c>
      <c r="G652" s="7">
        <v>0</v>
      </c>
      <c r="H652" s="2">
        <v>398069.84835797001</v>
      </c>
    </row>
    <row r="653" spans="1:8" x14ac:dyDescent="0.25">
      <c r="A653" t="str">
        <f t="shared" si="10"/>
        <v>20130-4</v>
      </c>
      <c r="B653">
        <v>2013</v>
      </c>
      <c r="C653" t="s">
        <v>6</v>
      </c>
      <c r="D653" t="s">
        <v>26</v>
      </c>
      <c r="E653" t="s">
        <v>39</v>
      </c>
      <c r="F653" t="s">
        <v>17</v>
      </c>
      <c r="G653" s="7">
        <v>2243</v>
      </c>
      <c r="H653" s="2">
        <v>1336364.77993838</v>
      </c>
    </row>
    <row r="654" spans="1:8" x14ac:dyDescent="0.25">
      <c r="A654" t="str">
        <f t="shared" si="10"/>
        <v>201315-24</v>
      </c>
      <c r="B654">
        <v>2013</v>
      </c>
      <c r="C654" t="s">
        <v>4</v>
      </c>
      <c r="D654" t="s">
        <v>26</v>
      </c>
      <c r="E654" t="s">
        <v>39</v>
      </c>
      <c r="F654" t="s">
        <v>17</v>
      </c>
      <c r="G654" s="7">
        <v>0</v>
      </c>
      <c r="H654" s="2">
        <v>2602650.6589393602</v>
      </c>
    </row>
    <row r="655" spans="1:8" x14ac:dyDescent="0.25">
      <c r="A655" t="str">
        <f t="shared" si="10"/>
        <v>201325-44</v>
      </c>
      <c r="B655">
        <v>2013</v>
      </c>
      <c r="C655" t="s">
        <v>3</v>
      </c>
      <c r="D655" t="s">
        <v>26</v>
      </c>
      <c r="E655" t="s">
        <v>39</v>
      </c>
      <c r="F655" t="s">
        <v>17</v>
      </c>
      <c r="G655" s="7">
        <v>0</v>
      </c>
      <c r="H655" s="2">
        <v>4442157.0636299504</v>
      </c>
    </row>
    <row r="656" spans="1:8" x14ac:dyDescent="0.25">
      <c r="A656" t="str">
        <f t="shared" si="10"/>
        <v>201345-64</v>
      </c>
      <c r="B656">
        <v>2013</v>
      </c>
      <c r="C656" t="s">
        <v>2</v>
      </c>
      <c r="D656" t="s">
        <v>26</v>
      </c>
      <c r="E656" t="s">
        <v>39</v>
      </c>
      <c r="F656" t="s">
        <v>17</v>
      </c>
      <c r="G656" s="7">
        <v>0</v>
      </c>
      <c r="H656" s="2">
        <v>2752738.9724179399</v>
      </c>
    </row>
    <row r="657" spans="1:8" x14ac:dyDescent="0.25">
      <c r="A657" t="str">
        <f t="shared" si="10"/>
        <v>20135-14</v>
      </c>
      <c r="B657">
        <v>2013</v>
      </c>
      <c r="C657" t="s">
        <v>5</v>
      </c>
      <c r="D657" t="s">
        <v>26</v>
      </c>
      <c r="E657" t="s">
        <v>39</v>
      </c>
      <c r="F657" t="s">
        <v>17</v>
      </c>
      <c r="G657" s="7">
        <v>0</v>
      </c>
      <c r="H657" s="2">
        <v>2699988.6782491799</v>
      </c>
    </row>
    <row r="658" spans="1:8" x14ac:dyDescent="0.25">
      <c r="A658" t="str">
        <f t="shared" si="10"/>
        <v>201365-74</v>
      </c>
      <c r="B658">
        <v>2013</v>
      </c>
      <c r="C658" t="s">
        <v>1</v>
      </c>
      <c r="D658" t="s">
        <v>26</v>
      </c>
      <c r="E658" t="s">
        <v>39</v>
      </c>
      <c r="F658" t="s">
        <v>17</v>
      </c>
      <c r="G658" s="7">
        <v>0</v>
      </c>
      <c r="H658" s="2">
        <v>606480.27141564596</v>
      </c>
    </row>
    <row r="659" spans="1:8" x14ac:dyDescent="0.25">
      <c r="A659" t="str">
        <f t="shared" si="10"/>
        <v>201375+</v>
      </c>
      <c r="B659">
        <v>2013</v>
      </c>
      <c r="C659" t="s">
        <v>0</v>
      </c>
      <c r="D659" t="s">
        <v>26</v>
      </c>
      <c r="E659" t="s">
        <v>39</v>
      </c>
      <c r="F659" t="s">
        <v>17</v>
      </c>
      <c r="G659" s="7">
        <v>0</v>
      </c>
      <c r="H659" s="2">
        <v>411257.72175729403</v>
      </c>
    </row>
    <row r="660" spans="1:8" x14ac:dyDescent="0.25">
      <c r="A660" t="str">
        <f t="shared" si="10"/>
        <v>20140-4</v>
      </c>
      <c r="B660">
        <v>2014</v>
      </c>
      <c r="C660" t="s">
        <v>6</v>
      </c>
      <c r="D660" t="s">
        <v>26</v>
      </c>
      <c r="E660" t="s">
        <v>39</v>
      </c>
      <c r="F660" t="s">
        <v>17</v>
      </c>
      <c r="G660" s="7">
        <v>2321</v>
      </c>
      <c r="H660" s="2">
        <v>1331891</v>
      </c>
    </row>
    <row r="661" spans="1:8" x14ac:dyDescent="0.25">
      <c r="A661" t="str">
        <f t="shared" si="10"/>
        <v>201415-24</v>
      </c>
      <c r="B661">
        <v>2014</v>
      </c>
      <c r="C661" t="s">
        <v>4</v>
      </c>
      <c r="D661" t="s">
        <v>26</v>
      </c>
      <c r="E661" t="s">
        <v>39</v>
      </c>
      <c r="F661" t="s">
        <v>17</v>
      </c>
      <c r="G661" s="7">
        <v>0</v>
      </c>
      <c r="H661" s="2">
        <v>2610538</v>
      </c>
    </row>
    <row r="662" spans="1:8" x14ac:dyDescent="0.25">
      <c r="A662" t="str">
        <f t="shared" si="10"/>
        <v>201425-44</v>
      </c>
      <c r="B662">
        <v>2014</v>
      </c>
      <c r="C662" t="s">
        <v>3</v>
      </c>
      <c r="D662" t="s">
        <v>26</v>
      </c>
      <c r="E662" t="s">
        <v>39</v>
      </c>
      <c r="F662" t="s">
        <v>17</v>
      </c>
      <c r="G662" s="7">
        <v>0</v>
      </c>
      <c r="H662" s="2">
        <v>4511948</v>
      </c>
    </row>
    <row r="663" spans="1:8" x14ac:dyDescent="0.25">
      <c r="A663" t="str">
        <f t="shared" si="10"/>
        <v>201445-64</v>
      </c>
      <c r="B663">
        <v>2014</v>
      </c>
      <c r="C663" t="s">
        <v>2</v>
      </c>
      <c r="D663" t="s">
        <v>26</v>
      </c>
      <c r="E663" t="s">
        <v>39</v>
      </c>
      <c r="F663" t="s">
        <v>17</v>
      </c>
      <c r="G663" s="7">
        <v>0</v>
      </c>
      <c r="H663" s="2">
        <v>2845267</v>
      </c>
    </row>
    <row r="664" spans="1:8" x14ac:dyDescent="0.25">
      <c r="A664" t="str">
        <f t="shared" si="10"/>
        <v>20145-14</v>
      </c>
      <c r="B664">
        <v>2014</v>
      </c>
      <c r="C664" t="s">
        <v>5</v>
      </c>
      <c r="D664" t="s">
        <v>26</v>
      </c>
      <c r="E664" t="s">
        <v>39</v>
      </c>
      <c r="F664" t="s">
        <v>17</v>
      </c>
      <c r="G664" s="7">
        <v>0</v>
      </c>
      <c r="H664" s="2">
        <v>2704490</v>
      </c>
    </row>
    <row r="665" spans="1:8" x14ac:dyDescent="0.25">
      <c r="A665" t="str">
        <f t="shared" si="10"/>
        <v>201465-74</v>
      </c>
      <c r="B665">
        <v>2014</v>
      </c>
      <c r="C665" t="s">
        <v>1</v>
      </c>
      <c r="D665" t="s">
        <v>26</v>
      </c>
      <c r="E665" t="s">
        <v>39</v>
      </c>
      <c r="F665" t="s">
        <v>17</v>
      </c>
      <c r="G665" s="7">
        <v>0</v>
      </c>
      <c r="H665" s="2">
        <v>631943</v>
      </c>
    </row>
    <row r="666" spans="1:8" x14ac:dyDescent="0.25">
      <c r="A666" t="str">
        <f t="shared" si="10"/>
        <v>201475+</v>
      </c>
      <c r="B666">
        <v>2014</v>
      </c>
      <c r="C666" t="s">
        <v>0</v>
      </c>
      <c r="D666" t="s">
        <v>26</v>
      </c>
      <c r="E666" t="s">
        <v>39</v>
      </c>
      <c r="F666" t="s">
        <v>17</v>
      </c>
      <c r="G666" s="7">
        <v>0</v>
      </c>
      <c r="H666" s="2">
        <v>425486</v>
      </c>
    </row>
    <row r="667" spans="1:8" x14ac:dyDescent="0.25">
      <c r="A667" t="str">
        <f t="shared" si="10"/>
        <v>19960-4</v>
      </c>
      <c r="B667">
        <v>1996</v>
      </c>
      <c r="C667" t="s">
        <v>6</v>
      </c>
      <c r="D667" t="s">
        <v>26</v>
      </c>
      <c r="E667" t="s">
        <v>40</v>
      </c>
      <c r="F667" t="s">
        <v>16</v>
      </c>
      <c r="G667" s="7">
        <v>285</v>
      </c>
      <c r="H667" s="2">
        <v>1308550.7828250399</v>
      </c>
    </row>
    <row r="668" spans="1:8" x14ac:dyDescent="0.25">
      <c r="A668" t="str">
        <f t="shared" si="10"/>
        <v>199615-24</v>
      </c>
      <c r="B668">
        <v>1996</v>
      </c>
      <c r="C668" t="s">
        <v>4</v>
      </c>
      <c r="D668" t="s">
        <v>26</v>
      </c>
      <c r="E668" t="s">
        <v>40</v>
      </c>
      <c r="F668" t="s">
        <v>16</v>
      </c>
      <c r="G668" s="7">
        <v>267</v>
      </c>
      <c r="H668" s="2">
        <v>2136825.68729656</v>
      </c>
    </row>
    <row r="669" spans="1:8" x14ac:dyDescent="0.25">
      <c r="A669" t="str">
        <f t="shared" si="10"/>
        <v>199625-44</v>
      </c>
      <c r="B669">
        <v>1996</v>
      </c>
      <c r="C669" t="s">
        <v>3</v>
      </c>
      <c r="D669" t="s">
        <v>26</v>
      </c>
      <c r="E669" t="s">
        <v>40</v>
      </c>
      <c r="F669" t="s">
        <v>16</v>
      </c>
      <c r="G669" s="7">
        <v>352</v>
      </c>
      <c r="H669" s="2">
        <v>3245545.2890741802</v>
      </c>
    </row>
    <row r="670" spans="1:8" x14ac:dyDescent="0.25">
      <c r="A670" t="str">
        <f t="shared" si="10"/>
        <v>199645-64</v>
      </c>
      <c r="B670">
        <v>1996</v>
      </c>
      <c r="C670" t="s">
        <v>2</v>
      </c>
      <c r="D670" t="s">
        <v>26</v>
      </c>
      <c r="E670" t="s">
        <v>40</v>
      </c>
      <c r="F670" t="s">
        <v>16</v>
      </c>
      <c r="G670" s="7">
        <v>165</v>
      </c>
      <c r="H670" s="2">
        <v>1448877.9572723201</v>
      </c>
    </row>
    <row r="671" spans="1:8" x14ac:dyDescent="0.25">
      <c r="A671" t="str">
        <f t="shared" si="10"/>
        <v>19965-14</v>
      </c>
      <c r="B671">
        <v>1996</v>
      </c>
      <c r="C671" t="s">
        <v>5</v>
      </c>
      <c r="D671" t="s">
        <v>26</v>
      </c>
      <c r="E671" t="s">
        <v>40</v>
      </c>
      <c r="F671" t="s">
        <v>16</v>
      </c>
      <c r="G671" s="7">
        <v>203</v>
      </c>
      <c r="H671" s="2">
        <v>2617766.7452121698</v>
      </c>
    </row>
    <row r="672" spans="1:8" x14ac:dyDescent="0.25">
      <c r="A672" t="str">
        <f t="shared" si="10"/>
        <v>199665-74</v>
      </c>
      <c r="B672">
        <v>1996</v>
      </c>
      <c r="C672" t="s">
        <v>1</v>
      </c>
      <c r="D672" t="s">
        <v>26</v>
      </c>
      <c r="E672" t="s">
        <v>40</v>
      </c>
      <c r="F672" t="s">
        <v>16</v>
      </c>
      <c r="G672" s="7">
        <v>94</v>
      </c>
      <c r="H672" s="2">
        <v>373487.34083337098</v>
      </c>
    </row>
    <row r="673" spans="1:8" x14ac:dyDescent="0.25">
      <c r="A673" t="str">
        <f t="shared" si="10"/>
        <v>199675+</v>
      </c>
      <c r="B673">
        <v>1996</v>
      </c>
      <c r="C673" t="s">
        <v>0</v>
      </c>
      <c r="D673" t="s">
        <v>26</v>
      </c>
      <c r="E673" t="s">
        <v>40</v>
      </c>
      <c r="F673" t="s">
        <v>16</v>
      </c>
      <c r="G673" s="7">
        <v>249</v>
      </c>
      <c r="H673" s="2">
        <v>186458.585231801</v>
      </c>
    </row>
    <row r="674" spans="1:8" x14ac:dyDescent="0.25">
      <c r="A674" t="str">
        <f t="shared" si="10"/>
        <v>19970-4</v>
      </c>
      <c r="B674">
        <v>1997</v>
      </c>
      <c r="C674" t="s">
        <v>6</v>
      </c>
      <c r="D674" t="s">
        <v>26</v>
      </c>
      <c r="E674" t="s">
        <v>40</v>
      </c>
      <c r="F674" t="s">
        <v>16</v>
      </c>
      <c r="G674" s="7">
        <v>339</v>
      </c>
      <c r="H674" s="2">
        <v>1317732.8696950199</v>
      </c>
    </row>
    <row r="675" spans="1:8" x14ac:dyDescent="0.25">
      <c r="A675" t="str">
        <f t="shared" si="10"/>
        <v>199715-24</v>
      </c>
      <c r="B675">
        <v>1997</v>
      </c>
      <c r="C675" t="s">
        <v>4</v>
      </c>
      <c r="D675" t="s">
        <v>26</v>
      </c>
      <c r="E675" t="s">
        <v>40</v>
      </c>
      <c r="F675" t="s">
        <v>16</v>
      </c>
      <c r="G675" s="7">
        <v>241</v>
      </c>
      <c r="H675" s="2">
        <v>2190257.4123779298</v>
      </c>
    </row>
    <row r="676" spans="1:8" x14ac:dyDescent="0.25">
      <c r="A676" t="str">
        <f t="shared" si="10"/>
        <v>199725-44</v>
      </c>
      <c r="B676">
        <v>1997</v>
      </c>
      <c r="C676" t="s">
        <v>3</v>
      </c>
      <c r="D676" t="s">
        <v>26</v>
      </c>
      <c r="E676" t="s">
        <v>40</v>
      </c>
      <c r="F676" t="s">
        <v>16</v>
      </c>
      <c r="G676" s="7">
        <v>363</v>
      </c>
      <c r="H676" s="2">
        <v>3319788.9734445098</v>
      </c>
    </row>
    <row r="677" spans="1:8" x14ac:dyDescent="0.25">
      <c r="A677" t="str">
        <f t="shared" si="10"/>
        <v>199745-64</v>
      </c>
      <c r="B677">
        <v>1997</v>
      </c>
      <c r="C677" t="s">
        <v>2</v>
      </c>
      <c r="D677" t="s">
        <v>26</v>
      </c>
      <c r="E677" t="s">
        <v>40</v>
      </c>
      <c r="F677" t="s">
        <v>16</v>
      </c>
      <c r="G677" s="7">
        <v>194</v>
      </c>
      <c r="H677" s="2">
        <v>1494497.7743633899</v>
      </c>
    </row>
    <row r="678" spans="1:8" x14ac:dyDescent="0.25">
      <c r="A678" t="str">
        <f t="shared" si="10"/>
        <v>19975-14</v>
      </c>
      <c r="B678">
        <v>1997</v>
      </c>
      <c r="C678" t="s">
        <v>5</v>
      </c>
      <c r="D678" t="s">
        <v>26</v>
      </c>
      <c r="E678" t="s">
        <v>40</v>
      </c>
      <c r="F678" t="s">
        <v>16</v>
      </c>
      <c r="G678" s="7">
        <v>200</v>
      </c>
      <c r="H678" s="2">
        <v>2625110.0471272999</v>
      </c>
    </row>
    <row r="679" spans="1:8" x14ac:dyDescent="0.25">
      <c r="A679" t="str">
        <f t="shared" si="10"/>
        <v>199765-74</v>
      </c>
      <c r="B679">
        <v>1997</v>
      </c>
      <c r="C679" t="s">
        <v>1</v>
      </c>
      <c r="D679" t="s">
        <v>26</v>
      </c>
      <c r="E679" t="s">
        <v>40</v>
      </c>
      <c r="F679" t="s">
        <v>16</v>
      </c>
      <c r="G679" s="7">
        <v>110</v>
      </c>
      <c r="H679" s="2">
        <v>377918.60450002301</v>
      </c>
    </row>
    <row r="680" spans="1:8" x14ac:dyDescent="0.25">
      <c r="A680" t="str">
        <f t="shared" si="10"/>
        <v>199775+</v>
      </c>
      <c r="B680">
        <v>1997</v>
      </c>
      <c r="C680" t="s">
        <v>0</v>
      </c>
      <c r="D680" t="s">
        <v>26</v>
      </c>
      <c r="E680" t="s">
        <v>40</v>
      </c>
      <c r="F680" t="s">
        <v>16</v>
      </c>
      <c r="G680" s="7">
        <v>253</v>
      </c>
      <c r="H680" s="2">
        <v>197836.55113907999</v>
      </c>
    </row>
    <row r="681" spans="1:8" x14ac:dyDescent="0.25">
      <c r="A681" t="str">
        <f t="shared" si="10"/>
        <v>19980-4</v>
      </c>
      <c r="B681">
        <v>1998</v>
      </c>
      <c r="C681" t="s">
        <v>6</v>
      </c>
      <c r="D681" t="s">
        <v>26</v>
      </c>
      <c r="E681" t="s">
        <v>40</v>
      </c>
      <c r="F681" t="s">
        <v>16</v>
      </c>
      <c r="G681" s="7">
        <v>362</v>
      </c>
      <c r="H681" s="2">
        <v>1325697.93484751</v>
      </c>
    </row>
    <row r="682" spans="1:8" x14ac:dyDescent="0.25">
      <c r="A682" t="str">
        <f t="shared" si="10"/>
        <v>199815-24</v>
      </c>
      <c r="B682">
        <v>1998</v>
      </c>
      <c r="C682" t="s">
        <v>4</v>
      </c>
      <c r="D682" t="s">
        <v>26</v>
      </c>
      <c r="E682" t="s">
        <v>40</v>
      </c>
      <c r="F682" t="s">
        <v>16</v>
      </c>
      <c r="G682" s="7">
        <v>291</v>
      </c>
      <c r="H682" s="2">
        <v>2242694.2061889698</v>
      </c>
    </row>
    <row r="683" spans="1:8" x14ac:dyDescent="0.25">
      <c r="A683" t="str">
        <f t="shared" si="10"/>
        <v>199825-44</v>
      </c>
      <c r="B683">
        <v>1998</v>
      </c>
      <c r="C683" t="s">
        <v>3</v>
      </c>
      <c r="D683" t="s">
        <v>26</v>
      </c>
      <c r="E683" t="s">
        <v>40</v>
      </c>
      <c r="F683" t="s">
        <v>16</v>
      </c>
      <c r="G683" s="7">
        <v>416</v>
      </c>
      <c r="H683" s="2">
        <v>3392799.98672225</v>
      </c>
    </row>
    <row r="684" spans="1:8" x14ac:dyDescent="0.25">
      <c r="A684" t="str">
        <f t="shared" si="10"/>
        <v>199845-64</v>
      </c>
      <c r="B684">
        <v>1998</v>
      </c>
      <c r="C684" t="s">
        <v>2</v>
      </c>
      <c r="D684" t="s">
        <v>26</v>
      </c>
      <c r="E684" t="s">
        <v>40</v>
      </c>
      <c r="F684" t="s">
        <v>16</v>
      </c>
      <c r="G684" s="7">
        <v>199</v>
      </c>
      <c r="H684" s="2">
        <v>1544756.3871817</v>
      </c>
    </row>
    <row r="685" spans="1:8" x14ac:dyDescent="0.25">
      <c r="A685" t="str">
        <f t="shared" si="10"/>
        <v>19985-14</v>
      </c>
      <c r="B685">
        <v>1998</v>
      </c>
      <c r="C685" t="s">
        <v>5</v>
      </c>
      <c r="D685" t="s">
        <v>26</v>
      </c>
      <c r="E685" t="s">
        <v>40</v>
      </c>
      <c r="F685" t="s">
        <v>16</v>
      </c>
      <c r="G685" s="7">
        <v>226</v>
      </c>
      <c r="H685" s="2">
        <v>2628255.52356365</v>
      </c>
    </row>
    <row r="686" spans="1:8" x14ac:dyDescent="0.25">
      <c r="A686" t="str">
        <f t="shared" si="10"/>
        <v>199865-74</v>
      </c>
      <c r="B686">
        <v>1998</v>
      </c>
      <c r="C686" t="s">
        <v>1</v>
      </c>
      <c r="D686" t="s">
        <v>26</v>
      </c>
      <c r="E686" t="s">
        <v>40</v>
      </c>
      <c r="F686" t="s">
        <v>16</v>
      </c>
      <c r="G686" s="7">
        <v>112</v>
      </c>
      <c r="H686" s="2">
        <v>383636.80225001101</v>
      </c>
    </row>
    <row r="687" spans="1:8" x14ac:dyDescent="0.25">
      <c r="A687" t="str">
        <f t="shared" si="10"/>
        <v>199875+</v>
      </c>
      <c r="B687">
        <v>1998</v>
      </c>
      <c r="C687" t="s">
        <v>0</v>
      </c>
      <c r="D687" t="s">
        <v>26</v>
      </c>
      <c r="E687" t="s">
        <v>40</v>
      </c>
      <c r="F687" t="s">
        <v>16</v>
      </c>
      <c r="G687" s="7">
        <v>225</v>
      </c>
      <c r="H687" s="2">
        <v>210840.77556954001</v>
      </c>
    </row>
    <row r="688" spans="1:8" x14ac:dyDescent="0.25">
      <c r="A688" t="str">
        <f t="shared" si="10"/>
        <v>19990-4</v>
      </c>
      <c r="B688">
        <v>1999</v>
      </c>
      <c r="C688" t="s">
        <v>6</v>
      </c>
      <c r="D688" t="s">
        <v>26</v>
      </c>
      <c r="E688" t="s">
        <v>40</v>
      </c>
      <c r="F688" t="s">
        <v>16</v>
      </c>
      <c r="G688" s="7">
        <v>323</v>
      </c>
      <c r="H688" s="2">
        <v>1332528.9782825001</v>
      </c>
    </row>
    <row r="689" spans="1:8" x14ac:dyDescent="0.25">
      <c r="A689" t="str">
        <f t="shared" si="10"/>
        <v>199915-24</v>
      </c>
      <c r="B689">
        <v>1999</v>
      </c>
      <c r="C689" t="s">
        <v>4</v>
      </c>
      <c r="D689" t="s">
        <v>26</v>
      </c>
      <c r="E689" t="s">
        <v>40</v>
      </c>
      <c r="F689" t="s">
        <v>16</v>
      </c>
      <c r="G689" s="7">
        <v>306</v>
      </c>
      <c r="H689" s="2">
        <v>2293434.06872966</v>
      </c>
    </row>
    <row r="690" spans="1:8" x14ac:dyDescent="0.25">
      <c r="A690" t="str">
        <f t="shared" si="10"/>
        <v>199925-44</v>
      </c>
      <c r="B690">
        <v>1999</v>
      </c>
      <c r="C690" t="s">
        <v>3</v>
      </c>
      <c r="D690" t="s">
        <v>26</v>
      </c>
      <c r="E690" t="s">
        <v>40</v>
      </c>
      <c r="F690" t="s">
        <v>16</v>
      </c>
      <c r="G690" s="7">
        <v>421</v>
      </c>
      <c r="H690" s="2">
        <v>3464730.3289074199</v>
      </c>
    </row>
    <row r="691" spans="1:8" x14ac:dyDescent="0.25">
      <c r="A691" t="str">
        <f t="shared" si="10"/>
        <v>199945-64</v>
      </c>
      <c r="B691">
        <v>1999</v>
      </c>
      <c r="C691" t="s">
        <v>2</v>
      </c>
      <c r="D691" t="s">
        <v>26</v>
      </c>
      <c r="E691" t="s">
        <v>40</v>
      </c>
      <c r="F691" t="s">
        <v>16</v>
      </c>
      <c r="G691" s="7">
        <v>234</v>
      </c>
      <c r="H691" s="2">
        <v>1599513.7957272299</v>
      </c>
    </row>
    <row r="692" spans="1:8" x14ac:dyDescent="0.25">
      <c r="A692" t="str">
        <f t="shared" si="10"/>
        <v>19995-14</v>
      </c>
      <c r="B692">
        <v>1999</v>
      </c>
      <c r="C692" t="s">
        <v>5</v>
      </c>
      <c r="D692" t="s">
        <v>26</v>
      </c>
      <c r="E692" t="s">
        <v>40</v>
      </c>
      <c r="F692" t="s">
        <v>16</v>
      </c>
      <c r="G692" s="7">
        <v>209</v>
      </c>
      <c r="H692" s="2">
        <v>2628380.1745212199</v>
      </c>
    </row>
    <row r="693" spans="1:8" x14ac:dyDescent="0.25">
      <c r="A693" t="str">
        <f t="shared" si="10"/>
        <v>199965-74</v>
      </c>
      <c r="B693">
        <v>1999</v>
      </c>
      <c r="C693" t="s">
        <v>1</v>
      </c>
      <c r="D693" t="s">
        <v>26</v>
      </c>
      <c r="E693" t="s">
        <v>40</v>
      </c>
      <c r="F693" t="s">
        <v>16</v>
      </c>
      <c r="G693" s="7">
        <v>111</v>
      </c>
      <c r="H693" s="2">
        <v>390568.93408333702</v>
      </c>
    </row>
    <row r="694" spans="1:8" x14ac:dyDescent="0.25">
      <c r="A694" t="str">
        <f t="shared" si="10"/>
        <v>199975+</v>
      </c>
      <c r="B694">
        <v>1999</v>
      </c>
      <c r="C694" t="s">
        <v>0</v>
      </c>
      <c r="D694" t="s">
        <v>26</v>
      </c>
      <c r="E694" t="s">
        <v>40</v>
      </c>
      <c r="F694" t="s">
        <v>16</v>
      </c>
      <c r="G694" s="7">
        <v>260</v>
      </c>
      <c r="H694" s="2">
        <v>225043.25852318</v>
      </c>
    </row>
    <row r="695" spans="1:8" x14ac:dyDescent="0.25">
      <c r="A695" t="str">
        <f t="shared" si="10"/>
        <v>20000-4</v>
      </c>
      <c r="B695">
        <v>2000</v>
      </c>
      <c r="C695" t="s">
        <v>6</v>
      </c>
      <c r="D695" t="s">
        <v>26</v>
      </c>
      <c r="E695" t="s">
        <v>40</v>
      </c>
      <c r="F695" t="s">
        <v>16</v>
      </c>
      <c r="G695" s="7">
        <v>262</v>
      </c>
      <c r="H695" s="2">
        <v>1338309</v>
      </c>
    </row>
    <row r="696" spans="1:8" x14ac:dyDescent="0.25">
      <c r="A696" t="str">
        <f t="shared" si="10"/>
        <v>200015-24</v>
      </c>
      <c r="B696">
        <v>2000</v>
      </c>
      <c r="C696" t="s">
        <v>4</v>
      </c>
      <c r="D696" t="s">
        <v>26</v>
      </c>
      <c r="E696" t="s">
        <v>40</v>
      </c>
      <c r="F696" t="s">
        <v>16</v>
      </c>
      <c r="G696" s="7">
        <v>300</v>
      </c>
      <c r="H696" s="2">
        <v>2341775</v>
      </c>
    </row>
    <row r="697" spans="1:8" x14ac:dyDescent="0.25">
      <c r="A697" t="str">
        <f t="shared" si="10"/>
        <v>200025-44</v>
      </c>
      <c r="B697">
        <v>2000</v>
      </c>
      <c r="C697" t="s">
        <v>3</v>
      </c>
      <c r="D697" t="s">
        <v>26</v>
      </c>
      <c r="E697" t="s">
        <v>40</v>
      </c>
      <c r="F697" t="s">
        <v>16</v>
      </c>
      <c r="G697" s="7">
        <v>378</v>
      </c>
      <c r="H697" s="2">
        <v>3535732</v>
      </c>
    </row>
    <row r="698" spans="1:8" x14ac:dyDescent="0.25">
      <c r="A698" t="str">
        <f t="shared" si="10"/>
        <v>200045-64</v>
      </c>
      <c r="B698">
        <v>2000</v>
      </c>
      <c r="C698" t="s">
        <v>2</v>
      </c>
      <c r="D698" t="s">
        <v>26</v>
      </c>
      <c r="E698" t="s">
        <v>40</v>
      </c>
      <c r="F698" t="s">
        <v>16</v>
      </c>
      <c r="G698" s="7">
        <v>222</v>
      </c>
      <c r="H698" s="2">
        <v>1658630</v>
      </c>
    </row>
    <row r="699" spans="1:8" x14ac:dyDescent="0.25">
      <c r="A699" t="str">
        <f t="shared" si="10"/>
        <v>20005-14</v>
      </c>
      <c r="B699">
        <v>2000</v>
      </c>
      <c r="C699" t="s">
        <v>5</v>
      </c>
      <c r="D699" t="s">
        <v>26</v>
      </c>
      <c r="E699" t="s">
        <v>40</v>
      </c>
      <c r="F699" t="s">
        <v>16</v>
      </c>
      <c r="G699" s="7">
        <v>196</v>
      </c>
      <c r="H699" s="2">
        <v>2626661</v>
      </c>
    </row>
    <row r="700" spans="1:8" x14ac:dyDescent="0.25">
      <c r="A700" t="str">
        <f t="shared" si="10"/>
        <v>200065-74</v>
      </c>
      <c r="B700">
        <v>2000</v>
      </c>
      <c r="C700" t="s">
        <v>1</v>
      </c>
      <c r="D700" t="s">
        <v>26</v>
      </c>
      <c r="E700" t="s">
        <v>40</v>
      </c>
      <c r="F700" t="s">
        <v>16</v>
      </c>
      <c r="G700" s="7">
        <v>115</v>
      </c>
      <c r="H700" s="2">
        <v>398642</v>
      </c>
    </row>
    <row r="701" spans="1:8" x14ac:dyDescent="0.25">
      <c r="A701" t="str">
        <f t="shared" si="10"/>
        <v>200075+</v>
      </c>
      <c r="B701">
        <v>2000</v>
      </c>
      <c r="C701" t="s">
        <v>0</v>
      </c>
      <c r="D701" t="s">
        <v>26</v>
      </c>
      <c r="E701" t="s">
        <v>40</v>
      </c>
      <c r="F701" t="s">
        <v>16</v>
      </c>
      <c r="G701" s="7">
        <v>243</v>
      </c>
      <c r="H701" s="2">
        <v>240016</v>
      </c>
    </row>
    <row r="702" spans="1:8" x14ac:dyDescent="0.25">
      <c r="A702" t="str">
        <f t="shared" si="10"/>
        <v>20010-4</v>
      </c>
      <c r="B702">
        <v>2001</v>
      </c>
      <c r="C702" t="s">
        <v>6</v>
      </c>
      <c r="D702" t="s">
        <v>26</v>
      </c>
      <c r="E702" t="s">
        <v>40</v>
      </c>
      <c r="F702" t="s">
        <v>16</v>
      </c>
      <c r="G702" s="7">
        <v>289</v>
      </c>
      <c r="H702" s="2">
        <v>1343121</v>
      </c>
    </row>
    <row r="703" spans="1:8" x14ac:dyDescent="0.25">
      <c r="A703" t="str">
        <f t="shared" si="10"/>
        <v>200115-24</v>
      </c>
      <c r="B703">
        <v>2001</v>
      </c>
      <c r="C703" t="s">
        <v>4</v>
      </c>
      <c r="D703" t="s">
        <v>26</v>
      </c>
      <c r="E703" t="s">
        <v>40</v>
      </c>
      <c r="F703" t="s">
        <v>16</v>
      </c>
      <c r="G703" s="7">
        <v>344</v>
      </c>
      <c r="H703" s="2">
        <v>2387015</v>
      </c>
    </row>
    <row r="704" spans="1:8" x14ac:dyDescent="0.25">
      <c r="A704" t="str">
        <f t="shared" si="10"/>
        <v>200125-44</v>
      </c>
      <c r="B704">
        <v>2001</v>
      </c>
      <c r="C704" t="s">
        <v>3</v>
      </c>
      <c r="D704" t="s">
        <v>26</v>
      </c>
      <c r="E704" t="s">
        <v>40</v>
      </c>
      <c r="F704" t="s">
        <v>16</v>
      </c>
      <c r="G704" s="7">
        <v>456</v>
      </c>
      <c r="H704" s="2">
        <v>3605957</v>
      </c>
    </row>
    <row r="705" spans="1:8" x14ac:dyDescent="0.25">
      <c r="A705" t="str">
        <f t="shared" si="10"/>
        <v>200145-64</v>
      </c>
      <c r="B705">
        <v>2001</v>
      </c>
      <c r="C705" t="s">
        <v>2</v>
      </c>
      <c r="D705" t="s">
        <v>26</v>
      </c>
      <c r="E705" t="s">
        <v>40</v>
      </c>
      <c r="F705" t="s">
        <v>16</v>
      </c>
      <c r="G705" s="7">
        <v>252</v>
      </c>
      <c r="H705" s="2">
        <v>1721965</v>
      </c>
    </row>
    <row r="706" spans="1:8" x14ac:dyDescent="0.25">
      <c r="A706" t="str">
        <f t="shared" ref="A706:A769" si="11">+CONCATENATE(B706,C706)</f>
        <v>20015-14</v>
      </c>
      <c r="B706">
        <v>2001</v>
      </c>
      <c r="C706" t="s">
        <v>5</v>
      </c>
      <c r="D706" t="s">
        <v>26</v>
      </c>
      <c r="E706" t="s">
        <v>40</v>
      </c>
      <c r="F706" t="s">
        <v>16</v>
      </c>
      <c r="G706" s="7">
        <v>227</v>
      </c>
      <c r="H706" s="2">
        <v>2624275</v>
      </c>
    </row>
    <row r="707" spans="1:8" x14ac:dyDescent="0.25">
      <c r="A707" t="str">
        <f t="shared" si="11"/>
        <v>200165-74</v>
      </c>
      <c r="B707">
        <v>2001</v>
      </c>
      <c r="C707" t="s">
        <v>1</v>
      </c>
      <c r="D707" t="s">
        <v>26</v>
      </c>
      <c r="E707" t="s">
        <v>40</v>
      </c>
      <c r="F707" t="s">
        <v>16</v>
      </c>
      <c r="G707" s="7">
        <v>108</v>
      </c>
      <c r="H707" s="2">
        <v>407783</v>
      </c>
    </row>
    <row r="708" spans="1:8" x14ac:dyDescent="0.25">
      <c r="A708" t="str">
        <f t="shared" si="11"/>
        <v>200175+</v>
      </c>
      <c r="B708">
        <v>2001</v>
      </c>
      <c r="C708" t="s">
        <v>0</v>
      </c>
      <c r="D708" t="s">
        <v>26</v>
      </c>
      <c r="E708" t="s">
        <v>40</v>
      </c>
      <c r="F708" t="s">
        <v>16</v>
      </c>
      <c r="G708" s="7">
        <v>239</v>
      </c>
      <c r="H708" s="2">
        <v>255331</v>
      </c>
    </row>
    <row r="709" spans="1:8" x14ac:dyDescent="0.25">
      <c r="A709" t="str">
        <f t="shared" si="11"/>
        <v>20020-4</v>
      </c>
      <c r="B709">
        <v>2002</v>
      </c>
      <c r="C709" t="s">
        <v>6</v>
      </c>
      <c r="D709" t="s">
        <v>26</v>
      </c>
      <c r="E709" t="s">
        <v>40</v>
      </c>
      <c r="F709" t="s">
        <v>16</v>
      </c>
      <c r="G709" s="7">
        <v>327</v>
      </c>
      <c r="H709" s="2">
        <v>1347045</v>
      </c>
    </row>
    <row r="710" spans="1:8" x14ac:dyDescent="0.25">
      <c r="A710" t="str">
        <f t="shared" si="11"/>
        <v>200215-24</v>
      </c>
      <c r="B710">
        <v>2002</v>
      </c>
      <c r="C710" t="s">
        <v>4</v>
      </c>
      <c r="D710" t="s">
        <v>26</v>
      </c>
      <c r="E710" t="s">
        <v>40</v>
      </c>
      <c r="F710" t="s">
        <v>16</v>
      </c>
      <c r="G710" s="7">
        <v>356</v>
      </c>
      <c r="H710" s="2">
        <v>2428415</v>
      </c>
    </row>
    <row r="711" spans="1:8" x14ac:dyDescent="0.25">
      <c r="A711" t="str">
        <f t="shared" si="11"/>
        <v>200225-44</v>
      </c>
      <c r="B711">
        <v>2002</v>
      </c>
      <c r="C711" t="s">
        <v>3</v>
      </c>
      <c r="D711" t="s">
        <v>26</v>
      </c>
      <c r="E711" t="s">
        <v>40</v>
      </c>
      <c r="F711" t="s">
        <v>16</v>
      </c>
      <c r="G711" s="7">
        <v>563</v>
      </c>
      <c r="H711" s="2">
        <v>3675559</v>
      </c>
    </row>
    <row r="712" spans="1:8" x14ac:dyDescent="0.25">
      <c r="A712" t="str">
        <f t="shared" si="11"/>
        <v>200245-64</v>
      </c>
      <c r="B712">
        <v>2002</v>
      </c>
      <c r="C712" t="s">
        <v>2</v>
      </c>
      <c r="D712" t="s">
        <v>26</v>
      </c>
      <c r="E712" t="s">
        <v>40</v>
      </c>
      <c r="F712" t="s">
        <v>16</v>
      </c>
      <c r="G712" s="7">
        <v>308</v>
      </c>
      <c r="H712" s="2">
        <v>1789361</v>
      </c>
    </row>
    <row r="713" spans="1:8" x14ac:dyDescent="0.25">
      <c r="A713" t="str">
        <f t="shared" si="11"/>
        <v>20025-14</v>
      </c>
      <c r="B713">
        <v>2002</v>
      </c>
      <c r="C713" t="s">
        <v>5</v>
      </c>
      <c r="D713" t="s">
        <v>26</v>
      </c>
      <c r="E713" t="s">
        <v>40</v>
      </c>
      <c r="F713" t="s">
        <v>16</v>
      </c>
      <c r="G713" s="7">
        <v>199</v>
      </c>
      <c r="H713" s="2">
        <v>2622422</v>
      </c>
    </row>
    <row r="714" spans="1:8" x14ac:dyDescent="0.25">
      <c r="A714" t="str">
        <f t="shared" si="11"/>
        <v>200265-74</v>
      </c>
      <c r="B714">
        <v>2002</v>
      </c>
      <c r="C714" t="s">
        <v>1</v>
      </c>
      <c r="D714" t="s">
        <v>26</v>
      </c>
      <c r="E714" t="s">
        <v>40</v>
      </c>
      <c r="F714" t="s">
        <v>16</v>
      </c>
      <c r="G714" s="7">
        <v>139</v>
      </c>
      <c r="H714" s="2">
        <v>417907</v>
      </c>
    </row>
    <row r="715" spans="1:8" x14ac:dyDescent="0.25">
      <c r="A715" t="str">
        <f t="shared" si="11"/>
        <v>200275+</v>
      </c>
      <c r="B715">
        <v>2002</v>
      </c>
      <c r="C715" t="s">
        <v>0</v>
      </c>
      <c r="D715" t="s">
        <v>26</v>
      </c>
      <c r="E715" t="s">
        <v>40</v>
      </c>
      <c r="F715" t="s">
        <v>16</v>
      </c>
      <c r="G715" s="7">
        <v>257</v>
      </c>
      <c r="H715" s="2">
        <v>270538</v>
      </c>
    </row>
    <row r="716" spans="1:8" x14ac:dyDescent="0.25">
      <c r="A716" t="str">
        <f t="shared" si="11"/>
        <v>20030-4</v>
      </c>
      <c r="B716">
        <v>2003</v>
      </c>
      <c r="C716" t="s">
        <v>6</v>
      </c>
      <c r="D716" t="s">
        <v>26</v>
      </c>
      <c r="E716" t="s">
        <v>40</v>
      </c>
      <c r="F716" t="s">
        <v>16</v>
      </c>
      <c r="G716" s="7">
        <v>350</v>
      </c>
      <c r="H716" s="2">
        <v>1350164</v>
      </c>
    </row>
    <row r="717" spans="1:8" x14ac:dyDescent="0.25">
      <c r="A717" t="str">
        <f t="shared" si="11"/>
        <v>200315-24</v>
      </c>
      <c r="B717">
        <v>2003</v>
      </c>
      <c r="C717" t="s">
        <v>4</v>
      </c>
      <c r="D717" t="s">
        <v>26</v>
      </c>
      <c r="E717" t="s">
        <v>40</v>
      </c>
      <c r="F717" t="s">
        <v>16</v>
      </c>
      <c r="G717" s="7">
        <v>340</v>
      </c>
      <c r="H717" s="2">
        <v>2465273</v>
      </c>
    </row>
    <row r="718" spans="1:8" x14ac:dyDescent="0.25">
      <c r="A718" t="str">
        <f t="shared" si="11"/>
        <v>200325-44</v>
      </c>
      <c r="B718">
        <v>2003</v>
      </c>
      <c r="C718" t="s">
        <v>3</v>
      </c>
      <c r="D718" t="s">
        <v>26</v>
      </c>
      <c r="E718" t="s">
        <v>40</v>
      </c>
      <c r="F718" t="s">
        <v>16</v>
      </c>
      <c r="G718" s="7">
        <v>446</v>
      </c>
      <c r="H718" s="2">
        <v>3744690</v>
      </c>
    </row>
    <row r="719" spans="1:8" x14ac:dyDescent="0.25">
      <c r="A719" t="str">
        <f t="shared" si="11"/>
        <v>200345-64</v>
      </c>
      <c r="B719">
        <v>2003</v>
      </c>
      <c r="C719" t="s">
        <v>2</v>
      </c>
      <c r="D719" t="s">
        <v>26</v>
      </c>
      <c r="E719" t="s">
        <v>40</v>
      </c>
      <c r="F719" t="s">
        <v>16</v>
      </c>
      <c r="G719" s="7">
        <v>286</v>
      </c>
      <c r="H719" s="2">
        <v>1860678</v>
      </c>
    </row>
    <row r="720" spans="1:8" x14ac:dyDescent="0.25">
      <c r="A720" t="str">
        <f t="shared" si="11"/>
        <v>20035-14</v>
      </c>
      <c r="B720">
        <v>2003</v>
      </c>
      <c r="C720" t="s">
        <v>5</v>
      </c>
      <c r="D720" t="s">
        <v>26</v>
      </c>
      <c r="E720" t="s">
        <v>40</v>
      </c>
      <c r="F720" t="s">
        <v>16</v>
      </c>
      <c r="G720" s="7">
        <v>210</v>
      </c>
      <c r="H720" s="2">
        <v>2622279</v>
      </c>
    </row>
    <row r="721" spans="1:8" x14ac:dyDescent="0.25">
      <c r="A721" t="str">
        <f t="shared" si="11"/>
        <v>200365-74</v>
      </c>
      <c r="B721">
        <v>2003</v>
      </c>
      <c r="C721" t="s">
        <v>1</v>
      </c>
      <c r="D721" t="s">
        <v>26</v>
      </c>
      <c r="E721" t="s">
        <v>40</v>
      </c>
      <c r="F721" t="s">
        <v>16</v>
      </c>
      <c r="G721" s="7">
        <v>121</v>
      </c>
      <c r="H721" s="2">
        <v>428941</v>
      </c>
    </row>
    <row r="722" spans="1:8" x14ac:dyDescent="0.25">
      <c r="A722" t="str">
        <f t="shared" si="11"/>
        <v>200375+</v>
      </c>
      <c r="B722">
        <v>2003</v>
      </c>
      <c r="C722" t="s">
        <v>0</v>
      </c>
      <c r="D722" t="s">
        <v>26</v>
      </c>
      <c r="E722" t="s">
        <v>40</v>
      </c>
      <c r="F722" t="s">
        <v>16</v>
      </c>
      <c r="G722" s="7">
        <v>290</v>
      </c>
      <c r="H722" s="2">
        <v>285209</v>
      </c>
    </row>
    <row r="723" spans="1:8" x14ac:dyDescent="0.25">
      <c r="A723" t="str">
        <f t="shared" si="11"/>
        <v>20040-4</v>
      </c>
      <c r="B723">
        <v>2004</v>
      </c>
      <c r="C723" t="s">
        <v>6</v>
      </c>
      <c r="D723" t="s">
        <v>26</v>
      </c>
      <c r="E723" t="s">
        <v>40</v>
      </c>
      <c r="F723" t="s">
        <v>16</v>
      </c>
      <c r="G723" s="7">
        <v>306</v>
      </c>
      <c r="H723" s="2">
        <v>1352508</v>
      </c>
    </row>
    <row r="724" spans="1:8" x14ac:dyDescent="0.25">
      <c r="A724" t="str">
        <f t="shared" si="11"/>
        <v>200415-24</v>
      </c>
      <c r="B724">
        <v>2004</v>
      </c>
      <c r="C724" t="s">
        <v>4</v>
      </c>
      <c r="D724" t="s">
        <v>26</v>
      </c>
      <c r="E724" t="s">
        <v>40</v>
      </c>
      <c r="F724" t="s">
        <v>16</v>
      </c>
      <c r="G724" s="7">
        <v>324</v>
      </c>
      <c r="H724" s="2">
        <v>2497409</v>
      </c>
    </row>
    <row r="725" spans="1:8" x14ac:dyDescent="0.25">
      <c r="A725" t="str">
        <f t="shared" si="11"/>
        <v>200425-44</v>
      </c>
      <c r="B725">
        <v>2004</v>
      </c>
      <c r="C725" t="s">
        <v>3</v>
      </c>
      <c r="D725" t="s">
        <v>26</v>
      </c>
      <c r="E725" t="s">
        <v>40</v>
      </c>
      <c r="F725" t="s">
        <v>16</v>
      </c>
      <c r="G725" s="7">
        <v>455</v>
      </c>
      <c r="H725" s="2">
        <v>3813358</v>
      </c>
    </row>
    <row r="726" spans="1:8" x14ac:dyDescent="0.25">
      <c r="A726" t="str">
        <f t="shared" si="11"/>
        <v>200445-64</v>
      </c>
      <c r="B726">
        <v>2004</v>
      </c>
      <c r="C726" t="s">
        <v>2</v>
      </c>
      <c r="D726" t="s">
        <v>26</v>
      </c>
      <c r="E726" t="s">
        <v>40</v>
      </c>
      <c r="F726" t="s">
        <v>16</v>
      </c>
      <c r="G726" s="7">
        <v>235</v>
      </c>
      <c r="H726" s="2">
        <v>1936129</v>
      </c>
    </row>
    <row r="727" spans="1:8" x14ac:dyDescent="0.25">
      <c r="A727" t="str">
        <f t="shared" si="11"/>
        <v>20045-14</v>
      </c>
      <c r="B727">
        <v>2004</v>
      </c>
      <c r="C727" t="s">
        <v>5</v>
      </c>
      <c r="D727" t="s">
        <v>26</v>
      </c>
      <c r="E727" t="s">
        <v>40</v>
      </c>
      <c r="F727" t="s">
        <v>16</v>
      </c>
      <c r="G727" s="7">
        <v>207</v>
      </c>
      <c r="H727" s="2">
        <v>2624530</v>
      </c>
    </row>
    <row r="728" spans="1:8" x14ac:dyDescent="0.25">
      <c r="A728" t="str">
        <f t="shared" si="11"/>
        <v>200465-74</v>
      </c>
      <c r="B728">
        <v>2004</v>
      </c>
      <c r="C728" t="s">
        <v>1</v>
      </c>
      <c r="D728" t="s">
        <v>26</v>
      </c>
      <c r="E728" t="s">
        <v>40</v>
      </c>
      <c r="F728" t="s">
        <v>16</v>
      </c>
      <c r="G728" s="7">
        <v>107</v>
      </c>
      <c r="H728" s="2">
        <v>441018</v>
      </c>
    </row>
    <row r="729" spans="1:8" x14ac:dyDescent="0.25">
      <c r="A729" t="str">
        <f t="shared" si="11"/>
        <v>200475+</v>
      </c>
      <c r="B729">
        <v>2004</v>
      </c>
      <c r="C729" t="s">
        <v>0</v>
      </c>
      <c r="D729" t="s">
        <v>26</v>
      </c>
      <c r="E729" t="s">
        <v>40</v>
      </c>
      <c r="F729" t="s">
        <v>16</v>
      </c>
      <c r="G729" s="7">
        <v>304</v>
      </c>
      <c r="H729" s="2">
        <v>299301</v>
      </c>
    </row>
    <row r="730" spans="1:8" x14ac:dyDescent="0.25">
      <c r="A730" t="str">
        <f t="shared" si="11"/>
        <v>20050-4</v>
      </c>
      <c r="B730">
        <v>2005</v>
      </c>
      <c r="C730" t="s">
        <v>6</v>
      </c>
      <c r="D730" t="s">
        <v>26</v>
      </c>
      <c r="E730" t="s">
        <v>40</v>
      </c>
      <c r="F730" t="s">
        <v>16</v>
      </c>
      <c r="G730" s="7">
        <v>337</v>
      </c>
      <c r="H730" s="2">
        <v>1353852</v>
      </c>
    </row>
    <row r="731" spans="1:8" x14ac:dyDescent="0.25">
      <c r="A731" t="str">
        <f t="shared" si="11"/>
        <v>200515-24</v>
      </c>
      <c r="B731">
        <v>2005</v>
      </c>
      <c r="C731" t="s">
        <v>4</v>
      </c>
      <c r="D731" t="s">
        <v>26</v>
      </c>
      <c r="E731" t="s">
        <v>40</v>
      </c>
      <c r="F731" t="s">
        <v>16</v>
      </c>
      <c r="G731" s="7">
        <v>290</v>
      </c>
      <c r="H731" s="2">
        <v>2524017</v>
      </c>
    </row>
    <row r="732" spans="1:8" x14ac:dyDescent="0.25">
      <c r="A732" t="str">
        <f t="shared" si="11"/>
        <v>200525-44</v>
      </c>
      <c r="B732">
        <v>2005</v>
      </c>
      <c r="C732" t="s">
        <v>3</v>
      </c>
      <c r="D732" t="s">
        <v>26</v>
      </c>
      <c r="E732" t="s">
        <v>40</v>
      </c>
      <c r="F732" t="s">
        <v>16</v>
      </c>
      <c r="G732" s="7">
        <v>467</v>
      </c>
      <c r="H732" s="2">
        <v>3881062</v>
      </c>
    </row>
    <row r="733" spans="1:8" x14ac:dyDescent="0.25">
      <c r="A733" t="str">
        <f t="shared" si="11"/>
        <v>200545-64</v>
      </c>
      <c r="B733">
        <v>2005</v>
      </c>
      <c r="C733" t="s">
        <v>2</v>
      </c>
      <c r="D733" t="s">
        <v>26</v>
      </c>
      <c r="E733" t="s">
        <v>40</v>
      </c>
      <c r="F733" t="s">
        <v>16</v>
      </c>
      <c r="G733" s="7">
        <v>249</v>
      </c>
      <c r="H733" s="2">
        <v>2016148</v>
      </c>
    </row>
    <row r="734" spans="1:8" x14ac:dyDescent="0.25">
      <c r="A734" t="str">
        <f t="shared" si="11"/>
        <v>20055-14</v>
      </c>
      <c r="B734">
        <v>2005</v>
      </c>
      <c r="C734" t="s">
        <v>5</v>
      </c>
      <c r="D734" t="s">
        <v>26</v>
      </c>
      <c r="E734" t="s">
        <v>40</v>
      </c>
      <c r="F734" t="s">
        <v>16</v>
      </c>
      <c r="G734" s="7">
        <v>173</v>
      </c>
      <c r="H734" s="2">
        <v>2629864</v>
      </c>
    </row>
    <row r="735" spans="1:8" x14ac:dyDescent="0.25">
      <c r="A735" t="str">
        <f t="shared" si="11"/>
        <v>200565-74</v>
      </c>
      <c r="B735">
        <v>2005</v>
      </c>
      <c r="C735" t="s">
        <v>1</v>
      </c>
      <c r="D735" t="s">
        <v>26</v>
      </c>
      <c r="E735" t="s">
        <v>40</v>
      </c>
      <c r="F735" t="s">
        <v>16</v>
      </c>
      <c r="G735" s="7">
        <v>113</v>
      </c>
      <c r="H735" s="2">
        <v>454245</v>
      </c>
    </row>
    <row r="736" spans="1:8" x14ac:dyDescent="0.25">
      <c r="A736" t="str">
        <f t="shared" si="11"/>
        <v>200575+</v>
      </c>
      <c r="B736">
        <v>2005</v>
      </c>
      <c r="C736" t="s">
        <v>0</v>
      </c>
      <c r="D736" t="s">
        <v>26</v>
      </c>
      <c r="E736" t="s">
        <v>40</v>
      </c>
      <c r="F736" t="s">
        <v>16</v>
      </c>
      <c r="G736" s="7">
        <v>306</v>
      </c>
      <c r="H736" s="2">
        <v>312767</v>
      </c>
    </row>
    <row r="737" spans="1:8" x14ac:dyDescent="0.25">
      <c r="A737" t="str">
        <f t="shared" si="11"/>
        <v>20060-4</v>
      </c>
      <c r="B737">
        <v>2006</v>
      </c>
      <c r="C737" t="s">
        <v>6</v>
      </c>
      <c r="D737" t="s">
        <v>26</v>
      </c>
      <c r="E737" t="s">
        <v>40</v>
      </c>
      <c r="F737" t="s">
        <v>16</v>
      </c>
      <c r="G737" s="7">
        <v>263</v>
      </c>
      <c r="H737" s="2">
        <v>1354432</v>
      </c>
    </row>
    <row r="738" spans="1:8" x14ac:dyDescent="0.25">
      <c r="A738" t="str">
        <f t="shared" si="11"/>
        <v>200615-24</v>
      </c>
      <c r="B738">
        <v>2006</v>
      </c>
      <c r="C738" t="s">
        <v>4</v>
      </c>
      <c r="D738" t="s">
        <v>26</v>
      </c>
      <c r="E738" t="s">
        <v>40</v>
      </c>
      <c r="F738" t="s">
        <v>16</v>
      </c>
      <c r="G738" s="7">
        <v>346</v>
      </c>
      <c r="H738" s="2">
        <v>2544731</v>
      </c>
    </row>
    <row r="739" spans="1:8" x14ac:dyDescent="0.25">
      <c r="A739" t="str">
        <f t="shared" si="11"/>
        <v>200625-44</v>
      </c>
      <c r="B739">
        <v>2006</v>
      </c>
      <c r="C739" t="s">
        <v>3</v>
      </c>
      <c r="D739" t="s">
        <v>26</v>
      </c>
      <c r="E739" t="s">
        <v>40</v>
      </c>
      <c r="F739" t="s">
        <v>16</v>
      </c>
      <c r="G739" s="7">
        <v>519</v>
      </c>
      <c r="H739" s="2">
        <v>3947836</v>
      </c>
    </row>
    <row r="740" spans="1:8" x14ac:dyDescent="0.25">
      <c r="A740" t="str">
        <f t="shared" si="11"/>
        <v>200645-64</v>
      </c>
      <c r="B740">
        <v>2006</v>
      </c>
      <c r="C740" t="s">
        <v>2</v>
      </c>
      <c r="D740" t="s">
        <v>26</v>
      </c>
      <c r="E740" t="s">
        <v>40</v>
      </c>
      <c r="F740" t="s">
        <v>16</v>
      </c>
      <c r="G740" s="7">
        <v>334</v>
      </c>
      <c r="H740" s="2">
        <v>2100791</v>
      </c>
    </row>
    <row r="741" spans="1:8" x14ac:dyDescent="0.25">
      <c r="A741" t="str">
        <f t="shared" si="11"/>
        <v>20065-14</v>
      </c>
      <c r="B741">
        <v>2006</v>
      </c>
      <c r="C741" t="s">
        <v>5</v>
      </c>
      <c r="D741" t="s">
        <v>26</v>
      </c>
      <c r="E741" t="s">
        <v>40</v>
      </c>
      <c r="F741" t="s">
        <v>16</v>
      </c>
      <c r="G741" s="7">
        <v>211</v>
      </c>
      <c r="H741" s="2">
        <v>2638747</v>
      </c>
    </row>
    <row r="742" spans="1:8" x14ac:dyDescent="0.25">
      <c r="A742" t="str">
        <f t="shared" si="11"/>
        <v>200665-74</v>
      </c>
      <c r="B742">
        <v>2006</v>
      </c>
      <c r="C742" t="s">
        <v>1</v>
      </c>
      <c r="D742" t="s">
        <v>26</v>
      </c>
      <c r="E742" t="s">
        <v>40</v>
      </c>
      <c r="F742" t="s">
        <v>16</v>
      </c>
      <c r="G742" s="7">
        <v>124</v>
      </c>
      <c r="H742" s="2">
        <v>468680</v>
      </c>
    </row>
    <row r="743" spans="1:8" x14ac:dyDescent="0.25">
      <c r="A743" t="str">
        <f t="shared" si="11"/>
        <v>200675+</v>
      </c>
      <c r="B743">
        <v>2006</v>
      </c>
      <c r="C743" t="s">
        <v>0</v>
      </c>
      <c r="D743" t="s">
        <v>26</v>
      </c>
      <c r="E743" t="s">
        <v>40</v>
      </c>
      <c r="F743" t="s">
        <v>16</v>
      </c>
      <c r="G743" s="7">
        <v>323</v>
      </c>
      <c r="H743" s="2">
        <v>325672</v>
      </c>
    </row>
    <row r="744" spans="1:8" x14ac:dyDescent="0.25">
      <c r="A744" t="str">
        <f t="shared" si="11"/>
        <v>20070-4</v>
      </c>
      <c r="B744">
        <v>2007</v>
      </c>
      <c r="C744" t="s">
        <v>6</v>
      </c>
      <c r="D744" t="s">
        <v>26</v>
      </c>
      <c r="E744" t="s">
        <v>40</v>
      </c>
      <c r="F744" t="s">
        <v>16</v>
      </c>
      <c r="G744" s="7">
        <v>280</v>
      </c>
      <c r="H744" s="2">
        <v>1354234</v>
      </c>
    </row>
    <row r="745" spans="1:8" x14ac:dyDescent="0.25">
      <c r="A745" t="str">
        <f t="shared" si="11"/>
        <v>200715-24</v>
      </c>
      <c r="B745">
        <v>2007</v>
      </c>
      <c r="C745" t="s">
        <v>4</v>
      </c>
      <c r="D745" t="s">
        <v>26</v>
      </c>
      <c r="E745" t="s">
        <v>40</v>
      </c>
      <c r="F745" t="s">
        <v>16</v>
      </c>
      <c r="G745" s="7">
        <v>373</v>
      </c>
      <c r="H745" s="2">
        <v>2561885</v>
      </c>
    </row>
    <row r="746" spans="1:8" x14ac:dyDescent="0.25">
      <c r="A746" t="str">
        <f t="shared" si="11"/>
        <v>200725-44</v>
      </c>
      <c r="B746">
        <v>2007</v>
      </c>
      <c r="C746" t="s">
        <v>3</v>
      </c>
      <c r="D746" t="s">
        <v>26</v>
      </c>
      <c r="E746" t="s">
        <v>40</v>
      </c>
      <c r="F746" t="s">
        <v>16</v>
      </c>
      <c r="G746" s="7">
        <v>550</v>
      </c>
      <c r="H746" s="2">
        <v>4016163</v>
      </c>
    </row>
    <row r="747" spans="1:8" x14ac:dyDescent="0.25">
      <c r="A747" t="str">
        <f t="shared" si="11"/>
        <v>200745-64</v>
      </c>
      <c r="B747">
        <v>2007</v>
      </c>
      <c r="C747" t="s">
        <v>2</v>
      </c>
      <c r="D747" t="s">
        <v>26</v>
      </c>
      <c r="E747" t="s">
        <v>40</v>
      </c>
      <c r="F747" t="s">
        <v>16</v>
      </c>
      <c r="G747" s="7">
        <v>348</v>
      </c>
      <c r="H747" s="2">
        <v>2188071</v>
      </c>
    </row>
    <row r="748" spans="1:8" x14ac:dyDescent="0.25">
      <c r="A748" t="str">
        <f t="shared" si="11"/>
        <v>20075-14</v>
      </c>
      <c r="B748">
        <v>2007</v>
      </c>
      <c r="C748" t="s">
        <v>5</v>
      </c>
      <c r="D748" t="s">
        <v>26</v>
      </c>
      <c r="E748" t="s">
        <v>40</v>
      </c>
      <c r="F748" t="s">
        <v>16</v>
      </c>
      <c r="G748" s="7">
        <v>200</v>
      </c>
      <c r="H748" s="2">
        <v>2647233</v>
      </c>
    </row>
    <row r="749" spans="1:8" x14ac:dyDescent="0.25">
      <c r="A749" t="str">
        <f t="shared" si="11"/>
        <v>200765-74</v>
      </c>
      <c r="B749">
        <v>2007</v>
      </c>
      <c r="C749" t="s">
        <v>1</v>
      </c>
      <c r="D749" t="s">
        <v>26</v>
      </c>
      <c r="E749" t="s">
        <v>40</v>
      </c>
      <c r="F749" t="s">
        <v>16</v>
      </c>
      <c r="G749" s="7">
        <v>123</v>
      </c>
      <c r="H749" s="2">
        <v>484321</v>
      </c>
    </row>
    <row r="750" spans="1:8" x14ac:dyDescent="0.25">
      <c r="A750" t="str">
        <f t="shared" si="11"/>
        <v>200775+</v>
      </c>
      <c r="B750">
        <v>2007</v>
      </c>
      <c r="C750" t="s">
        <v>0</v>
      </c>
      <c r="D750" t="s">
        <v>26</v>
      </c>
      <c r="E750" t="s">
        <v>40</v>
      </c>
      <c r="F750" t="s">
        <v>16</v>
      </c>
      <c r="G750" s="7">
        <v>290</v>
      </c>
      <c r="H750" s="2">
        <v>338128</v>
      </c>
    </row>
    <row r="751" spans="1:8" x14ac:dyDescent="0.25">
      <c r="A751" t="str">
        <f t="shared" si="11"/>
        <v>20080-4</v>
      </c>
      <c r="B751">
        <v>2008</v>
      </c>
      <c r="C751" t="s">
        <v>6</v>
      </c>
      <c r="D751" t="s">
        <v>26</v>
      </c>
      <c r="E751" t="s">
        <v>40</v>
      </c>
      <c r="F751" t="s">
        <v>16</v>
      </c>
      <c r="G751" s="7">
        <v>273</v>
      </c>
      <c r="H751" s="2">
        <v>1353145</v>
      </c>
    </row>
    <row r="752" spans="1:8" x14ac:dyDescent="0.25">
      <c r="A752" t="str">
        <f t="shared" si="11"/>
        <v>200815-24</v>
      </c>
      <c r="B752">
        <v>2008</v>
      </c>
      <c r="C752" t="s">
        <v>4</v>
      </c>
      <c r="D752" t="s">
        <v>26</v>
      </c>
      <c r="E752" t="s">
        <v>40</v>
      </c>
      <c r="F752" t="s">
        <v>16</v>
      </c>
      <c r="G752" s="7">
        <v>434</v>
      </c>
      <c r="H752" s="2">
        <v>2575138</v>
      </c>
    </row>
    <row r="753" spans="1:8" x14ac:dyDescent="0.25">
      <c r="A753" t="str">
        <f t="shared" si="11"/>
        <v>200825-44</v>
      </c>
      <c r="B753">
        <v>2008</v>
      </c>
      <c r="C753" t="s">
        <v>3</v>
      </c>
      <c r="D753" t="s">
        <v>26</v>
      </c>
      <c r="E753" t="s">
        <v>40</v>
      </c>
      <c r="F753" t="s">
        <v>16</v>
      </c>
      <c r="G753" s="7">
        <v>569</v>
      </c>
      <c r="H753" s="2">
        <v>4085944</v>
      </c>
    </row>
    <row r="754" spans="1:8" x14ac:dyDescent="0.25">
      <c r="A754" t="str">
        <f t="shared" si="11"/>
        <v>200845-64</v>
      </c>
      <c r="B754">
        <v>2008</v>
      </c>
      <c r="C754" t="s">
        <v>2</v>
      </c>
      <c r="D754" t="s">
        <v>26</v>
      </c>
      <c r="E754" t="s">
        <v>40</v>
      </c>
      <c r="F754" t="s">
        <v>16</v>
      </c>
      <c r="G754" s="7">
        <v>340</v>
      </c>
      <c r="H754" s="2">
        <v>2277674</v>
      </c>
    </row>
    <row r="755" spans="1:8" x14ac:dyDescent="0.25">
      <c r="A755" t="str">
        <f t="shared" si="11"/>
        <v>20085-14</v>
      </c>
      <c r="B755">
        <v>2008</v>
      </c>
      <c r="C755" t="s">
        <v>5</v>
      </c>
      <c r="D755" t="s">
        <v>26</v>
      </c>
      <c r="E755" t="s">
        <v>40</v>
      </c>
      <c r="F755" t="s">
        <v>16</v>
      </c>
      <c r="G755" s="7">
        <v>194</v>
      </c>
      <c r="H755" s="2">
        <v>2655740</v>
      </c>
    </row>
    <row r="756" spans="1:8" x14ac:dyDescent="0.25">
      <c r="A756" t="str">
        <f t="shared" si="11"/>
        <v>200865-74</v>
      </c>
      <c r="B756">
        <v>2008</v>
      </c>
      <c r="C756" t="s">
        <v>1</v>
      </c>
      <c r="D756" t="s">
        <v>26</v>
      </c>
      <c r="E756" t="s">
        <v>40</v>
      </c>
      <c r="F756" t="s">
        <v>16</v>
      </c>
      <c r="G756" s="7">
        <v>133</v>
      </c>
      <c r="H756" s="2">
        <v>501201</v>
      </c>
    </row>
    <row r="757" spans="1:8" x14ac:dyDescent="0.25">
      <c r="A757" t="str">
        <f t="shared" si="11"/>
        <v>200875+</v>
      </c>
      <c r="B757">
        <v>2008</v>
      </c>
      <c r="C757" t="s">
        <v>0</v>
      </c>
      <c r="D757" t="s">
        <v>26</v>
      </c>
      <c r="E757" t="s">
        <v>40</v>
      </c>
      <c r="F757" t="s">
        <v>16</v>
      </c>
      <c r="G757" s="7">
        <v>348</v>
      </c>
      <c r="H757" s="2">
        <v>350235</v>
      </c>
    </row>
    <row r="758" spans="1:8" x14ac:dyDescent="0.25">
      <c r="A758" t="str">
        <f t="shared" si="11"/>
        <v>20090-4</v>
      </c>
      <c r="B758">
        <v>2009</v>
      </c>
      <c r="C758" t="s">
        <v>6</v>
      </c>
      <c r="D758" t="s">
        <v>26</v>
      </c>
      <c r="E758" t="s">
        <v>40</v>
      </c>
      <c r="F758" t="s">
        <v>16</v>
      </c>
      <c r="G758" s="7">
        <v>294</v>
      </c>
      <c r="H758" s="2">
        <v>1351158</v>
      </c>
    </row>
    <row r="759" spans="1:8" x14ac:dyDescent="0.25">
      <c r="A759" t="str">
        <f t="shared" si="11"/>
        <v>200915-24</v>
      </c>
      <c r="B759">
        <v>2009</v>
      </c>
      <c r="C759" t="s">
        <v>4</v>
      </c>
      <c r="D759" t="s">
        <v>26</v>
      </c>
      <c r="E759" t="s">
        <v>40</v>
      </c>
      <c r="F759" t="s">
        <v>16</v>
      </c>
      <c r="G759" s="7">
        <v>353</v>
      </c>
      <c r="H759" s="2">
        <v>2584791</v>
      </c>
    </row>
    <row r="760" spans="1:8" x14ac:dyDescent="0.25">
      <c r="A760" t="str">
        <f t="shared" si="11"/>
        <v>200925-44</v>
      </c>
      <c r="B760">
        <v>2009</v>
      </c>
      <c r="C760" t="s">
        <v>3</v>
      </c>
      <c r="D760" t="s">
        <v>26</v>
      </c>
      <c r="E760" t="s">
        <v>40</v>
      </c>
      <c r="F760" t="s">
        <v>16</v>
      </c>
      <c r="G760" s="7">
        <v>563</v>
      </c>
      <c r="H760" s="2">
        <v>4156891</v>
      </c>
    </row>
    <row r="761" spans="1:8" x14ac:dyDescent="0.25">
      <c r="A761" t="str">
        <f t="shared" si="11"/>
        <v>200945-64</v>
      </c>
      <c r="B761">
        <v>2009</v>
      </c>
      <c r="C761" t="s">
        <v>2</v>
      </c>
      <c r="D761" t="s">
        <v>26</v>
      </c>
      <c r="E761" t="s">
        <v>40</v>
      </c>
      <c r="F761" t="s">
        <v>16</v>
      </c>
      <c r="G761" s="7">
        <v>344</v>
      </c>
      <c r="H761" s="2">
        <v>2369589</v>
      </c>
    </row>
    <row r="762" spans="1:8" x14ac:dyDescent="0.25">
      <c r="A762" t="str">
        <f t="shared" si="11"/>
        <v>20095-14</v>
      </c>
      <c r="B762">
        <v>2009</v>
      </c>
      <c r="C762" t="s">
        <v>5</v>
      </c>
      <c r="D762" t="s">
        <v>26</v>
      </c>
      <c r="E762" t="s">
        <v>40</v>
      </c>
      <c r="F762" t="s">
        <v>16</v>
      </c>
      <c r="G762" s="7">
        <v>196</v>
      </c>
      <c r="H762" s="2">
        <v>2664671</v>
      </c>
    </row>
    <row r="763" spans="1:8" x14ac:dyDescent="0.25">
      <c r="A763" t="str">
        <f t="shared" si="11"/>
        <v>200965-74</v>
      </c>
      <c r="B763">
        <v>2009</v>
      </c>
      <c r="C763" t="s">
        <v>1</v>
      </c>
      <c r="D763" t="s">
        <v>26</v>
      </c>
      <c r="E763" t="s">
        <v>40</v>
      </c>
      <c r="F763" t="s">
        <v>16</v>
      </c>
      <c r="G763" s="7">
        <v>139</v>
      </c>
      <c r="H763" s="2">
        <v>519377</v>
      </c>
    </row>
    <row r="764" spans="1:8" x14ac:dyDescent="0.25">
      <c r="A764" t="str">
        <f t="shared" si="11"/>
        <v>200975+</v>
      </c>
      <c r="B764">
        <v>2009</v>
      </c>
      <c r="C764" t="s">
        <v>0</v>
      </c>
      <c r="D764" t="s">
        <v>26</v>
      </c>
      <c r="E764" t="s">
        <v>40</v>
      </c>
      <c r="F764" t="s">
        <v>16</v>
      </c>
      <c r="G764" s="7">
        <v>272</v>
      </c>
      <c r="H764" s="2">
        <v>362131</v>
      </c>
    </row>
    <row r="765" spans="1:8" x14ac:dyDescent="0.25">
      <c r="A765" t="str">
        <f t="shared" si="11"/>
        <v>20100-4</v>
      </c>
      <c r="B765">
        <v>2010</v>
      </c>
      <c r="C765" t="s">
        <v>6</v>
      </c>
      <c r="D765" t="s">
        <v>26</v>
      </c>
      <c r="E765" t="s">
        <v>40</v>
      </c>
      <c r="F765" t="s">
        <v>16</v>
      </c>
      <c r="G765" s="7">
        <v>268</v>
      </c>
      <c r="H765" s="2">
        <v>1348289</v>
      </c>
    </row>
    <row r="766" spans="1:8" x14ac:dyDescent="0.25">
      <c r="A766" t="str">
        <f t="shared" si="11"/>
        <v>201015-24</v>
      </c>
      <c r="B766">
        <v>2010</v>
      </c>
      <c r="C766" t="s">
        <v>4</v>
      </c>
      <c r="D766" t="s">
        <v>26</v>
      </c>
      <c r="E766" t="s">
        <v>40</v>
      </c>
      <c r="F766" t="s">
        <v>16</v>
      </c>
      <c r="G766" s="7">
        <v>358</v>
      </c>
      <c r="H766" s="2">
        <v>2590746</v>
      </c>
    </row>
    <row r="767" spans="1:8" x14ac:dyDescent="0.25">
      <c r="A767" t="str">
        <f t="shared" si="11"/>
        <v>201025-44</v>
      </c>
      <c r="B767">
        <v>2010</v>
      </c>
      <c r="C767" t="s">
        <v>3</v>
      </c>
      <c r="D767" t="s">
        <v>26</v>
      </c>
      <c r="E767" t="s">
        <v>40</v>
      </c>
      <c r="F767" t="s">
        <v>16</v>
      </c>
      <c r="G767" s="7">
        <v>512</v>
      </c>
      <c r="H767" s="2">
        <v>4228246</v>
      </c>
    </row>
    <row r="768" spans="1:8" x14ac:dyDescent="0.25">
      <c r="A768" t="str">
        <f t="shared" si="11"/>
        <v>201045-64</v>
      </c>
      <c r="B768">
        <v>2010</v>
      </c>
      <c r="C768" t="s">
        <v>2</v>
      </c>
      <c r="D768" t="s">
        <v>26</v>
      </c>
      <c r="E768" t="s">
        <v>40</v>
      </c>
      <c r="F768" t="s">
        <v>16</v>
      </c>
      <c r="G768" s="7">
        <v>320</v>
      </c>
      <c r="H768" s="2">
        <v>2464321</v>
      </c>
    </row>
    <row r="769" spans="1:8" x14ac:dyDescent="0.25">
      <c r="A769" t="str">
        <f t="shared" si="11"/>
        <v>20105-14</v>
      </c>
      <c r="B769">
        <v>2010</v>
      </c>
      <c r="C769" t="s">
        <v>5</v>
      </c>
      <c r="D769" t="s">
        <v>26</v>
      </c>
      <c r="E769" t="s">
        <v>40</v>
      </c>
      <c r="F769" t="s">
        <v>16</v>
      </c>
      <c r="G769" s="7">
        <v>167</v>
      </c>
      <c r="H769" s="2">
        <v>2674173</v>
      </c>
    </row>
    <row r="770" spans="1:8" x14ac:dyDescent="0.25">
      <c r="A770" t="str">
        <f t="shared" ref="A770:A833" si="12">+CONCATENATE(B770,C770)</f>
        <v>201065-74</v>
      </c>
      <c r="B770">
        <v>2010</v>
      </c>
      <c r="C770" t="s">
        <v>1</v>
      </c>
      <c r="D770" t="s">
        <v>26</v>
      </c>
      <c r="E770" t="s">
        <v>40</v>
      </c>
      <c r="F770" t="s">
        <v>16</v>
      </c>
      <c r="G770" s="7">
        <v>113</v>
      </c>
      <c r="H770" s="2">
        <v>538921</v>
      </c>
    </row>
    <row r="771" spans="1:8" x14ac:dyDescent="0.25">
      <c r="A771" t="str">
        <f t="shared" si="12"/>
        <v>201075+</v>
      </c>
      <c r="B771">
        <v>2010</v>
      </c>
      <c r="C771" t="s">
        <v>0</v>
      </c>
      <c r="D771" t="s">
        <v>26</v>
      </c>
      <c r="E771" t="s">
        <v>40</v>
      </c>
      <c r="F771" t="s">
        <v>16</v>
      </c>
      <c r="G771" s="7">
        <v>299</v>
      </c>
      <c r="H771" s="2">
        <v>373918</v>
      </c>
    </row>
    <row r="772" spans="1:8" x14ac:dyDescent="0.25">
      <c r="A772" t="str">
        <f t="shared" si="12"/>
        <v>20110-4</v>
      </c>
      <c r="B772">
        <v>2011</v>
      </c>
      <c r="C772" t="s">
        <v>6</v>
      </c>
      <c r="D772" t="s">
        <v>26</v>
      </c>
      <c r="E772" t="s">
        <v>40</v>
      </c>
      <c r="F772" t="s">
        <v>16</v>
      </c>
      <c r="G772" s="7">
        <v>299</v>
      </c>
      <c r="H772" s="2">
        <v>1344595</v>
      </c>
    </row>
    <row r="773" spans="1:8" x14ac:dyDescent="0.25">
      <c r="A773" t="str">
        <f t="shared" si="12"/>
        <v>201115-24</v>
      </c>
      <c r="B773">
        <v>2011</v>
      </c>
      <c r="C773" t="s">
        <v>4</v>
      </c>
      <c r="D773" t="s">
        <v>26</v>
      </c>
      <c r="E773" t="s">
        <v>40</v>
      </c>
      <c r="F773" t="s">
        <v>16</v>
      </c>
      <c r="G773" s="7">
        <v>289</v>
      </c>
      <c r="H773" s="2">
        <v>2593350</v>
      </c>
    </row>
    <row r="774" spans="1:8" x14ac:dyDescent="0.25">
      <c r="A774" t="str">
        <f t="shared" si="12"/>
        <v>201125-44</v>
      </c>
      <c r="B774">
        <v>2011</v>
      </c>
      <c r="C774" t="s">
        <v>3</v>
      </c>
      <c r="D774" t="s">
        <v>26</v>
      </c>
      <c r="E774" t="s">
        <v>40</v>
      </c>
      <c r="F774" t="s">
        <v>16</v>
      </c>
      <c r="G774" s="7">
        <v>483</v>
      </c>
      <c r="H774" s="2">
        <v>4299392</v>
      </c>
    </row>
    <row r="775" spans="1:8" x14ac:dyDescent="0.25">
      <c r="A775" t="str">
        <f t="shared" si="12"/>
        <v>201145-64</v>
      </c>
      <c r="B775">
        <v>2011</v>
      </c>
      <c r="C775" t="s">
        <v>2</v>
      </c>
      <c r="D775" t="s">
        <v>26</v>
      </c>
      <c r="E775" t="s">
        <v>40</v>
      </c>
      <c r="F775" t="s">
        <v>16</v>
      </c>
      <c r="G775" s="7">
        <v>272</v>
      </c>
      <c r="H775" s="2">
        <v>2561836</v>
      </c>
    </row>
    <row r="776" spans="1:8" x14ac:dyDescent="0.25">
      <c r="A776" t="str">
        <f t="shared" si="12"/>
        <v>20115-14</v>
      </c>
      <c r="B776">
        <v>2011</v>
      </c>
      <c r="C776" t="s">
        <v>5</v>
      </c>
      <c r="D776" t="s">
        <v>26</v>
      </c>
      <c r="E776" t="s">
        <v>40</v>
      </c>
      <c r="F776" t="s">
        <v>16</v>
      </c>
      <c r="G776" s="7">
        <v>150</v>
      </c>
      <c r="H776" s="2">
        <v>2684312</v>
      </c>
    </row>
    <row r="777" spans="1:8" x14ac:dyDescent="0.25">
      <c r="A777" t="str">
        <f t="shared" si="12"/>
        <v>201165-74</v>
      </c>
      <c r="B777">
        <v>2011</v>
      </c>
      <c r="C777" t="s">
        <v>1</v>
      </c>
      <c r="D777" t="s">
        <v>26</v>
      </c>
      <c r="E777" t="s">
        <v>40</v>
      </c>
      <c r="F777" t="s">
        <v>16</v>
      </c>
      <c r="G777" s="7">
        <v>124</v>
      </c>
      <c r="H777" s="2">
        <v>559899</v>
      </c>
    </row>
    <row r="778" spans="1:8" x14ac:dyDescent="0.25">
      <c r="A778" t="str">
        <f t="shared" si="12"/>
        <v>201175+</v>
      </c>
      <c r="B778">
        <v>2011</v>
      </c>
      <c r="C778" t="s">
        <v>0</v>
      </c>
      <c r="D778" t="s">
        <v>26</v>
      </c>
      <c r="E778" t="s">
        <v>40</v>
      </c>
      <c r="F778" t="s">
        <v>16</v>
      </c>
      <c r="G778" s="7">
        <v>318</v>
      </c>
      <c r="H778" s="2">
        <v>385721</v>
      </c>
    </row>
    <row r="779" spans="1:8" x14ac:dyDescent="0.25">
      <c r="A779" t="str">
        <f t="shared" si="12"/>
        <v>20120-4</v>
      </c>
      <c r="B779">
        <v>2012</v>
      </c>
      <c r="C779" t="s">
        <v>6</v>
      </c>
      <c r="D779" t="s">
        <v>26</v>
      </c>
      <c r="E779" t="s">
        <v>40</v>
      </c>
      <c r="F779" t="s">
        <v>16</v>
      </c>
      <c r="G779" s="7">
        <v>284</v>
      </c>
      <c r="H779" s="2">
        <v>1340586.3214094499</v>
      </c>
    </row>
    <row r="780" spans="1:8" x14ac:dyDescent="0.25">
      <c r="A780" t="str">
        <f t="shared" si="12"/>
        <v>201215-24</v>
      </c>
      <c r="B780">
        <v>2012</v>
      </c>
      <c r="C780" t="s">
        <v>4</v>
      </c>
      <c r="D780" t="s">
        <v>26</v>
      </c>
      <c r="E780" t="s">
        <v>40</v>
      </c>
      <c r="F780" t="s">
        <v>16</v>
      </c>
      <c r="G780" s="7">
        <v>339</v>
      </c>
      <c r="H780" s="2">
        <v>2596932.5593387499</v>
      </c>
    </row>
    <row r="781" spans="1:8" x14ac:dyDescent="0.25">
      <c r="A781" t="str">
        <f t="shared" si="12"/>
        <v>201225-44</v>
      </c>
      <c r="B781">
        <v>2012</v>
      </c>
      <c r="C781" t="s">
        <v>3</v>
      </c>
      <c r="D781" t="s">
        <v>26</v>
      </c>
      <c r="E781" t="s">
        <v>40</v>
      </c>
      <c r="F781" t="s">
        <v>16</v>
      </c>
      <c r="G781" s="7">
        <v>483</v>
      </c>
      <c r="H781" s="2">
        <v>4370928.8062696801</v>
      </c>
    </row>
    <row r="782" spans="1:8" x14ac:dyDescent="0.25">
      <c r="A782" t="str">
        <f t="shared" si="12"/>
        <v>201245-64</v>
      </c>
      <c r="B782">
        <v>2012</v>
      </c>
      <c r="C782" t="s">
        <v>2</v>
      </c>
      <c r="D782" t="s">
        <v>26</v>
      </c>
      <c r="E782" t="s">
        <v>40</v>
      </c>
      <c r="F782" t="s">
        <v>16</v>
      </c>
      <c r="G782" s="7">
        <v>315</v>
      </c>
      <c r="H782" s="2">
        <v>2658291.2681631502</v>
      </c>
    </row>
    <row r="783" spans="1:8" x14ac:dyDescent="0.25">
      <c r="A783" t="str">
        <f t="shared" si="12"/>
        <v>20125-14</v>
      </c>
      <c r="B783">
        <v>2012</v>
      </c>
      <c r="C783" t="s">
        <v>5</v>
      </c>
      <c r="D783" t="s">
        <v>26</v>
      </c>
      <c r="E783" t="s">
        <v>40</v>
      </c>
      <c r="F783" t="s">
        <v>16</v>
      </c>
      <c r="G783" s="7">
        <v>149</v>
      </c>
      <c r="H783" s="2">
        <v>2693165.8826794801</v>
      </c>
    </row>
    <row r="784" spans="1:8" x14ac:dyDescent="0.25">
      <c r="A784" t="str">
        <f t="shared" si="12"/>
        <v>201265-74</v>
      </c>
      <c r="B784">
        <v>2012</v>
      </c>
      <c r="C784" t="s">
        <v>1</v>
      </c>
      <c r="D784" t="s">
        <v>26</v>
      </c>
      <c r="E784" t="s">
        <v>40</v>
      </c>
      <c r="F784" t="s">
        <v>16</v>
      </c>
      <c r="G784" s="7">
        <v>99</v>
      </c>
      <c r="H784" s="2">
        <v>582433.94467592705</v>
      </c>
    </row>
    <row r="785" spans="1:8" x14ac:dyDescent="0.25">
      <c r="A785" t="str">
        <f t="shared" si="12"/>
        <v>201275+</v>
      </c>
      <c r="B785">
        <v>2012</v>
      </c>
      <c r="C785" t="s">
        <v>0</v>
      </c>
      <c r="D785" t="s">
        <v>26</v>
      </c>
      <c r="E785" t="s">
        <v>40</v>
      </c>
      <c r="F785" t="s">
        <v>16</v>
      </c>
      <c r="G785" s="7">
        <v>320</v>
      </c>
      <c r="H785" s="2">
        <v>398069.84835797001</v>
      </c>
    </row>
    <row r="786" spans="1:8" x14ac:dyDescent="0.25">
      <c r="A786" t="str">
        <f t="shared" si="12"/>
        <v>20130-4</v>
      </c>
      <c r="B786">
        <v>2013</v>
      </c>
      <c r="C786" t="s">
        <v>6</v>
      </c>
      <c r="D786" t="s">
        <v>26</v>
      </c>
      <c r="E786" t="s">
        <v>40</v>
      </c>
      <c r="F786" t="s">
        <v>16</v>
      </c>
      <c r="G786" s="7">
        <v>262</v>
      </c>
      <c r="H786" s="2">
        <v>1336364.77993838</v>
      </c>
    </row>
    <row r="787" spans="1:8" x14ac:dyDescent="0.25">
      <c r="A787" t="str">
        <f t="shared" si="12"/>
        <v>201315-24</v>
      </c>
      <c r="B787">
        <v>2013</v>
      </c>
      <c r="C787" t="s">
        <v>4</v>
      </c>
      <c r="D787" t="s">
        <v>26</v>
      </c>
      <c r="E787" t="s">
        <v>40</v>
      </c>
      <c r="F787" t="s">
        <v>16</v>
      </c>
      <c r="G787" s="7">
        <v>336</v>
      </c>
      <c r="H787" s="2">
        <v>2602650.6589393602</v>
      </c>
    </row>
    <row r="788" spans="1:8" x14ac:dyDescent="0.25">
      <c r="A788" t="str">
        <f t="shared" si="12"/>
        <v>201325-44</v>
      </c>
      <c r="B788">
        <v>2013</v>
      </c>
      <c r="C788" t="s">
        <v>3</v>
      </c>
      <c r="D788" t="s">
        <v>26</v>
      </c>
      <c r="E788" t="s">
        <v>40</v>
      </c>
      <c r="F788" t="s">
        <v>16</v>
      </c>
      <c r="G788" s="7">
        <v>474</v>
      </c>
      <c r="H788" s="2">
        <v>4442157.0636299504</v>
      </c>
    </row>
    <row r="789" spans="1:8" x14ac:dyDescent="0.25">
      <c r="A789" t="str">
        <f t="shared" si="12"/>
        <v>201345-64</v>
      </c>
      <c r="B789">
        <v>2013</v>
      </c>
      <c r="C789" t="s">
        <v>2</v>
      </c>
      <c r="D789" t="s">
        <v>26</v>
      </c>
      <c r="E789" t="s">
        <v>40</v>
      </c>
      <c r="F789" t="s">
        <v>16</v>
      </c>
      <c r="G789" s="7">
        <v>293</v>
      </c>
      <c r="H789" s="2">
        <v>2752738.9724179399</v>
      </c>
    </row>
    <row r="790" spans="1:8" x14ac:dyDescent="0.25">
      <c r="A790" t="str">
        <f t="shared" si="12"/>
        <v>20135-14</v>
      </c>
      <c r="B790">
        <v>2013</v>
      </c>
      <c r="C790" t="s">
        <v>5</v>
      </c>
      <c r="D790" t="s">
        <v>26</v>
      </c>
      <c r="E790" t="s">
        <v>40</v>
      </c>
      <c r="F790" t="s">
        <v>16</v>
      </c>
      <c r="G790" s="7">
        <v>157</v>
      </c>
      <c r="H790" s="2">
        <v>2699988.6782491799</v>
      </c>
    </row>
    <row r="791" spans="1:8" x14ac:dyDescent="0.25">
      <c r="A791" t="str">
        <f t="shared" si="12"/>
        <v>201365-74</v>
      </c>
      <c r="B791">
        <v>2013</v>
      </c>
      <c r="C791" t="s">
        <v>1</v>
      </c>
      <c r="D791" t="s">
        <v>26</v>
      </c>
      <c r="E791" t="s">
        <v>40</v>
      </c>
      <c r="F791" t="s">
        <v>16</v>
      </c>
      <c r="G791" s="7">
        <v>106</v>
      </c>
      <c r="H791" s="2">
        <v>606480.27141564596</v>
      </c>
    </row>
    <row r="792" spans="1:8" x14ac:dyDescent="0.25">
      <c r="A792" t="str">
        <f t="shared" si="12"/>
        <v>201375+</v>
      </c>
      <c r="B792">
        <v>2013</v>
      </c>
      <c r="C792" t="s">
        <v>0</v>
      </c>
      <c r="D792" t="s">
        <v>26</v>
      </c>
      <c r="E792" t="s">
        <v>40</v>
      </c>
      <c r="F792" t="s">
        <v>16</v>
      </c>
      <c r="G792" s="7">
        <v>304</v>
      </c>
      <c r="H792" s="2">
        <v>411257.72175729403</v>
      </c>
    </row>
    <row r="793" spans="1:8" x14ac:dyDescent="0.25">
      <c r="A793" t="str">
        <f t="shared" si="12"/>
        <v>20140-4</v>
      </c>
      <c r="B793">
        <v>2014</v>
      </c>
      <c r="C793" t="s">
        <v>6</v>
      </c>
      <c r="D793" t="s">
        <v>26</v>
      </c>
      <c r="E793" t="s">
        <v>40</v>
      </c>
      <c r="F793" t="s">
        <v>16</v>
      </c>
      <c r="G793" s="7">
        <v>249</v>
      </c>
      <c r="H793" s="2">
        <v>1331891</v>
      </c>
    </row>
    <row r="794" spans="1:8" x14ac:dyDescent="0.25">
      <c r="A794" t="str">
        <f t="shared" si="12"/>
        <v>201415-24</v>
      </c>
      <c r="B794">
        <v>2014</v>
      </c>
      <c r="C794" t="s">
        <v>4</v>
      </c>
      <c r="D794" t="s">
        <v>26</v>
      </c>
      <c r="E794" t="s">
        <v>40</v>
      </c>
      <c r="F794" t="s">
        <v>16</v>
      </c>
      <c r="G794" s="7">
        <v>305</v>
      </c>
      <c r="H794" s="2">
        <v>2610538</v>
      </c>
    </row>
    <row r="795" spans="1:8" x14ac:dyDescent="0.25">
      <c r="A795" t="str">
        <f t="shared" si="12"/>
        <v>201425-44</v>
      </c>
      <c r="B795">
        <v>2014</v>
      </c>
      <c r="C795" t="s">
        <v>3</v>
      </c>
      <c r="D795" t="s">
        <v>26</v>
      </c>
      <c r="E795" t="s">
        <v>40</v>
      </c>
      <c r="F795" t="s">
        <v>16</v>
      </c>
      <c r="G795" s="7">
        <v>453</v>
      </c>
      <c r="H795" s="2">
        <v>4511948</v>
      </c>
    </row>
    <row r="796" spans="1:8" x14ac:dyDescent="0.25">
      <c r="A796" t="str">
        <f t="shared" si="12"/>
        <v>201445-64</v>
      </c>
      <c r="B796">
        <v>2014</v>
      </c>
      <c r="C796" t="s">
        <v>2</v>
      </c>
      <c r="D796" t="s">
        <v>26</v>
      </c>
      <c r="E796" t="s">
        <v>40</v>
      </c>
      <c r="F796" t="s">
        <v>16</v>
      </c>
      <c r="G796" s="7">
        <v>331</v>
      </c>
      <c r="H796" s="2">
        <v>2845267</v>
      </c>
    </row>
    <row r="797" spans="1:8" x14ac:dyDescent="0.25">
      <c r="A797" t="str">
        <f t="shared" si="12"/>
        <v>20145-14</v>
      </c>
      <c r="B797">
        <v>2014</v>
      </c>
      <c r="C797" t="s">
        <v>5</v>
      </c>
      <c r="D797" t="s">
        <v>26</v>
      </c>
      <c r="E797" t="s">
        <v>40</v>
      </c>
      <c r="F797" t="s">
        <v>16</v>
      </c>
      <c r="G797" s="7">
        <v>132</v>
      </c>
      <c r="H797" s="2">
        <v>2704490</v>
      </c>
    </row>
    <row r="798" spans="1:8" x14ac:dyDescent="0.25">
      <c r="A798" t="str">
        <f t="shared" si="12"/>
        <v>201465-74</v>
      </c>
      <c r="B798">
        <v>2014</v>
      </c>
      <c r="C798" t="s">
        <v>1</v>
      </c>
      <c r="D798" t="s">
        <v>26</v>
      </c>
      <c r="E798" t="s">
        <v>40</v>
      </c>
      <c r="F798" t="s">
        <v>16</v>
      </c>
      <c r="G798" s="7">
        <v>118</v>
      </c>
      <c r="H798" s="2">
        <v>631943</v>
      </c>
    </row>
    <row r="799" spans="1:8" x14ac:dyDescent="0.25">
      <c r="A799" t="str">
        <f t="shared" si="12"/>
        <v>201475+</v>
      </c>
      <c r="B799">
        <v>2014</v>
      </c>
      <c r="C799" t="s">
        <v>0</v>
      </c>
      <c r="D799" t="s">
        <v>26</v>
      </c>
      <c r="E799" t="s">
        <v>40</v>
      </c>
      <c r="F799" t="s">
        <v>16</v>
      </c>
      <c r="G799" s="7">
        <v>310</v>
      </c>
      <c r="H799" s="2">
        <v>425486</v>
      </c>
    </row>
    <row r="800" spans="1:8" x14ac:dyDescent="0.25">
      <c r="A800" t="str">
        <f t="shared" si="12"/>
        <v>19960-4</v>
      </c>
      <c r="B800">
        <v>1996</v>
      </c>
      <c r="C800" t="s">
        <v>6</v>
      </c>
      <c r="D800" t="s">
        <v>26</v>
      </c>
      <c r="E800" t="s">
        <v>41</v>
      </c>
      <c r="F800" t="s">
        <v>15</v>
      </c>
      <c r="G800" s="7">
        <v>63</v>
      </c>
      <c r="H800" s="2">
        <v>1308550.7828250399</v>
      </c>
    </row>
    <row r="801" spans="1:8" x14ac:dyDescent="0.25">
      <c r="A801" t="str">
        <f t="shared" si="12"/>
        <v>199615-24</v>
      </c>
      <c r="B801">
        <v>1996</v>
      </c>
      <c r="C801" t="s">
        <v>4</v>
      </c>
      <c r="D801" t="s">
        <v>26</v>
      </c>
      <c r="E801" t="s">
        <v>41</v>
      </c>
      <c r="F801" t="s">
        <v>15</v>
      </c>
      <c r="G801" s="7">
        <v>17</v>
      </c>
      <c r="H801" s="2">
        <v>2136825.68729656</v>
      </c>
    </row>
    <row r="802" spans="1:8" x14ac:dyDescent="0.25">
      <c r="A802" t="str">
        <f t="shared" si="12"/>
        <v>199625-44</v>
      </c>
      <c r="B802">
        <v>1996</v>
      </c>
      <c r="C802" t="s">
        <v>3</v>
      </c>
      <c r="D802" t="s">
        <v>26</v>
      </c>
      <c r="E802" t="s">
        <v>41</v>
      </c>
      <c r="F802" t="s">
        <v>15</v>
      </c>
      <c r="G802" s="7">
        <v>50</v>
      </c>
      <c r="H802" s="2">
        <v>3245545.2890741802</v>
      </c>
    </row>
    <row r="803" spans="1:8" x14ac:dyDescent="0.25">
      <c r="A803" t="str">
        <f t="shared" si="12"/>
        <v>199645-64</v>
      </c>
      <c r="B803">
        <v>1996</v>
      </c>
      <c r="C803" t="s">
        <v>2</v>
      </c>
      <c r="D803" t="s">
        <v>26</v>
      </c>
      <c r="E803" t="s">
        <v>41</v>
      </c>
      <c r="F803" t="s">
        <v>15</v>
      </c>
      <c r="G803" s="7">
        <v>194</v>
      </c>
      <c r="H803" s="2">
        <v>1448877.9572723201</v>
      </c>
    </row>
    <row r="804" spans="1:8" x14ac:dyDescent="0.25">
      <c r="A804" t="str">
        <f t="shared" si="12"/>
        <v>19965-14</v>
      </c>
      <c r="B804">
        <v>1996</v>
      </c>
      <c r="C804" t="s">
        <v>5</v>
      </c>
      <c r="D804" t="s">
        <v>26</v>
      </c>
      <c r="E804" t="s">
        <v>41</v>
      </c>
      <c r="F804" t="s">
        <v>15</v>
      </c>
      <c r="G804" s="7">
        <v>8</v>
      </c>
      <c r="H804" s="2">
        <v>2617766.7452121698</v>
      </c>
    </row>
    <row r="805" spans="1:8" x14ac:dyDescent="0.25">
      <c r="A805" t="str">
        <f t="shared" si="12"/>
        <v>199665-74</v>
      </c>
      <c r="B805">
        <v>1996</v>
      </c>
      <c r="C805" t="s">
        <v>1</v>
      </c>
      <c r="D805" t="s">
        <v>26</v>
      </c>
      <c r="E805" t="s">
        <v>41</v>
      </c>
      <c r="F805" t="s">
        <v>15</v>
      </c>
      <c r="G805" s="7">
        <v>233</v>
      </c>
      <c r="H805" s="2">
        <v>373487.34083337098</v>
      </c>
    </row>
    <row r="806" spans="1:8" x14ac:dyDescent="0.25">
      <c r="A806" t="str">
        <f t="shared" si="12"/>
        <v>199675+</v>
      </c>
      <c r="B806">
        <v>1996</v>
      </c>
      <c r="C806" t="s">
        <v>0</v>
      </c>
      <c r="D806" t="s">
        <v>26</v>
      </c>
      <c r="E806" t="s">
        <v>41</v>
      </c>
      <c r="F806" t="s">
        <v>15</v>
      </c>
      <c r="G806" s="7">
        <v>555</v>
      </c>
      <c r="H806" s="2">
        <v>186458.585231801</v>
      </c>
    </row>
    <row r="807" spans="1:8" x14ac:dyDescent="0.25">
      <c r="A807" t="str">
        <f t="shared" si="12"/>
        <v>19970-4</v>
      </c>
      <c r="B807">
        <v>1997</v>
      </c>
      <c r="C807" t="s">
        <v>6</v>
      </c>
      <c r="D807" t="s">
        <v>26</v>
      </c>
      <c r="E807" t="s">
        <v>41</v>
      </c>
      <c r="F807" t="s">
        <v>15</v>
      </c>
      <c r="G807" s="7">
        <v>66</v>
      </c>
      <c r="H807" s="2">
        <v>1317732.8696950199</v>
      </c>
    </row>
    <row r="808" spans="1:8" x14ac:dyDescent="0.25">
      <c r="A808" t="str">
        <f t="shared" si="12"/>
        <v>199715-24</v>
      </c>
      <c r="B808">
        <v>1997</v>
      </c>
      <c r="C808" t="s">
        <v>4</v>
      </c>
      <c r="D808" t="s">
        <v>26</v>
      </c>
      <c r="E808" t="s">
        <v>41</v>
      </c>
      <c r="F808" t="s">
        <v>15</v>
      </c>
      <c r="G808" s="7">
        <v>11</v>
      </c>
      <c r="H808" s="2">
        <v>2190257.4123779298</v>
      </c>
    </row>
    <row r="809" spans="1:8" x14ac:dyDescent="0.25">
      <c r="A809" t="str">
        <f t="shared" si="12"/>
        <v>199725-44</v>
      </c>
      <c r="B809">
        <v>1997</v>
      </c>
      <c r="C809" t="s">
        <v>3</v>
      </c>
      <c r="D809" t="s">
        <v>26</v>
      </c>
      <c r="E809" t="s">
        <v>41</v>
      </c>
      <c r="F809" t="s">
        <v>15</v>
      </c>
      <c r="G809" s="7">
        <v>43</v>
      </c>
      <c r="H809" s="2">
        <v>3319788.9734445098</v>
      </c>
    </row>
    <row r="810" spans="1:8" x14ac:dyDescent="0.25">
      <c r="A810" t="str">
        <f t="shared" si="12"/>
        <v>199745-64</v>
      </c>
      <c r="B810">
        <v>1997</v>
      </c>
      <c r="C810" t="s">
        <v>2</v>
      </c>
      <c r="D810" t="s">
        <v>26</v>
      </c>
      <c r="E810" t="s">
        <v>41</v>
      </c>
      <c r="F810" t="s">
        <v>15</v>
      </c>
      <c r="G810" s="7">
        <v>160</v>
      </c>
      <c r="H810" s="2">
        <v>1494497.7743633899</v>
      </c>
    </row>
    <row r="811" spans="1:8" x14ac:dyDescent="0.25">
      <c r="A811" t="str">
        <f t="shared" si="12"/>
        <v>19975-14</v>
      </c>
      <c r="B811">
        <v>1997</v>
      </c>
      <c r="C811" t="s">
        <v>5</v>
      </c>
      <c r="D811" t="s">
        <v>26</v>
      </c>
      <c r="E811" t="s">
        <v>41</v>
      </c>
      <c r="F811" t="s">
        <v>15</v>
      </c>
      <c r="G811" s="7">
        <v>6</v>
      </c>
      <c r="H811" s="2">
        <v>2625110.0471272999</v>
      </c>
    </row>
    <row r="812" spans="1:8" x14ac:dyDescent="0.25">
      <c r="A812" t="str">
        <f t="shared" si="12"/>
        <v>199765-74</v>
      </c>
      <c r="B812">
        <v>1997</v>
      </c>
      <c r="C812" t="s">
        <v>1</v>
      </c>
      <c r="D812" t="s">
        <v>26</v>
      </c>
      <c r="E812" t="s">
        <v>41</v>
      </c>
      <c r="F812" t="s">
        <v>15</v>
      </c>
      <c r="G812" s="7">
        <v>241</v>
      </c>
      <c r="H812" s="2">
        <v>377918.60450002301</v>
      </c>
    </row>
    <row r="813" spans="1:8" x14ac:dyDescent="0.25">
      <c r="A813" t="str">
        <f t="shared" si="12"/>
        <v>199775+</v>
      </c>
      <c r="B813">
        <v>1997</v>
      </c>
      <c r="C813" t="s">
        <v>0</v>
      </c>
      <c r="D813" t="s">
        <v>26</v>
      </c>
      <c r="E813" t="s">
        <v>41</v>
      </c>
      <c r="F813" t="s">
        <v>15</v>
      </c>
      <c r="G813" s="7">
        <v>554</v>
      </c>
      <c r="H813" s="2">
        <v>197836.55113907999</v>
      </c>
    </row>
    <row r="814" spans="1:8" x14ac:dyDescent="0.25">
      <c r="A814" t="str">
        <f t="shared" si="12"/>
        <v>19980-4</v>
      </c>
      <c r="B814">
        <v>1998</v>
      </c>
      <c r="C814" t="s">
        <v>6</v>
      </c>
      <c r="D814" t="s">
        <v>26</v>
      </c>
      <c r="E814" t="s">
        <v>41</v>
      </c>
      <c r="F814" t="s">
        <v>15</v>
      </c>
      <c r="G814" s="7">
        <v>41</v>
      </c>
      <c r="H814" s="2">
        <v>1325697.93484751</v>
      </c>
    </row>
    <row r="815" spans="1:8" x14ac:dyDescent="0.25">
      <c r="A815" t="str">
        <f t="shared" si="12"/>
        <v>199815-24</v>
      </c>
      <c r="B815">
        <v>1998</v>
      </c>
      <c r="C815" t="s">
        <v>4</v>
      </c>
      <c r="D815" t="s">
        <v>26</v>
      </c>
      <c r="E815" t="s">
        <v>41</v>
      </c>
      <c r="F815" t="s">
        <v>15</v>
      </c>
      <c r="G815" s="7">
        <v>8</v>
      </c>
      <c r="H815" s="2">
        <v>2242694.2061889698</v>
      </c>
    </row>
    <row r="816" spans="1:8" x14ac:dyDescent="0.25">
      <c r="A816" t="str">
        <f t="shared" si="12"/>
        <v>199825-44</v>
      </c>
      <c r="B816">
        <v>1998</v>
      </c>
      <c r="C816" t="s">
        <v>3</v>
      </c>
      <c r="D816" t="s">
        <v>26</v>
      </c>
      <c r="E816" t="s">
        <v>41</v>
      </c>
      <c r="F816" t="s">
        <v>15</v>
      </c>
      <c r="G816" s="7">
        <v>31</v>
      </c>
      <c r="H816" s="2">
        <v>3392799.98672225</v>
      </c>
    </row>
    <row r="817" spans="1:8" x14ac:dyDescent="0.25">
      <c r="A817" t="str">
        <f t="shared" si="12"/>
        <v>199845-64</v>
      </c>
      <c r="B817">
        <v>1998</v>
      </c>
      <c r="C817" t="s">
        <v>2</v>
      </c>
      <c r="D817" t="s">
        <v>26</v>
      </c>
      <c r="E817" t="s">
        <v>41</v>
      </c>
      <c r="F817" t="s">
        <v>15</v>
      </c>
      <c r="G817" s="7">
        <v>230</v>
      </c>
      <c r="H817" s="2">
        <v>1544756.3871817</v>
      </c>
    </row>
    <row r="818" spans="1:8" x14ac:dyDescent="0.25">
      <c r="A818" t="str">
        <f t="shared" si="12"/>
        <v>19985-14</v>
      </c>
      <c r="B818">
        <v>1998</v>
      </c>
      <c r="C818" t="s">
        <v>5</v>
      </c>
      <c r="D818" t="s">
        <v>26</v>
      </c>
      <c r="E818" t="s">
        <v>41</v>
      </c>
      <c r="F818" t="s">
        <v>15</v>
      </c>
      <c r="G818" s="7">
        <v>8</v>
      </c>
      <c r="H818" s="2">
        <v>2628255.52356365</v>
      </c>
    </row>
    <row r="819" spans="1:8" x14ac:dyDescent="0.25">
      <c r="A819" t="str">
        <f t="shared" si="12"/>
        <v>199865-74</v>
      </c>
      <c r="B819">
        <v>1998</v>
      </c>
      <c r="C819" t="s">
        <v>1</v>
      </c>
      <c r="D819" t="s">
        <v>26</v>
      </c>
      <c r="E819" t="s">
        <v>41</v>
      </c>
      <c r="F819" t="s">
        <v>15</v>
      </c>
      <c r="G819" s="7">
        <v>283</v>
      </c>
      <c r="H819" s="2">
        <v>383636.80225001101</v>
      </c>
    </row>
    <row r="820" spans="1:8" x14ac:dyDescent="0.25">
      <c r="A820" t="str">
        <f t="shared" si="12"/>
        <v>199875+</v>
      </c>
      <c r="B820">
        <v>1998</v>
      </c>
      <c r="C820" t="s">
        <v>0</v>
      </c>
      <c r="D820" t="s">
        <v>26</v>
      </c>
      <c r="E820" t="s">
        <v>41</v>
      </c>
      <c r="F820" t="s">
        <v>15</v>
      </c>
      <c r="G820" s="7">
        <v>646</v>
      </c>
      <c r="H820" s="2">
        <v>210840.77556954001</v>
      </c>
    </row>
    <row r="821" spans="1:8" x14ac:dyDescent="0.25">
      <c r="A821" t="str">
        <f t="shared" si="12"/>
        <v>19990-4</v>
      </c>
      <c r="B821">
        <v>1999</v>
      </c>
      <c r="C821" t="s">
        <v>6</v>
      </c>
      <c r="D821" t="s">
        <v>26</v>
      </c>
      <c r="E821" t="s">
        <v>41</v>
      </c>
      <c r="F821" t="s">
        <v>15</v>
      </c>
      <c r="G821" s="7">
        <v>54</v>
      </c>
      <c r="H821" s="2">
        <v>1332528.9782825001</v>
      </c>
    </row>
    <row r="822" spans="1:8" x14ac:dyDescent="0.25">
      <c r="A822" t="str">
        <f t="shared" si="12"/>
        <v>199915-24</v>
      </c>
      <c r="B822">
        <v>1999</v>
      </c>
      <c r="C822" t="s">
        <v>4</v>
      </c>
      <c r="D822" t="s">
        <v>26</v>
      </c>
      <c r="E822" t="s">
        <v>41</v>
      </c>
      <c r="F822" t="s">
        <v>15</v>
      </c>
      <c r="G822" s="7">
        <v>9</v>
      </c>
      <c r="H822" s="2">
        <v>2293434.06872966</v>
      </c>
    </row>
    <row r="823" spans="1:8" x14ac:dyDescent="0.25">
      <c r="A823" t="str">
        <f t="shared" si="12"/>
        <v>199925-44</v>
      </c>
      <c r="B823">
        <v>1999</v>
      </c>
      <c r="C823" t="s">
        <v>3</v>
      </c>
      <c r="D823" t="s">
        <v>26</v>
      </c>
      <c r="E823" t="s">
        <v>41</v>
      </c>
      <c r="F823" t="s">
        <v>15</v>
      </c>
      <c r="G823" s="7">
        <v>40</v>
      </c>
      <c r="H823" s="2">
        <v>3464730.3289074199</v>
      </c>
    </row>
    <row r="824" spans="1:8" x14ac:dyDescent="0.25">
      <c r="A824" t="str">
        <f t="shared" si="12"/>
        <v>199945-64</v>
      </c>
      <c r="B824">
        <v>1999</v>
      </c>
      <c r="C824" t="s">
        <v>2</v>
      </c>
      <c r="D824" t="s">
        <v>26</v>
      </c>
      <c r="E824" t="s">
        <v>41</v>
      </c>
      <c r="F824" t="s">
        <v>15</v>
      </c>
      <c r="G824" s="7">
        <v>250</v>
      </c>
      <c r="H824" s="2">
        <v>1599513.7957272299</v>
      </c>
    </row>
    <row r="825" spans="1:8" x14ac:dyDescent="0.25">
      <c r="A825" t="str">
        <f t="shared" si="12"/>
        <v>19995-14</v>
      </c>
      <c r="B825">
        <v>1999</v>
      </c>
      <c r="C825" t="s">
        <v>5</v>
      </c>
      <c r="D825" t="s">
        <v>26</v>
      </c>
      <c r="E825" t="s">
        <v>41</v>
      </c>
      <c r="F825" t="s">
        <v>15</v>
      </c>
      <c r="G825" s="7">
        <v>7</v>
      </c>
      <c r="H825" s="2">
        <v>2628380.1745212199</v>
      </c>
    </row>
    <row r="826" spans="1:8" x14ac:dyDescent="0.25">
      <c r="A826" t="str">
        <f t="shared" si="12"/>
        <v>199965-74</v>
      </c>
      <c r="B826">
        <v>1999</v>
      </c>
      <c r="C826" t="s">
        <v>1</v>
      </c>
      <c r="D826" t="s">
        <v>26</v>
      </c>
      <c r="E826" t="s">
        <v>41</v>
      </c>
      <c r="F826" t="s">
        <v>15</v>
      </c>
      <c r="G826" s="7">
        <v>289</v>
      </c>
      <c r="H826" s="2">
        <v>390568.93408333702</v>
      </c>
    </row>
    <row r="827" spans="1:8" x14ac:dyDescent="0.25">
      <c r="A827" t="str">
        <f t="shared" si="12"/>
        <v>199975+</v>
      </c>
      <c r="B827">
        <v>1999</v>
      </c>
      <c r="C827" t="s">
        <v>0</v>
      </c>
      <c r="D827" t="s">
        <v>26</v>
      </c>
      <c r="E827" t="s">
        <v>41</v>
      </c>
      <c r="F827" t="s">
        <v>15</v>
      </c>
      <c r="G827" s="7">
        <v>727</v>
      </c>
      <c r="H827" s="2">
        <v>225043.25852318</v>
      </c>
    </row>
    <row r="828" spans="1:8" x14ac:dyDescent="0.25">
      <c r="A828" t="str">
        <f t="shared" si="12"/>
        <v>20000-4</v>
      </c>
      <c r="B828">
        <v>2000</v>
      </c>
      <c r="C828" t="s">
        <v>6</v>
      </c>
      <c r="D828" t="s">
        <v>26</v>
      </c>
      <c r="E828" t="s">
        <v>41</v>
      </c>
      <c r="F828" t="s">
        <v>15</v>
      </c>
      <c r="G828" s="7">
        <v>56</v>
      </c>
      <c r="H828" s="2">
        <v>1338309</v>
      </c>
    </row>
    <row r="829" spans="1:8" x14ac:dyDescent="0.25">
      <c r="A829" t="str">
        <f t="shared" si="12"/>
        <v>200015-24</v>
      </c>
      <c r="B829">
        <v>2000</v>
      </c>
      <c r="C829" t="s">
        <v>4</v>
      </c>
      <c r="D829" t="s">
        <v>26</v>
      </c>
      <c r="E829" t="s">
        <v>41</v>
      </c>
      <c r="F829" t="s">
        <v>15</v>
      </c>
      <c r="G829" s="7">
        <v>8</v>
      </c>
      <c r="H829" s="2">
        <v>2341775</v>
      </c>
    </row>
    <row r="830" spans="1:8" x14ac:dyDescent="0.25">
      <c r="A830" t="str">
        <f t="shared" si="12"/>
        <v>200025-44</v>
      </c>
      <c r="B830">
        <v>2000</v>
      </c>
      <c r="C830" t="s">
        <v>3</v>
      </c>
      <c r="D830" t="s">
        <v>26</v>
      </c>
      <c r="E830" t="s">
        <v>41</v>
      </c>
      <c r="F830" t="s">
        <v>15</v>
      </c>
      <c r="G830" s="7">
        <v>44</v>
      </c>
      <c r="H830" s="2">
        <v>3535732</v>
      </c>
    </row>
    <row r="831" spans="1:8" x14ac:dyDescent="0.25">
      <c r="A831" t="str">
        <f t="shared" si="12"/>
        <v>200045-64</v>
      </c>
      <c r="B831">
        <v>2000</v>
      </c>
      <c r="C831" t="s">
        <v>2</v>
      </c>
      <c r="D831" t="s">
        <v>26</v>
      </c>
      <c r="E831" t="s">
        <v>41</v>
      </c>
      <c r="F831" t="s">
        <v>15</v>
      </c>
      <c r="G831" s="7">
        <v>195</v>
      </c>
      <c r="H831" s="2">
        <v>1658630</v>
      </c>
    </row>
    <row r="832" spans="1:8" x14ac:dyDescent="0.25">
      <c r="A832" t="str">
        <f t="shared" si="12"/>
        <v>20005-14</v>
      </c>
      <c r="B832">
        <v>2000</v>
      </c>
      <c r="C832" t="s">
        <v>5</v>
      </c>
      <c r="D832" t="s">
        <v>26</v>
      </c>
      <c r="E832" t="s">
        <v>41</v>
      </c>
      <c r="F832" t="s">
        <v>15</v>
      </c>
      <c r="G832" s="7">
        <v>4</v>
      </c>
      <c r="H832" s="2">
        <v>2626661</v>
      </c>
    </row>
    <row r="833" spans="1:8" x14ac:dyDescent="0.25">
      <c r="A833" t="str">
        <f t="shared" si="12"/>
        <v>200065-74</v>
      </c>
      <c r="B833">
        <v>2000</v>
      </c>
      <c r="C833" t="s">
        <v>1</v>
      </c>
      <c r="D833" t="s">
        <v>26</v>
      </c>
      <c r="E833" t="s">
        <v>41</v>
      </c>
      <c r="F833" t="s">
        <v>15</v>
      </c>
      <c r="G833" s="7">
        <v>276</v>
      </c>
      <c r="H833" s="2">
        <v>398642</v>
      </c>
    </row>
    <row r="834" spans="1:8" x14ac:dyDescent="0.25">
      <c r="A834" t="str">
        <f t="shared" ref="A834:A897" si="13">+CONCATENATE(B834,C834)</f>
        <v>200075+</v>
      </c>
      <c r="B834">
        <v>2000</v>
      </c>
      <c r="C834" t="s">
        <v>0</v>
      </c>
      <c r="D834" t="s">
        <v>26</v>
      </c>
      <c r="E834" t="s">
        <v>41</v>
      </c>
      <c r="F834" t="s">
        <v>15</v>
      </c>
      <c r="G834" s="7">
        <v>637</v>
      </c>
      <c r="H834" s="2">
        <v>240016</v>
      </c>
    </row>
    <row r="835" spans="1:8" x14ac:dyDescent="0.25">
      <c r="A835" t="str">
        <f t="shared" si="13"/>
        <v>20010-4</v>
      </c>
      <c r="B835">
        <v>2001</v>
      </c>
      <c r="C835" t="s">
        <v>6</v>
      </c>
      <c r="D835" t="s">
        <v>26</v>
      </c>
      <c r="E835" t="s">
        <v>41</v>
      </c>
      <c r="F835" t="s">
        <v>15</v>
      </c>
      <c r="G835" s="7">
        <v>20</v>
      </c>
      <c r="H835" s="2">
        <v>1343121</v>
      </c>
    </row>
    <row r="836" spans="1:8" x14ac:dyDescent="0.25">
      <c r="A836" t="str">
        <f t="shared" si="13"/>
        <v>200115-24</v>
      </c>
      <c r="B836">
        <v>2001</v>
      </c>
      <c r="C836" t="s">
        <v>4</v>
      </c>
      <c r="D836" t="s">
        <v>26</v>
      </c>
      <c r="E836" t="s">
        <v>41</v>
      </c>
      <c r="F836" t="s">
        <v>15</v>
      </c>
      <c r="G836" s="7">
        <v>8</v>
      </c>
      <c r="H836" s="2">
        <v>2387015</v>
      </c>
    </row>
    <row r="837" spans="1:8" x14ac:dyDescent="0.25">
      <c r="A837" t="str">
        <f t="shared" si="13"/>
        <v>200125-44</v>
      </c>
      <c r="B837">
        <v>2001</v>
      </c>
      <c r="C837" t="s">
        <v>3</v>
      </c>
      <c r="D837" t="s">
        <v>26</v>
      </c>
      <c r="E837" t="s">
        <v>41</v>
      </c>
      <c r="F837" t="s">
        <v>15</v>
      </c>
      <c r="G837" s="7">
        <v>51</v>
      </c>
      <c r="H837" s="2">
        <v>3605957</v>
      </c>
    </row>
    <row r="838" spans="1:8" x14ac:dyDescent="0.25">
      <c r="A838" t="str">
        <f t="shared" si="13"/>
        <v>200145-64</v>
      </c>
      <c r="B838">
        <v>2001</v>
      </c>
      <c r="C838" t="s">
        <v>2</v>
      </c>
      <c r="D838" t="s">
        <v>26</v>
      </c>
      <c r="E838" t="s">
        <v>41</v>
      </c>
      <c r="F838" t="s">
        <v>15</v>
      </c>
      <c r="G838" s="7">
        <v>232</v>
      </c>
      <c r="H838" s="2">
        <v>1721965</v>
      </c>
    </row>
    <row r="839" spans="1:8" x14ac:dyDescent="0.25">
      <c r="A839" t="str">
        <f t="shared" si="13"/>
        <v>20015-14</v>
      </c>
      <c r="B839">
        <v>2001</v>
      </c>
      <c r="C839" t="s">
        <v>5</v>
      </c>
      <c r="D839" t="s">
        <v>26</v>
      </c>
      <c r="E839" t="s">
        <v>41</v>
      </c>
      <c r="F839" t="s">
        <v>15</v>
      </c>
      <c r="G839" s="7">
        <v>12</v>
      </c>
      <c r="H839" s="2">
        <v>2624275</v>
      </c>
    </row>
    <row r="840" spans="1:8" x14ac:dyDescent="0.25">
      <c r="A840" t="str">
        <f t="shared" si="13"/>
        <v>200165-74</v>
      </c>
      <c r="B840">
        <v>2001</v>
      </c>
      <c r="C840" t="s">
        <v>1</v>
      </c>
      <c r="D840" t="s">
        <v>26</v>
      </c>
      <c r="E840" t="s">
        <v>41</v>
      </c>
      <c r="F840" t="s">
        <v>15</v>
      </c>
      <c r="G840" s="7">
        <v>326</v>
      </c>
      <c r="H840" s="2">
        <v>407783</v>
      </c>
    </row>
    <row r="841" spans="1:8" x14ac:dyDescent="0.25">
      <c r="A841" t="str">
        <f t="shared" si="13"/>
        <v>200175+</v>
      </c>
      <c r="B841">
        <v>2001</v>
      </c>
      <c r="C841" t="s">
        <v>0</v>
      </c>
      <c r="D841" t="s">
        <v>26</v>
      </c>
      <c r="E841" t="s">
        <v>41</v>
      </c>
      <c r="F841" t="s">
        <v>15</v>
      </c>
      <c r="G841" s="7">
        <v>835</v>
      </c>
      <c r="H841" s="2">
        <v>255331</v>
      </c>
    </row>
    <row r="842" spans="1:8" x14ac:dyDescent="0.25">
      <c r="A842" t="str">
        <f t="shared" si="13"/>
        <v>20020-4</v>
      </c>
      <c r="B842">
        <v>2002</v>
      </c>
      <c r="C842" t="s">
        <v>6</v>
      </c>
      <c r="D842" t="s">
        <v>26</v>
      </c>
      <c r="E842" t="s">
        <v>41</v>
      </c>
      <c r="F842" t="s">
        <v>15</v>
      </c>
      <c r="G842" s="7">
        <v>27</v>
      </c>
      <c r="H842" s="2">
        <v>1347045</v>
      </c>
    </row>
    <row r="843" spans="1:8" x14ac:dyDescent="0.25">
      <c r="A843" t="str">
        <f t="shared" si="13"/>
        <v>200215-24</v>
      </c>
      <c r="B843">
        <v>2002</v>
      </c>
      <c r="C843" t="s">
        <v>4</v>
      </c>
      <c r="D843" t="s">
        <v>26</v>
      </c>
      <c r="E843" t="s">
        <v>41</v>
      </c>
      <c r="F843" t="s">
        <v>15</v>
      </c>
      <c r="G843" s="7">
        <v>15</v>
      </c>
      <c r="H843" s="2">
        <v>2428415</v>
      </c>
    </row>
    <row r="844" spans="1:8" x14ac:dyDescent="0.25">
      <c r="A844" t="str">
        <f t="shared" si="13"/>
        <v>200225-44</v>
      </c>
      <c r="B844">
        <v>2002</v>
      </c>
      <c r="C844" t="s">
        <v>3</v>
      </c>
      <c r="D844" t="s">
        <v>26</v>
      </c>
      <c r="E844" t="s">
        <v>41</v>
      </c>
      <c r="F844" t="s">
        <v>15</v>
      </c>
      <c r="G844" s="7">
        <v>52</v>
      </c>
      <c r="H844" s="2">
        <v>3675559</v>
      </c>
    </row>
    <row r="845" spans="1:8" x14ac:dyDescent="0.25">
      <c r="A845" t="str">
        <f t="shared" si="13"/>
        <v>200245-64</v>
      </c>
      <c r="B845">
        <v>2002</v>
      </c>
      <c r="C845" t="s">
        <v>2</v>
      </c>
      <c r="D845" t="s">
        <v>26</v>
      </c>
      <c r="E845" t="s">
        <v>41</v>
      </c>
      <c r="F845" t="s">
        <v>15</v>
      </c>
      <c r="G845" s="7">
        <v>197</v>
      </c>
      <c r="H845" s="2">
        <v>1789361</v>
      </c>
    </row>
    <row r="846" spans="1:8" x14ac:dyDescent="0.25">
      <c r="A846" t="str">
        <f t="shared" si="13"/>
        <v>20025-14</v>
      </c>
      <c r="B846">
        <v>2002</v>
      </c>
      <c r="C846" t="s">
        <v>5</v>
      </c>
      <c r="D846" t="s">
        <v>26</v>
      </c>
      <c r="E846" t="s">
        <v>41</v>
      </c>
      <c r="F846" t="s">
        <v>15</v>
      </c>
      <c r="G846" s="7">
        <v>8</v>
      </c>
      <c r="H846" s="2">
        <v>2622422</v>
      </c>
    </row>
    <row r="847" spans="1:8" x14ac:dyDescent="0.25">
      <c r="A847" t="str">
        <f t="shared" si="13"/>
        <v>200265-74</v>
      </c>
      <c r="B847">
        <v>2002</v>
      </c>
      <c r="C847" t="s">
        <v>1</v>
      </c>
      <c r="D847" t="s">
        <v>26</v>
      </c>
      <c r="E847" t="s">
        <v>41</v>
      </c>
      <c r="F847" t="s">
        <v>15</v>
      </c>
      <c r="G847" s="7">
        <v>277</v>
      </c>
      <c r="H847" s="2">
        <v>417907</v>
      </c>
    </row>
    <row r="848" spans="1:8" x14ac:dyDescent="0.25">
      <c r="A848" t="str">
        <f t="shared" si="13"/>
        <v>200275+</v>
      </c>
      <c r="B848">
        <v>2002</v>
      </c>
      <c r="C848" t="s">
        <v>0</v>
      </c>
      <c r="D848" t="s">
        <v>26</v>
      </c>
      <c r="E848" t="s">
        <v>41</v>
      </c>
      <c r="F848" t="s">
        <v>15</v>
      </c>
      <c r="G848" s="7">
        <v>732</v>
      </c>
      <c r="H848" s="2">
        <v>270538</v>
      </c>
    </row>
    <row r="849" spans="1:8" x14ac:dyDescent="0.25">
      <c r="A849" t="str">
        <f t="shared" si="13"/>
        <v>20030-4</v>
      </c>
      <c r="B849">
        <v>2003</v>
      </c>
      <c r="C849" t="s">
        <v>6</v>
      </c>
      <c r="D849" t="s">
        <v>26</v>
      </c>
      <c r="E849" t="s">
        <v>41</v>
      </c>
      <c r="F849" t="s">
        <v>15</v>
      </c>
      <c r="G849" s="7">
        <v>43</v>
      </c>
      <c r="H849" s="2">
        <v>1350164</v>
      </c>
    </row>
    <row r="850" spans="1:8" x14ac:dyDescent="0.25">
      <c r="A850" t="str">
        <f t="shared" si="13"/>
        <v>200315-24</v>
      </c>
      <c r="B850">
        <v>2003</v>
      </c>
      <c r="C850" t="s">
        <v>4</v>
      </c>
      <c r="D850" t="s">
        <v>26</v>
      </c>
      <c r="E850" t="s">
        <v>41</v>
      </c>
      <c r="F850" t="s">
        <v>15</v>
      </c>
      <c r="G850" s="7">
        <v>8</v>
      </c>
      <c r="H850" s="2">
        <v>2465273</v>
      </c>
    </row>
    <row r="851" spans="1:8" x14ac:dyDescent="0.25">
      <c r="A851" t="str">
        <f t="shared" si="13"/>
        <v>200325-44</v>
      </c>
      <c r="B851">
        <v>2003</v>
      </c>
      <c r="C851" t="s">
        <v>3</v>
      </c>
      <c r="D851" t="s">
        <v>26</v>
      </c>
      <c r="E851" t="s">
        <v>41</v>
      </c>
      <c r="F851" t="s">
        <v>15</v>
      </c>
      <c r="G851" s="7">
        <v>41</v>
      </c>
      <c r="H851" s="2">
        <v>3744690</v>
      </c>
    </row>
    <row r="852" spans="1:8" x14ac:dyDescent="0.25">
      <c r="A852" t="str">
        <f t="shared" si="13"/>
        <v>200345-64</v>
      </c>
      <c r="B852">
        <v>2003</v>
      </c>
      <c r="C852" t="s">
        <v>2</v>
      </c>
      <c r="D852" t="s">
        <v>26</v>
      </c>
      <c r="E852" t="s">
        <v>41</v>
      </c>
      <c r="F852" t="s">
        <v>15</v>
      </c>
      <c r="G852" s="7">
        <v>221</v>
      </c>
      <c r="H852" s="2">
        <v>1860678</v>
      </c>
    </row>
    <row r="853" spans="1:8" x14ac:dyDescent="0.25">
      <c r="A853" t="str">
        <f t="shared" si="13"/>
        <v>20035-14</v>
      </c>
      <c r="B853">
        <v>2003</v>
      </c>
      <c r="C853" t="s">
        <v>5</v>
      </c>
      <c r="D853" t="s">
        <v>26</v>
      </c>
      <c r="E853" t="s">
        <v>41</v>
      </c>
      <c r="F853" t="s">
        <v>15</v>
      </c>
      <c r="G853" s="7">
        <v>9</v>
      </c>
      <c r="H853" s="2">
        <v>2622279</v>
      </c>
    </row>
    <row r="854" spans="1:8" x14ac:dyDescent="0.25">
      <c r="A854" t="str">
        <f t="shared" si="13"/>
        <v>200365-74</v>
      </c>
      <c r="B854">
        <v>2003</v>
      </c>
      <c r="C854" t="s">
        <v>1</v>
      </c>
      <c r="D854" t="s">
        <v>26</v>
      </c>
      <c r="E854" t="s">
        <v>41</v>
      </c>
      <c r="F854" t="s">
        <v>15</v>
      </c>
      <c r="G854" s="7">
        <v>316</v>
      </c>
      <c r="H854" s="2">
        <v>428941</v>
      </c>
    </row>
    <row r="855" spans="1:8" x14ac:dyDescent="0.25">
      <c r="A855" t="str">
        <f t="shared" si="13"/>
        <v>200375+</v>
      </c>
      <c r="B855">
        <v>2003</v>
      </c>
      <c r="C855" t="s">
        <v>0</v>
      </c>
      <c r="D855" t="s">
        <v>26</v>
      </c>
      <c r="E855" t="s">
        <v>41</v>
      </c>
      <c r="F855" t="s">
        <v>15</v>
      </c>
      <c r="G855" s="7">
        <v>907</v>
      </c>
      <c r="H855" s="2">
        <v>285209</v>
      </c>
    </row>
    <row r="856" spans="1:8" x14ac:dyDescent="0.25">
      <c r="A856" t="str">
        <f t="shared" si="13"/>
        <v>20040-4</v>
      </c>
      <c r="B856">
        <v>2004</v>
      </c>
      <c r="C856" t="s">
        <v>6</v>
      </c>
      <c r="D856" t="s">
        <v>26</v>
      </c>
      <c r="E856" t="s">
        <v>41</v>
      </c>
      <c r="F856" t="s">
        <v>15</v>
      </c>
      <c r="G856" s="7">
        <v>29</v>
      </c>
      <c r="H856" s="2">
        <v>1352508</v>
      </c>
    </row>
    <row r="857" spans="1:8" x14ac:dyDescent="0.25">
      <c r="A857" t="str">
        <f t="shared" si="13"/>
        <v>200415-24</v>
      </c>
      <c r="B857">
        <v>2004</v>
      </c>
      <c r="C857" t="s">
        <v>4</v>
      </c>
      <c r="D857" t="s">
        <v>26</v>
      </c>
      <c r="E857" t="s">
        <v>41</v>
      </c>
      <c r="F857" t="s">
        <v>15</v>
      </c>
      <c r="G857" s="7">
        <v>8</v>
      </c>
      <c r="H857" s="2">
        <v>2497409</v>
      </c>
    </row>
    <row r="858" spans="1:8" x14ac:dyDescent="0.25">
      <c r="A858" t="str">
        <f t="shared" si="13"/>
        <v>200425-44</v>
      </c>
      <c r="B858">
        <v>2004</v>
      </c>
      <c r="C858" t="s">
        <v>3</v>
      </c>
      <c r="D858" t="s">
        <v>26</v>
      </c>
      <c r="E858" t="s">
        <v>41</v>
      </c>
      <c r="F858" t="s">
        <v>15</v>
      </c>
      <c r="G858" s="7">
        <v>39</v>
      </c>
      <c r="H858" s="2">
        <v>3813358</v>
      </c>
    </row>
    <row r="859" spans="1:8" x14ac:dyDescent="0.25">
      <c r="A859" t="str">
        <f t="shared" si="13"/>
        <v>200445-64</v>
      </c>
      <c r="B859">
        <v>2004</v>
      </c>
      <c r="C859" t="s">
        <v>2</v>
      </c>
      <c r="D859" t="s">
        <v>26</v>
      </c>
      <c r="E859" t="s">
        <v>41</v>
      </c>
      <c r="F859" t="s">
        <v>15</v>
      </c>
      <c r="G859" s="7">
        <v>207</v>
      </c>
      <c r="H859" s="2">
        <v>1936129</v>
      </c>
    </row>
    <row r="860" spans="1:8" x14ac:dyDescent="0.25">
      <c r="A860" t="str">
        <f t="shared" si="13"/>
        <v>20045-14</v>
      </c>
      <c r="B860">
        <v>2004</v>
      </c>
      <c r="C860" t="s">
        <v>5</v>
      </c>
      <c r="D860" t="s">
        <v>26</v>
      </c>
      <c r="E860" t="s">
        <v>41</v>
      </c>
      <c r="F860" t="s">
        <v>15</v>
      </c>
      <c r="G860" s="7">
        <v>12</v>
      </c>
      <c r="H860" s="2">
        <v>2624530</v>
      </c>
    </row>
    <row r="861" spans="1:8" x14ac:dyDescent="0.25">
      <c r="A861" t="str">
        <f t="shared" si="13"/>
        <v>200465-74</v>
      </c>
      <c r="B861">
        <v>2004</v>
      </c>
      <c r="C861" t="s">
        <v>1</v>
      </c>
      <c r="D861" t="s">
        <v>26</v>
      </c>
      <c r="E861" t="s">
        <v>41</v>
      </c>
      <c r="F861" t="s">
        <v>15</v>
      </c>
      <c r="G861" s="7">
        <v>298</v>
      </c>
      <c r="H861" s="2">
        <v>441018</v>
      </c>
    </row>
    <row r="862" spans="1:8" x14ac:dyDescent="0.25">
      <c r="A862" t="str">
        <f t="shared" si="13"/>
        <v>200475+</v>
      </c>
      <c r="B862">
        <v>2004</v>
      </c>
      <c r="C862" t="s">
        <v>0</v>
      </c>
      <c r="D862" t="s">
        <v>26</v>
      </c>
      <c r="E862" t="s">
        <v>41</v>
      </c>
      <c r="F862" t="s">
        <v>15</v>
      </c>
      <c r="G862" s="7">
        <v>842</v>
      </c>
      <c r="H862" s="2">
        <v>299301</v>
      </c>
    </row>
    <row r="863" spans="1:8" x14ac:dyDescent="0.25">
      <c r="A863" t="str">
        <f t="shared" si="13"/>
        <v>20050-4</v>
      </c>
      <c r="B863">
        <v>2005</v>
      </c>
      <c r="C863" t="s">
        <v>6</v>
      </c>
      <c r="D863" t="s">
        <v>26</v>
      </c>
      <c r="E863" t="s">
        <v>41</v>
      </c>
      <c r="F863" t="s">
        <v>15</v>
      </c>
      <c r="G863" s="7">
        <v>9</v>
      </c>
      <c r="H863" s="2">
        <v>1353852</v>
      </c>
    </row>
    <row r="864" spans="1:8" x14ac:dyDescent="0.25">
      <c r="A864" t="str">
        <f t="shared" si="13"/>
        <v>200515-24</v>
      </c>
      <c r="B864">
        <v>2005</v>
      </c>
      <c r="C864" t="s">
        <v>4</v>
      </c>
      <c r="D864" t="s">
        <v>26</v>
      </c>
      <c r="E864" t="s">
        <v>41</v>
      </c>
      <c r="F864" t="s">
        <v>15</v>
      </c>
      <c r="G864" s="7">
        <v>13</v>
      </c>
      <c r="H864" s="2">
        <v>2524017</v>
      </c>
    </row>
    <row r="865" spans="1:8" x14ac:dyDescent="0.25">
      <c r="A865" t="str">
        <f t="shared" si="13"/>
        <v>200525-44</v>
      </c>
      <c r="B865">
        <v>2005</v>
      </c>
      <c r="C865" t="s">
        <v>3</v>
      </c>
      <c r="D865" t="s">
        <v>26</v>
      </c>
      <c r="E865" t="s">
        <v>41</v>
      </c>
      <c r="F865" t="s">
        <v>15</v>
      </c>
      <c r="G865" s="7">
        <v>40</v>
      </c>
      <c r="H865" s="2">
        <v>3881062</v>
      </c>
    </row>
    <row r="866" spans="1:8" x14ac:dyDescent="0.25">
      <c r="A866" t="str">
        <f t="shared" si="13"/>
        <v>200545-64</v>
      </c>
      <c r="B866">
        <v>2005</v>
      </c>
      <c r="C866" t="s">
        <v>2</v>
      </c>
      <c r="D866" t="s">
        <v>26</v>
      </c>
      <c r="E866" t="s">
        <v>41</v>
      </c>
      <c r="F866" t="s">
        <v>15</v>
      </c>
      <c r="G866" s="7">
        <v>256</v>
      </c>
      <c r="H866" s="2">
        <v>2016148</v>
      </c>
    </row>
    <row r="867" spans="1:8" x14ac:dyDescent="0.25">
      <c r="A867" t="str">
        <f t="shared" si="13"/>
        <v>20055-14</v>
      </c>
      <c r="B867">
        <v>2005</v>
      </c>
      <c r="C867" t="s">
        <v>5</v>
      </c>
      <c r="D867" t="s">
        <v>26</v>
      </c>
      <c r="E867" t="s">
        <v>41</v>
      </c>
      <c r="F867" t="s">
        <v>15</v>
      </c>
      <c r="G867" s="7">
        <v>5</v>
      </c>
      <c r="H867" s="2">
        <v>2629864</v>
      </c>
    </row>
    <row r="868" spans="1:8" x14ac:dyDescent="0.25">
      <c r="A868" t="str">
        <f t="shared" si="13"/>
        <v>200565-74</v>
      </c>
      <c r="B868">
        <v>2005</v>
      </c>
      <c r="C868" t="s">
        <v>1</v>
      </c>
      <c r="D868" t="s">
        <v>26</v>
      </c>
      <c r="E868" t="s">
        <v>41</v>
      </c>
      <c r="F868" t="s">
        <v>15</v>
      </c>
      <c r="G868" s="7">
        <v>304</v>
      </c>
      <c r="H868" s="2">
        <v>454245</v>
      </c>
    </row>
    <row r="869" spans="1:8" x14ac:dyDescent="0.25">
      <c r="A869" t="str">
        <f t="shared" si="13"/>
        <v>200575+</v>
      </c>
      <c r="B869">
        <v>2005</v>
      </c>
      <c r="C869" t="s">
        <v>0</v>
      </c>
      <c r="D869" t="s">
        <v>26</v>
      </c>
      <c r="E869" t="s">
        <v>41</v>
      </c>
      <c r="F869" t="s">
        <v>15</v>
      </c>
      <c r="G869" s="7">
        <v>932</v>
      </c>
      <c r="H869" s="2">
        <v>312767</v>
      </c>
    </row>
    <row r="870" spans="1:8" x14ac:dyDescent="0.25">
      <c r="A870" t="str">
        <f t="shared" si="13"/>
        <v>20060-4</v>
      </c>
      <c r="B870">
        <v>2006</v>
      </c>
      <c r="C870" t="s">
        <v>6</v>
      </c>
      <c r="D870" t="s">
        <v>26</v>
      </c>
      <c r="E870" t="s">
        <v>41</v>
      </c>
      <c r="F870" t="s">
        <v>15</v>
      </c>
      <c r="G870" s="7">
        <v>5</v>
      </c>
      <c r="H870" s="2">
        <v>1354432</v>
      </c>
    </row>
    <row r="871" spans="1:8" x14ac:dyDescent="0.25">
      <c r="A871" t="str">
        <f t="shared" si="13"/>
        <v>200615-24</v>
      </c>
      <c r="B871">
        <v>2006</v>
      </c>
      <c r="C871" t="s">
        <v>4</v>
      </c>
      <c r="D871" t="s">
        <v>26</v>
      </c>
      <c r="E871" t="s">
        <v>41</v>
      </c>
      <c r="F871" t="s">
        <v>15</v>
      </c>
      <c r="G871" s="7">
        <v>9</v>
      </c>
      <c r="H871" s="2">
        <v>2544731</v>
      </c>
    </row>
    <row r="872" spans="1:8" x14ac:dyDescent="0.25">
      <c r="A872" t="str">
        <f t="shared" si="13"/>
        <v>200625-44</v>
      </c>
      <c r="B872">
        <v>2006</v>
      </c>
      <c r="C872" t="s">
        <v>3</v>
      </c>
      <c r="D872" t="s">
        <v>26</v>
      </c>
      <c r="E872" t="s">
        <v>41</v>
      </c>
      <c r="F872" t="s">
        <v>15</v>
      </c>
      <c r="G872" s="7">
        <v>48</v>
      </c>
      <c r="H872" s="2">
        <v>3947836</v>
      </c>
    </row>
    <row r="873" spans="1:8" x14ac:dyDescent="0.25">
      <c r="A873" t="str">
        <f t="shared" si="13"/>
        <v>200645-64</v>
      </c>
      <c r="B873">
        <v>2006</v>
      </c>
      <c r="C873" t="s">
        <v>2</v>
      </c>
      <c r="D873" t="s">
        <v>26</v>
      </c>
      <c r="E873" t="s">
        <v>41</v>
      </c>
      <c r="F873" t="s">
        <v>15</v>
      </c>
      <c r="G873" s="7">
        <v>240</v>
      </c>
      <c r="H873" s="2">
        <v>2100791</v>
      </c>
    </row>
    <row r="874" spans="1:8" x14ac:dyDescent="0.25">
      <c r="A874" t="str">
        <f t="shared" si="13"/>
        <v>20065-14</v>
      </c>
      <c r="B874">
        <v>2006</v>
      </c>
      <c r="C874" t="s">
        <v>5</v>
      </c>
      <c r="D874" t="s">
        <v>26</v>
      </c>
      <c r="E874" t="s">
        <v>41</v>
      </c>
      <c r="F874" t="s">
        <v>15</v>
      </c>
      <c r="G874" s="7">
        <v>7</v>
      </c>
      <c r="H874" s="2">
        <v>2638747</v>
      </c>
    </row>
    <row r="875" spans="1:8" x14ac:dyDescent="0.25">
      <c r="A875" t="str">
        <f t="shared" si="13"/>
        <v>200665-74</v>
      </c>
      <c r="B875">
        <v>2006</v>
      </c>
      <c r="C875" t="s">
        <v>1</v>
      </c>
      <c r="D875" t="s">
        <v>26</v>
      </c>
      <c r="E875" t="s">
        <v>41</v>
      </c>
      <c r="F875" t="s">
        <v>15</v>
      </c>
      <c r="G875" s="7">
        <v>306</v>
      </c>
      <c r="H875" s="2">
        <v>468680</v>
      </c>
    </row>
    <row r="876" spans="1:8" x14ac:dyDescent="0.25">
      <c r="A876" t="str">
        <f t="shared" si="13"/>
        <v>200675+</v>
      </c>
      <c r="B876">
        <v>2006</v>
      </c>
      <c r="C876" t="s">
        <v>0</v>
      </c>
      <c r="D876" t="s">
        <v>26</v>
      </c>
      <c r="E876" t="s">
        <v>41</v>
      </c>
      <c r="F876" t="s">
        <v>15</v>
      </c>
      <c r="G876" s="7">
        <v>817</v>
      </c>
      <c r="H876" s="2">
        <v>325672</v>
      </c>
    </row>
    <row r="877" spans="1:8" x14ac:dyDescent="0.25">
      <c r="A877" t="str">
        <f t="shared" si="13"/>
        <v>20070-4</v>
      </c>
      <c r="B877">
        <v>2007</v>
      </c>
      <c r="C877" t="s">
        <v>6</v>
      </c>
      <c r="D877" t="s">
        <v>26</v>
      </c>
      <c r="E877" t="s">
        <v>41</v>
      </c>
      <c r="F877" t="s">
        <v>15</v>
      </c>
      <c r="G877" s="7">
        <v>0</v>
      </c>
      <c r="H877" s="2">
        <v>1354234</v>
      </c>
    </row>
    <row r="878" spans="1:8" x14ac:dyDescent="0.25">
      <c r="A878" t="str">
        <f t="shared" si="13"/>
        <v>200715-24</v>
      </c>
      <c r="B878">
        <v>2007</v>
      </c>
      <c r="C878" t="s">
        <v>4</v>
      </c>
      <c r="D878" t="s">
        <v>26</v>
      </c>
      <c r="E878" t="s">
        <v>41</v>
      </c>
      <c r="F878" t="s">
        <v>15</v>
      </c>
      <c r="G878" s="7">
        <v>12</v>
      </c>
      <c r="H878" s="2">
        <v>2561885</v>
      </c>
    </row>
    <row r="879" spans="1:8" x14ac:dyDescent="0.25">
      <c r="A879" t="str">
        <f t="shared" si="13"/>
        <v>200725-44</v>
      </c>
      <c r="B879">
        <v>2007</v>
      </c>
      <c r="C879" t="s">
        <v>3</v>
      </c>
      <c r="D879" t="s">
        <v>26</v>
      </c>
      <c r="E879" t="s">
        <v>41</v>
      </c>
      <c r="F879" t="s">
        <v>15</v>
      </c>
      <c r="G879" s="7">
        <v>41</v>
      </c>
      <c r="H879" s="2">
        <v>4016163</v>
      </c>
    </row>
    <row r="880" spans="1:8" x14ac:dyDescent="0.25">
      <c r="A880" t="str">
        <f t="shared" si="13"/>
        <v>200745-64</v>
      </c>
      <c r="B880">
        <v>2007</v>
      </c>
      <c r="C880" t="s">
        <v>2</v>
      </c>
      <c r="D880" t="s">
        <v>26</v>
      </c>
      <c r="E880" t="s">
        <v>41</v>
      </c>
      <c r="F880" t="s">
        <v>15</v>
      </c>
      <c r="G880" s="7">
        <v>248</v>
      </c>
      <c r="H880" s="2">
        <v>2188071</v>
      </c>
    </row>
    <row r="881" spans="1:8" x14ac:dyDescent="0.25">
      <c r="A881" t="str">
        <f t="shared" si="13"/>
        <v>20075-14</v>
      </c>
      <c r="B881">
        <v>2007</v>
      </c>
      <c r="C881" t="s">
        <v>5</v>
      </c>
      <c r="D881" t="s">
        <v>26</v>
      </c>
      <c r="E881" t="s">
        <v>41</v>
      </c>
      <c r="F881" t="s">
        <v>15</v>
      </c>
      <c r="G881" s="7">
        <v>3</v>
      </c>
      <c r="H881" s="2">
        <v>2647233</v>
      </c>
    </row>
    <row r="882" spans="1:8" x14ac:dyDescent="0.25">
      <c r="A882" t="str">
        <f t="shared" si="13"/>
        <v>200765-74</v>
      </c>
      <c r="B882">
        <v>2007</v>
      </c>
      <c r="C882" t="s">
        <v>1</v>
      </c>
      <c r="D882" t="s">
        <v>26</v>
      </c>
      <c r="E882" t="s">
        <v>41</v>
      </c>
      <c r="F882" t="s">
        <v>15</v>
      </c>
      <c r="G882" s="7">
        <v>329</v>
      </c>
      <c r="H882" s="2">
        <v>484321</v>
      </c>
    </row>
    <row r="883" spans="1:8" x14ac:dyDescent="0.25">
      <c r="A883" t="str">
        <f t="shared" si="13"/>
        <v>200775+</v>
      </c>
      <c r="B883">
        <v>2007</v>
      </c>
      <c r="C883" t="s">
        <v>0</v>
      </c>
      <c r="D883" t="s">
        <v>26</v>
      </c>
      <c r="E883" t="s">
        <v>41</v>
      </c>
      <c r="F883" t="s">
        <v>15</v>
      </c>
      <c r="G883" s="7">
        <v>967</v>
      </c>
      <c r="H883" s="2">
        <v>338128</v>
      </c>
    </row>
    <row r="884" spans="1:8" x14ac:dyDescent="0.25">
      <c r="A884" t="str">
        <f t="shared" si="13"/>
        <v>20080-4</v>
      </c>
      <c r="B884">
        <v>2008</v>
      </c>
      <c r="C884" t="s">
        <v>6</v>
      </c>
      <c r="D884" t="s">
        <v>26</v>
      </c>
      <c r="E884" t="s">
        <v>41</v>
      </c>
      <c r="F884" t="s">
        <v>15</v>
      </c>
      <c r="G884" s="7">
        <v>5</v>
      </c>
      <c r="H884" s="2">
        <v>1353145</v>
      </c>
    </row>
    <row r="885" spans="1:8" x14ac:dyDescent="0.25">
      <c r="A885" t="str">
        <f t="shared" si="13"/>
        <v>200815-24</v>
      </c>
      <c r="B885">
        <v>2008</v>
      </c>
      <c r="C885" t="s">
        <v>4</v>
      </c>
      <c r="D885" t="s">
        <v>26</v>
      </c>
      <c r="E885" t="s">
        <v>41</v>
      </c>
      <c r="F885" t="s">
        <v>15</v>
      </c>
      <c r="G885" s="7">
        <v>12</v>
      </c>
      <c r="H885" s="2">
        <v>2575138</v>
      </c>
    </row>
    <row r="886" spans="1:8" x14ac:dyDescent="0.25">
      <c r="A886" t="str">
        <f t="shared" si="13"/>
        <v>200825-44</v>
      </c>
      <c r="B886">
        <v>2008</v>
      </c>
      <c r="C886" t="s">
        <v>3</v>
      </c>
      <c r="D886" t="s">
        <v>26</v>
      </c>
      <c r="E886" t="s">
        <v>41</v>
      </c>
      <c r="F886" t="s">
        <v>15</v>
      </c>
      <c r="G886" s="7">
        <v>40</v>
      </c>
      <c r="H886" s="2">
        <v>4085944</v>
      </c>
    </row>
    <row r="887" spans="1:8" x14ac:dyDescent="0.25">
      <c r="A887" t="str">
        <f t="shared" si="13"/>
        <v>200845-64</v>
      </c>
      <c r="B887">
        <v>2008</v>
      </c>
      <c r="C887" t="s">
        <v>2</v>
      </c>
      <c r="D887" t="s">
        <v>26</v>
      </c>
      <c r="E887" t="s">
        <v>41</v>
      </c>
      <c r="F887" t="s">
        <v>15</v>
      </c>
      <c r="G887" s="7">
        <v>277</v>
      </c>
      <c r="H887" s="2">
        <v>2277674</v>
      </c>
    </row>
    <row r="888" spans="1:8" x14ac:dyDescent="0.25">
      <c r="A888" t="str">
        <f t="shared" si="13"/>
        <v>20085-14</v>
      </c>
      <c r="B888">
        <v>2008</v>
      </c>
      <c r="C888" t="s">
        <v>5</v>
      </c>
      <c r="D888" t="s">
        <v>26</v>
      </c>
      <c r="E888" t="s">
        <v>41</v>
      </c>
      <c r="F888" t="s">
        <v>15</v>
      </c>
      <c r="G888" s="7">
        <v>2</v>
      </c>
      <c r="H888" s="2">
        <v>2655740</v>
      </c>
    </row>
    <row r="889" spans="1:8" x14ac:dyDescent="0.25">
      <c r="A889" t="str">
        <f t="shared" si="13"/>
        <v>200865-74</v>
      </c>
      <c r="B889">
        <v>2008</v>
      </c>
      <c r="C889" t="s">
        <v>1</v>
      </c>
      <c r="D889" t="s">
        <v>26</v>
      </c>
      <c r="E889" t="s">
        <v>41</v>
      </c>
      <c r="F889" t="s">
        <v>15</v>
      </c>
      <c r="G889" s="7">
        <v>324</v>
      </c>
      <c r="H889" s="2">
        <v>501201</v>
      </c>
    </row>
    <row r="890" spans="1:8" x14ac:dyDescent="0.25">
      <c r="A890" t="str">
        <f t="shared" si="13"/>
        <v>200875+</v>
      </c>
      <c r="B890">
        <v>2008</v>
      </c>
      <c r="C890" t="s">
        <v>0</v>
      </c>
      <c r="D890" t="s">
        <v>26</v>
      </c>
      <c r="E890" t="s">
        <v>41</v>
      </c>
      <c r="F890" t="s">
        <v>15</v>
      </c>
      <c r="G890" s="7">
        <v>1019</v>
      </c>
      <c r="H890" s="2">
        <v>350235</v>
      </c>
    </row>
    <row r="891" spans="1:8" x14ac:dyDescent="0.25">
      <c r="A891" t="str">
        <f t="shared" si="13"/>
        <v>20090-4</v>
      </c>
      <c r="B891">
        <v>2009</v>
      </c>
      <c r="C891" t="s">
        <v>6</v>
      </c>
      <c r="D891" t="s">
        <v>26</v>
      </c>
      <c r="E891" t="s">
        <v>41</v>
      </c>
      <c r="F891" t="s">
        <v>15</v>
      </c>
      <c r="G891" s="7">
        <v>4</v>
      </c>
      <c r="H891" s="2">
        <v>1351158</v>
      </c>
    </row>
    <row r="892" spans="1:8" x14ac:dyDescent="0.25">
      <c r="A892" t="str">
        <f t="shared" si="13"/>
        <v>200915-24</v>
      </c>
      <c r="B892">
        <v>2009</v>
      </c>
      <c r="C892" t="s">
        <v>4</v>
      </c>
      <c r="D892" t="s">
        <v>26</v>
      </c>
      <c r="E892" t="s">
        <v>41</v>
      </c>
      <c r="F892" t="s">
        <v>15</v>
      </c>
      <c r="G892" s="7">
        <v>15</v>
      </c>
      <c r="H892" s="2">
        <v>2584791</v>
      </c>
    </row>
    <row r="893" spans="1:8" x14ac:dyDescent="0.25">
      <c r="A893" t="str">
        <f t="shared" si="13"/>
        <v>200925-44</v>
      </c>
      <c r="B893">
        <v>2009</v>
      </c>
      <c r="C893" t="s">
        <v>3</v>
      </c>
      <c r="D893" t="s">
        <v>26</v>
      </c>
      <c r="E893" t="s">
        <v>41</v>
      </c>
      <c r="F893" t="s">
        <v>15</v>
      </c>
      <c r="G893" s="7">
        <v>45</v>
      </c>
      <c r="H893" s="2">
        <v>4156891</v>
      </c>
    </row>
    <row r="894" spans="1:8" x14ac:dyDescent="0.25">
      <c r="A894" t="str">
        <f t="shared" si="13"/>
        <v>200945-64</v>
      </c>
      <c r="B894">
        <v>2009</v>
      </c>
      <c r="C894" t="s">
        <v>2</v>
      </c>
      <c r="D894" t="s">
        <v>26</v>
      </c>
      <c r="E894" t="s">
        <v>41</v>
      </c>
      <c r="F894" t="s">
        <v>15</v>
      </c>
      <c r="G894" s="7">
        <v>261</v>
      </c>
      <c r="H894" s="2">
        <v>2369589</v>
      </c>
    </row>
    <row r="895" spans="1:8" x14ac:dyDescent="0.25">
      <c r="A895" t="str">
        <f t="shared" si="13"/>
        <v>20095-14</v>
      </c>
      <c r="B895">
        <v>2009</v>
      </c>
      <c r="C895" t="s">
        <v>5</v>
      </c>
      <c r="D895" t="s">
        <v>26</v>
      </c>
      <c r="E895" t="s">
        <v>41</v>
      </c>
      <c r="F895" t="s">
        <v>15</v>
      </c>
      <c r="G895" s="7">
        <v>6</v>
      </c>
      <c r="H895" s="2">
        <v>2664671</v>
      </c>
    </row>
    <row r="896" spans="1:8" x14ac:dyDescent="0.25">
      <c r="A896" t="str">
        <f t="shared" si="13"/>
        <v>200965-74</v>
      </c>
      <c r="B896">
        <v>2009</v>
      </c>
      <c r="C896" t="s">
        <v>1</v>
      </c>
      <c r="D896" t="s">
        <v>26</v>
      </c>
      <c r="E896" t="s">
        <v>41</v>
      </c>
      <c r="F896" t="s">
        <v>15</v>
      </c>
      <c r="G896" s="7">
        <v>313</v>
      </c>
      <c r="H896" s="2">
        <v>519377</v>
      </c>
    </row>
    <row r="897" spans="1:8" x14ac:dyDescent="0.25">
      <c r="A897" t="str">
        <f t="shared" si="13"/>
        <v>200975+</v>
      </c>
      <c r="B897">
        <v>2009</v>
      </c>
      <c r="C897" t="s">
        <v>0</v>
      </c>
      <c r="D897" t="s">
        <v>26</v>
      </c>
      <c r="E897" t="s">
        <v>41</v>
      </c>
      <c r="F897" t="s">
        <v>15</v>
      </c>
      <c r="G897" s="7">
        <v>1001</v>
      </c>
      <c r="H897" s="2">
        <v>362131</v>
      </c>
    </row>
    <row r="898" spans="1:8" x14ac:dyDescent="0.25">
      <c r="A898" t="str">
        <f t="shared" ref="A898:A961" si="14">+CONCATENATE(B898,C898)</f>
        <v>20100-4</v>
      </c>
      <c r="B898">
        <v>2010</v>
      </c>
      <c r="C898" t="s">
        <v>6</v>
      </c>
      <c r="D898" t="s">
        <v>26</v>
      </c>
      <c r="E898" t="s">
        <v>41</v>
      </c>
      <c r="F898" t="s">
        <v>15</v>
      </c>
      <c r="G898" s="7">
        <v>2</v>
      </c>
      <c r="H898" s="2">
        <v>1348289</v>
      </c>
    </row>
    <row r="899" spans="1:8" x14ac:dyDescent="0.25">
      <c r="A899" t="str">
        <f t="shared" si="14"/>
        <v>201015-24</v>
      </c>
      <c r="B899">
        <v>2010</v>
      </c>
      <c r="C899" t="s">
        <v>4</v>
      </c>
      <c r="D899" t="s">
        <v>26</v>
      </c>
      <c r="E899" t="s">
        <v>41</v>
      </c>
      <c r="F899" t="s">
        <v>15</v>
      </c>
      <c r="G899" s="7">
        <v>6</v>
      </c>
      <c r="H899" s="2">
        <v>2590746</v>
      </c>
    </row>
    <row r="900" spans="1:8" x14ac:dyDescent="0.25">
      <c r="A900" t="str">
        <f t="shared" si="14"/>
        <v>201025-44</v>
      </c>
      <c r="B900">
        <v>2010</v>
      </c>
      <c r="C900" t="s">
        <v>3</v>
      </c>
      <c r="D900" t="s">
        <v>26</v>
      </c>
      <c r="E900" t="s">
        <v>41</v>
      </c>
      <c r="F900" t="s">
        <v>15</v>
      </c>
      <c r="G900" s="7">
        <v>48</v>
      </c>
      <c r="H900" s="2">
        <v>4228246</v>
      </c>
    </row>
    <row r="901" spans="1:8" x14ac:dyDescent="0.25">
      <c r="A901" t="str">
        <f t="shared" si="14"/>
        <v>201045-64</v>
      </c>
      <c r="B901">
        <v>2010</v>
      </c>
      <c r="C901" t="s">
        <v>2</v>
      </c>
      <c r="D901" t="s">
        <v>26</v>
      </c>
      <c r="E901" t="s">
        <v>41</v>
      </c>
      <c r="F901" t="s">
        <v>15</v>
      </c>
      <c r="G901" s="7">
        <v>261</v>
      </c>
      <c r="H901" s="2">
        <v>2464321</v>
      </c>
    </row>
    <row r="902" spans="1:8" x14ac:dyDescent="0.25">
      <c r="A902" t="str">
        <f t="shared" si="14"/>
        <v>20105-14</v>
      </c>
      <c r="B902">
        <v>2010</v>
      </c>
      <c r="C902" t="s">
        <v>5</v>
      </c>
      <c r="D902" t="s">
        <v>26</v>
      </c>
      <c r="E902" t="s">
        <v>41</v>
      </c>
      <c r="F902" t="s">
        <v>15</v>
      </c>
      <c r="G902" s="7">
        <v>3</v>
      </c>
      <c r="H902" s="2">
        <v>2674173</v>
      </c>
    </row>
    <row r="903" spans="1:8" x14ac:dyDescent="0.25">
      <c r="A903" t="str">
        <f t="shared" si="14"/>
        <v>201065-74</v>
      </c>
      <c r="B903">
        <v>2010</v>
      </c>
      <c r="C903" t="s">
        <v>1</v>
      </c>
      <c r="D903" t="s">
        <v>26</v>
      </c>
      <c r="E903" t="s">
        <v>41</v>
      </c>
      <c r="F903" t="s">
        <v>15</v>
      </c>
      <c r="G903" s="7">
        <v>332</v>
      </c>
      <c r="H903" s="2">
        <v>538921</v>
      </c>
    </row>
    <row r="904" spans="1:8" x14ac:dyDescent="0.25">
      <c r="A904" t="str">
        <f t="shared" si="14"/>
        <v>201075+</v>
      </c>
      <c r="B904">
        <v>2010</v>
      </c>
      <c r="C904" t="s">
        <v>0</v>
      </c>
      <c r="D904" t="s">
        <v>26</v>
      </c>
      <c r="E904" t="s">
        <v>41</v>
      </c>
      <c r="F904" t="s">
        <v>15</v>
      </c>
      <c r="G904" s="7">
        <v>1132</v>
      </c>
      <c r="H904" s="2">
        <v>373918</v>
      </c>
    </row>
    <row r="905" spans="1:8" x14ac:dyDescent="0.25">
      <c r="A905" t="str">
        <f t="shared" si="14"/>
        <v>20110-4</v>
      </c>
      <c r="B905">
        <v>2011</v>
      </c>
      <c r="C905" t="s">
        <v>6</v>
      </c>
      <c r="D905" t="s">
        <v>26</v>
      </c>
      <c r="E905" t="s">
        <v>41</v>
      </c>
      <c r="F905" t="s">
        <v>15</v>
      </c>
      <c r="G905" s="7">
        <v>6</v>
      </c>
      <c r="H905" s="2">
        <v>1344595</v>
      </c>
    </row>
    <row r="906" spans="1:8" x14ac:dyDescent="0.25">
      <c r="A906" t="str">
        <f t="shared" si="14"/>
        <v>201115-24</v>
      </c>
      <c r="B906">
        <v>2011</v>
      </c>
      <c r="C906" t="s">
        <v>4</v>
      </c>
      <c r="D906" t="s">
        <v>26</v>
      </c>
      <c r="E906" t="s">
        <v>41</v>
      </c>
      <c r="F906" t="s">
        <v>15</v>
      </c>
      <c r="G906" s="7">
        <v>8</v>
      </c>
      <c r="H906" s="2">
        <v>2593350</v>
      </c>
    </row>
    <row r="907" spans="1:8" x14ac:dyDescent="0.25">
      <c r="A907" t="str">
        <f t="shared" si="14"/>
        <v>201125-44</v>
      </c>
      <c r="B907">
        <v>2011</v>
      </c>
      <c r="C907" t="s">
        <v>3</v>
      </c>
      <c r="D907" t="s">
        <v>26</v>
      </c>
      <c r="E907" t="s">
        <v>41</v>
      </c>
      <c r="F907" t="s">
        <v>15</v>
      </c>
      <c r="G907" s="7">
        <v>52</v>
      </c>
      <c r="H907" s="2">
        <v>4299392</v>
      </c>
    </row>
    <row r="908" spans="1:8" x14ac:dyDescent="0.25">
      <c r="A908" t="str">
        <f t="shared" si="14"/>
        <v>201145-64</v>
      </c>
      <c r="B908">
        <v>2011</v>
      </c>
      <c r="C908" t="s">
        <v>2</v>
      </c>
      <c r="D908" t="s">
        <v>26</v>
      </c>
      <c r="E908" t="s">
        <v>41</v>
      </c>
      <c r="F908" t="s">
        <v>15</v>
      </c>
      <c r="G908" s="7">
        <v>282</v>
      </c>
      <c r="H908" s="2">
        <v>2561836</v>
      </c>
    </row>
    <row r="909" spans="1:8" x14ac:dyDescent="0.25">
      <c r="A909" t="str">
        <f t="shared" si="14"/>
        <v>20115-14</v>
      </c>
      <c r="B909">
        <v>2011</v>
      </c>
      <c r="C909" t="s">
        <v>5</v>
      </c>
      <c r="D909" t="s">
        <v>26</v>
      </c>
      <c r="E909" t="s">
        <v>41</v>
      </c>
      <c r="F909" t="s">
        <v>15</v>
      </c>
      <c r="G909" s="7">
        <v>11</v>
      </c>
      <c r="H909" s="2">
        <v>2684312</v>
      </c>
    </row>
    <row r="910" spans="1:8" x14ac:dyDescent="0.25">
      <c r="A910" t="str">
        <f t="shared" si="14"/>
        <v>201165-74</v>
      </c>
      <c r="B910">
        <v>2011</v>
      </c>
      <c r="C910" t="s">
        <v>1</v>
      </c>
      <c r="D910" t="s">
        <v>26</v>
      </c>
      <c r="E910" t="s">
        <v>41</v>
      </c>
      <c r="F910" t="s">
        <v>15</v>
      </c>
      <c r="G910" s="7">
        <v>353</v>
      </c>
      <c r="H910" s="2">
        <v>559899</v>
      </c>
    </row>
    <row r="911" spans="1:8" x14ac:dyDescent="0.25">
      <c r="A911" t="str">
        <f t="shared" si="14"/>
        <v>201175+</v>
      </c>
      <c r="B911">
        <v>2011</v>
      </c>
      <c r="C911" t="s">
        <v>0</v>
      </c>
      <c r="D911" t="s">
        <v>26</v>
      </c>
      <c r="E911" t="s">
        <v>41</v>
      </c>
      <c r="F911" t="s">
        <v>15</v>
      </c>
      <c r="G911" s="7">
        <v>1290</v>
      </c>
      <c r="H911" s="2">
        <v>385721</v>
      </c>
    </row>
    <row r="912" spans="1:8" x14ac:dyDescent="0.25">
      <c r="A912" t="str">
        <f t="shared" si="14"/>
        <v>20120-4</v>
      </c>
      <c r="B912">
        <v>2012</v>
      </c>
      <c r="C912" t="s">
        <v>6</v>
      </c>
      <c r="D912" t="s">
        <v>26</v>
      </c>
      <c r="E912" t="s">
        <v>41</v>
      </c>
      <c r="F912" t="s">
        <v>15</v>
      </c>
      <c r="G912" s="7">
        <v>3</v>
      </c>
      <c r="H912" s="2">
        <v>1340586.3214094499</v>
      </c>
    </row>
    <row r="913" spans="1:8" x14ac:dyDescent="0.25">
      <c r="A913" t="str">
        <f t="shared" si="14"/>
        <v>201215-24</v>
      </c>
      <c r="B913">
        <v>2012</v>
      </c>
      <c r="C913" t="s">
        <v>4</v>
      </c>
      <c r="D913" t="s">
        <v>26</v>
      </c>
      <c r="E913" t="s">
        <v>41</v>
      </c>
      <c r="F913" t="s">
        <v>15</v>
      </c>
      <c r="G913" s="7">
        <v>15</v>
      </c>
      <c r="H913" s="2">
        <v>2596932.5593387499</v>
      </c>
    </row>
    <row r="914" spans="1:8" x14ac:dyDescent="0.25">
      <c r="A914" t="str">
        <f t="shared" si="14"/>
        <v>201225-44</v>
      </c>
      <c r="B914">
        <v>2012</v>
      </c>
      <c r="C914" t="s">
        <v>3</v>
      </c>
      <c r="D914" t="s">
        <v>26</v>
      </c>
      <c r="E914" t="s">
        <v>41</v>
      </c>
      <c r="F914" t="s">
        <v>15</v>
      </c>
      <c r="G914" s="7">
        <v>53</v>
      </c>
      <c r="H914" s="2">
        <v>4370928.8062696801</v>
      </c>
    </row>
    <row r="915" spans="1:8" x14ac:dyDescent="0.25">
      <c r="A915" t="str">
        <f t="shared" si="14"/>
        <v>201245-64</v>
      </c>
      <c r="B915">
        <v>2012</v>
      </c>
      <c r="C915" t="s">
        <v>2</v>
      </c>
      <c r="D915" t="s">
        <v>26</v>
      </c>
      <c r="E915" t="s">
        <v>41</v>
      </c>
      <c r="F915" t="s">
        <v>15</v>
      </c>
      <c r="G915" s="7">
        <v>294</v>
      </c>
      <c r="H915" s="2">
        <v>2658291.2681631502</v>
      </c>
    </row>
    <row r="916" spans="1:8" x14ac:dyDescent="0.25">
      <c r="A916" t="str">
        <f t="shared" si="14"/>
        <v>20125-14</v>
      </c>
      <c r="B916">
        <v>2012</v>
      </c>
      <c r="C916" t="s">
        <v>5</v>
      </c>
      <c r="D916" t="s">
        <v>26</v>
      </c>
      <c r="E916" t="s">
        <v>41</v>
      </c>
      <c r="F916" t="s">
        <v>15</v>
      </c>
      <c r="G916" s="7">
        <v>9</v>
      </c>
      <c r="H916" s="2">
        <v>2693165.8826794801</v>
      </c>
    </row>
    <row r="917" spans="1:8" x14ac:dyDescent="0.25">
      <c r="A917" t="str">
        <f t="shared" si="14"/>
        <v>201265-74</v>
      </c>
      <c r="B917">
        <v>2012</v>
      </c>
      <c r="C917" t="s">
        <v>1</v>
      </c>
      <c r="D917" t="s">
        <v>26</v>
      </c>
      <c r="E917" t="s">
        <v>41</v>
      </c>
      <c r="F917" t="s">
        <v>15</v>
      </c>
      <c r="G917" s="7">
        <v>360</v>
      </c>
      <c r="H917" s="2">
        <v>582433.94467592705</v>
      </c>
    </row>
    <row r="918" spans="1:8" x14ac:dyDescent="0.25">
      <c r="A918" t="str">
        <f t="shared" si="14"/>
        <v>201275+</v>
      </c>
      <c r="B918">
        <v>2012</v>
      </c>
      <c r="C918" t="s">
        <v>0</v>
      </c>
      <c r="D918" t="s">
        <v>26</v>
      </c>
      <c r="E918" t="s">
        <v>41</v>
      </c>
      <c r="F918" t="s">
        <v>15</v>
      </c>
      <c r="G918" s="7">
        <v>1192</v>
      </c>
      <c r="H918" s="2">
        <v>398069.84835797001</v>
      </c>
    </row>
    <row r="919" spans="1:8" x14ac:dyDescent="0.25">
      <c r="A919" t="str">
        <f t="shared" si="14"/>
        <v>20130-4</v>
      </c>
      <c r="B919">
        <v>2013</v>
      </c>
      <c r="C919" t="s">
        <v>6</v>
      </c>
      <c r="D919" t="s">
        <v>26</v>
      </c>
      <c r="E919" t="s">
        <v>41</v>
      </c>
      <c r="F919" t="s">
        <v>15</v>
      </c>
      <c r="G919" s="7">
        <v>4</v>
      </c>
      <c r="H919" s="2">
        <v>1336364.77993838</v>
      </c>
    </row>
    <row r="920" spans="1:8" x14ac:dyDescent="0.25">
      <c r="A920" t="str">
        <f t="shared" si="14"/>
        <v>201315-24</v>
      </c>
      <c r="B920">
        <v>2013</v>
      </c>
      <c r="C920" t="s">
        <v>4</v>
      </c>
      <c r="D920" t="s">
        <v>26</v>
      </c>
      <c r="E920" t="s">
        <v>41</v>
      </c>
      <c r="F920" t="s">
        <v>15</v>
      </c>
      <c r="G920" s="7">
        <v>12</v>
      </c>
      <c r="H920" s="2">
        <v>2602650.6589393602</v>
      </c>
    </row>
    <row r="921" spans="1:8" x14ac:dyDescent="0.25">
      <c r="A921" t="str">
        <f t="shared" si="14"/>
        <v>201325-44</v>
      </c>
      <c r="B921">
        <v>2013</v>
      </c>
      <c r="C921" t="s">
        <v>3</v>
      </c>
      <c r="D921" t="s">
        <v>26</v>
      </c>
      <c r="E921" t="s">
        <v>41</v>
      </c>
      <c r="F921" t="s">
        <v>15</v>
      </c>
      <c r="G921" s="7">
        <v>62</v>
      </c>
      <c r="H921" s="2">
        <v>4442157.0636299504</v>
      </c>
    </row>
    <row r="922" spans="1:8" x14ac:dyDescent="0.25">
      <c r="A922" t="str">
        <f t="shared" si="14"/>
        <v>201345-64</v>
      </c>
      <c r="B922">
        <v>2013</v>
      </c>
      <c r="C922" t="s">
        <v>2</v>
      </c>
      <c r="D922" t="s">
        <v>26</v>
      </c>
      <c r="E922" t="s">
        <v>41</v>
      </c>
      <c r="F922" t="s">
        <v>15</v>
      </c>
      <c r="G922" s="7">
        <v>317</v>
      </c>
      <c r="H922" s="2">
        <v>2752738.9724179399</v>
      </c>
    </row>
    <row r="923" spans="1:8" x14ac:dyDescent="0.25">
      <c r="A923" t="str">
        <f t="shared" si="14"/>
        <v>20135-14</v>
      </c>
      <c r="B923">
        <v>2013</v>
      </c>
      <c r="C923" t="s">
        <v>5</v>
      </c>
      <c r="D923" t="s">
        <v>26</v>
      </c>
      <c r="E923" t="s">
        <v>41</v>
      </c>
      <c r="F923" t="s">
        <v>15</v>
      </c>
      <c r="G923" s="7">
        <v>5</v>
      </c>
      <c r="H923" s="2">
        <v>2699988.6782491799</v>
      </c>
    </row>
    <row r="924" spans="1:8" x14ac:dyDescent="0.25">
      <c r="A924" t="str">
        <f t="shared" si="14"/>
        <v>201365-74</v>
      </c>
      <c r="B924">
        <v>2013</v>
      </c>
      <c r="C924" t="s">
        <v>1</v>
      </c>
      <c r="D924" t="s">
        <v>26</v>
      </c>
      <c r="E924" t="s">
        <v>41</v>
      </c>
      <c r="F924" t="s">
        <v>15</v>
      </c>
      <c r="G924" s="7">
        <v>390</v>
      </c>
      <c r="H924" s="2">
        <v>606480.27141564596</v>
      </c>
    </row>
    <row r="925" spans="1:8" x14ac:dyDescent="0.25">
      <c r="A925" t="str">
        <f t="shared" si="14"/>
        <v>201375+</v>
      </c>
      <c r="B925">
        <v>2013</v>
      </c>
      <c r="C925" t="s">
        <v>0</v>
      </c>
      <c r="D925" t="s">
        <v>26</v>
      </c>
      <c r="E925" t="s">
        <v>41</v>
      </c>
      <c r="F925" t="s">
        <v>15</v>
      </c>
      <c r="G925" s="7">
        <v>1278</v>
      </c>
      <c r="H925" s="2">
        <v>411257.72175729403</v>
      </c>
    </row>
    <row r="926" spans="1:8" x14ac:dyDescent="0.25">
      <c r="A926" t="str">
        <f t="shared" si="14"/>
        <v>20140-4</v>
      </c>
      <c r="B926">
        <v>2014</v>
      </c>
      <c r="C926" t="s">
        <v>6</v>
      </c>
      <c r="D926" t="s">
        <v>26</v>
      </c>
      <c r="E926" t="s">
        <v>41</v>
      </c>
      <c r="F926" t="s">
        <v>15</v>
      </c>
      <c r="G926" s="7">
        <v>4</v>
      </c>
      <c r="H926" s="2">
        <v>1331891</v>
      </c>
    </row>
    <row r="927" spans="1:8" x14ac:dyDescent="0.25">
      <c r="A927" t="str">
        <f t="shared" si="14"/>
        <v>201415-24</v>
      </c>
      <c r="B927">
        <v>2014</v>
      </c>
      <c r="C927" t="s">
        <v>4</v>
      </c>
      <c r="D927" t="s">
        <v>26</v>
      </c>
      <c r="E927" t="s">
        <v>41</v>
      </c>
      <c r="F927" t="s">
        <v>15</v>
      </c>
      <c r="G927" s="7">
        <v>7</v>
      </c>
      <c r="H927" s="2">
        <v>2610538</v>
      </c>
    </row>
    <row r="928" spans="1:8" x14ac:dyDescent="0.25">
      <c r="A928" t="str">
        <f t="shared" si="14"/>
        <v>201425-44</v>
      </c>
      <c r="B928">
        <v>2014</v>
      </c>
      <c r="C928" t="s">
        <v>3</v>
      </c>
      <c r="D928" t="s">
        <v>26</v>
      </c>
      <c r="E928" t="s">
        <v>41</v>
      </c>
      <c r="F928" t="s">
        <v>15</v>
      </c>
      <c r="G928" s="7">
        <v>32</v>
      </c>
      <c r="H928" s="2">
        <v>4511948</v>
      </c>
    </row>
    <row r="929" spans="1:8" x14ac:dyDescent="0.25">
      <c r="A929" t="str">
        <f t="shared" si="14"/>
        <v>201445-64</v>
      </c>
      <c r="B929">
        <v>2014</v>
      </c>
      <c r="C929" t="s">
        <v>2</v>
      </c>
      <c r="D929" t="s">
        <v>26</v>
      </c>
      <c r="E929" t="s">
        <v>41</v>
      </c>
      <c r="F929" t="s">
        <v>15</v>
      </c>
      <c r="G929" s="7">
        <v>342</v>
      </c>
      <c r="H929" s="2">
        <v>2845267</v>
      </c>
    </row>
    <row r="930" spans="1:8" x14ac:dyDescent="0.25">
      <c r="A930" t="str">
        <f t="shared" si="14"/>
        <v>20145-14</v>
      </c>
      <c r="B930">
        <v>2014</v>
      </c>
      <c r="C930" t="s">
        <v>5</v>
      </c>
      <c r="D930" t="s">
        <v>26</v>
      </c>
      <c r="E930" t="s">
        <v>41</v>
      </c>
      <c r="F930" t="s">
        <v>15</v>
      </c>
      <c r="G930" s="7">
        <v>4</v>
      </c>
      <c r="H930" s="2">
        <v>2704490</v>
      </c>
    </row>
    <row r="931" spans="1:8" x14ac:dyDescent="0.25">
      <c r="A931" t="str">
        <f t="shared" si="14"/>
        <v>201465-74</v>
      </c>
      <c r="B931">
        <v>2014</v>
      </c>
      <c r="C931" t="s">
        <v>1</v>
      </c>
      <c r="D931" t="s">
        <v>26</v>
      </c>
      <c r="E931" t="s">
        <v>41</v>
      </c>
      <c r="F931" t="s">
        <v>15</v>
      </c>
      <c r="G931" s="7">
        <v>415</v>
      </c>
      <c r="H931" s="2">
        <v>631943</v>
      </c>
    </row>
    <row r="932" spans="1:8" x14ac:dyDescent="0.25">
      <c r="A932" t="str">
        <f t="shared" si="14"/>
        <v>201475+</v>
      </c>
      <c r="B932">
        <v>2014</v>
      </c>
      <c r="C932" t="s">
        <v>0</v>
      </c>
      <c r="D932" t="s">
        <v>26</v>
      </c>
      <c r="E932" t="s">
        <v>41</v>
      </c>
      <c r="F932" t="s">
        <v>15</v>
      </c>
      <c r="G932" s="7">
        <v>1460</v>
      </c>
      <c r="H932" s="2">
        <v>425486</v>
      </c>
    </row>
    <row r="933" spans="1:8" x14ac:dyDescent="0.25">
      <c r="A933" t="str">
        <f t="shared" si="14"/>
        <v>19960-4</v>
      </c>
      <c r="B933">
        <v>1996</v>
      </c>
      <c r="C933" t="s">
        <v>6</v>
      </c>
      <c r="D933" t="s">
        <v>26</v>
      </c>
      <c r="E933" t="s">
        <v>42</v>
      </c>
      <c r="F933" t="s">
        <v>14</v>
      </c>
      <c r="G933" s="7">
        <v>367</v>
      </c>
      <c r="H933" s="2">
        <v>1308550.7828250399</v>
      </c>
    </row>
    <row r="934" spans="1:8" x14ac:dyDescent="0.25">
      <c r="A934" t="str">
        <f t="shared" si="14"/>
        <v>199615-24</v>
      </c>
      <c r="B934">
        <v>1996</v>
      </c>
      <c r="C934" t="s">
        <v>4</v>
      </c>
      <c r="D934" t="s">
        <v>26</v>
      </c>
      <c r="E934" t="s">
        <v>42</v>
      </c>
      <c r="F934" t="s">
        <v>14</v>
      </c>
      <c r="G934" s="7">
        <v>34</v>
      </c>
      <c r="H934" s="2">
        <v>2136825.68729656</v>
      </c>
    </row>
    <row r="935" spans="1:8" x14ac:dyDescent="0.25">
      <c r="A935" t="str">
        <f t="shared" si="14"/>
        <v>199625-44</v>
      </c>
      <c r="B935">
        <v>1996</v>
      </c>
      <c r="C935" t="s">
        <v>3</v>
      </c>
      <c r="D935" t="s">
        <v>26</v>
      </c>
      <c r="E935" t="s">
        <v>42</v>
      </c>
      <c r="F935" t="s">
        <v>14</v>
      </c>
      <c r="G935" s="7">
        <v>67</v>
      </c>
      <c r="H935" s="2">
        <v>3245545.2890741802</v>
      </c>
    </row>
    <row r="936" spans="1:8" x14ac:dyDescent="0.25">
      <c r="A936" t="str">
        <f t="shared" si="14"/>
        <v>199645-64</v>
      </c>
      <c r="B936">
        <v>1996</v>
      </c>
      <c r="C936" t="s">
        <v>2</v>
      </c>
      <c r="D936" t="s">
        <v>26</v>
      </c>
      <c r="E936" t="s">
        <v>42</v>
      </c>
      <c r="F936" t="s">
        <v>14</v>
      </c>
      <c r="G936" s="7">
        <v>78</v>
      </c>
      <c r="H936" s="2">
        <v>1448877.9572723201</v>
      </c>
    </row>
    <row r="937" spans="1:8" x14ac:dyDescent="0.25">
      <c r="A937" t="str">
        <f t="shared" si="14"/>
        <v>19965-14</v>
      </c>
      <c r="B937">
        <v>1996</v>
      </c>
      <c r="C937" t="s">
        <v>5</v>
      </c>
      <c r="D937" t="s">
        <v>26</v>
      </c>
      <c r="E937" t="s">
        <v>42</v>
      </c>
      <c r="F937" t="s">
        <v>14</v>
      </c>
      <c r="G937" s="7">
        <v>37</v>
      </c>
      <c r="H937" s="2">
        <v>2617766.7452121698</v>
      </c>
    </row>
    <row r="938" spans="1:8" x14ac:dyDescent="0.25">
      <c r="A938" t="str">
        <f t="shared" si="14"/>
        <v>199665-74</v>
      </c>
      <c r="B938">
        <v>1996</v>
      </c>
      <c r="C938" t="s">
        <v>1</v>
      </c>
      <c r="D938" t="s">
        <v>26</v>
      </c>
      <c r="E938" t="s">
        <v>42</v>
      </c>
      <c r="F938" t="s">
        <v>14</v>
      </c>
      <c r="G938" s="7">
        <v>106</v>
      </c>
      <c r="H938" s="2">
        <v>373487.34083337098</v>
      </c>
    </row>
    <row r="939" spans="1:8" x14ac:dyDescent="0.25">
      <c r="A939" t="str">
        <f t="shared" si="14"/>
        <v>199675+</v>
      </c>
      <c r="B939">
        <v>1996</v>
      </c>
      <c r="C939" t="s">
        <v>0</v>
      </c>
      <c r="D939" t="s">
        <v>26</v>
      </c>
      <c r="E939" t="s">
        <v>42</v>
      </c>
      <c r="F939" t="s">
        <v>14</v>
      </c>
      <c r="G939" s="7">
        <v>552</v>
      </c>
      <c r="H939" s="2">
        <v>186458.585231801</v>
      </c>
    </row>
    <row r="940" spans="1:8" x14ac:dyDescent="0.25">
      <c r="A940" t="str">
        <f t="shared" si="14"/>
        <v>19970-4</v>
      </c>
      <c r="B940">
        <v>1997</v>
      </c>
      <c r="C940" t="s">
        <v>6</v>
      </c>
      <c r="D940" t="s">
        <v>26</v>
      </c>
      <c r="E940" t="s">
        <v>42</v>
      </c>
      <c r="F940" t="s">
        <v>14</v>
      </c>
      <c r="G940" s="7">
        <v>400</v>
      </c>
      <c r="H940" s="2">
        <v>1317732.8696950199</v>
      </c>
    </row>
    <row r="941" spans="1:8" x14ac:dyDescent="0.25">
      <c r="A941" t="str">
        <f t="shared" si="14"/>
        <v>199715-24</v>
      </c>
      <c r="B941">
        <v>1997</v>
      </c>
      <c r="C941" t="s">
        <v>4</v>
      </c>
      <c r="D941" t="s">
        <v>26</v>
      </c>
      <c r="E941" t="s">
        <v>42</v>
      </c>
      <c r="F941" t="s">
        <v>14</v>
      </c>
      <c r="G941" s="7">
        <v>38</v>
      </c>
      <c r="H941" s="2">
        <v>2190257.4123779298</v>
      </c>
    </row>
    <row r="942" spans="1:8" x14ac:dyDescent="0.25">
      <c r="A942" t="str">
        <f t="shared" si="14"/>
        <v>199725-44</v>
      </c>
      <c r="B942">
        <v>1997</v>
      </c>
      <c r="C942" t="s">
        <v>3</v>
      </c>
      <c r="D942" t="s">
        <v>26</v>
      </c>
      <c r="E942" t="s">
        <v>42</v>
      </c>
      <c r="F942" t="s">
        <v>14</v>
      </c>
      <c r="G942" s="7">
        <v>75</v>
      </c>
      <c r="H942" s="2">
        <v>3319788.9734445098</v>
      </c>
    </row>
    <row r="943" spans="1:8" x14ac:dyDescent="0.25">
      <c r="A943" t="str">
        <f t="shared" si="14"/>
        <v>199745-64</v>
      </c>
      <c r="B943">
        <v>1997</v>
      </c>
      <c r="C943" t="s">
        <v>2</v>
      </c>
      <c r="D943" t="s">
        <v>26</v>
      </c>
      <c r="E943" t="s">
        <v>42</v>
      </c>
      <c r="F943" t="s">
        <v>14</v>
      </c>
      <c r="G943" s="7">
        <v>93</v>
      </c>
      <c r="H943" s="2">
        <v>1494497.7743633899</v>
      </c>
    </row>
    <row r="944" spans="1:8" x14ac:dyDescent="0.25">
      <c r="A944" t="str">
        <f t="shared" si="14"/>
        <v>19975-14</v>
      </c>
      <c r="B944">
        <v>1997</v>
      </c>
      <c r="C944" t="s">
        <v>5</v>
      </c>
      <c r="D944" t="s">
        <v>26</v>
      </c>
      <c r="E944" t="s">
        <v>42</v>
      </c>
      <c r="F944" t="s">
        <v>14</v>
      </c>
      <c r="G944" s="7">
        <v>34</v>
      </c>
      <c r="H944" s="2">
        <v>2625110.0471272999</v>
      </c>
    </row>
    <row r="945" spans="1:8" x14ac:dyDescent="0.25">
      <c r="A945" t="str">
        <f t="shared" si="14"/>
        <v>199765-74</v>
      </c>
      <c r="B945">
        <v>1997</v>
      </c>
      <c r="C945" t="s">
        <v>1</v>
      </c>
      <c r="D945" t="s">
        <v>26</v>
      </c>
      <c r="E945" t="s">
        <v>42</v>
      </c>
      <c r="F945" t="s">
        <v>14</v>
      </c>
      <c r="G945" s="7">
        <v>115</v>
      </c>
      <c r="H945" s="2">
        <v>377918.60450002301</v>
      </c>
    </row>
    <row r="946" spans="1:8" x14ac:dyDescent="0.25">
      <c r="A946" t="str">
        <f t="shared" si="14"/>
        <v>199775+</v>
      </c>
      <c r="B946">
        <v>1997</v>
      </c>
      <c r="C946" t="s">
        <v>0</v>
      </c>
      <c r="D946" t="s">
        <v>26</v>
      </c>
      <c r="E946" t="s">
        <v>42</v>
      </c>
      <c r="F946" t="s">
        <v>14</v>
      </c>
      <c r="G946" s="7">
        <v>562</v>
      </c>
      <c r="H946" s="2">
        <v>197836.55113907999</v>
      </c>
    </row>
    <row r="947" spans="1:8" x14ac:dyDescent="0.25">
      <c r="A947" t="str">
        <f t="shared" si="14"/>
        <v>19980-4</v>
      </c>
      <c r="B947">
        <v>1998</v>
      </c>
      <c r="C947" t="s">
        <v>6</v>
      </c>
      <c r="D947" t="s">
        <v>26</v>
      </c>
      <c r="E947" t="s">
        <v>42</v>
      </c>
      <c r="F947" t="s">
        <v>14</v>
      </c>
      <c r="G947" s="7">
        <v>436</v>
      </c>
      <c r="H947" s="2">
        <v>1325697.93484751</v>
      </c>
    </row>
    <row r="948" spans="1:8" x14ac:dyDescent="0.25">
      <c r="A948" t="str">
        <f t="shared" si="14"/>
        <v>199815-24</v>
      </c>
      <c r="B948">
        <v>1998</v>
      </c>
      <c r="C948" t="s">
        <v>4</v>
      </c>
      <c r="D948" t="s">
        <v>26</v>
      </c>
      <c r="E948" t="s">
        <v>42</v>
      </c>
      <c r="F948" t="s">
        <v>14</v>
      </c>
      <c r="G948" s="7">
        <v>24</v>
      </c>
      <c r="H948" s="2">
        <v>2242694.2061889698</v>
      </c>
    </row>
    <row r="949" spans="1:8" x14ac:dyDescent="0.25">
      <c r="A949" t="str">
        <f t="shared" si="14"/>
        <v>199825-44</v>
      </c>
      <c r="B949">
        <v>1998</v>
      </c>
      <c r="C949" t="s">
        <v>3</v>
      </c>
      <c r="D949" t="s">
        <v>26</v>
      </c>
      <c r="E949" t="s">
        <v>42</v>
      </c>
      <c r="F949" t="s">
        <v>14</v>
      </c>
      <c r="G949" s="7">
        <v>74</v>
      </c>
      <c r="H949" s="2">
        <v>3392799.98672225</v>
      </c>
    </row>
    <row r="950" spans="1:8" x14ac:dyDescent="0.25">
      <c r="A950" t="str">
        <f t="shared" si="14"/>
        <v>199845-64</v>
      </c>
      <c r="B950">
        <v>1998</v>
      </c>
      <c r="C950" t="s">
        <v>2</v>
      </c>
      <c r="D950" t="s">
        <v>26</v>
      </c>
      <c r="E950" t="s">
        <v>42</v>
      </c>
      <c r="F950" t="s">
        <v>14</v>
      </c>
      <c r="G950" s="7">
        <v>107</v>
      </c>
      <c r="H950" s="2">
        <v>1544756.3871817</v>
      </c>
    </row>
    <row r="951" spans="1:8" x14ac:dyDescent="0.25">
      <c r="A951" t="str">
        <f t="shared" si="14"/>
        <v>19985-14</v>
      </c>
      <c r="B951">
        <v>1998</v>
      </c>
      <c r="C951" t="s">
        <v>5</v>
      </c>
      <c r="D951" t="s">
        <v>26</v>
      </c>
      <c r="E951" t="s">
        <v>42</v>
      </c>
      <c r="F951" t="s">
        <v>14</v>
      </c>
      <c r="G951" s="7">
        <v>31</v>
      </c>
      <c r="H951" s="2">
        <v>2628255.52356365</v>
      </c>
    </row>
    <row r="952" spans="1:8" x14ac:dyDescent="0.25">
      <c r="A952" t="str">
        <f t="shared" si="14"/>
        <v>199865-74</v>
      </c>
      <c r="B952">
        <v>1998</v>
      </c>
      <c r="C952" t="s">
        <v>1</v>
      </c>
      <c r="D952" t="s">
        <v>26</v>
      </c>
      <c r="E952" t="s">
        <v>42</v>
      </c>
      <c r="F952" t="s">
        <v>14</v>
      </c>
      <c r="G952" s="7">
        <v>128</v>
      </c>
      <c r="H952" s="2">
        <v>383636.80225001101</v>
      </c>
    </row>
    <row r="953" spans="1:8" x14ac:dyDescent="0.25">
      <c r="A953" t="str">
        <f t="shared" si="14"/>
        <v>199875+</v>
      </c>
      <c r="B953">
        <v>1998</v>
      </c>
      <c r="C953" t="s">
        <v>0</v>
      </c>
      <c r="D953" t="s">
        <v>26</v>
      </c>
      <c r="E953" t="s">
        <v>42</v>
      </c>
      <c r="F953" t="s">
        <v>14</v>
      </c>
      <c r="G953" s="7">
        <v>633</v>
      </c>
      <c r="H953" s="2">
        <v>210840.77556954001</v>
      </c>
    </row>
    <row r="954" spans="1:8" x14ac:dyDescent="0.25">
      <c r="A954" t="str">
        <f t="shared" si="14"/>
        <v>19990-4</v>
      </c>
      <c r="B954">
        <v>1999</v>
      </c>
      <c r="C954" t="s">
        <v>6</v>
      </c>
      <c r="D954" t="s">
        <v>26</v>
      </c>
      <c r="E954" t="s">
        <v>42</v>
      </c>
      <c r="F954" t="s">
        <v>14</v>
      </c>
      <c r="G954" s="7">
        <v>334</v>
      </c>
      <c r="H954" s="2">
        <v>1332528.9782825001</v>
      </c>
    </row>
    <row r="955" spans="1:8" x14ac:dyDescent="0.25">
      <c r="A955" t="str">
        <f t="shared" si="14"/>
        <v>199915-24</v>
      </c>
      <c r="B955">
        <v>1999</v>
      </c>
      <c r="C955" t="s">
        <v>4</v>
      </c>
      <c r="D955" t="s">
        <v>26</v>
      </c>
      <c r="E955" t="s">
        <v>42</v>
      </c>
      <c r="F955" t="s">
        <v>14</v>
      </c>
      <c r="G955" s="7">
        <v>31</v>
      </c>
      <c r="H955" s="2">
        <v>2293434.06872966</v>
      </c>
    </row>
    <row r="956" spans="1:8" x14ac:dyDescent="0.25">
      <c r="A956" t="str">
        <f t="shared" si="14"/>
        <v>199925-44</v>
      </c>
      <c r="B956">
        <v>1999</v>
      </c>
      <c r="C956" t="s">
        <v>3</v>
      </c>
      <c r="D956" t="s">
        <v>26</v>
      </c>
      <c r="E956" t="s">
        <v>42</v>
      </c>
      <c r="F956" t="s">
        <v>14</v>
      </c>
      <c r="G956" s="7">
        <v>72</v>
      </c>
      <c r="H956" s="2">
        <v>3464730.3289074199</v>
      </c>
    </row>
    <row r="957" spans="1:8" x14ac:dyDescent="0.25">
      <c r="A957" t="str">
        <f t="shared" si="14"/>
        <v>199945-64</v>
      </c>
      <c r="B957">
        <v>1999</v>
      </c>
      <c r="C957" t="s">
        <v>2</v>
      </c>
      <c r="D957" t="s">
        <v>26</v>
      </c>
      <c r="E957" t="s">
        <v>42</v>
      </c>
      <c r="F957" t="s">
        <v>14</v>
      </c>
      <c r="G957" s="7">
        <v>89</v>
      </c>
      <c r="H957" s="2">
        <v>1599513.7957272299</v>
      </c>
    </row>
    <row r="958" spans="1:8" x14ac:dyDescent="0.25">
      <c r="A958" t="str">
        <f t="shared" si="14"/>
        <v>19995-14</v>
      </c>
      <c r="B958">
        <v>1999</v>
      </c>
      <c r="C958" t="s">
        <v>5</v>
      </c>
      <c r="D958" t="s">
        <v>26</v>
      </c>
      <c r="E958" t="s">
        <v>42</v>
      </c>
      <c r="F958" t="s">
        <v>14</v>
      </c>
      <c r="G958" s="7">
        <v>32</v>
      </c>
      <c r="H958" s="2">
        <v>2628380.1745212199</v>
      </c>
    </row>
    <row r="959" spans="1:8" x14ac:dyDescent="0.25">
      <c r="A959" t="str">
        <f t="shared" si="14"/>
        <v>199965-74</v>
      </c>
      <c r="B959">
        <v>1999</v>
      </c>
      <c r="C959" t="s">
        <v>1</v>
      </c>
      <c r="D959" t="s">
        <v>26</v>
      </c>
      <c r="E959" t="s">
        <v>42</v>
      </c>
      <c r="F959" t="s">
        <v>14</v>
      </c>
      <c r="G959" s="7">
        <v>130</v>
      </c>
      <c r="H959" s="2">
        <v>390568.93408333702</v>
      </c>
    </row>
    <row r="960" spans="1:8" x14ac:dyDescent="0.25">
      <c r="A960" t="str">
        <f t="shared" si="14"/>
        <v>199975+</v>
      </c>
      <c r="B960">
        <v>1999</v>
      </c>
      <c r="C960" t="s">
        <v>0</v>
      </c>
      <c r="D960" t="s">
        <v>26</v>
      </c>
      <c r="E960" t="s">
        <v>42</v>
      </c>
      <c r="F960" t="s">
        <v>14</v>
      </c>
      <c r="G960" s="7">
        <v>658</v>
      </c>
      <c r="H960" s="2">
        <v>225043.25852318</v>
      </c>
    </row>
    <row r="961" spans="1:8" x14ac:dyDescent="0.25">
      <c r="A961" t="str">
        <f t="shared" si="14"/>
        <v>20000-4</v>
      </c>
      <c r="B961">
        <v>2000</v>
      </c>
      <c r="C961" t="s">
        <v>6</v>
      </c>
      <c r="D961" t="s">
        <v>26</v>
      </c>
      <c r="E961" t="s">
        <v>42</v>
      </c>
      <c r="F961" t="s">
        <v>14</v>
      </c>
      <c r="G961" s="7">
        <v>301</v>
      </c>
      <c r="H961" s="2">
        <v>1338309</v>
      </c>
    </row>
    <row r="962" spans="1:8" x14ac:dyDescent="0.25">
      <c r="A962" t="str">
        <f t="shared" ref="A962:A1025" si="15">+CONCATENATE(B962,C962)</f>
        <v>200015-24</v>
      </c>
      <c r="B962">
        <v>2000</v>
      </c>
      <c r="C962" t="s">
        <v>4</v>
      </c>
      <c r="D962" t="s">
        <v>26</v>
      </c>
      <c r="E962" t="s">
        <v>42</v>
      </c>
      <c r="F962" t="s">
        <v>14</v>
      </c>
      <c r="G962" s="7">
        <v>34</v>
      </c>
      <c r="H962" s="2">
        <v>2341775</v>
      </c>
    </row>
    <row r="963" spans="1:8" x14ac:dyDescent="0.25">
      <c r="A963" t="str">
        <f t="shared" si="15"/>
        <v>200025-44</v>
      </c>
      <c r="B963">
        <v>2000</v>
      </c>
      <c r="C963" t="s">
        <v>3</v>
      </c>
      <c r="D963" t="s">
        <v>26</v>
      </c>
      <c r="E963" t="s">
        <v>42</v>
      </c>
      <c r="F963" t="s">
        <v>14</v>
      </c>
      <c r="G963" s="7">
        <v>49</v>
      </c>
      <c r="H963" s="2">
        <v>3535732</v>
      </c>
    </row>
    <row r="964" spans="1:8" x14ac:dyDescent="0.25">
      <c r="A964" t="str">
        <f t="shared" si="15"/>
        <v>200045-64</v>
      </c>
      <c r="B964">
        <v>2000</v>
      </c>
      <c r="C964" t="s">
        <v>2</v>
      </c>
      <c r="D964" t="s">
        <v>26</v>
      </c>
      <c r="E964" t="s">
        <v>42</v>
      </c>
      <c r="F964" t="s">
        <v>14</v>
      </c>
      <c r="G964" s="7">
        <v>74</v>
      </c>
      <c r="H964" s="2">
        <v>1658630</v>
      </c>
    </row>
    <row r="965" spans="1:8" x14ac:dyDescent="0.25">
      <c r="A965" t="str">
        <f t="shared" si="15"/>
        <v>20005-14</v>
      </c>
      <c r="B965">
        <v>2000</v>
      </c>
      <c r="C965" t="s">
        <v>5</v>
      </c>
      <c r="D965" t="s">
        <v>26</v>
      </c>
      <c r="E965" t="s">
        <v>42</v>
      </c>
      <c r="F965" t="s">
        <v>14</v>
      </c>
      <c r="G965" s="7">
        <v>40</v>
      </c>
      <c r="H965" s="2">
        <v>2626661</v>
      </c>
    </row>
    <row r="966" spans="1:8" x14ac:dyDescent="0.25">
      <c r="A966" t="str">
        <f t="shared" si="15"/>
        <v>200065-74</v>
      </c>
      <c r="B966">
        <v>2000</v>
      </c>
      <c r="C966" t="s">
        <v>1</v>
      </c>
      <c r="D966" t="s">
        <v>26</v>
      </c>
      <c r="E966" t="s">
        <v>42</v>
      </c>
      <c r="F966" t="s">
        <v>14</v>
      </c>
      <c r="G966" s="7">
        <v>96</v>
      </c>
      <c r="H966" s="2">
        <v>398642</v>
      </c>
    </row>
    <row r="967" spans="1:8" x14ac:dyDescent="0.25">
      <c r="A967" t="str">
        <f t="shared" si="15"/>
        <v>200075+</v>
      </c>
      <c r="B967">
        <v>2000</v>
      </c>
      <c r="C967" t="s">
        <v>0</v>
      </c>
      <c r="D967" t="s">
        <v>26</v>
      </c>
      <c r="E967" t="s">
        <v>42</v>
      </c>
      <c r="F967" t="s">
        <v>14</v>
      </c>
      <c r="G967" s="7">
        <v>481</v>
      </c>
      <c r="H967" s="2">
        <v>240016</v>
      </c>
    </row>
    <row r="968" spans="1:8" x14ac:dyDescent="0.25">
      <c r="A968" t="str">
        <f t="shared" si="15"/>
        <v>20010-4</v>
      </c>
      <c r="B968">
        <v>2001</v>
      </c>
      <c r="C968" t="s">
        <v>6</v>
      </c>
      <c r="D968" t="s">
        <v>26</v>
      </c>
      <c r="E968" t="s">
        <v>42</v>
      </c>
      <c r="F968" t="s">
        <v>14</v>
      </c>
      <c r="G968" s="7">
        <v>366</v>
      </c>
      <c r="H968" s="2">
        <v>1343121</v>
      </c>
    </row>
    <row r="969" spans="1:8" x14ac:dyDescent="0.25">
      <c r="A969" t="str">
        <f t="shared" si="15"/>
        <v>200115-24</v>
      </c>
      <c r="B969">
        <v>2001</v>
      </c>
      <c r="C969" t="s">
        <v>4</v>
      </c>
      <c r="D969" t="s">
        <v>26</v>
      </c>
      <c r="E969" t="s">
        <v>42</v>
      </c>
      <c r="F969" t="s">
        <v>14</v>
      </c>
      <c r="G969" s="7">
        <v>23</v>
      </c>
      <c r="H969" s="2">
        <v>2387015</v>
      </c>
    </row>
    <row r="970" spans="1:8" x14ac:dyDescent="0.25">
      <c r="A970" t="str">
        <f t="shared" si="15"/>
        <v>200125-44</v>
      </c>
      <c r="B970">
        <v>2001</v>
      </c>
      <c r="C970" t="s">
        <v>3</v>
      </c>
      <c r="D970" t="s">
        <v>26</v>
      </c>
      <c r="E970" t="s">
        <v>42</v>
      </c>
      <c r="F970" t="s">
        <v>14</v>
      </c>
      <c r="G970" s="7">
        <v>77</v>
      </c>
      <c r="H970" s="2">
        <v>3605957</v>
      </c>
    </row>
    <row r="971" spans="1:8" x14ac:dyDescent="0.25">
      <c r="A971" t="str">
        <f t="shared" si="15"/>
        <v>200145-64</v>
      </c>
      <c r="B971">
        <v>2001</v>
      </c>
      <c r="C971" t="s">
        <v>2</v>
      </c>
      <c r="D971" t="s">
        <v>26</v>
      </c>
      <c r="E971" t="s">
        <v>42</v>
      </c>
      <c r="F971" t="s">
        <v>14</v>
      </c>
      <c r="G971" s="7">
        <v>92</v>
      </c>
      <c r="H971" s="2">
        <v>1721965</v>
      </c>
    </row>
    <row r="972" spans="1:8" x14ac:dyDescent="0.25">
      <c r="A972" t="str">
        <f t="shared" si="15"/>
        <v>20015-14</v>
      </c>
      <c r="B972">
        <v>2001</v>
      </c>
      <c r="C972" t="s">
        <v>5</v>
      </c>
      <c r="D972" t="s">
        <v>26</v>
      </c>
      <c r="E972" t="s">
        <v>42</v>
      </c>
      <c r="F972" t="s">
        <v>14</v>
      </c>
      <c r="G972" s="7">
        <v>40</v>
      </c>
      <c r="H972" s="2">
        <v>2624275</v>
      </c>
    </row>
    <row r="973" spans="1:8" x14ac:dyDescent="0.25">
      <c r="A973" t="str">
        <f t="shared" si="15"/>
        <v>200165-74</v>
      </c>
      <c r="B973">
        <v>2001</v>
      </c>
      <c r="C973" t="s">
        <v>1</v>
      </c>
      <c r="D973" t="s">
        <v>26</v>
      </c>
      <c r="E973" t="s">
        <v>42</v>
      </c>
      <c r="F973" t="s">
        <v>14</v>
      </c>
      <c r="G973" s="7">
        <v>145</v>
      </c>
      <c r="H973" s="2">
        <v>407783</v>
      </c>
    </row>
    <row r="974" spans="1:8" x14ac:dyDescent="0.25">
      <c r="A974" t="str">
        <f t="shared" si="15"/>
        <v>200175+</v>
      </c>
      <c r="B974">
        <v>2001</v>
      </c>
      <c r="C974" t="s">
        <v>0</v>
      </c>
      <c r="D974" t="s">
        <v>26</v>
      </c>
      <c r="E974" t="s">
        <v>42</v>
      </c>
      <c r="F974" t="s">
        <v>14</v>
      </c>
      <c r="G974" s="7">
        <v>625</v>
      </c>
      <c r="H974" s="2">
        <v>255331</v>
      </c>
    </row>
    <row r="975" spans="1:8" x14ac:dyDescent="0.25">
      <c r="A975" t="str">
        <f t="shared" si="15"/>
        <v>20020-4</v>
      </c>
      <c r="B975">
        <v>2002</v>
      </c>
      <c r="C975" t="s">
        <v>6</v>
      </c>
      <c r="D975" t="s">
        <v>26</v>
      </c>
      <c r="E975" t="s">
        <v>42</v>
      </c>
      <c r="F975" t="s">
        <v>14</v>
      </c>
      <c r="G975" s="7">
        <v>268</v>
      </c>
      <c r="H975" s="2">
        <v>1347045</v>
      </c>
    </row>
    <row r="976" spans="1:8" x14ac:dyDescent="0.25">
      <c r="A976" t="str">
        <f t="shared" si="15"/>
        <v>200215-24</v>
      </c>
      <c r="B976">
        <v>2002</v>
      </c>
      <c r="C976" t="s">
        <v>4</v>
      </c>
      <c r="D976" t="s">
        <v>26</v>
      </c>
      <c r="E976" t="s">
        <v>42</v>
      </c>
      <c r="F976" t="s">
        <v>14</v>
      </c>
      <c r="G976" s="7">
        <v>39</v>
      </c>
      <c r="H976" s="2">
        <v>2428415</v>
      </c>
    </row>
    <row r="977" spans="1:8" x14ac:dyDescent="0.25">
      <c r="A977" t="str">
        <f t="shared" si="15"/>
        <v>200225-44</v>
      </c>
      <c r="B977">
        <v>2002</v>
      </c>
      <c r="C977" t="s">
        <v>3</v>
      </c>
      <c r="D977" t="s">
        <v>26</v>
      </c>
      <c r="E977" t="s">
        <v>42</v>
      </c>
      <c r="F977" t="s">
        <v>14</v>
      </c>
      <c r="G977" s="7">
        <v>75</v>
      </c>
      <c r="H977" s="2">
        <v>3675559</v>
      </c>
    </row>
    <row r="978" spans="1:8" x14ac:dyDescent="0.25">
      <c r="A978" t="str">
        <f t="shared" si="15"/>
        <v>200245-64</v>
      </c>
      <c r="B978">
        <v>2002</v>
      </c>
      <c r="C978" t="s">
        <v>2</v>
      </c>
      <c r="D978" t="s">
        <v>26</v>
      </c>
      <c r="E978" t="s">
        <v>42</v>
      </c>
      <c r="F978" t="s">
        <v>14</v>
      </c>
      <c r="G978" s="7">
        <v>99</v>
      </c>
      <c r="H978" s="2">
        <v>1789361</v>
      </c>
    </row>
    <row r="979" spans="1:8" x14ac:dyDescent="0.25">
      <c r="A979" t="str">
        <f t="shared" si="15"/>
        <v>20025-14</v>
      </c>
      <c r="B979">
        <v>2002</v>
      </c>
      <c r="C979" t="s">
        <v>5</v>
      </c>
      <c r="D979" t="s">
        <v>26</v>
      </c>
      <c r="E979" t="s">
        <v>42</v>
      </c>
      <c r="F979" t="s">
        <v>14</v>
      </c>
      <c r="G979" s="7">
        <v>33</v>
      </c>
      <c r="H979" s="2">
        <v>2622422</v>
      </c>
    </row>
    <row r="980" spans="1:8" x14ac:dyDescent="0.25">
      <c r="A980" t="str">
        <f t="shared" si="15"/>
        <v>200265-74</v>
      </c>
      <c r="B980">
        <v>2002</v>
      </c>
      <c r="C980" t="s">
        <v>1</v>
      </c>
      <c r="D980" t="s">
        <v>26</v>
      </c>
      <c r="E980" t="s">
        <v>42</v>
      </c>
      <c r="F980" t="s">
        <v>14</v>
      </c>
      <c r="G980" s="7">
        <v>119</v>
      </c>
      <c r="H980" s="2">
        <v>417907</v>
      </c>
    </row>
    <row r="981" spans="1:8" x14ac:dyDescent="0.25">
      <c r="A981" t="str">
        <f t="shared" si="15"/>
        <v>200275+</v>
      </c>
      <c r="B981">
        <v>2002</v>
      </c>
      <c r="C981" t="s">
        <v>0</v>
      </c>
      <c r="D981" t="s">
        <v>26</v>
      </c>
      <c r="E981" t="s">
        <v>42</v>
      </c>
      <c r="F981" t="s">
        <v>14</v>
      </c>
      <c r="G981" s="7">
        <v>547</v>
      </c>
      <c r="H981" s="2">
        <v>270538</v>
      </c>
    </row>
    <row r="982" spans="1:8" x14ac:dyDescent="0.25">
      <c r="A982" t="str">
        <f t="shared" si="15"/>
        <v>20030-4</v>
      </c>
      <c r="B982">
        <v>2003</v>
      </c>
      <c r="C982" t="s">
        <v>6</v>
      </c>
      <c r="D982" t="s">
        <v>26</v>
      </c>
      <c r="E982" t="s">
        <v>42</v>
      </c>
      <c r="F982" t="s">
        <v>14</v>
      </c>
      <c r="G982" s="7">
        <v>395</v>
      </c>
      <c r="H982" s="2">
        <v>1350164</v>
      </c>
    </row>
    <row r="983" spans="1:8" x14ac:dyDescent="0.25">
      <c r="A983" t="str">
        <f t="shared" si="15"/>
        <v>200315-24</v>
      </c>
      <c r="B983">
        <v>2003</v>
      </c>
      <c r="C983" t="s">
        <v>4</v>
      </c>
      <c r="D983" t="s">
        <v>26</v>
      </c>
      <c r="E983" t="s">
        <v>42</v>
      </c>
      <c r="F983" t="s">
        <v>14</v>
      </c>
      <c r="G983" s="7">
        <v>37</v>
      </c>
      <c r="H983" s="2">
        <v>2465273</v>
      </c>
    </row>
    <row r="984" spans="1:8" x14ac:dyDescent="0.25">
      <c r="A984" t="str">
        <f t="shared" si="15"/>
        <v>200325-44</v>
      </c>
      <c r="B984">
        <v>2003</v>
      </c>
      <c r="C984" t="s">
        <v>3</v>
      </c>
      <c r="D984" t="s">
        <v>26</v>
      </c>
      <c r="E984" t="s">
        <v>42</v>
      </c>
      <c r="F984" t="s">
        <v>14</v>
      </c>
      <c r="G984" s="7">
        <v>91</v>
      </c>
      <c r="H984" s="2">
        <v>3744690</v>
      </c>
    </row>
    <row r="985" spans="1:8" x14ac:dyDescent="0.25">
      <c r="A985" t="str">
        <f t="shared" si="15"/>
        <v>200345-64</v>
      </c>
      <c r="B985">
        <v>2003</v>
      </c>
      <c r="C985" t="s">
        <v>2</v>
      </c>
      <c r="D985" t="s">
        <v>26</v>
      </c>
      <c r="E985" t="s">
        <v>42</v>
      </c>
      <c r="F985" t="s">
        <v>14</v>
      </c>
      <c r="G985" s="7">
        <v>118</v>
      </c>
      <c r="H985" s="2">
        <v>1860678</v>
      </c>
    </row>
    <row r="986" spans="1:8" x14ac:dyDescent="0.25">
      <c r="A986" t="str">
        <f t="shared" si="15"/>
        <v>20035-14</v>
      </c>
      <c r="B986">
        <v>2003</v>
      </c>
      <c r="C986" t="s">
        <v>5</v>
      </c>
      <c r="D986" t="s">
        <v>26</v>
      </c>
      <c r="E986" t="s">
        <v>42</v>
      </c>
      <c r="F986" t="s">
        <v>14</v>
      </c>
      <c r="G986" s="7">
        <v>38</v>
      </c>
      <c r="H986" s="2">
        <v>2622279</v>
      </c>
    </row>
    <row r="987" spans="1:8" x14ac:dyDescent="0.25">
      <c r="A987" t="str">
        <f t="shared" si="15"/>
        <v>200365-74</v>
      </c>
      <c r="B987">
        <v>2003</v>
      </c>
      <c r="C987" t="s">
        <v>1</v>
      </c>
      <c r="D987" t="s">
        <v>26</v>
      </c>
      <c r="E987" t="s">
        <v>42</v>
      </c>
      <c r="F987" t="s">
        <v>14</v>
      </c>
      <c r="G987" s="7">
        <v>120</v>
      </c>
      <c r="H987" s="2">
        <v>428941</v>
      </c>
    </row>
    <row r="988" spans="1:8" x14ac:dyDescent="0.25">
      <c r="A988" t="str">
        <f t="shared" si="15"/>
        <v>200375+</v>
      </c>
      <c r="B988">
        <v>2003</v>
      </c>
      <c r="C988" t="s">
        <v>0</v>
      </c>
      <c r="D988" t="s">
        <v>26</v>
      </c>
      <c r="E988" t="s">
        <v>42</v>
      </c>
      <c r="F988" t="s">
        <v>14</v>
      </c>
      <c r="G988" s="7">
        <v>722</v>
      </c>
      <c r="H988" s="2">
        <v>285209</v>
      </c>
    </row>
    <row r="989" spans="1:8" x14ac:dyDescent="0.25">
      <c r="A989" t="str">
        <f t="shared" si="15"/>
        <v>20040-4</v>
      </c>
      <c r="B989">
        <v>2004</v>
      </c>
      <c r="C989" t="s">
        <v>6</v>
      </c>
      <c r="D989" t="s">
        <v>26</v>
      </c>
      <c r="E989" t="s">
        <v>42</v>
      </c>
      <c r="F989" t="s">
        <v>14</v>
      </c>
      <c r="G989" s="7">
        <v>321</v>
      </c>
      <c r="H989" s="2">
        <v>1352508</v>
      </c>
    </row>
    <row r="990" spans="1:8" x14ac:dyDescent="0.25">
      <c r="A990" t="str">
        <f t="shared" si="15"/>
        <v>200415-24</v>
      </c>
      <c r="B990">
        <v>2004</v>
      </c>
      <c r="C990" t="s">
        <v>4</v>
      </c>
      <c r="D990" t="s">
        <v>26</v>
      </c>
      <c r="E990" t="s">
        <v>42</v>
      </c>
      <c r="F990" t="s">
        <v>14</v>
      </c>
      <c r="G990" s="7">
        <v>32</v>
      </c>
      <c r="H990" s="2">
        <v>2497409</v>
      </c>
    </row>
    <row r="991" spans="1:8" x14ac:dyDescent="0.25">
      <c r="A991" t="str">
        <f t="shared" si="15"/>
        <v>200425-44</v>
      </c>
      <c r="B991">
        <v>2004</v>
      </c>
      <c r="C991" t="s">
        <v>3</v>
      </c>
      <c r="D991" t="s">
        <v>26</v>
      </c>
      <c r="E991" t="s">
        <v>42</v>
      </c>
      <c r="F991" t="s">
        <v>14</v>
      </c>
      <c r="G991" s="7">
        <v>57</v>
      </c>
      <c r="H991" s="2">
        <v>3813358</v>
      </c>
    </row>
    <row r="992" spans="1:8" x14ac:dyDescent="0.25">
      <c r="A992" t="str">
        <f t="shared" si="15"/>
        <v>200445-64</v>
      </c>
      <c r="B992">
        <v>2004</v>
      </c>
      <c r="C992" t="s">
        <v>2</v>
      </c>
      <c r="D992" t="s">
        <v>26</v>
      </c>
      <c r="E992" t="s">
        <v>42</v>
      </c>
      <c r="F992" t="s">
        <v>14</v>
      </c>
      <c r="G992" s="7">
        <v>97</v>
      </c>
      <c r="H992" s="2">
        <v>1936129</v>
      </c>
    </row>
    <row r="993" spans="1:8" x14ac:dyDescent="0.25">
      <c r="A993" t="str">
        <f t="shared" si="15"/>
        <v>20045-14</v>
      </c>
      <c r="B993">
        <v>2004</v>
      </c>
      <c r="C993" t="s">
        <v>5</v>
      </c>
      <c r="D993" t="s">
        <v>26</v>
      </c>
      <c r="E993" t="s">
        <v>42</v>
      </c>
      <c r="F993" t="s">
        <v>14</v>
      </c>
      <c r="G993" s="7">
        <v>26</v>
      </c>
      <c r="H993" s="2">
        <v>2624530</v>
      </c>
    </row>
    <row r="994" spans="1:8" x14ac:dyDescent="0.25">
      <c r="A994" t="str">
        <f t="shared" si="15"/>
        <v>200465-74</v>
      </c>
      <c r="B994">
        <v>2004</v>
      </c>
      <c r="C994" t="s">
        <v>1</v>
      </c>
      <c r="D994" t="s">
        <v>26</v>
      </c>
      <c r="E994" t="s">
        <v>42</v>
      </c>
      <c r="F994" t="s">
        <v>14</v>
      </c>
      <c r="G994" s="7">
        <v>103</v>
      </c>
      <c r="H994" s="2">
        <v>441018</v>
      </c>
    </row>
    <row r="995" spans="1:8" x14ac:dyDescent="0.25">
      <c r="A995" t="str">
        <f t="shared" si="15"/>
        <v>200475+</v>
      </c>
      <c r="B995">
        <v>2004</v>
      </c>
      <c r="C995" t="s">
        <v>0</v>
      </c>
      <c r="D995" t="s">
        <v>26</v>
      </c>
      <c r="E995" t="s">
        <v>42</v>
      </c>
      <c r="F995" t="s">
        <v>14</v>
      </c>
      <c r="G995" s="7">
        <v>698</v>
      </c>
      <c r="H995" s="2">
        <v>299301</v>
      </c>
    </row>
    <row r="996" spans="1:8" x14ac:dyDescent="0.25">
      <c r="A996" t="str">
        <f t="shared" si="15"/>
        <v>20050-4</v>
      </c>
      <c r="B996">
        <v>2005</v>
      </c>
      <c r="C996" t="s">
        <v>6</v>
      </c>
      <c r="D996" t="s">
        <v>26</v>
      </c>
      <c r="E996" t="s">
        <v>42</v>
      </c>
      <c r="F996" t="s">
        <v>14</v>
      </c>
      <c r="G996" s="7">
        <v>204</v>
      </c>
      <c r="H996" s="2">
        <v>1353852</v>
      </c>
    </row>
    <row r="997" spans="1:8" x14ac:dyDescent="0.25">
      <c r="A997" t="str">
        <f t="shared" si="15"/>
        <v>200515-24</v>
      </c>
      <c r="B997">
        <v>2005</v>
      </c>
      <c r="C997" t="s">
        <v>4</v>
      </c>
      <c r="D997" t="s">
        <v>26</v>
      </c>
      <c r="E997" t="s">
        <v>42</v>
      </c>
      <c r="F997" t="s">
        <v>14</v>
      </c>
      <c r="G997" s="7">
        <v>19</v>
      </c>
      <c r="H997" s="2">
        <v>2524017</v>
      </c>
    </row>
    <row r="998" spans="1:8" x14ac:dyDescent="0.25">
      <c r="A998" t="str">
        <f t="shared" si="15"/>
        <v>200525-44</v>
      </c>
      <c r="B998">
        <v>2005</v>
      </c>
      <c r="C998" t="s">
        <v>3</v>
      </c>
      <c r="D998" t="s">
        <v>26</v>
      </c>
      <c r="E998" t="s">
        <v>42</v>
      </c>
      <c r="F998" t="s">
        <v>14</v>
      </c>
      <c r="G998" s="7">
        <v>72</v>
      </c>
      <c r="H998" s="2">
        <v>3881062</v>
      </c>
    </row>
    <row r="999" spans="1:8" x14ac:dyDescent="0.25">
      <c r="A999" t="str">
        <f t="shared" si="15"/>
        <v>200545-64</v>
      </c>
      <c r="B999">
        <v>2005</v>
      </c>
      <c r="C999" t="s">
        <v>2</v>
      </c>
      <c r="D999" t="s">
        <v>26</v>
      </c>
      <c r="E999" t="s">
        <v>42</v>
      </c>
      <c r="F999" t="s">
        <v>14</v>
      </c>
      <c r="G999" s="7">
        <v>99</v>
      </c>
      <c r="H999" s="2">
        <v>2016148</v>
      </c>
    </row>
    <row r="1000" spans="1:8" x14ac:dyDescent="0.25">
      <c r="A1000" t="str">
        <f t="shared" si="15"/>
        <v>20055-14</v>
      </c>
      <c r="B1000">
        <v>2005</v>
      </c>
      <c r="C1000" t="s">
        <v>5</v>
      </c>
      <c r="D1000" t="s">
        <v>26</v>
      </c>
      <c r="E1000" t="s">
        <v>42</v>
      </c>
      <c r="F1000" t="s">
        <v>14</v>
      </c>
      <c r="G1000" s="7">
        <v>27</v>
      </c>
      <c r="H1000" s="2">
        <v>2629864</v>
      </c>
    </row>
    <row r="1001" spans="1:8" x14ac:dyDescent="0.25">
      <c r="A1001" t="str">
        <f t="shared" si="15"/>
        <v>200565-74</v>
      </c>
      <c r="B1001">
        <v>2005</v>
      </c>
      <c r="C1001" t="s">
        <v>1</v>
      </c>
      <c r="D1001" t="s">
        <v>26</v>
      </c>
      <c r="E1001" t="s">
        <v>42</v>
      </c>
      <c r="F1001" t="s">
        <v>14</v>
      </c>
      <c r="G1001" s="7">
        <v>111</v>
      </c>
      <c r="H1001" s="2">
        <v>454245</v>
      </c>
    </row>
    <row r="1002" spans="1:8" x14ac:dyDescent="0.25">
      <c r="A1002" t="str">
        <f t="shared" si="15"/>
        <v>200575+</v>
      </c>
      <c r="B1002">
        <v>2005</v>
      </c>
      <c r="C1002" t="s">
        <v>0</v>
      </c>
      <c r="D1002" t="s">
        <v>26</v>
      </c>
      <c r="E1002" t="s">
        <v>42</v>
      </c>
      <c r="F1002" t="s">
        <v>14</v>
      </c>
      <c r="G1002" s="7">
        <v>717</v>
      </c>
      <c r="H1002" s="2">
        <v>312767</v>
      </c>
    </row>
    <row r="1003" spans="1:8" x14ac:dyDescent="0.25">
      <c r="A1003" t="str">
        <f t="shared" si="15"/>
        <v>20060-4</v>
      </c>
      <c r="B1003">
        <v>2006</v>
      </c>
      <c r="C1003" t="s">
        <v>6</v>
      </c>
      <c r="D1003" t="s">
        <v>26</v>
      </c>
      <c r="E1003" t="s">
        <v>42</v>
      </c>
      <c r="F1003" t="s">
        <v>14</v>
      </c>
      <c r="G1003" s="7">
        <v>208</v>
      </c>
      <c r="H1003" s="2">
        <v>1354432</v>
      </c>
    </row>
    <row r="1004" spans="1:8" x14ac:dyDescent="0.25">
      <c r="A1004" t="str">
        <f t="shared" si="15"/>
        <v>200615-24</v>
      </c>
      <c r="B1004">
        <v>2006</v>
      </c>
      <c r="C1004" t="s">
        <v>4</v>
      </c>
      <c r="D1004" t="s">
        <v>26</v>
      </c>
      <c r="E1004" t="s">
        <v>42</v>
      </c>
      <c r="F1004" t="s">
        <v>14</v>
      </c>
      <c r="G1004" s="7">
        <v>35</v>
      </c>
      <c r="H1004" s="2">
        <v>2544731</v>
      </c>
    </row>
    <row r="1005" spans="1:8" x14ac:dyDescent="0.25">
      <c r="A1005" t="str">
        <f t="shared" si="15"/>
        <v>200625-44</v>
      </c>
      <c r="B1005">
        <v>2006</v>
      </c>
      <c r="C1005" t="s">
        <v>3</v>
      </c>
      <c r="D1005" t="s">
        <v>26</v>
      </c>
      <c r="E1005" t="s">
        <v>42</v>
      </c>
      <c r="F1005" t="s">
        <v>14</v>
      </c>
      <c r="G1005" s="7">
        <v>83</v>
      </c>
      <c r="H1005" s="2">
        <v>3947836</v>
      </c>
    </row>
    <row r="1006" spans="1:8" x14ac:dyDescent="0.25">
      <c r="A1006" t="str">
        <f t="shared" si="15"/>
        <v>200645-64</v>
      </c>
      <c r="B1006">
        <v>2006</v>
      </c>
      <c r="C1006" t="s">
        <v>2</v>
      </c>
      <c r="D1006" t="s">
        <v>26</v>
      </c>
      <c r="E1006" t="s">
        <v>42</v>
      </c>
      <c r="F1006" t="s">
        <v>14</v>
      </c>
      <c r="G1006" s="7">
        <v>98</v>
      </c>
      <c r="H1006" s="2">
        <v>2100791</v>
      </c>
    </row>
    <row r="1007" spans="1:8" x14ac:dyDescent="0.25">
      <c r="A1007" t="str">
        <f t="shared" si="15"/>
        <v>20065-14</v>
      </c>
      <c r="B1007">
        <v>2006</v>
      </c>
      <c r="C1007" t="s">
        <v>5</v>
      </c>
      <c r="D1007" t="s">
        <v>26</v>
      </c>
      <c r="E1007" t="s">
        <v>42</v>
      </c>
      <c r="F1007" t="s">
        <v>14</v>
      </c>
      <c r="G1007" s="7">
        <v>44</v>
      </c>
      <c r="H1007" s="2">
        <v>2638747</v>
      </c>
    </row>
    <row r="1008" spans="1:8" x14ac:dyDescent="0.25">
      <c r="A1008" t="str">
        <f t="shared" si="15"/>
        <v>200665-74</v>
      </c>
      <c r="B1008">
        <v>2006</v>
      </c>
      <c r="C1008" t="s">
        <v>1</v>
      </c>
      <c r="D1008" t="s">
        <v>26</v>
      </c>
      <c r="E1008" t="s">
        <v>42</v>
      </c>
      <c r="F1008" t="s">
        <v>14</v>
      </c>
      <c r="G1008" s="7">
        <v>127</v>
      </c>
      <c r="H1008" s="2">
        <v>468680</v>
      </c>
    </row>
    <row r="1009" spans="1:8" x14ac:dyDescent="0.25">
      <c r="A1009" t="str">
        <f t="shared" si="15"/>
        <v>200675+</v>
      </c>
      <c r="B1009">
        <v>2006</v>
      </c>
      <c r="C1009" t="s">
        <v>0</v>
      </c>
      <c r="D1009" t="s">
        <v>26</v>
      </c>
      <c r="E1009" t="s">
        <v>42</v>
      </c>
      <c r="F1009" t="s">
        <v>14</v>
      </c>
      <c r="G1009" s="7">
        <v>691</v>
      </c>
      <c r="H1009" s="2">
        <v>325672</v>
      </c>
    </row>
    <row r="1010" spans="1:8" x14ac:dyDescent="0.25">
      <c r="A1010" t="str">
        <f t="shared" si="15"/>
        <v>20070-4</v>
      </c>
      <c r="B1010">
        <v>2007</v>
      </c>
      <c r="C1010" t="s">
        <v>6</v>
      </c>
      <c r="D1010" t="s">
        <v>26</v>
      </c>
      <c r="E1010" t="s">
        <v>42</v>
      </c>
      <c r="F1010" t="s">
        <v>14</v>
      </c>
      <c r="G1010" s="7">
        <v>216</v>
      </c>
      <c r="H1010" s="2">
        <v>1354234</v>
      </c>
    </row>
    <row r="1011" spans="1:8" x14ac:dyDescent="0.25">
      <c r="A1011" t="str">
        <f t="shared" si="15"/>
        <v>200715-24</v>
      </c>
      <c r="B1011">
        <v>2007</v>
      </c>
      <c r="C1011" t="s">
        <v>4</v>
      </c>
      <c r="D1011" t="s">
        <v>26</v>
      </c>
      <c r="E1011" t="s">
        <v>42</v>
      </c>
      <c r="F1011" t="s">
        <v>14</v>
      </c>
      <c r="G1011" s="7">
        <v>24</v>
      </c>
      <c r="H1011" s="2">
        <v>2561885</v>
      </c>
    </row>
    <row r="1012" spans="1:8" x14ac:dyDescent="0.25">
      <c r="A1012" t="str">
        <f t="shared" si="15"/>
        <v>200725-44</v>
      </c>
      <c r="B1012">
        <v>2007</v>
      </c>
      <c r="C1012" t="s">
        <v>3</v>
      </c>
      <c r="D1012" t="s">
        <v>26</v>
      </c>
      <c r="E1012" t="s">
        <v>42</v>
      </c>
      <c r="F1012" t="s">
        <v>14</v>
      </c>
      <c r="G1012" s="7">
        <v>75</v>
      </c>
      <c r="H1012" s="2">
        <v>4016163</v>
      </c>
    </row>
    <row r="1013" spans="1:8" x14ac:dyDescent="0.25">
      <c r="A1013" t="str">
        <f t="shared" si="15"/>
        <v>200745-64</v>
      </c>
      <c r="B1013">
        <v>2007</v>
      </c>
      <c r="C1013" t="s">
        <v>2</v>
      </c>
      <c r="D1013" t="s">
        <v>26</v>
      </c>
      <c r="E1013" t="s">
        <v>42</v>
      </c>
      <c r="F1013" t="s">
        <v>14</v>
      </c>
      <c r="G1013" s="7">
        <v>123</v>
      </c>
      <c r="H1013" s="2">
        <v>2188071</v>
      </c>
    </row>
    <row r="1014" spans="1:8" x14ac:dyDescent="0.25">
      <c r="A1014" t="str">
        <f t="shared" si="15"/>
        <v>20075-14</v>
      </c>
      <c r="B1014">
        <v>2007</v>
      </c>
      <c r="C1014" t="s">
        <v>5</v>
      </c>
      <c r="D1014" t="s">
        <v>26</v>
      </c>
      <c r="E1014" t="s">
        <v>42</v>
      </c>
      <c r="F1014" t="s">
        <v>14</v>
      </c>
      <c r="G1014" s="7">
        <v>34</v>
      </c>
      <c r="H1014" s="2">
        <v>2647233</v>
      </c>
    </row>
    <row r="1015" spans="1:8" x14ac:dyDescent="0.25">
      <c r="A1015" t="str">
        <f t="shared" si="15"/>
        <v>200765-74</v>
      </c>
      <c r="B1015">
        <v>2007</v>
      </c>
      <c r="C1015" t="s">
        <v>1</v>
      </c>
      <c r="D1015" t="s">
        <v>26</v>
      </c>
      <c r="E1015" t="s">
        <v>42</v>
      </c>
      <c r="F1015" t="s">
        <v>14</v>
      </c>
      <c r="G1015" s="7">
        <v>145</v>
      </c>
      <c r="H1015" s="2">
        <v>484321</v>
      </c>
    </row>
    <row r="1016" spans="1:8" x14ac:dyDescent="0.25">
      <c r="A1016" t="str">
        <f t="shared" si="15"/>
        <v>200775+</v>
      </c>
      <c r="B1016">
        <v>2007</v>
      </c>
      <c r="C1016" t="s">
        <v>0</v>
      </c>
      <c r="D1016" t="s">
        <v>26</v>
      </c>
      <c r="E1016" t="s">
        <v>42</v>
      </c>
      <c r="F1016" t="s">
        <v>14</v>
      </c>
      <c r="G1016" s="7">
        <v>844</v>
      </c>
      <c r="H1016" s="2">
        <v>338128</v>
      </c>
    </row>
    <row r="1017" spans="1:8" x14ac:dyDescent="0.25">
      <c r="A1017" t="str">
        <f t="shared" si="15"/>
        <v>20080-4</v>
      </c>
      <c r="B1017">
        <v>2008</v>
      </c>
      <c r="C1017" t="s">
        <v>6</v>
      </c>
      <c r="D1017" t="s">
        <v>26</v>
      </c>
      <c r="E1017" t="s">
        <v>42</v>
      </c>
      <c r="F1017" t="s">
        <v>14</v>
      </c>
      <c r="G1017" s="7">
        <v>208</v>
      </c>
      <c r="H1017" s="2">
        <v>1353145</v>
      </c>
    </row>
    <row r="1018" spans="1:8" x14ac:dyDescent="0.25">
      <c r="A1018" t="str">
        <f t="shared" si="15"/>
        <v>200815-24</v>
      </c>
      <c r="B1018">
        <v>2008</v>
      </c>
      <c r="C1018" t="s">
        <v>4</v>
      </c>
      <c r="D1018" t="s">
        <v>26</v>
      </c>
      <c r="E1018" t="s">
        <v>42</v>
      </c>
      <c r="F1018" t="s">
        <v>14</v>
      </c>
      <c r="G1018" s="7">
        <v>24</v>
      </c>
      <c r="H1018" s="2">
        <v>2575138</v>
      </c>
    </row>
    <row r="1019" spans="1:8" x14ac:dyDescent="0.25">
      <c r="A1019" t="str">
        <f t="shared" si="15"/>
        <v>200825-44</v>
      </c>
      <c r="B1019">
        <v>2008</v>
      </c>
      <c r="C1019" t="s">
        <v>3</v>
      </c>
      <c r="D1019" t="s">
        <v>26</v>
      </c>
      <c r="E1019" t="s">
        <v>42</v>
      </c>
      <c r="F1019" t="s">
        <v>14</v>
      </c>
      <c r="G1019" s="7">
        <v>86</v>
      </c>
      <c r="H1019" s="2">
        <v>4085944</v>
      </c>
    </row>
    <row r="1020" spans="1:8" x14ac:dyDescent="0.25">
      <c r="A1020" t="str">
        <f t="shared" si="15"/>
        <v>200845-64</v>
      </c>
      <c r="B1020">
        <v>2008</v>
      </c>
      <c r="C1020" t="s">
        <v>2</v>
      </c>
      <c r="D1020" t="s">
        <v>26</v>
      </c>
      <c r="E1020" t="s">
        <v>42</v>
      </c>
      <c r="F1020" t="s">
        <v>14</v>
      </c>
      <c r="G1020" s="7">
        <v>117</v>
      </c>
      <c r="H1020" s="2">
        <v>2277674</v>
      </c>
    </row>
    <row r="1021" spans="1:8" x14ac:dyDescent="0.25">
      <c r="A1021" t="str">
        <f t="shared" si="15"/>
        <v>20085-14</v>
      </c>
      <c r="B1021">
        <v>2008</v>
      </c>
      <c r="C1021" t="s">
        <v>5</v>
      </c>
      <c r="D1021" t="s">
        <v>26</v>
      </c>
      <c r="E1021" t="s">
        <v>42</v>
      </c>
      <c r="F1021" t="s">
        <v>14</v>
      </c>
      <c r="G1021" s="7">
        <v>28</v>
      </c>
      <c r="H1021" s="2">
        <v>2655740</v>
      </c>
    </row>
    <row r="1022" spans="1:8" x14ac:dyDescent="0.25">
      <c r="A1022" t="str">
        <f t="shared" si="15"/>
        <v>200865-74</v>
      </c>
      <c r="B1022">
        <v>2008</v>
      </c>
      <c r="C1022" t="s">
        <v>1</v>
      </c>
      <c r="D1022" t="s">
        <v>26</v>
      </c>
      <c r="E1022" t="s">
        <v>42</v>
      </c>
      <c r="F1022" t="s">
        <v>14</v>
      </c>
      <c r="G1022" s="7">
        <v>122</v>
      </c>
      <c r="H1022" s="2">
        <v>501201</v>
      </c>
    </row>
    <row r="1023" spans="1:8" x14ac:dyDescent="0.25">
      <c r="A1023" t="str">
        <f t="shared" si="15"/>
        <v>200875+</v>
      </c>
      <c r="B1023">
        <v>2008</v>
      </c>
      <c r="C1023" t="s">
        <v>0</v>
      </c>
      <c r="D1023" t="s">
        <v>26</v>
      </c>
      <c r="E1023" t="s">
        <v>42</v>
      </c>
      <c r="F1023" t="s">
        <v>14</v>
      </c>
      <c r="G1023" s="7">
        <v>877</v>
      </c>
      <c r="H1023" s="2">
        <v>350235</v>
      </c>
    </row>
    <row r="1024" spans="1:8" x14ac:dyDescent="0.25">
      <c r="A1024" t="str">
        <f t="shared" si="15"/>
        <v>20090-4</v>
      </c>
      <c r="B1024">
        <v>2009</v>
      </c>
      <c r="C1024" t="s">
        <v>6</v>
      </c>
      <c r="D1024" t="s">
        <v>26</v>
      </c>
      <c r="E1024" t="s">
        <v>42</v>
      </c>
      <c r="F1024" t="s">
        <v>14</v>
      </c>
      <c r="G1024" s="7">
        <v>231</v>
      </c>
      <c r="H1024" s="2">
        <v>1351158</v>
      </c>
    </row>
    <row r="1025" spans="1:8" x14ac:dyDescent="0.25">
      <c r="A1025" t="str">
        <f t="shared" si="15"/>
        <v>200915-24</v>
      </c>
      <c r="B1025">
        <v>2009</v>
      </c>
      <c r="C1025" t="s">
        <v>4</v>
      </c>
      <c r="D1025" t="s">
        <v>26</v>
      </c>
      <c r="E1025" t="s">
        <v>42</v>
      </c>
      <c r="F1025" t="s">
        <v>14</v>
      </c>
      <c r="G1025" s="7">
        <v>46</v>
      </c>
      <c r="H1025" s="2">
        <v>2584791</v>
      </c>
    </row>
    <row r="1026" spans="1:8" x14ac:dyDescent="0.25">
      <c r="A1026" t="str">
        <f t="shared" ref="A1026:A1089" si="16">+CONCATENATE(B1026,C1026)</f>
        <v>200925-44</v>
      </c>
      <c r="B1026">
        <v>2009</v>
      </c>
      <c r="C1026" t="s">
        <v>3</v>
      </c>
      <c r="D1026" t="s">
        <v>26</v>
      </c>
      <c r="E1026" t="s">
        <v>42</v>
      </c>
      <c r="F1026" t="s">
        <v>14</v>
      </c>
      <c r="G1026" s="7">
        <v>109</v>
      </c>
      <c r="H1026" s="2">
        <v>4156891</v>
      </c>
    </row>
    <row r="1027" spans="1:8" x14ac:dyDescent="0.25">
      <c r="A1027" t="str">
        <f t="shared" si="16"/>
        <v>200945-64</v>
      </c>
      <c r="B1027">
        <v>2009</v>
      </c>
      <c r="C1027" t="s">
        <v>2</v>
      </c>
      <c r="D1027" t="s">
        <v>26</v>
      </c>
      <c r="E1027" t="s">
        <v>42</v>
      </c>
      <c r="F1027" t="s">
        <v>14</v>
      </c>
      <c r="G1027" s="7">
        <v>181</v>
      </c>
      <c r="H1027" s="2">
        <v>2369589</v>
      </c>
    </row>
    <row r="1028" spans="1:8" x14ac:dyDescent="0.25">
      <c r="A1028" t="str">
        <f t="shared" si="16"/>
        <v>20095-14</v>
      </c>
      <c r="B1028">
        <v>2009</v>
      </c>
      <c r="C1028" t="s">
        <v>5</v>
      </c>
      <c r="D1028" t="s">
        <v>26</v>
      </c>
      <c r="E1028" t="s">
        <v>42</v>
      </c>
      <c r="F1028" t="s">
        <v>14</v>
      </c>
      <c r="G1028" s="7">
        <v>42</v>
      </c>
      <c r="H1028" s="2">
        <v>2664671</v>
      </c>
    </row>
    <row r="1029" spans="1:8" x14ac:dyDescent="0.25">
      <c r="A1029" t="str">
        <f t="shared" si="16"/>
        <v>200965-74</v>
      </c>
      <c r="B1029">
        <v>2009</v>
      </c>
      <c r="C1029" t="s">
        <v>1</v>
      </c>
      <c r="D1029" t="s">
        <v>26</v>
      </c>
      <c r="E1029" t="s">
        <v>42</v>
      </c>
      <c r="F1029" t="s">
        <v>14</v>
      </c>
      <c r="G1029" s="7">
        <v>139</v>
      </c>
      <c r="H1029" s="2">
        <v>519377</v>
      </c>
    </row>
    <row r="1030" spans="1:8" x14ac:dyDescent="0.25">
      <c r="A1030" t="str">
        <f t="shared" si="16"/>
        <v>200975+</v>
      </c>
      <c r="B1030">
        <v>2009</v>
      </c>
      <c r="C1030" t="s">
        <v>0</v>
      </c>
      <c r="D1030" t="s">
        <v>26</v>
      </c>
      <c r="E1030" t="s">
        <v>42</v>
      </c>
      <c r="F1030" t="s">
        <v>14</v>
      </c>
      <c r="G1030" s="7">
        <v>835</v>
      </c>
      <c r="H1030" s="2">
        <v>362131</v>
      </c>
    </row>
    <row r="1031" spans="1:8" x14ac:dyDescent="0.25">
      <c r="A1031" t="str">
        <f t="shared" si="16"/>
        <v>20100-4</v>
      </c>
      <c r="B1031">
        <v>2010</v>
      </c>
      <c r="C1031" t="s">
        <v>6</v>
      </c>
      <c r="D1031" t="s">
        <v>26</v>
      </c>
      <c r="E1031" t="s">
        <v>42</v>
      </c>
      <c r="F1031" t="s">
        <v>14</v>
      </c>
      <c r="G1031" s="7">
        <v>203</v>
      </c>
      <c r="H1031" s="2">
        <v>1348289</v>
      </c>
    </row>
    <row r="1032" spans="1:8" x14ac:dyDescent="0.25">
      <c r="A1032" t="str">
        <f t="shared" si="16"/>
        <v>201015-24</v>
      </c>
      <c r="B1032">
        <v>2010</v>
      </c>
      <c r="C1032" t="s">
        <v>4</v>
      </c>
      <c r="D1032" t="s">
        <v>26</v>
      </c>
      <c r="E1032" t="s">
        <v>42</v>
      </c>
      <c r="F1032" t="s">
        <v>14</v>
      </c>
      <c r="G1032" s="7">
        <v>34</v>
      </c>
      <c r="H1032" s="2">
        <v>2590746</v>
      </c>
    </row>
    <row r="1033" spans="1:8" x14ac:dyDescent="0.25">
      <c r="A1033" t="str">
        <f t="shared" si="16"/>
        <v>201025-44</v>
      </c>
      <c r="B1033">
        <v>2010</v>
      </c>
      <c r="C1033" t="s">
        <v>3</v>
      </c>
      <c r="D1033" t="s">
        <v>26</v>
      </c>
      <c r="E1033" t="s">
        <v>42</v>
      </c>
      <c r="F1033" t="s">
        <v>14</v>
      </c>
      <c r="G1033" s="7">
        <v>92</v>
      </c>
      <c r="H1033" s="2">
        <v>4228246</v>
      </c>
    </row>
    <row r="1034" spans="1:8" x14ac:dyDescent="0.25">
      <c r="A1034" t="str">
        <f t="shared" si="16"/>
        <v>201045-64</v>
      </c>
      <c r="B1034">
        <v>2010</v>
      </c>
      <c r="C1034" t="s">
        <v>2</v>
      </c>
      <c r="D1034" t="s">
        <v>26</v>
      </c>
      <c r="E1034" t="s">
        <v>42</v>
      </c>
      <c r="F1034" t="s">
        <v>14</v>
      </c>
      <c r="G1034" s="7">
        <v>152</v>
      </c>
      <c r="H1034" s="2">
        <v>2464321</v>
      </c>
    </row>
    <row r="1035" spans="1:8" x14ac:dyDescent="0.25">
      <c r="A1035" t="str">
        <f t="shared" si="16"/>
        <v>20105-14</v>
      </c>
      <c r="B1035">
        <v>2010</v>
      </c>
      <c r="C1035" t="s">
        <v>5</v>
      </c>
      <c r="D1035" t="s">
        <v>26</v>
      </c>
      <c r="E1035" t="s">
        <v>42</v>
      </c>
      <c r="F1035" t="s">
        <v>14</v>
      </c>
      <c r="G1035" s="7">
        <v>39</v>
      </c>
      <c r="H1035" s="2">
        <v>2674173</v>
      </c>
    </row>
    <row r="1036" spans="1:8" x14ac:dyDescent="0.25">
      <c r="A1036" t="str">
        <f t="shared" si="16"/>
        <v>201065-74</v>
      </c>
      <c r="B1036">
        <v>2010</v>
      </c>
      <c r="C1036" t="s">
        <v>1</v>
      </c>
      <c r="D1036" t="s">
        <v>26</v>
      </c>
      <c r="E1036" t="s">
        <v>42</v>
      </c>
      <c r="F1036" t="s">
        <v>14</v>
      </c>
      <c r="G1036" s="7">
        <v>167</v>
      </c>
      <c r="H1036" s="2">
        <v>538921</v>
      </c>
    </row>
    <row r="1037" spans="1:8" x14ac:dyDescent="0.25">
      <c r="A1037" t="str">
        <f t="shared" si="16"/>
        <v>201075+</v>
      </c>
      <c r="B1037">
        <v>2010</v>
      </c>
      <c r="C1037" t="s">
        <v>0</v>
      </c>
      <c r="D1037" t="s">
        <v>26</v>
      </c>
      <c r="E1037" t="s">
        <v>42</v>
      </c>
      <c r="F1037" t="s">
        <v>14</v>
      </c>
      <c r="G1037" s="7">
        <v>1114</v>
      </c>
      <c r="H1037" s="2">
        <v>373918</v>
      </c>
    </row>
    <row r="1038" spans="1:8" x14ac:dyDescent="0.25">
      <c r="A1038" t="str">
        <f t="shared" si="16"/>
        <v>20110-4</v>
      </c>
      <c r="B1038">
        <v>2011</v>
      </c>
      <c r="C1038" t="s">
        <v>6</v>
      </c>
      <c r="D1038" t="s">
        <v>26</v>
      </c>
      <c r="E1038" t="s">
        <v>42</v>
      </c>
      <c r="F1038" t="s">
        <v>14</v>
      </c>
      <c r="G1038" s="7">
        <v>206</v>
      </c>
      <c r="H1038" s="2">
        <v>1344595</v>
      </c>
    </row>
    <row r="1039" spans="1:8" x14ac:dyDescent="0.25">
      <c r="A1039" t="str">
        <f t="shared" si="16"/>
        <v>201115-24</v>
      </c>
      <c r="B1039">
        <v>2011</v>
      </c>
      <c r="C1039" t="s">
        <v>4</v>
      </c>
      <c r="D1039" t="s">
        <v>26</v>
      </c>
      <c r="E1039" t="s">
        <v>42</v>
      </c>
      <c r="F1039" t="s">
        <v>14</v>
      </c>
      <c r="G1039" s="7">
        <v>40</v>
      </c>
      <c r="H1039" s="2">
        <v>2593350</v>
      </c>
    </row>
    <row r="1040" spans="1:8" x14ac:dyDescent="0.25">
      <c r="A1040" t="str">
        <f t="shared" si="16"/>
        <v>201125-44</v>
      </c>
      <c r="B1040">
        <v>2011</v>
      </c>
      <c r="C1040" t="s">
        <v>3</v>
      </c>
      <c r="D1040" t="s">
        <v>26</v>
      </c>
      <c r="E1040" t="s">
        <v>42</v>
      </c>
      <c r="F1040" t="s">
        <v>14</v>
      </c>
      <c r="G1040" s="7">
        <v>98</v>
      </c>
      <c r="H1040" s="2">
        <v>4299392</v>
      </c>
    </row>
    <row r="1041" spans="1:8" x14ac:dyDescent="0.25">
      <c r="A1041" t="str">
        <f t="shared" si="16"/>
        <v>201145-64</v>
      </c>
      <c r="B1041">
        <v>2011</v>
      </c>
      <c r="C1041" t="s">
        <v>2</v>
      </c>
      <c r="D1041" t="s">
        <v>26</v>
      </c>
      <c r="E1041" t="s">
        <v>42</v>
      </c>
      <c r="F1041" t="s">
        <v>14</v>
      </c>
      <c r="G1041" s="7">
        <v>175</v>
      </c>
      <c r="H1041" s="2">
        <v>2561836</v>
      </c>
    </row>
    <row r="1042" spans="1:8" x14ac:dyDescent="0.25">
      <c r="A1042" t="str">
        <f t="shared" si="16"/>
        <v>20115-14</v>
      </c>
      <c r="B1042">
        <v>2011</v>
      </c>
      <c r="C1042" t="s">
        <v>5</v>
      </c>
      <c r="D1042" t="s">
        <v>26</v>
      </c>
      <c r="E1042" t="s">
        <v>42</v>
      </c>
      <c r="F1042" t="s">
        <v>14</v>
      </c>
      <c r="G1042" s="7">
        <v>28</v>
      </c>
      <c r="H1042" s="2">
        <v>2684312</v>
      </c>
    </row>
    <row r="1043" spans="1:8" x14ac:dyDescent="0.25">
      <c r="A1043" t="str">
        <f t="shared" si="16"/>
        <v>201165-74</v>
      </c>
      <c r="B1043">
        <v>2011</v>
      </c>
      <c r="C1043" t="s">
        <v>1</v>
      </c>
      <c r="D1043" t="s">
        <v>26</v>
      </c>
      <c r="E1043" t="s">
        <v>42</v>
      </c>
      <c r="F1043" t="s">
        <v>14</v>
      </c>
      <c r="G1043" s="7">
        <v>185</v>
      </c>
      <c r="H1043" s="2">
        <v>559899</v>
      </c>
    </row>
    <row r="1044" spans="1:8" x14ac:dyDescent="0.25">
      <c r="A1044" t="str">
        <f t="shared" si="16"/>
        <v>201175+</v>
      </c>
      <c r="B1044">
        <v>2011</v>
      </c>
      <c r="C1044" t="s">
        <v>0</v>
      </c>
      <c r="D1044" t="s">
        <v>26</v>
      </c>
      <c r="E1044" t="s">
        <v>42</v>
      </c>
      <c r="F1044" t="s">
        <v>14</v>
      </c>
      <c r="G1044" s="7">
        <v>1128</v>
      </c>
      <c r="H1044" s="2">
        <v>385721</v>
      </c>
    </row>
    <row r="1045" spans="1:8" x14ac:dyDescent="0.25">
      <c r="A1045" t="str">
        <f t="shared" si="16"/>
        <v>20120-4</v>
      </c>
      <c r="B1045">
        <v>2012</v>
      </c>
      <c r="C1045" t="s">
        <v>6</v>
      </c>
      <c r="D1045" t="s">
        <v>26</v>
      </c>
      <c r="E1045" t="s">
        <v>42</v>
      </c>
      <c r="F1045" t="s">
        <v>14</v>
      </c>
      <c r="G1045" s="7">
        <v>197</v>
      </c>
      <c r="H1045" s="2">
        <v>1340586.3214094499</v>
      </c>
    </row>
    <row r="1046" spans="1:8" x14ac:dyDescent="0.25">
      <c r="A1046" t="str">
        <f t="shared" si="16"/>
        <v>201215-24</v>
      </c>
      <c r="B1046">
        <v>2012</v>
      </c>
      <c r="C1046" t="s">
        <v>4</v>
      </c>
      <c r="D1046" t="s">
        <v>26</v>
      </c>
      <c r="E1046" t="s">
        <v>42</v>
      </c>
      <c r="F1046" t="s">
        <v>14</v>
      </c>
      <c r="G1046" s="7">
        <v>25</v>
      </c>
      <c r="H1046" s="2">
        <v>2596932.5593387499</v>
      </c>
    </row>
    <row r="1047" spans="1:8" x14ac:dyDescent="0.25">
      <c r="A1047" t="str">
        <f t="shared" si="16"/>
        <v>201225-44</v>
      </c>
      <c r="B1047">
        <v>2012</v>
      </c>
      <c r="C1047" t="s">
        <v>3</v>
      </c>
      <c r="D1047" t="s">
        <v>26</v>
      </c>
      <c r="E1047" t="s">
        <v>42</v>
      </c>
      <c r="F1047" t="s">
        <v>14</v>
      </c>
      <c r="G1047" s="7">
        <v>89</v>
      </c>
      <c r="H1047" s="2">
        <v>4370928.8062696801</v>
      </c>
    </row>
    <row r="1048" spans="1:8" x14ac:dyDescent="0.25">
      <c r="A1048" t="str">
        <f t="shared" si="16"/>
        <v>201245-64</v>
      </c>
      <c r="B1048">
        <v>2012</v>
      </c>
      <c r="C1048" t="s">
        <v>2</v>
      </c>
      <c r="D1048" t="s">
        <v>26</v>
      </c>
      <c r="E1048" t="s">
        <v>42</v>
      </c>
      <c r="F1048" t="s">
        <v>14</v>
      </c>
      <c r="G1048" s="7">
        <v>148</v>
      </c>
      <c r="H1048" s="2">
        <v>2658291.2681631502</v>
      </c>
    </row>
    <row r="1049" spans="1:8" x14ac:dyDescent="0.25">
      <c r="A1049" t="str">
        <f t="shared" si="16"/>
        <v>20125-14</v>
      </c>
      <c r="B1049">
        <v>2012</v>
      </c>
      <c r="C1049" t="s">
        <v>5</v>
      </c>
      <c r="D1049" t="s">
        <v>26</v>
      </c>
      <c r="E1049" t="s">
        <v>42</v>
      </c>
      <c r="F1049" t="s">
        <v>14</v>
      </c>
      <c r="G1049" s="7">
        <v>22</v>
      </c>
      <c r="H1049" s="2">
        <v>2693165.8826794801</v>
      </c>
    </row>
    <row r="1050" spans="1:8" x14ac:dyDescent="0.25">
      <c r="A1050" t="str">
        <f t="shared" si="16"/>
        <v>201265-74</v>
      </c>
      <c r="B1050">
        <v>2012</v>
      </c>
      <c r="C1050" t="s">
        <v>1</v>
      </c>
      <c r="D1050" t="s">
        <v>26</v>
      </c>
      <c r="E1050" t="s">
        <v>42</v>
      </c>
      <c r="F1050" t="s">
        <v>14</v>
      </c>
      <c r="G1050" s="7">
        <v>188</v>
      </c>
      <c r="H1050" s="2">
        <v>582433.94467592705</v>
      </c>
    </row>
    <row r="1051" spans="1:8" x14ac:dyDescent="0.25">
      <c r="A1051" t="str">
        <f t="shared" si="16"/>
        <v>201275+</v>
      </c>
      <c r="B1051">
        <v>2012</v>
      </c>
      <c r="C1051" t="s">
        <v>0</v>
      </c>
      <c r="D1051" t="s">
        <v>26</v>
      </c>
      <c r="E1051" t="s">
        <v>42</v>
      </c>
      <c r="F1051" t="s">
        <v>14</v>
      </c>
      <c r="G1051" s="7">
        <v>1088</v>
      </c>
      <c r="H1051" s="2">
        <v>398069.84835797001</v>
      </c>
    </row>
    <row r="1052" spans="1:8" x14ac:dyDescent="0.25">
      <c r="A1052" t="str">
        <f t="shared" si="16"/>
        <v>20130-4</v>
      </c>
      <c r="B1052">
        <v>2013</v>
      </c>
      <c r="C1052" t="s">
        <v>6</v>
      </c>
      <c r="D1052" t="s">
        <v>26</v>
      </c>
      <c r="E1052" t="s">
        <v>42</v>
      </c>
      <c r="F1052" t="s">
        <v>14</v>
      </c>
      <c r="G1052" s="7">
        <v>209</v>
      </c>
      <c r="H1052" s="2">
        <v>1336364.77993838</v>
      </c>
    </row>
    <row r="1053" spans="1:8" x14ac:dyDescent="0.25">
      <c r="A1053" t="str">
        <f t="shared" si="16"/>
        <v>201315-24</v>
      </c>
      <c r="B1053">
        <v>2013</v>
      </c>
      <c r="C1053" t="s">
        <v>4</v>
      </c>
      <c r="D1053" t="s">
        <v>26</v>
      </c>
      <c r="E1053" t="s">
        <v>42</v>
      </c>
      <c r="F1053" t="s">
        <v>14</v>
      </c>
      <c r="G1053" s="7">
        <v>37</v>
      </c>
      <c r="H1053" s="2">
        <v>2602650.6589393602</v>
      </c>
    </row>
    <row r="1054" spans="1:8" x14ac:dyDescent="0.25">
      <c r="A1054" t="str">
        <f t="shared" si="16"/>
        <v>201325-44</v>
      </c>
      <c r="B1054">
        <v>2013</v>
      </c>
      <c r="C1054" t="s">
        <v>3</v>
      </c>
      <c r="D1054" t="s">
        <v>26</v>
      </c>
      <c r="E1054" t="s">
        <v>42</v>
      </c>
      <c r="F1054" t="s">
        <v>14</v>
      </c>
      <c r="G1054" s="7">
        <v>168</v>
      </c>
      <c r="H1054" s="2">
        <v>4442157.0636299504</v>
      </c>
    </row>
    <row r="1055" spans="1:8" x14ac:dyDescent="0.25">
      <c r="A1055" t="str">
        <f t="shared" si="16"/>
        <v>201345-64</v>
      </c>
      <c r="B1055">
        <v>2013</v>
      </c>
      <c r="C1055" t="s">
        <v>2</v>
      </c>
      <c r="D1055" t="s">
        <v>26</v>
      </c>
      <c r="E1055" t="s">
        <v>42</v>
      </c>
      <c r="F1055" t="s">
        <v>14</v>
      </c>
      <c r="G1055" s="7">
        <v>295</v>
      </c>
      <c r="H1055" s="2">
        <v>2752738.9724179399</v>
      </c>
    </row>
    <row r="1056" spans="1:8" x14ac:dyDescent="0.25">
      <c r="A1056" t="str">
        <f t="shared" si="16"/>
        <v>20135-14</v>
      </c>
      <c r="B1056">
        <v>2013</v>
      </c>
      <c r="C1056" t="s">
        <v>5</v>
      </c>
      <c r="D1056" t="s">
        <v>26</v>
      </c>
      <c r="E1056" t="s">
        <v>42</v>
      </c>
      <c r="F1056" t="s">
        <v>14</v>
      </c>
      <c r="G1056" s="7">
        <v>33</v>
      </c>
      <c r="H1056" s="2">
        <v>2699988.6782491799</v>
      </c>
    </row>
    <row r="1057" spans="1:8" x14ac:dyDescent="0.25">
      <c r="A1057" t="str">
        <f t="shared" si="16"/>
        <v>201365-74</v>
      </c>
      <c r="B1057">
        <v>2013</v>
      </c>
      <c r="C1057" t="s">
        <v>1</v>
      </c>
      <c r="D1057" t="s">
        <v>26</v>
      </c>
      <c r="E1057" t="s">
        <v>42</v>
      </c>
      <c r="F1057" t="s">
        <v>14</v>
      </c>
      <c r="G1057" s="7">
        <v>228</v>
      </c>
      <c r="H1057" s="2">
        <v>606480.27141564596</v>
      </c>
    </row>
    <row r="1058" spans="1:8" x14ac:dyDescent="0.25">
      <c r="A1058" t="str">
        <f t="shared" si="16"/>
        <v>201375+</v>
      </c>
      <c r="B1058">
        <v>2013</v>
      </c>
      <c r="C1058" t="s">
        <v>0</v>
      </c>
      <c r="D1058" t="s">
        <v>26</v>
      </c>
      <c r="E1058" t="s">
        <v>42</v>
      </c>
      <c r="F1058" t="s">
        <v>14</v>
      </c>
      <c r="G1058" s="7">
        <v>1204</v>
      </c>
      <c r="H1058" s="2">
        <v>411257.72175729403</v>
      </c>
    </row>
    <row r="1059" spans="1:8" x14ac:dyDescent="0.25">
      <c r="A1059" t="str">
        <f t="shared" si="16"/>
        <v>20140-4</v>
      </c>
      <c r="B1059">
        <v>2014</v>
      </c>
      <c r="C1059" t="s">
        <v>6</v>
      </c>
      <c r="D1059" t="s">
        <v>26</v>
      </c>
      <c r="E1059" t="s">
        <v>42</v>
      </c>
      <c r="F1059" t="s">
        <v>14</v>
      </c>
      <c r="G1059" s="7">
        <v>206</v>
      </c>
      <c r="H1059" s="2">
        <v>1331891</v>
      </c>
    </row>
    <row r="1060" spans="1:8" x14ac:dyDescent="0.25">
      <c r="A1060" t="str">
        <f t="shared" si="16"/>
        <v>201415-24</v>
      </c>
      <c r="B1060">
        <v>2014</v>
      </c>
      <c r="C1060" t="s">
        <v>4</v>
      </c>
      <c r="D1060" t="s">
        <v>26</v>
      </c>
      <c r="E1060" t="s">
        <v>42</v>
      </c>
      <c r="F1060" t="s">
        <v>14</v>
      </c>
      <c r="G1060" s="7">
        <v>32</v>
      </c>
      <c r="H1060" s="2">
        <v>2610538</v>
      </c>
    </row>
    <row r="1061" spans="1:8" x14ac:dyDescent="0.25">
      <c r="A1061" t="str">
        <f t="shared" si="16"/>
        <v>201425-44</v>
      </c>
      <c r="B1061">
        <v>2014</v>
      </c>
      <c r="C1061" t="s">
        <v>3</v>
      </c>
      <c r="D1061" t="s">
        <v>26</v>
      </c>
      <c r="E1061" t="s">
        <v>42</v>
      </c>
      <c r="F1061" t="s">
        <v>14</v>
      </c>
      <c r="G1061" s="7">
        <v>95</v>
      </c>
      <c r="H1061" s="2">
        <v>4511948</v>
      </c>
    </row>
    <row r="1062" spans="1:8" x14ac:dyDescent="0.25">
      <c r="A1062" t="str">
        <f t="shared" si="16"/>
        <v>201445-64</v>
      </c>
      <c r="B1062">
        <v>2014</v>
      </c>
      <c r="C1062" t="s">
        <v>2</v>
      </c>
      <c r="D1062" t="s">
        <v>26</v>
      </c>
      <c r="E1062" t="s">
        <v>42</v>
      </c>
      <c r="F1062" t="s">
        <v>14</v>
      </c>
      <c r="G1062" s="7">
        <v>244</v>
      </c>
      <c r="H1062" s="2">
        <v>2845267</v>
      </c>
    </row>
    <row r="1063" spans="1:8" x14ac:dyDescent="0.25">
      <c r="A1063" t="str">
        <f t="shared" si="16"/>
        <v>20145-14</v>
      </c>
      <c r="B1063">
        <v>2014</v>
      </c>
      <c r="C1063" t="s">
        <v>5</v>
      </c>
      <c r="D1063" t="s">
        <v>26</v>
      </c>
      <c r="E1063" t="s">
        <v>42</v>
      </c>
      <c r="F1063" t="s">
        <v>14</v>
      </c>
      <c r="G1063" s="7">
        <v>43</v>
      </c>
      <c r="H1063" s="2">
        <v>2704490</v>
      </c>
    </row>
    <row r="1064" spans="1:8" x14ac:dyDescent="0.25">
      <c r="A1064" t="str">
        <f t="shared" si="16"/>
        <v>201465-74</v>
      </c>
      <c r="B1064">
        <v>2014</v>
      </c>
      <c r="C1064" t="s">
        <v>1</v>
      </c>
      <c r="D1064" t="s">
        <v>26</v>
      </c>
      <c r="E1064" t="s">
        <v>42</v>
      </c>
      <c r="F1064" t="s">
        <v>14</v>
      </c>
      <c r="G1064" s="7">
        <v>198</v>
      </c>
      <c r="H1064" s="2">
        <v>631943</v>
      </c>
    </row>
    <row r="1065" spans="1:8" x14ac:dyDescent="0.25">
      <c r="A1065" t="str">
        <f t="shared" si="16"/>
        <v>201475+</v>
      </c>
      <c r="B1065">
        <v>2014</v>
      </c>
      <c r="C1065" t="s">
        <v>0</v>
      </c>
      <c r="D1065" t="s">
        <v>26</v>
      </c>
      <c r="E1065" t="s">
        <v>42</v>
      </c>
      <c r="F1065" t="s">
        <v>14</v>
      </c>
      <c r="G1065" s="7">
        <v>1396</v>
      </c>
      <c r="H1065" s="2">
        <v>425486</v>
      </c>
    </row>
    <row r="1066" spans="1:8" x14ac:dyDescent="0.25">
      <c r="A1066" t="str">
        <f t="shared" si="16"/>
        <v>19960-4</v>
      </c>
      <c r="B1066">
        <v>1996</v>
      </c>
      <c r="C1066" t="s">
        <v>6</v>
      </c>
      <c r="D1066" t="s">
        <v>26</v>
      </c>
      <c r="E1066" t="s">
        <v>43</v>
      </c>
      <c r="F1066" t="s">
        <v>13</v>
      </c>
      <c r="G1066" s="7">
        <v>761</v>
      </c>
      <c r="H1066" s="2">
        <v>1308550.7828250399</v>
      </c>
    </row>
    <row r="1067" spans="1:8" x14ac:dyDescent="0.25">
      <c r="A1067" t="str">
        <f t="shared" si="16"/>
        <v>199615-24</v>
      </c>
      <c r="B1067">
        <v>1996</v>
      </c>
      <c r="C1067" t="s">
        <v>4</v>
      </c>
      <c r="D1067" t="s">
        <v>26</v>
      </c>
      <c r="E1067" t="s">
        <v>43</v>
      </c>
      <c r="F1067" t="s">
        <v>13</v>
      </c>
      <c r="G1067" s="7">
        <v>28</v>
      </c>
      <c r="H1067" s="2">
        <v>2136825.68729656</v>
      </c>
    </row>
    <row r="1068" spans="1:8" x14ac:dyDescent="0.25">
      <c r="A1068" t="str">
        <f t="shared" si="16"/>
        <v>199625-44</v>
      </c>
      <c r="B1068">
        <v>1996</v>
      </c>
      <c r="C1068" t="s">
        <v>3</v>
      </c>
      <c r="D1068" t="s">
        <v>26</v>
      </c>
      <c r="E1068" t="s">
        <v>43</v>
      </c>
      <c r="F1068" t="s">
        <v>13</v>
      </c>
      <c r="G1068" s="7">
        <v>46</v>
      </c>
      <c r="H1068" s="2">
        <v>3245545.2890741802</v>
      </c>
    </row>
    <row r="1069" spans="1:8" x14ac:dyDescent="0.25">
      <c r="A1069" t="str">
        <f t="shared" si="16"/>
        <v>199645-64</v>
      </c>
      <c r="B1069">
        <v>1996</v>
      </c>
      <c r="C1069" t="s">
        <v>2</v>
      </c>
      <c r="D1069" t="s">
        <v>26</v>
      </c>
      <c r="E1069" t="s">
        <v>43</v>
      </c>
      <c r="F1069" t="s">
        <v>13</v>
      </c>
      <c r="G1069" s="7">
        <v>18</v>
      </c>
      <c r="H1069" s="2">
        <v>1448877.9572723201</v>
      </c>
    </row>
    <row r="1070" spans="1:8" x14ac:dyDescent="0.25">
      <c r="A1070" t="str">
        <f t="shared" si="16"/>
        <v>19965-14</v>
      </c>
      <c r="B1070">
        <v>1996</v>
      </c>
      <c r="C1070" t="s">
        <v>5</v>
      </c>
      <c r="D1070" t="s">
        <v>26</v>
      </c>
      <c r="E1070" t="s">
        <v>43</v>
      </c>
      <c r="F1070" t="s">
        <v>13</v>
      </c>
      <c r="G1070" s="7">
        <v>60</v>
      </c>
      <c r="H1070" s="2">
        <v>2617766.7452121698</v>
      </c>
    </row>
    <row r="1071" spans="1:8" x14ac:dyDescent="0.25">
      <c r="A1071" t="str">
        <f t="shared" si="16"/>
        <v>199665-74</v>
      </c>
      <c r="B1071">
        <v>1996</v>
      </c>
      <c r="C1071" t="s">
        <v>1</v>
      </c>
      <c r="D1071" t="s">
        <v>26</v>
      </c>
      <c r="E1071" t="s">
        <v>43</v>
      </c>
      <c r="F1071" t="s">
        <v>13</v>
      </c>
      <c r="G1071" s="7">
        <v>8</v>
      </c>
      <c r="H1071" s="2">
        <v>373487.34083337098</v>
      </c>
    </row>
    <row r="1072" spans="1:8" x14ac:dyDescent="0.25">
      <c r="A1072" t="str">
        <f t="shared" si="16"/>
        <v>199675+</v>
      </c>
      <c r="B1072">
        <v>1996</v>
      </c>
      <c r="C1072" t="s">
        <v>0</v>
      </c>
      <c r="D1072" t="s">
        <v>26</v>
      </c>
      <c r="E1072" t="s">
        <v>43</v>
      </c>
      <c r="F1072" t="s">
        <v>13</v>
      </c>
      <c r="G1072" s="7">
        <v>12</v>
      </c>
      <c r="H1072" s="2">
        <v>186458.585231801</v>
      </c>
    </row>
    <row r="1073" spans="1:8" x14ac:dyDescent="0.25">
      <c r="A1073" t="str">
        <f t="shared" si="16"/>
        <v>19970-4</v>
      </c>
      <c r="B1073">
        <v>1997</v>
      </c>
      <c r="C1073" t="s">
        <v>6</v>
      </c>
      <c r="D1073" t="s">
        <v>26</v>
      </c>
      <c r="E1073" t="s">
        <v>43</v>
      </c>
      <c r="F1073" t="s">
        <v>13</v>
      </c>
      <c r="G1073" s="7">
        <v>754</v>
      </c>
      <c r="H1073" s="2">
        <v>1317732.8696950199</v>
      </c>
    </row>
    <row r="1074" spans="1:8" x14ac:dyDescent="0.25">
      <c r="A1074" t="str">
        <f t="shared" si="16"/>
        <v>199715-24</v>
      </c>
      <c r="B1074">
        <v>1997</v>
      </c>
      <c r="C1074" t="s">
        <v>4</v>
      </c>
      <c r="D1074" t="s">
        <v>26</v>
      </c>
      <c r="E1074" t="s">
        <v>43</v>
      </c>
      <c r="F1074" t="s">
        <v>13</v>
      </c>
      <c r="G1074" s="7">
        <v>30</v>
      </c>
      <c r="H1074" s="2">
        <v>2190257.4123779298</v>
      </c>
    </row>
    <row r="1075" spans="1:8" x14ac:dyDescent="0.25">
      <c r="A1075" t="str">
        <f t="shared" si="16"/>
        <v>199725-44</v>
      </c>
      <c r="B1075">
        <v>1997</v>
      </c>
      <c r="C1075" t="s">
        <v>3</v>
      </c>
      <c r="D1075" t="s">
        <v>26</v>
      </c>
      <c r="E1075" t="s">
        <v>43</v>
      </c>
      <c r="F1075" t="s">
        <v>13</v>
      </c>
      <c r="G1075" s="7">
        <v>46</v>
      </c>
      <c r="H1075" s="2">
        <v>3319788.9734445098</v>
      </c>
    </row>
    <row r="1076" spans="1:8" x14ac:dyDescent="0.25">
      <c r="A1076" t="str">
        <f t="shared" si="16"/>
        <v>199745-64</v>
      </c>
      <c r="B1076">
        <v>1997</v>
      </c>
      <c r="C1076" t="s">
        <v>2</v>
      </c>
      <c r="D1076" t="s">
        <v>26</v>
      </c>
      <c r="E1076" t="s">
        <v>43</v>
      </c>
      <c r="F1076" t="s">
        <v>13</v>
      </c>
      <c r="G1076" s="7">
        <v>25</v>
      </c>
      <c r="H1076" s="2">
        <v>1494497.7743633899</v>
      </c>
    </row>
    <row r="1077" spans="1:8" x14ac:dyDescent="0.25">
      <c r="A1077" t="str">
        <f t="shared" si="16"/>
        <v>19975-14</v>
      </c>
      <c r="B1077">
        <v>1997</v>
      </c>
      <c r="C1077" t="s">
        <v>5</v>
      </c>
      <c r="D1077" t="s">
        <v>26</v>
      </c>
      <c r="E1077" t="s">
        <v>43</v>
      </c>
      <c r="F1077" t="s">
        <v>13</v>
      </c>
      <c r="G1077" s="7">
        <v>42</v>
      </c>
      <c r="H1077" s="2">
        <v>2625110.0471272999</v>
      </c>
    </row>
    <row r="1078" spans="1:8" x14ac:dyDescent="0.25">
      <c r="A1078" t="str">
        <f t="shared" si="16"/>
        <v>199765-74</v>
      </c>
      <c r="B1078">
        <v>1997</v>
      </c>
      <c r="C1078" t="s">
        <v>1</v>
      </c>
      <c r="D1078" t="s">
        <v>26</v>
      </c>
      <c r="E1078" t="s">
        <v>43</v>
      </c>
      <c r="F1078" t="s">
        <v>13</v>
      </c>
      <c r="G1078" s="7">
        <v>1</v>
      </c>
      <c r="H1078" s="2">
        <v>377918.60450002301</v>
      </c>
    </row>
    <row r="1079" spans="1:8" x14ac:dyDescent="0.25">
      <c r="A1079" t="str">
        <f t="shared" si="16"/>
        <v>199775+</v>
      </c>
      <c r="B1079">
        <v>1997</v>
      </c>
      <c r="C1079" t="s">
        <v>0</v>
      </c>
      <c r="D1079" t="s">
        <v>26</v>
      </c>
      <c r="E1079" t="s">
        <v>43</v>
      </c>
      <c r="F1079" t="s">
        <v>13</v>
      </c>
      <c r="G1079" s="7">
        <v>6</v>
      </c>
      <c r="H1079" s="2">
        <v>197836.55113907999</v>
      </c>
    </row>
    <row r="1080" spans="1:8" x14ac:dyDescent="0.25">
      <c r="A1080" t="str">
        <f t="shared" si="16"/>
        <v>19980-4</v>
      </c>
      <c r="B1080">
        <v>1998</v>
      </c>
      <c r="C1080" t="s">
        <v>6</v>
      </c>
      <c r="D1080" t="s">
        <v>26</v>
      </c>
      <c r="E1080" t="s">
        <v>43</v>
      </c>
      <c r="F1080" t="s">
        <v>13</v>
      </c>
      <c r="G1080" s="7">
        <v>680</v>
      </c>
      <c r="H1080" s="2">
        <v>1325697.93484751</v>
      </c>
    </row>
    <row r="1081" spans="1:8" x14ac:dyDescent="0.25">
      <c r="A1081" t="str">
        <f t="shared" si="16"/>
        <v>199815-24</v>
      </c>
      <c r="B1081">
        <v>1998</v>
      </c>
      <c r="C1081" t="s">
        <v>4</v>
      </c>
      <c r="D1081" t="s">
        <v>26</v>
      </c>
      <c r="E1081" t="s">
        <v>43</v>
      </c>
      <c r="F1081" t="s">
        <v>13</v>
      </c>
      <c r="G1081" s="7">
        <v>38</v>
      </c>
      <c r="H1081" s="2">
        <v>2242694.2061889698</v>
      </c>
    </row>
    <row r="1082" spans="1:8" x14ac:dyDescent="0.25">
      <c r="A1082" t="str">
        <f t="shared" si="16"/>
        <v>199825-44</v>
      </c>
      <c r="B1082">
        <v>1998</v>
      </c>
      <c r="C1082" t="s">
        <v>3</v>
      </c>
      <c r="D1082" t="s">
        <v>26</v>
      </c>
      <c r="E1082" t="s">
        <v>43</v>
      </c>
      <c r="F1082" t="s">
        <v>13</v>
      </c>
      <c r="G1082" s="7">
        <v>43</v>
      </c>
      <c r="H1082" s="2">
        <v>3392799.98672225</v>
      </c>
    </row>
    <row r="1083" spans="1:8" x14ac:dyDescent="0.25">
      <c r="A1083" t="str">
        <f t="shared" si="16"/>
        <v>199845-64</v>
      </c>
      <c r="B1083">
        <v>1998</v>
      </c>
      <c r="C1083" t="s">
        <v>2</v>
      </c>
      <c r="D1083" t="s">
        <v>26</v>
      </c>
      <c r="E1083" t="s">
        <v>43</v>
      </c>
      <c r="F1083" t="s">
        <v>13</v>
      </c>
      <c r="G1083" s="7">
        <v>22</v>
      </c>
      <c r="H1083" s="2">
        <v>1544756.3871817</v>
      </c>
    </row>
    <row r="1084" spans="1:8" x14ac:dyDescent="0.25">
      <c r="A1084" t="str">
        <f t="shared" si="16"/>
        <v>19985-14</v>
      </c>
      <c r="B1084">
        <v>1998</v>
      </c>
      <c r="C1084" t="s">
        <v>5</v>
      </c>
      <c r="D1084" t="s">
        <v>26</v>
      </c>
      <c r="E1084" t="s">
        <v>43</v>
      </c>
      <c r="F1084" t="s">
        <v>13</v>
      </c>
      <c r="G1084" s="7">
        <v>52</v>
      </c>
      <c r="H1084" s="2">
        <v>2628255.52356365</v>
      </c>
    </row>
    <row r="1085" spans="1:8" x14ac:dyDescent="0.25">
      <c r="A1085" t="str">
        <f t="shared" si="16"/>
        <v>199865-74</v>
      </c>
      <c r="B1085">
        <v>1998</v>
      </c>
      <c r="C1085" t="s">
        <v>1</v>
      </c>
      <c r="D1085" t="s">
        <v>26</v>
      </c>
      <c r="E1085" t="s">
        <v>43</v>
      </c>
      <c r="F1085" t="s">
        <v>13</v>
      </c>
      <c r="G1085" s="7">
        <v>0</v>
      </c>
      <c r="H1085" s="2">
        <v>383636.80225001101</v>
      </c>
    </row>
    <row r="1086" spans="1:8" x14ac:dyDescent="0.25">
      <c r="A1086" t="str">
        <f t="shared" si="16"/>
        <v>199875+</v>
      </c>
      <c r="B1086">
        <v>1998</v>
      </c>
      <c r="C1086" t="s">
        <v>0</v>
      </c>
      <c r="D1086" t="s">
        <v>26</v>
      </c>
      <c r="E1086" t="s">
        <v>43</v>
      </c>
      <c r="F1086" t="s">
        <v>13</v>
      </c>
      <c r="G1086" s="7">
        <v>7</v>
      </c>
      <c r="H1086" s="2">
        <v>210840.77556954001</v>
      </c>
    </row>
    <row r="1087" spans="1:8" x14ac:dyDescent="0.25">
      <c r="A1087" t="str">
        <f t="shared" si="16"/>
        <v>19990-4</v>
      </c>
      <c r="B1087">
        <v>1999</v>
      </c>
      <c r="C1087" t="s">
        <v>6</v>
      </c>
      <c r="D1087" t="s">
        <v>26</v>
      </c>
      <c r="E1087" t="s">
        <v>43</v>
      </c>
      <c r="F1087" t="s">
        <v>13</v>
      </c>
      <c r="G1087" s="7">
        <v>779</v>
      </c>
      <c r="H1087" s="2">
        <v>1332528.9782825001</v>
      </c>
    </row>
    <row r="1088" spans="1:8" x14ac:dyDescent="0.25">
      <c r="A1088" t="str">
        <f t="shared" si="16"/>
        <v>199915-24</v>
      </c>
      <c r="B1088">
        <v>1999</v>
      </c>
      <c r="C1088" t="s">
        <v>4</v>
      </c>
      <c r="D1088" t="s">
        <v>26</v>
      </c>
      <c r="E1088" t="s">
        <v>43</v>
      </c>
      <c r="F1088" t="s">
        <v>13</v>
      </c>
      <c r="G1088" s="7">
        <v>36</v>
      </c>
      <c r="H1088" s="2">
        <v>2293434.06872966</v>
      </c>
    </row>
    <row r="1089" spans="1:8" x14ac:dyDescent="0.25">
      <c r="A1089" t="str">
        <f t="shared" si="16"/>
        <v>199925-44</v>
      </c>
      <c r="B1089">
        <v>1999</v>
      </c>
      <c r="C1089" t="s">
        <v>3</v>
      </c>
      <c r="D1089" t="s">
        <v>26</v>
      </c>
      <c r="E1089" t="s">
        <v>43</v>
      </c>
      <c r="F1089" t="s">
        <v>13</v>
      </c>
      <c r="G1089" s="7">
        <v>46</v>
      </c>
      <c r="H1089" s="2">
        <v>3464730.3289074199</v>
      </c>
    </row>
    <row r="1090" spans="1:8" x14ac:dyDescent="0.25">
      <c r="A1090" t="str">
        <f t="shared" ref="A1090:A1153" si="17">+CONCATENATE(B1090,C1090)</f>
        <v>199945-64</v>
      </c>
      <c r="B1090">
        <v>1999</v>
      </c>
      <c r="C1090" t="s">
        <v>2</v>
      </c>
      <c r="D1090" t="s">
        <v>26</v>
      </c>
      <c r="E1090" t="s">
        <v>43</v>
      </c>
      <c r="F1090" t="s">
        <v>13</v>
      </c>
      <c r="G1090" s="7">
        <v>25</v>
      </c>
      <c r="H1090" s="2">
        <v>1599513.7957272299</v>
      </c>
    </row>
    <row r="1091" spans="1:8" x14ac:dyDescent="0.25">
      <c r="A1091" t="str">
        <f t="shared" si="17"/>
        <v>19995-14</v>
      </c>
      <c r="B1091">
        <v>1999</v>
      </c>
      <c r="C1091" t="s">
        <v>5</v>
      </c>
      <c r="D1091" t="s">
        <v>26</v>
      </c>
      <c r="E1091" t="s">
        <v>43</v>
      </c>
      <c r="F1091" t="s">
        <v>13</v>
      </c>
      <c r="G1091" s="7">
        <v>72</v>
      </c>
      <c r="H1091" s="2">
        <v>2628380.1745212199</v>
      </c>
    </row>
    <row r="1092" spans="1:8" x14ac:dyDescent="0.25">
      <c r="A1092" t="str">
        <f t="shared" si="17"/>
        <v>199965-74</v>
      </c>
      <c r="B1092">
        <v>1999</v>
      </c>
      <c r="C1092" t="s">
        <v>1</v>
      </c>
      <c r="D1092" t="s">
        <v>26</v>
      </c>
      <c r="E1092" t="s">
        <v>43</v>
      </c>
      <c r="F1092" t="s">
        <v>13</v>
      </c>
      <c r="G1092" s="7">
        <v>7</v>
      </c>
      <c r="H1092" s="2">
        <v>390568.93408333702</v>
      </c>
    </row>
    <row r="1093" spans="1:8" x14ac:dyDescent="0.25">
      <c r="A1093" t="str">
        <f t="shared" si="17"/>
        <v>199975+</v>
      </c>
      <c r="B1093">
        <v>1999</v>
      </c>
      <c r="C1093" t="s">
        <v>0</v>
      </c>
      <c r="D1093" t="s">
        <v>26</v>
      </c>
      <c r="E1093" t="s">
        <v>43</v>
      </c>
      <c r="F1093" t="s">
        <v>13</v>
      </c>
      <c r="G1093" s="7">
        <v>7</v>
      </c>
      <c r="H1093" s="2">
        <v>225043.25852318</v>
      </c>
    </row>
    <row r="1094" spans="1:8" x14ac:dyDescent="0.25">
      <c r="A1094" t="str">
        <f t="shared" si="17"/>
        <v>20000-4</v>
      </c>
      <c r="B1094">
        <v>2000</v>
      </c>
      <c r="C1094" t="s">
        <v>6</v>
      </c>
      <c r="D1094" t="s">
        <v>26</v>
      </c>
      <c r="E1094" t="s">
        <v>43</v>
      </c>
      <c r="F1094" t="s">
        <v>13</v>
      </c>
      <c r="G1094" s="7">
        <v>774</v>
      </c>
      <c r="H1094" s="2">
        <v>1338309</v>
      </c>
    </row>
    <row r="1095" spans="1:8" x14ac:dyDescent="0.25">
      <c r="A1095" t="str">
        <f t="shared" si="17"/>
        <v>200015-24</v>
      </c>
      <c r="B1095">
        <v>2000</v>
      </c>
      <c r="C1095" t="s">
        <v>4</v>
      </c>
      <c r="D1095" t="s">
        <v>26</v>
      </c>
      <c r="E1095" t="s">
        <v>43</v>
      </c>
      <c r="F1095" t="s">
        <v>13</v>
      </c>
      <c r="G1095" s="7">
        <v>38</v>
      </c>
      <c r="H1095" s="2">
        <v>2341775</v>
      </c>
    </row>
    <row r="1096" spans="1:8" x14ac:dyDescent="0.25">
      <c r="A1096" t="str">
        <f t="shared" si="17"/>
        <v>200025-44</v>
      </c>
      <c r="B1096">
        <v>2000</v>
      </c>
      <c r="C1096" t="s">
        <v>3</v>
      </c>
      <c r="D1096" t="s">
        <v>26</v>
      </c>
      <c r="E1096" t="s">
        <v>43</v>
      </c>
      <c r="F1096" t="s">
        <v>13</v>
      </c>
      <c r="G1096" s="7">
        <v>40</v>
      </c>
      <c r="H1096" s="2">
        <v>3535732</v>
      </c>
    </row>
    <row r="1097" spans="1:8" x14ac:dyDescent="0.25">
      <c r="A1097" t="str">
        <f t="shared" si="17"/>
        <v>200045-64</v>
      </c>
      <c r="B1097">
        <v>2000</v>
      </c>
      <c r="C1097" t="s">
        <v>2</v>
      </c>
      <c r="D1097" t="s">
        <v>26</v>
      </c>
      <c r="E1097" t="s">
        <v>43</v>
      </c>
      <c r="F1097" t="s">
        <v>13</v>
      </c>
      <c r="G1097" s="7">
        <v>19</v>
      </c>
      <c r="H1097" s="2">
        <v>1658630</v>
      </c>
    </row>
    <row r="1098" spans="1:8" x14ac:dyDescent="0.25">
      <c r="A1098" t="str">
        <f t="shared" si="17"/>
        <v>20005-14</v>
      </c>
      <c r="B1098">
        <v>2000</v>
      </c>
      <c r="C1098" t="s">
        <v>5</v>
      </c>
      <c r="D1098" t="s">
        <v>26</v>
      </c>
      <c r="E1098" t="s">
        <v>43</v>
      </c>
      <c r="F1098" t="s">
        <v>13</v>
      </c>
      <c r="G1098" s="7">
        <v>69</v>
      </c>
      <c r="H1098" s="2">
        <v>2626661</v>
      </c>
    </row>
    <row r="1099" spans="1:8" x14ac:dyDescent="0.25">
      <c r="A1099" t="str">
        <f t="shared" si="17"/>
        <v>200065-74</v>
      </c>
      <c r="B1099">
        <v>2000</v>
      </c>
      <c r="C1099" t="s">
        <v>1</v>
      </c>
      <c r="D1099" t="s">
        <v>26</v>
      </c>
      <c r="E1099" t="s">
        <v>43</v>
      </c>
      <c r="F1099" t="s">
        <v>13</v>
      </c>
      <c r="G1099" s="7">
        <v>5</v>
      </c>
      <c r="H1099" s="2">
        <v>398642</v>
      </c>
    </row>
    <row r="1100" spans="1:8" x14ac:dyDescent="0.25">
      <c r="A1100" t="str">
        <f t="shared" si="17"/>
        <v>200075+</v>
      </c>
      <c r="B1100">
        <v>2000</v>
      </c>
      <c r="C1100" t="s">
        <v>0</v>
      </c>
      <c r="D1100" t="s">
        <v>26</v>
      </c>
      <c r="E1100" t="s">
        <v>43</v>
      </c>
      <c r="F1100" t="s">
        <v>13</v>
      </c>
      <c r="G1100" s="7">
        <v>9</v>
      </c>
      <c r="H1100" s="2">
        <v>240016</v>
      </c>
    </row>
    <row r="1101" spans="1:8" x14ac:dyDescent="0.25">
      <c r="A1101" t="str">
        <f t="shared" si="17"/>
        <v>20010-4</v>
      </c>
      <c r="B1101">
        <v>2001</v>
      </c>
      <c r="C1101" t="s">
        <v>6</v>
      </c>
      <c r="D1101" t="s">
        <v>26</v>
      </c>
      <c r="E1101" t="s">
        <v>43</v>
      </c>
      <c r="F1101" t="s">
        <v>13</v>
      </c>
      <c r="G1101" s="7">
        <v>774</v>
      </c>
      <c r="H1101" s="2">
        <v>1343121</v>
      </c>
    </row>
    <row r="1102" spans="1:8" x14ac:dyDescent="0.25">
      <c r="A1102" t="str">
        <f t="shared" si="17"/>
        <v>200115-24</v>
      </c>
      <c r="B1102">
        <v>2001</v>
      </c>
      <c r="C1102" t="s">
        <v>4</v>
      </c>
      <c r="D1102" t="s">
        <v>26</v>
      </c>
      <c r="E1102" t="s">
        <v>43</v>
      </c>
      <c r="F1102" t="s">
        <v>13</v>
      </c>
      <c r="G1102" s="7">
        <v>45</v>
      </c>
      <c r="H1102" s="2">
        <v>2387015</v>
      </c>
    </row>
    <row r="1103" spans="1:8" x14ac:dyDescent="0.25">
      <c r="A1103" t="str">
        <f t="shared" si="17"/>
        <v>200125-44</v>
      </c>
      <c r="B1103">
        <v>2001</v>
      </c>
      <c r="C1103" t="s">
        <v>3</v>
      </c>
      <c r="D1103" t="s">
        <v>26</v>
      </c>
      <c r="E1103" t="s">
        <v>43</v>
      </c>
      <c r="F1103" t="s">
        <v>13</v>
      </c>
      <c r="G1103" s="7">
        <v>39</v>
      </c>
      <c r="H1103" s="2">
        <v>3605957</v>
      </c>
    </row>
    <row r="1104" spans="1:8" x14ac:dyDescent="0.25">
      <c r="A1104" t="str">
        <f t="shared" si="17"/>
        <v>200145-64</v>
      </c>
      <c r="B1104">
        <v>2001</v>
      </c>
      <c r="C1104" t="s">
        <v>2</v>
      </c>
      <c r="D1104" t="s">
        <v>26</v>
      </c>
      <c r="E1104" t="s">
        <v>43</v>
      </c>
      <c r="F1104" t="s">
        <v>13</v>
      </c>
      <c r="G1104" s="7">
        <v>18</v>
      </c>
      <c r="H1104" s="2">
        <v>1721965</v>
      </c>
    </row>
    <row r="1105" spans="1:8" x14ac:dyDescent="0.25">
      <c r="A1105" t="str">
        <f t="shared" si="17"/>
        <v>20015-14</v>
      </c>
      <c r="B1105">
        <v>2001</v>
      </c>
      <c r="C1105" t="s">
        <v>5</v>
      </c>
      <c r="D1105" t="s">
        <v>26</v>
      </c>
      <c r="E1105" t="s">
        <v>43</v>
      </c>
      <c r="F1105" t="s">
        <v>13</v>
      </c>
      <c r="G1105" s="7">
        <v>76</v>
      </c>
      <c r="H1105" s="2">
        <v>2624275</v>
      </c>
    </row>
    <row r="1106" spans="1:8" x14ac:dyDescent="0.25">
      <c r="A1106" t="str">
        <f t="shared" si="17"/>
        <v>200165-74</v>
      </c>
      <c r="B1106">
        <v>2001</v>
      </c>
      <c r="C1106" t="s">
        <v>1</v>
      </c>
      <c r="D1106" t="s">
        <v>26</v>
      </c>
      <c r="E1106" t="s">
        <v>43</v>
      </c>
      <c r="F1106" t="s">
        <v>13</v>
      </c>
      <c r="G1106" s="7">
        <v>4</v>
      </c>
      <c r="H1106" s="2">
        <v>407783</v>
      </c>
    </row>
    <row r="1107" spans="1:8" x14ac:dyDescent="0.25">
      <c r="A1107" t="str">
        <f t="shared" si="17"/>
        <v>200175+</v>
      </c>
      <c r="B1107">
        <v>2001</v>
      </c>
      <c r="C1107" t="s">
        <v>0</v>
      </c>
      <c r="D1107" t="s">
        <v>26</v>
      </c>
      <c r="E1107" t="s">
        <v>43</v>
      </c>
      <c r="F1107" t="s">
        <v>13</v>
      </c>
      <c r="G1107" s="7">
        <v>1</v>
      </c>
      <c r="H1107" s="2">
        <v>255331</v>
      </c>
    </row>
    <row r="1108" spans="1:8" x14ac:dyDescent="0.25">
      <c r="A1108" t="str">
        <f t="shared" si="17"/>
        <v>20020-4</v>
      </c>
      <c r="B1108">
        <v>2002</v>
      </c>
      <c r="C1108" t="s">
        <v>6</v>
      </c>
      <c r="D1108" t="s">
        <v>26</v>
      </c>
      <c r="E1108" t="s">
        <v>43</v>
      </c>
      <c r="F1108" t="s">
        <v>13</v>
      </c>
      <c r="G1108" s="7">
        <v>847</v>
      </c>
      <c r="H1108" s="2">
        <v>1347045</v>
      </c>
    </row>
    <row r="1109" spans="1:8" x14ac:dyDescent="0.25">
      <c r="A1109" t="str">
        <f t="shared" si="17"/>
        <v>200215-24</v>
      </c>
      <c r="B1109">
        <v>2002</v>
      </c>
      <c r="C1109" t="s">
        <v>4</v>
      </c>
      <c r="D1109" t="s">
        <v>26</v>
      </c>
      <c r="E1109" t="s">
        <v>43</v>
      </c>
      <c r="F1109" t="s">
        <v>13</v>
      </c>
      <c r="G1109" s="7">
        <v>42</v>
      </c>
      <c r="H1109" s="2">
        <v>2428415</v>
      </c>
    </row>
    <row r="1110" spans="1:8" x14ac:dyDescent="0.25">
      <c r="A1110" t="str">
        <f t="shared" si="17"/>
        <v>200225-44</v>
      </c>
      <c r="B1110">
        <v>2002</v>
      </c>
      <c r="C1110" t="s">
        <v>3</v>
      </c>
      <c r="D1110" t="s">
        <v>26</v>
      </c>
      <c r="E1110" t="s">
        <v>43</v>
      </c>
      <c r="F1110" t="s">
        <v>13</v>
      </c>
      <c r="G1110" s="7">
        <v>39</v>
      </c>
      <c r="H1110" s="2">
        <v>3675559</v>
      </c>
    </row>
    <row r="1111" spans="1:8" x14ac:dyDescent="0.25">
      <c r="A1111" t="str">
        <f t="shared" si="17"/>
        <v>200245-64</v>
      </c>
      <c r="B1111">
        <v>2002</v>
      </c>
      <c r="C1111" t="s">
        <v>2</v>
      </c>
      <c r="D1111" t="s">
        <v>26</v>
      </c>
      <c r="E1111" t="s">
        <v>43</v>
      </c>
      <c r="F1111" t="s">
        <v>13</v>
      </c>
      <c r="G1111" s="7">
        <v>20</v>
      </c>
      <c r="H1111" s="2">
        <v>1789361</v>
      </c>
    </row>
    <row r="1112" spans="1:8" x14ac:dyDescent="0.25">
      <c r="A1112" t="str">
        <f t="shared" si="17"/>
        <v>20025-14</v>
      </c>
      <c r="B1112">
        <v>2002</v>
      </c>
      <c r="C1112" t="s">
        <v>5</v>
      </c>
      <c r="D1112" t="s">
        <v>26</v>
      </c>
      <c r="E1112" t="s">
        <v>43</v>
      </c>
      <c r="F1112" t="s">
        <v>13</v>
      </c>
      <c r="G1112" s="7">
        <v>73</v>
      </c>
      <c r="H1112" s="2">
        <v>2622422</v>
      </c>
    </row>
    <row r="1113" spans="1:8" x14ac:dyDescent="0.25">
      <c r="A1113" t="str">
        <f t="shared" si="17"/>
        <v>200265-74</v>
      </c>
      <c r="B1113">
        <v>2002</v>
      </c>
      <c r="C1113" t="s">
        <v>1</v>
      </c>
      <c r="D1113" t="s">
        <v>26</v>
      </c>
      <c r="E1113" t="s">
        <v>43</v>
      </c>
      <c r="F1113" t="s">
        <v>13</v>
      </c>
      <c r="G1113" s="7">
        <v>5</v>
      </c>
      <c r="H1113" s="2">
        <v>417907</v>
      </c>
    </row>
    <row r="1114" spans="1:8" x14ac:dyDescent="0.25">
      <c r="A1114" t="str">
        <f t="shared" si="17"/>
        <v>200275+</v>
      </c>
      <c r="B1114">
        <v>2002</v>
      </c>
      <c r="C1114" t="s">
        <v>0</v>
      </c>
      <c r="D1114" t="s">
        <v>26</v>
      </c>
      <c r="E1114" t="s">
        <v>43</v>
      </c>
      <c r="F1114" t="s">
        <v>13</v>
      </c>
      <c r="G1114" s="7">
        <v>12</v>
      </c>
      <c r="H1114" s="2">
        <v>270538</v>
      </c>
    </row>
    <row r="1115" spans="1:8" x14ac:dyDescent="0.25">
      <c r="A1115" t="str">
        <f t="shared" si="17"/>
        <v>20030-4</v>
      </c>
      <c r="B1115">
        <v>2003</v>
      </c>
      <c r="C1115" t="s">
        <v>6</v>
      </c>
      <c r="D1115" t="s">
        <v>26</v>
      </c>
      <c r="E1115" t="s">
        <v>43</v>
      </c>
      <c r="F1115" t="s">
        <v>13</v>
      </c>
      <c r="G1115" s="7">
        <v>791</v>
      </c>
      <c r="H1115" s="2">
        <v>1350164</v>
      </c>
    </row>
    <row r="1116" spans="1:8" x14ac:dyDescent="0.25">
      <c r="A1116" t="str">
        <f t="shared" si="17"/>
        <v>200315-24</v>
      </c>
      <c r="B1116">
        <v>2003</v>
      </c>
      <c r="C1116" t="s">
        <v>4</v>
      </c>
      <c r="D1116" t="s">
        <v>26</v>
      </c>
      <c r="E1116" t="s">
        <v>43</v>
      </c>
      <c r="F1116" t="s">
        <v>13</v>
      </c>
      <c r="G1116" s="7">
        <v>50</v>
      </c>
      <c r="H1116" s="2">
        <v>2465273</v>
      </c>
    </row>
    <row r="1117" spans="1:8" x14ac:dyDescent="0.25">
      <c r="A1117" t="str">
        <f t="shared" si="17"/>
        <v>200325-44</v>
      </c>
      <c r="B1117">
        <v>2003</v>
      </c>
      <c r="C1117" t="s">
        <v>3</v>
      </c>
      <c r="D1117" t="s">
        <v>26</v>
      </c>
      <c r="E1117" t="s">
        <v>43</v>
      </c>
      <c r="F1117" t="s">
        <v>13</v>
      </c>
      <c r="G1117" s="7">
        <v>48</v>
      </c>
      <c r="H1117" s="2">
        <v>3744690</v>
      </c>
    </row>
    <row r="1118" spans="1:8" x14ac:dyDescent="0.25">
      <c r="A1118" t="str">
        <f t="shared" si="17"/>
        <v>200345-64</v>
      </c>
      <c r="B1118">
        <v>2003</v>
      </c>
      <c r="C1118" t="s">
        <v>2</v>
      </c>
      <c r="D1118" t="s">
        <v>26</v>
      </c>
      <c r="E1118" t="s">
        <v>43</v>
      </c>
      <c r="F1118" t="s">
        <v>13</v>
      </c>
      <c r="G1118" s="7">
        <v>28</v>
      </c>
      <c r="H1118" s="2">
        <v>1860678</v>
      </c>
    </row>
    <row r="1119" spans="1:8" x14ac:dyDescent="0.25">
      <c r="A1119" t="str">
        <f t="shared" si="17"/>
        <v>20035-14</v>
      </c>
      <c r="B1119">
        <v>2003</v>
      </c>
      <c r="C1119" t="s">
        <v>5</v>
      </c>
      <c r="D1119" t="s">
        <v>26</v>
      </c>
      <c r="E1119" t="s">
        <v>43</v>
      </c>
      <c r="F1119" t="s">
        <v>13</v>
      </c>
      <c r="G1119" s="7">
        <v>54</v>
      </c>
      <c r="H1119" s="2">
        <v>2622279</v>
      </c>
    </row>
    <row r="1120" spans="1:8" x14ac:dyDescent="0.25">
      <c r="A1120" t="str">
        <f t="shared" si="17"/>
        <v>200365-74</v>
      </c>
      <c r="B1120">
        <v>2003</v>
      </c>
      <c r="C1120" t="s">
        <v>1</v>
      </c>
      <c r="D1120" t="s">
        <v>26</v>
      </c>
      <c r="E1120" t="s">
        <v>43</v>
      </c>
      <c r="F1120" t="s">
        <v>13</v>
      </c>
      <c r="G1120" s="7">
        <v>4</v>
      </c>
      <c r="H1120" s="2">
        <v>428941</v>
      </c>
    </row>
    <row r="1121" spans="1:8" x14ac:dyDescent="0.25">
      <c r="A1121" t="str">
        <f t="shared" si="17"/>
        <v>200375+</v>
      </c>
      <c r="B1121">
        <v>2003</v>
      </c>
      <c r="C1121" t="s">
        <v>0</v>
      </c>
      <c r="D1121" t="s">
        <v>26</v>
      </c>
      <c r="E1121" t="s">
        <v>43</v>
      </c>
      <c r="F1121" t="s">
        <v>13</v>
      </c>
      <c r="G1121" s="7">
        <v>20</v>
      </c>
      <c r="H1121" s="2">
        <v>285209</v>
      </c>
    </row>
    <row r="1122" spans="1:8" x14ac:dyDescent="0.25">
      <c r="A1122" t="str">
        <f t="shared" si="17"/>
        <v>20040-4</v>
      </c>
      <c r="B1122">
        <v>2004</v>
      </c>
      <c r="C1122" t="s">
        <v>6</v>
      </c>
      <c r="D1122" t="s">
        <v>26</v>
      </c>
      <c r="E1122" t="s">
        <v>43</v>
      </c>
      <c r="F1122" t="s">
        <v>13</v>
      </c>
      <c r="G1122" s="7">
        <v>756</v>
      </c>
      <c r="H1122" s="2">
        <v>1352508</v>
      </c>
    </row>
    <row r="1123" spans="1:8" x14ac:dyDescent="0.25">
      <c r="A1123" t="str">
        <f t="shared" si="17"/>
        <v>200415-24</v>
      </c>
      <c r="B1123">
        <v>2004</v>
      </c>
      <c r="C1123" t="s">
        <v>4</v>
      </c>
      <c r="D1123" t="s">
        <v>26</v>
      </c>
      <c r="E1123" t="s">
        <v>43</v>
      </c>
      <c r="F1123" t="s">
        <v>13</v>
      </c>
      <c r="G1123" s="7">
        <v>37</v>
      </c>
      <c r="H1123" s="2">
        <v>2497409</v>
      </c>
    </row>
    <row r="1124" spans="1:8" x14ac:dyDescent="0.25">
      <c r="A1124" t="str">
        <f t="shared" si="17"/>
        <v>200425-44</v>
      </c>
      <c r="B1124">
        <v>2004</v>
      </c>
      <c r="C1124" t="s">
        <v>3</v>
      </c>
      <c r="D1124" t="s">
        <v>26</v>
      </c>
      <c r="E1124" t="s">
        <v>43</v>
      </c>
      <c r="F1124" t="s">
        <v>13</v>
      </c>
      <c r="G1124" s="7">
        <v>42</v>
      </c>
      <c r="H1124" s="2">
        <v>3813358</v>
      </c>
    </row>
    <row r="1125" spans="1:8" x14ac:dyDescent="0.25">
      <c r="A1125" t="str">
        <f t="shared" si="17"/>
        <v>200445-64</v>
      </c>
      <c r="B1125">
        <v>2004</v>
      </c>
      <c r="C1125" t="s">
        <v>2</v>
      </c>
      <c r="D1125" t="s">
        <v>26</v>
      </c>
      <c r="E1125" t="s">
        <v>43</v>
      </c>
      <c r="F1125" t="s">
        <v>13</v>
      </c>
      <c r="G1125" s="7">
        <v>25</v>
      </c>
      <c r="H1125" s="2">
        <v>1936129</v>
      </c>
    </row>
    <row r="1126" spans="1:8" x14ac:dyDescent="0.25">
      <c r="A1126" t="str">
        <f t="shared" si="17"/>
        <v>20045-14</v>
      </c>
      <c r="B1126">
        <v>2004</v>
      </c>
      <c r="C1126" t="s">
        <v>5</v>
      </c>
      <c r="D1126" t="s">
        <v>26</v>
      </c>
      <c r="E1126" t="s">
        <v>43</v>
      </c>
      <c r="F1126" t="s">
        <v>13</v>
      </c>
      <c r="G1126" s="7">
        <v>62</v>
      </c>
      <c r="H1126" s="2">
        <v>2624530</v>
      </c>
    </row>
    <row r="1127" spans="1:8" x14ac:dyDescent="0.25">
      <c r="A1127" t="str">
        <f t="shared" si="17"/>
        <v>200465-74</v>
      </c>
      <c r="B1127">
        <v>2004</v>
      </c>
      <c r="C1127" t="s">
        <v>1</v>
      </c>
      <c r="D1127" t="s">
        <v>26</v>
      </c>
      <c r="E1127" t="s">
        <v>43</v>
      </c>
      <c r="F1127" t="s">
        <v>13</v>
      </c>
      <c r="G1127" s="7">
        <v>4</v>
      </c>
      <c r="H1127" s="2">
        <v>441018</v>
      </c>
    </row>
    <row r="1128" spans="1:8" x14ac:dyDescent="0.25">
      <c r="A1128" t="str">
        <f t="shared" si="17"/>
        <v>200475+</v>
      </c>
      <c r="B1128">
        <v>2004</v>
      </c>
      <c r="C1128" t="s">
        <v>0</v>
      </c>
      <c r="D1128" t="s">
        <v>26</v>
      </c>
      <c r="E1128" t="s">
        <v>43</v>
      </c>
      <c r="F1128" t="s">
        <v>13</v>
      </c>
      <c r="G1128" s="7">
        <v>9</v>
      </c>
      <c r="H1128" s="2">
        <v>299301</v>
      </c>
    </row>
    <row r="1129" spans="1:8" x14ac:dyDescent="0.25">
      <c r="A1129" t="str">
        <f t="shared" si="17"/>
        <v>20050-4</v>
      </c>
      <c r="B1129">
        <v>2005</v>
      </c>
      <c r="C1129" t="s">
        <v>6</v>
      </c>
      <c r="D1129" t="s">
        <v>26</v>
      </c>
      <c r="E1129" t="s">
        <v>43</v>
      </c>
      <c r="F1129" t="s">
        <v>13</v>
      </c>
      <c r="G1129" s="7">
        <v>837</v>
      </c>
      <c r="H1129" s="2">
        <v>1353852</v>
      </c>
    </row>
    <row r="1130" spans="1:8" x14ac:dyDescent="0.25">
      <c r="A1130" t="str">
        <f t="shared" si="17"/>
        <v>200515-24</v>
      </c>
      <c r="B1130">
        <v>2005</v>
      </c>
      <c r="C1130" t="s">
        <v>4</v>
      </c>
      <c r="D1130" t="s">
        <v>26</v>
      </c>
      <c r="E1130" t="s">
        <v>43</v>
      </c>
      <c r="F1130" t="s">
        <v>13</v>
      </c>
      <c r="G1130" s="7">
        <v>47</v>
      </c>
      <c r="H1130" s="2">
        <v>2524017</v>
      </c>
    </row>
    <row r="1131" spans="1:8" x14ac:dyDescent="0.25">
      <c r="A1131" t="str">
        <f t="shared" si="17"/>
        <v>200525-44</v>
      </c>
      <c r="B1131">
        <v>2005</v>
      </c>
      <c r="C1131" t="s">
        <v>3</v>
      </c>
      <c r="D1131" t="s">
        <v>26</v>
      </c>
      <c r="E1131" t="s">
        <v>43</v>
      </c>
      <c r="F1131" t="s">
        <v>13</v>
      </c>
      <c r="G1131" s="7">
        <v>40</v>
      </c>
      <c r="H1131" s="2">
        <v>3881062</v>
      </c>
    </row>
    <row r="1132" spans="1:8" x14ac:dyDescent="0.25">
      <c r="A1132" t="str">
        <f t="shared" si="17"/>
        <v>200545-64</v>
      </c>
      <c r="B1132">
        <v>2005</v>
      </c>
      <c r="C1132" t="s">
        <v>2</v>
      </c>
      <c r="D1132" t="s">
        <v>26</v>
      </c>
      <c r="E1132" t="s">
        <v>43</v>
      </c>
      <c r="F1132" t="s">
        <v>13</v>
      </c>
      <c r="G1132" s="7">
        <v>16</v>
      </c>
      <c r="H1132" s="2">
        <v>2016148</v>
      </c>
    </row>
    <row r="1133" spans="1:8" x14ac:dyDescent="0.25">
      <c r="A1133" t="str">
        <f t="shared" si="17"/>
        <v>20055-14</v>
      </c>
      <c r="B1133">
        <v>2005</v>
      </c>
      <c r="C1133" t="s">
        <v>5</v>
      </c>
      <c r="D1133" t="s">
        <v>26</v>
      </c>
      <c r="E1133" t="s">
        <v>43</v>
      </c>
      <c r="F1133" t="s">
        <v>13</v>
      </c>
      <c r="G1133" s="7">
        <v>66</v>
      </c>
      <c r="H1133" s="2">
        <v>2629864</v>
      </c>
    </row>
    <row r="1134" spans="1:8" x14ac:dyDescent="0.25">
      <c r="A1134" t="str">
        <f t="shared" si="17"/>
        <v>200565-74</v>
      </c>
      <c r="B1134">
        <v>2005</v>
      </c>
      <c r="C1134" t="s">
        <v>1</v>
      </c>
      <c r="D1134" t="s">
        <v>26</v>
      </c>
      <c r="E1134" t="s">
        <v>43</v>
      </c>
      <c r="F1134" t="s">
        <v>13</v>
      </c>
      <c r="G1134" s="7">
        <v>5</v>
      </c>
      <c r="H1134" s="2">
        <v>454245</v>
      </c>
    </row>
    <row r="1135" spans="1:8" x14ac:dyDescent="0.25">
      <c r="A1135" t="str">
        <f t="shared" si="17"/>
        <v>200575+</v>
      </c>
      <c r="B1135">
        <v>2005</v>
      </c>
      <c r="C1135" t="s">
        <v>0</v>
      </c>
      <c r="D1135" t="s">
        <v>26</v>
      </c>
      <c r="E1135" t="s">
        <v>43</v>
      </c>
      <c r="F1135" t="s">
        <v>13</v>
      </c>
      <c r="G1135" s="7">
        <v>12</v>
      </c>
      <c r="H1135" s="2">
        <v>312767</v>
      </c>
    </row>
    <row r="1136" spans="1:8" x14ac:dyDescent="0.25">
      <c r="A1136" t="str">
        <f t="shared" si="17"/>
        <v>20060-4</v>
      </c>
      <c r="B1136">
        <v>2006</v>
      </c>
      <c r="C1136" t="s">
        <v>6</v>
      </c>
      <c r="D1136" t="s">
        <v>26</v>
      </c>
      <c r="E1136" t="s">
        <v>43</v>
      </c>
      <c r="F1136" t="s">
        <v>13</v>
      </c>
      <c r="G1136" s="7">
        <v>847</v>
      </c>
      <c r="H1136" s="2">
        <v>1354432</v>
      </c>
    </row>
    <row r="1137" spans="1:8" x14ac:dyDescent="0.25">
      <c r="A1137" t="str">
        <f t="shared" si="17"/>
        <v>200615-24</v>
      </c>
      <c r="B1137">
        <v>2006</v>
      </c>
      <c r="C1137" t="s">
        <v>4</v>
      </c>
      <c r="D1137" t="s">
        <v>26</v>
      </c>
      <c r="E1137" t="s">
        <v>43</v>
      </c>
      <c r="F1137" t="s">
        <v>13</v>
      </c>
      <c r="G1137" s="7">
        <v>46</v>
      </c>
      <c r="H1137" s="2">
        <v>2544731</v>
      </c>
    </row>
    <row r="1138" spans="1:8" x14ac:dyDescent="0.25">
      <c r="A1138" t="str">
        <f t="shared" si="17"/>
        <v>200625-44</v>
      </c>
      <c r="B1138">
        <v>2006</v>
      </c>
      <c r="C1138" t="s">
        <v>3</v>
      </c>
      <c r="D1138" t="s">
        <v>26</v>
      </c>
      <c r="E1138" t="s">
        <v>43</v>
      </c>
      <c r="F1138" t="s">
        <v>13</v>
      </c>
      <c r="G1138" s="7">
        <v>44</v>
      </c>
      <c r="H1138" s="2">
        <v>3947836</v>
      </c>
    </row>
    <row r="1139" spans="1:8" x14ac:dyDescent="0.25">
      <c r="A1139" t="str">
        <f t="shared" si="17"/>
        <v>200645-64</v>
      </c>
      <c r="B1139">
        <v>2006</v>
      </c>
      <c r="C1139" t="s">
        <v>2</v>
      </c>
      <c r="D1139" t="s">
        <v>26</v>
      </c>
      <c r="E1139" t="s">
        <v>43</v>
      </c>
      <c r="F1139" t="s">
        <v>13</v>
      </c>
      <c r="G1139" s="7">
        <v>22</v>
      </c>
      <c r="H1139" s="2">
        <v>2100791</v>
      </c>
    </row>
    <row r="1140" spans="1:8" x14ac:dyDescent="0.25">
      <c r="A1140" t="str">
        <f t="shared" si="17"/>
        <v>20065-14</v>
      </c>
      <c r="B1140">
        <v>2006</v>
      </c>
      <c r="C1140" t="s">
        <v>5</v>
      </c>
      <c r="D1140" t="s">
        <v>26</v>
      </c>
      <c r="E1140" t="s">
        <v>43</v>
      </c>
      <c r="F1140" t="s">
        <v>13</v>
      </c>
      <c r="G1140" s="7">
        <v>66</v>
      </c>
      <c r="H1140" s="2">
        <v>2638747</v>
      </c>
    </row>
    <row r="1141" spans="1:8" x14ac:dyDescent="0.25">
      <c r="A1141" t="str">
        <f t="shared" si="17"/>
        <v>200665-74</v>
      </c>
      <c r="B1141">
        <v>2006</v>
      </c>
      <c r="C1141" t="s">
        <v>1</v>
      </c>
      <c r="D1141" t="s">
        <v>26</v>
      </c>
      <c r="E1141" t="s">
        <v>43</v>
      </c>
      <c r="F1141" t="s">
        <v>13</v>
      </c>
      <c r="G1141" s="7">
        <v>6</v>
      </c>
      <c r="H1141" s="2">
        <v>468680</v>
      </c>
    </row>
    <row r="1142" spans="1:8" x14ac:dyDescent="0.25">
      <c r="A1142" t="str">
        <f t="shared" si="17"/>
        <v>200675+</v>
      </c>
      <c r="B1142">
        <v>2006</v>
      </c>
      <c r="C1142" t="s">
        <v>0</v>
      </c>
      <c r="D1142" t="s">
        <v>26</v>
      </c>
      <c r="E1142" t="s">
        <v>43</v>
      </c>
      <c r="F1142" t="s">
        <v>13</v>
      </c>
      <c r="G1142" s="7">
        <v>10</v>
      </c>
      <c r="H1142" s="2">
        <v>325672</v>
      </c>
    </row>
    <row r="1143" spans="1:8" x14ac:dyDescent="0.25">
      <c r="A1143" t="str">
        <f t="shared" si="17"/>
        <v>20070-4</v>
      </c>
      <c r="B1143">
        <v>2007</v>
      </c>
      <c r="C1143" t="s">
        <v>6</v>
      </c>
      <c r="D1143" t="s">
        <v>26</v>
      </c>
      <c r="E1143" t="s">
        <v>43</v>
      </c>
      <c r="F1143" t="s">
        <v>13</v>
      </c>
      <c r="G1143" s="7">
        <v>825</v>
      </c>
      <c r="H1143" s="2">
        <v>1354234</v>
      </c>
    </row>
    <row r="1144" spans="1:8" x14ac:dyDescent="0.25">
      <c r="A1144" t="str">
        <f t="shared" si="17"/>
        <v>200715-24</v>
      </c>
      <c r="B1144">
        <v>2007</v>
      </c>
      <c r="C1144" t="s">
        <v>4</v>
      </c>
      <c r="D1144" t="s">
        <v>26</v>
      </c>
      <c r="E1144" t="s">
        <v>43</v>
      </c>
      <c r="F1144" t="s">
        <v>13</v>
      </c>
      <c r="G1144" s="7">
        <v>37</v>
      </c>
      <c r="H1144" s="2">
        <v>2561885</v>
      </c>
    </row>
    <row r="1145" spans="1:8" x14ac:dyDescent="0.25">
      <c r="A1145" t="str">
        <f t="shared" si="17"/>
        <v>200725-44</v>
      </c>
      <c r="B1145">
        <v>2007</v>
      </c>
      <c r="C1145" t="s">
        <v>3</v>
      </c>
      <c r="D1145" t="s">
        <v>26</v>
      </c>
      <c r="E1145" t="s">
        <v>43</v>
      </c>
      <c r="F1145" t="s">
        <v>13</v>
      </c>
      <c r="G1145" s="7">
        <v>33</v>
      </c>
      <c r="H1145" s="2">
        <v>4016163</v>
      </c>
    </row>
    <row r="1146" spans="1:8" x14ac:dyDescent="0.25">
      <c r="A1146" t="str">
        <f t="shared" si="17"/>
        <v>200745-64</v>
      </c>
      <c r="B1146">
        <v>2007</v>
      </c>
      <c r="C1146" t="s">
        <v>2</v>
      </c>
      <c r="D1146" t="s">
        <v>26</v>
      </c>
      <c r="E1146" t="s">
        <v>43</v>
      </c>
      <c r="F1146" t="s">
        <v>13</v>
      </c>
      <c r="G1146" s="7">
        <v>22</v>
      </c>
      <c r="H1146" s="2">
        <v>2188071</v>
      </c>
    </row>
    <row r="1147" spans="1:8" x14ac:dyDescent="0.25">
      <c r="A1147" t="str">
        <f t="shared" si="17"/>
        <v>20075-14</v>
      </c>
      <c r="B1147">
        <v>2007</v>
      </c>
      <c r="C1147" t="s">
        <v>5</v>
      </c>
      <c r="D1147" t="s">
        <v>26</v>
      </c>
      <c r="E1147" t="s">
        <v>43</v>
      </c>
      <c r="F1147" t="s">
        <v>13</v>
      </c>
      <c r="G1147" s="7">
        <v>65</v>
      </c>
      <c r="H1147" s="2">
        <v>2647233</v>
      </c>
    </row>
    <row r="1148" spans="1:8" x14ac:dyDescent="0.25">
      <c r="A1148" t="str">
        <f t="shared" si="17"/>
        <v>200765-74</v>
      </c>
      <c r="B1148">
        <v>2007</v>
      </c>
      <c r="C1148" t="s">
        <v>1</v>
      </c>
      <c r="D1148" t="s">
        <v>26</v>
      </c>
      <c r="E1148" t="s">
        <v>43</v>
      </c>
      <c r="F1148" t="s">
        <v>13</v>
      </c>
      <c r="G1148" s="7">
        <v>7</v>
      </c>
      <c r="H1148" s="2">
        <v>484321</v>
      </c>
    </row>
    <row r="1149" spans="1:8" x14ac:dyDescent="0.25">
      <c r="A1149" t="str">
        <f t="shared" si="17"/>
        <v>200775+</v>
      </c>
      <c r="B1149">
        <v>2007</v>
      </c>
      <c r="C1149" t="s">
        <v>0</v>
      </c>
      <c r="D1149" t="s">
        <v>26</v>
      </c>
      <c r="E1149" t="s">
        <v>43</v>
      </c>
      <c r="F1149" t="s">
        <v>13</v>
      </c>
      <c r="G1149" s="7">
        <v>19</v>
      </c>
      <c r="H1149" s="2">
        <v>338128</v>
      </c>
    </row>
    <row r="1150" spans="1:8" x14ac:dyDescent="0.25">
      <c r="A1150" t="str">
        <f t="shared" si="17"/>
        <v>20080-4</v>
      </c>
      <c r="B1150">
        <v>2008</v>
      </c>
      <c r="C1150" t="s">
        <v>6</v>
      </c>
      <c r="D1150" t="s">
        <v>26</v>
      </c>
      <c r="E1150" t="s">
        <v>43</v>
      </c>
      <c r="F1150" t="s">
        <v>13</v>
      </c>
      <c r="G1150" s="7">
        <v>800</v>
      </c>
      <c r="H1150" s="2">
        <v>1353145</v>
      </c>
    </row>
    <row r="1151" spans="1:8" x14ac:dyDescent="0.25">
      <c r="A1151" t="str">
        <f t="shared" si="17"/>
        <v>200815-24</v>
      </c>
      <c r="B1151">
        <v>2008</v>
      </c>
      <c r="C1151" t="s">
        <v>4</v>
      </c>
      <c r="D1151" t="s">
        <v>26</v>
      </c>
      <c r="E1151" t="s">
        <v>43</v>
      </c>
      <c r="F1151" t="s">
        <v>13</v>
      </c>
      <c r="G1151" s="7">
        <v>29</v>
      </c>
      <c r="H1151" s="2">
        <v>2575138</v>
      </c>
    </row>
    <row r="1152" spans="1:8" x14ac:dyDescent="0.25">
      <c r="A1152" t="str">
        <f t="shared" si="17"/>
        <v>200825-44</v>
      </c>
      <c r="B1152">
        <v>2008</v>
      </c>
      <c r="C1152" t="s">
        <v>3</v>
      </c>
      <c r="D1152" t="s">
        <v>26</v>
      </c>
      <c r="E1152" t="s">
        <v>43</v>
      </c>
      <c r="F1152" t="s">
        <v>13</v>
      </c>
      <c r="G1152" s="7">
        <v>54</v>
      </c>
      <c r="H1152" s="2">
        <v>4085944</v>
      </c>
    </row>
    <row r="1153" spans="1:8" x14ac:dyDescent="0.25">
      <c r="A1153" t="str">
        <f t="shared" si="17"/>
        <v>200845-64</v>
      </c>
      <c r="B1153">
        <v>2008</v>
      </c>
      <c r="C1153" t="s">
        <v>2</v>
      </c>
      <c r="D1153" t="s">
        <v>26</v>
      </c>
      <c r="E1153" t="s">
        <v>43</v>
      </c>
      <c r="F1153" t="s">
        <v>13</v>
      </c>
      <c r="G1153" s="7">
        <v>20</v>
      </c>
      <c r="H1153" s="2">
        <v>2277674</v>
      </c>
    </row>
    <row r="1154" spans="1:8" x14ac:dyDescent="0.25">
      <c r="A1154" t="str">
        <f t="shared" ref="A1154:A1217" si="18">+CONCATENATE(B1154,C1154)</f>
        <v>20085-14</v>
      </c>
      <c r="B1154">
        <v>2008</v>
      </c>
      <c r="C1154" t="s">
        <v>5</v>
      </c>
      <c r="D1154" t="s">
        <v>26</v>
      </c>
      <c r="E1154" t="s">
        <v>43</v>
      </c>
      <c r="F1154" t="s">
        <v>13</v>
      </c>
      <c r="G1154" s="7">
        <v>60</v>
      </c>
      <c r="H1154" s="2">
        <v>2655740</v>
      </c>
    </row>
    <row r="1155" spans="1:8" x14ac:dyDescent="0.25">
      <c r="A1155" t="str">
        <f t="shared" si="18"/>
        <v>200865-74</v>
      </c>
      <c r="B1155">
        <v>2008</v>
      </c>
      <c r="C1155" t="s">
        <v>1</v>
      </c>
      <c r="D1155" t="s">
        <v>26</v>
      </c>
      <c r="E1155" t="s">
        <v>43</v>
      </c>
      <c r="F1155" t="s">
        <v>13</v>
      </c>
      <c r="G1155" s="7">
        <v>6</v>
      </c>
      <c r="H1155" s="2">
        <v>501201</v>
      </c>
    </row>
    <row r="1156" spans="1:8" x14ac:dyDescent="0.25">
      <c r="A1156" t="str">
        <f t="shared" si="18"/>
        <v>200875+</v>
      </c>
      <c r="B1156">
        <v>2008</v>
      </c>
      <c r="C1156" t="s">
        <v>0</v>
      </c>
      <c r="D1156" t="s">
        <v>26</v>
      </c>
      <c r="E1156" t="s">
        <v>43</v>
      </c>
      <c r="F1156" t="s">
        <v>13</v>
      </c>
      <c r="G1156" s="7">
        <v>0</v>
      </c>
      <c r="H1156" s="2">
        <v>350235</v>
      </c>
    </row>
    <row r="1157" spans="1:8" x14ac:dyDescent="0.25">
      <c r="A1157" t="str">
        <f t="shared" si="18"/>
        <v>20090-4</v>
      </c>
      <c r="B1157">
        <v>2009</v>
      </c>
      <c r="C1157" t="s">
        <v>6</v>
      </c>
      <c r="D1157" t="s">
        <v>26</v>
      </c>
      <c r="E1157" t="s">
        <v>43</v>
      </c>
      <c r="F1157" t="s">
        <v>13</v>
      </c>
      <c r="G1157" s="7">
        <v>792</v>
      </c>
      <c r="H1157" s="2">
        <v>1351158</v>
      </c>
    </row>
    <row r="1158" spans="1:8" x14ac:dyDescent="0.25">
      <c r="A1158" t="str">
        <f t="shared" si="18"/>
        <v>200915-24</v>
      </c>
      <c r="B1158">
        <v>2009</v>
      </c>
      <c r="C1158" t="s">
        <v>4</v>
      </c>
      <c r="D1158" t="s">
        <v>26</v>
      </c>
      <c r="E1158" t="s">
        <v>43</v>
      </c>
      <c r="F1158" t="s">
        <v>13</v>
      </c>
      <c r="G1158" s="7">
        <v>47</v>
      </c>
      <c r="H1158" s="2">
        <v>2584791</v>
      </c>
    </row>
    <row r="1159" spans="1:8" x14ac:dyDescent="0.25">
      <c r="A1159" t="str">
        <f t="shared" si="18"/>
        <v>200925-44</v>
      </c>
      <c r="B1159">
        <v>2009</v>
      </c>
      <c r="C1159" t="s">
        <v>3</v>
      </c>
      <c r="D1159" t="s">
        <v>26</v>
      </c>
      <c r="E1159" t="s">
        <v>43</v>
      </c>
      <c r="F1159" t="s">
        <v>13</v>
      </c>
      <c r="G1159" s="7">
        <v>45</v>
      </c>
      <c r="H1159" s="2">
        <v>4156891</v>
      </c>
    </row>
    <row r="1160" spans="1:8" x14ac:dyDescent="0.25">
      <c r="A1160" t="str">
        <f t="shared" si="18"/>
        <v>200945-64</v>
      </c>
      <c r="B1160">
        <v>2009</v>
      </c>
      <c r="C1160" t="s">
        <v>2</v>
      </c>
      <c r="D1160" t="s">
        <v>26</v>
      </c>
      <c r="E1160" t="s">
        <v>43</v>
      </c>
      <c r="F1160" t="s">
        <v>13</v>
      </c>
      <c r="G1160" s="7">
        <v>27</v>
      </c>
      <c r="H1160" s="2">
        <v>2369589</v>
      </c>
    </row>
    <row r="1161" spans="1:8" x14ac:dyDescent="0.25">
      <c r="A1161" t="str">
        <f t="shared" si="18"/>
        <v>20095-14</v>
      </c>
      <c r="B1161">
        <v>2009</v>
      </c>
      <c r="C1161" t="s">
        <v>5</v>
      </c>
      <c r="D1161" t="s">
        <v>26</v>
      </c>
      <c r="E1161" t="s">
        <v>43</v>
      </c>
      <c r="F1161" t="s">
        <v>13</v>
      </c>
      <c r="G1161" s="7">
        <v>48</v>
      </c>
      <c r="H1161" s="2">
        <v>2664671</v>
      </c>
    </row>
    <row r="1162" spans="1:8" x14ac:dyDescent="0.25">
      <c r="A1162" t="str">
        <f t="shared" si="18"/>
        <v>200965-74</v>
      </c>
      <c r="B1162">
        <v>2009</v>
      </c>
      <c r="C1162" t="s">
        <v>1</v>
      </c>
      <c r="D1162" t="s">
        <v>26</v>
      </c>
      <c r="E1162" t="s">
        <v>43</v>
      </c>
      <c r="F1162" t="s">
        <v>13</v>
      </c>
      <c r="G1162" s="7">
        <v>5</v>
      </c>
      <c r="H1162" s="2">
        <v>519377</v>
      </c>
    </row>
    <row r="1163" spans="1:8" x14ac:dyDescent="0.25">
      <c r="A1163" t="str">
        <f t="shared" si="18"/>
        <v>200975+</v>
      </c>
      <c r="B1163">
        <v>2009</v>
      </c>
      <c r="C1163" t="s">
        <v>0</v>
      </c>
      <c r="D1163" t="s">
        <v>26</v>
      </c>
      <c r="E1163" t="s">
        <v>43</v>
      </c>
      <c r="F1163" t="s">
        <v>13</v>
      </c>
      <c r="G1163" s="7">
        <v>6</v>
      </c>
      <c r="H1163" s="2">
        <v>362131</v>
      </c>
    </row>
    <row r="1164" spans="1:8" x14ac:dyDescent="0.25">
      <c r="A1164" t="str">
        <f t="shared" si="18"/>
        <v>20100-4</v>
      </c>
      <c r="B1164">
        <v>2010</v>
      </c>
      <c r="C1164" t="s">
        <v>6</v>
      </c>
      <c r="D1164" t="s">
        <v>26</v>
      </c>
      <c r="E1164" t="s">
        <v>43</v>
      </c>
      <c r="F1164" t="s">
        <v>13</v>
      </c>
      <c r="G1164" s="7">
        <v>931</v>
      </c>
      <c r="H1164" s="2">
        <v>1348289</v>
      </c>
    </row>
    <row r="1165" spans="1:8" x14ac:dyDescent="0.25">
      <c r="A1165" t="str">
        <f t="shared" si="18"/>
        <v>201015-24</v>
      </c>
      <c r="B1165">
        <v>2010</v>
      </c>
      <c r="C1165" t="s">
        <v>4</v>
      </c>
      <c r="D1165" t="s">
        <v>26</v>
      </c>
      <c r="E1165" t="s">
        <v>43</v>
      </c>
      <c r="F1165" t="s">
        <v>13</v>
      </c>
      <c r="G1165" s="7">
        <v>40</v>
      </c>
      <c r="H1165" s="2">
        <v>2590746</v>
      </c>
    </row>
    <row r="1166" spans="1:8" x14ac:dyDescent="0.25">
      <c r="A1166" t="str">
        <f t="shared" si="18"/>
        <v>201025-44</v>
      </c>
      <c r="B1166">
        <v>2010</v>
      </c>
      <c r="C1166" t="s">
        <v>3</v>
      </c>
      <c r="D1166" t="s">
        <v>26</v>
      </c>
      <c r="E1166" t="s">
        <v>43</v>
      </c>
      <c r="F1166" t="s">
        <v>13</v>
      </c>
      <c r="G1166" s="7">
        <v>46</v>
      </c>
      <c r="H1166" s="2">
        <v>4228246</v>
      </c>
    </row>
    <row r="1167" spans="1:8" x14ac:dyDescent="0.25">
      <c r="A1167" t="str">
        <f t="shared" si="18"/>
        <v>201045-64</v>
      </c>
      <c r="B1167">
        <v>2010</v>
      </c>
      <c r="C1167" t="s">
        <v>2</v>
      </c>
      <c r="D1167" t="s">
        <v>26</v>
      </c>
      <c r="E1167" t="s">
        <v>43</v>
      </c>
      <c r="F1167" t="s">
        <v>13</v>
      </c>
      <c r="G1167" s="7">
        <v>37</v>
      </c>
      <c r="H1167" s="2">
        <v>2464321</v>
      </c>
    </row>
    <row r="1168" spans="1:8" x14ac:dyDescent="0.25">
      <c r="A1168" t="str">
        <f t="shared" si="18"/>
        <v>20105-14</v>
      </c>
      <c r="B1168">
        <v>2010</v>
      </c>
      <c r="C1168" t="s">
        <v>5</v>
      </c>
      <c r="D1168" t="s">
        <v>26</v>
      </c>
      <c r="E1168" t="s">
        <v>43</v>
      </c>
      <c r="F1168" t="s">
        <v>13</v>
      </c>
      <c r="G1168" s="7">
        <v>51</v>
      </c>
      <c r="H1168" s="2">
        <v>2674173</v>
      </c>
    </row>
    <row r="1169" spans="1:8" x14ac:dyDescent="0.25">
      <c r="A1169" t="str">
        <f t="shared" si="18"/>
        <v>201065-74</v>
      </c>
      <c r="B1169">
        <v>2010</v>
      </c>
      <c r="C1169" t="s">
        <v>1</v>
      </c>
      <c r="D1169" t="s">
        <v>26</v>
      </c>
      <c r="E1169" t="s">
        <v>43</v>
      </c>
      <c r="F1169" t="s">
        <v>13</v>
      </c>
      <c r="G1169" s="7">
        <v>7</v>
      </c>
      <c r="H1169" s="2">
        <v>538921</v>
      </c>
    </row>
    <row r="1170" spans="1:8" x14ac:dyDescent="0.25">
      <c r="A1170" t="str">
        <f t="shared" si="18"/>
        <v>201075+</v>
      </c>
      <c r="B1170">
        <v>2010</v>
      </c>
      <c r="C1170" t="s">
        <v>0</v>
      </c>
      <c r="D1170" t="s">
        <v>26</v>
      </c>
      <c r="E1170" t="s">
        <v>43</v>
      </c>
      <c r="F1170" t="s">
        <v>13</v>
      </c>
      <c r="G1170" s="7">
        <v>7</v>
      </c>
      <c r="H1170" s="2">
        <v>373918</v>
      </c>
    </row>
    <row r="1171" spans="1:8" x14ac:dyDescent="0.25">
      <c r="A1171" t="str">
        <f t="shared" si="18"/>
        <v>20110-4</v>
      </c>
      <c r="B1171">
        <v>2011</v>
      </c>
      <c r="C1171" t="s">
        <v>6</v>
      </c>
      <c r="D1171" t="s">
        <v>26</v>
      </c>
      <c r="E1171" t="s">
        <v>43</v>
      </c>
      <c r="F1171" t="s">
        <v>13</v>
      </c>
      <c r="G1171" s="7">
        <v>874</v>
      </c>
      <c r="H1171" s="2">
        <v>1344595</v>
      </c>
    </row>
    <row r="1172" spans="1:8" x14ac:dyDescent="0.25">
      <c r="A1172" t="str">
        <f t="shared" si="18"/>
        <v>201115-24</v>
      </c>
      <c r="B1172">
        <v>2011</v>
      </c>
      <c r="C1172" t="s">
        <v>4</v>
      </c>
      <c r="D1172" t="s">
        <v>26</v>
      </c>
      <c r="E1172" t="s">
        <v>43</v>
      </c>
      <c r="F1172" t="s">
        <v>13</v>
      </c>
      <c r="G1172" s="7">
        <v>41</v>
      </c>
      <c r="H1172" s="2">
        <v>2593350</v>
      </c>
    </row>
    <row r="1173" spans="1:8" x14ac:dyDescent="0.25">
      <c r="A1173" t="str">
        <f t="shared" si="18"/>
        <v>201125-44</v>
      </c>
      <c r="B1173">
        <v>2011</v>
      </c>
      <c r="C1173" t="s">
        <v>3</v>
      </c>
      <c r="D1173" t="s">
        <v>26</v>
      </c>
      <c r="E1173" t="s">
        <v>43</v>
      </c>
      <c r="F1173" t="s">
        <v>13</v>
      </c>
      <c r="G1173" s="7">
        <v>47</v>
      </c>
      <c r="H1173" s="2">
        <v>4299392</v>
      </c>
    </row>
    <row r="1174" spans="1:8" x14ac:dyDescent="0.25">
      <c r="A1174" t="str">
        <f t="shared" si="18"/>
        <v>201145-64</v>
      </c>
      <c r="B1174">
        <v>2011</v>
      </c>
      <c r="C1174" t="s">
        <v>2</v>
      </c>
      <c r="D1174" t="s">
        <v>26</v>
      </c>
      <c r="E1174" t="s">
        <v>43</v>
      </c>
      <c r="F1174" t="s">
        <v>13</v>
      </c>
      <c r="G1174" s="7">
        <v>24</v>
      </c>
      <c r="H1174" s="2">
        <v>2561836</v>
      </c>
    </row>
    <row r="1175" spans="1:8" x14ac:dyDescent="0.25">
      <c r="A1175" t="str">
        <f t="shared" si="18"/>
        <v>20115-14</v>
      </c>
      <c r="B1175">
        <v>2011</v>
      </c>
      <c r="C1175" t="s">
        <v>5</v>
      </c>
      <c r="D1175" t="s">
        <v>26</v>
      </c>
      <c r="E1175" t="s">
        <v>43</v>
      </c>
      <c r="F1175" t="s">
        <v>13</v>
      </c>
      <c r="G1175" s="7">
        <v>56</v>
      </c>
      <c r="H1175" s="2">
        <v>2684312</v>
      </c>
    </row>
    <row r="1176" spans="1:8" x14ac:dyDescent="0.25">
      <c r="A1176" t="str">
        <f t="shared" si="18"/>
        <v>201165-74</v>
      </c>
      <c r="B1176">
        <v>2011</v>
      </c>
      <c r="C1176" t="s">
        <v>1</v>
      </c>
      <c r="D1176" t="s">
        <v>26</v>
      </c>
      <c r="E1176" t="s">
        <v>43</v>
      </c>
      <c r="F1176" t="s">
        <v>13</v>
      </c>
      <c r="G1176" s="7">
        <v>3</v>
      </c>
      <c r="H1176" s="2">
        <v>559899</v>
      </c>
    </row>
    <row r="1177" spans="1:8" x14ac:dyDescent="0.25">
      <c r="A1177" t="str">
        <f t="shared" si="18"/>
        <v>201175+</v>
      </c>
      <c r="B1177">
        <v>2011</v>
      </c>
      <c r="C1177" t="s">
        <v>0</v>
      </c>
      <c r="D1177" t="s">
        <v>26</v>
      </c>
      <c r="E1177" t="s">
        <v>43</v>
      </c>
      <c r="F1177" t="s">
        <v>13</v>
      </c>
      <c r="G1177" s="7">
        <v>10</v>
      </c>
      <c r="H1177" s="2">
        <v>385721</v>
      </c>
    </row>
    <row r="1178" spans="1:8" x14ac:dyDescent="0.25">
      <c r="A1178" t="str">
        <f t="shared" si="18"/>
        <v>20120-4</v>
      </c>
      <c r="B1178">
        <v>2012</v>
      </c>
      <c r="C1178" t="s">
        <v>6</v>
      </c>
      <c r="D1178" t="s">
        <v>26</v>
      </c>
      <c r="E1178" t="s">
        <v>43</v>
      </c>
      <c r="F1178" t="s">
        <v>13</v>
      </c>
      <c r="G1178" s="7">
        <v>931</v>
      </c>
      <c r="H1178" s="2">
        <v>1340586.3214094499</v>
      </c>
    </row>
    <row r="1179" spans="1:8" x14ac:dyDescent="0.25">
      <c r="A1179" t="str">
        <f t="shared" si="18"/>
        <v>201215-24</v>
      </c>
      <c r="B1179">
        <v>2012</v>
      </c>
      <c r="C1179" t="s">
        <v>4</v>
      </c>
      <c r="D1179" t="s">
        <v>26</v>
      </c>
      <c r="E1179" t="s">
        <v>43</v>
      </c>
      <c r="F1179" t="s">
        <v>13</v>
      </c>
      <c r="G1179" s="7">
        <v>50</v>
      </c>
      <c r="H1179" s="2">
        <v>2596932.5593387499</v>
      </c>
    </row>
    <row r="1180" spans="1:8" x14ac:dyDescent="0.25">
      <c r="A1180" t="str">
        <f t="shared" si="18"/>
        <v>201225-44</v>
      </c>
      <c r="B1180">
        <v>2012</v>
      </c>
      <c r="C1180" t="s">
        <v>3</v>
      </c>
      <c r="D1180" t="s">
        <v>26</v>
      </c>
      <c r="E1180" t="s">
        <v>43</v>
      </c>
      <c r="F1180" t="s">
        <v>13</v>
      </c>
      <c r="G1180" s="7">
        <v>40</v>
      </c>
      <c r="H1180" s="2">
        <v>4370928.8062696801</v>
      </c>
    </row>
    <row r="1181" spans="1:8" x14ac:dyDescent="0.25">
      <c r="A1181" t="str">
        <f t="shared" si="18"/>
        <v>201245-64</v>
      </c>
      <c r="B1181">
        <v>2012</v>
      </c>
      <c r="C1181" t="s">
        <v>2</v>
      </c>
      <c r="D1181" t="s">
        <v>26</v>
      </c>
      <c r="E1181" t="s">
        <v>43</v>
      </c>
      <c r="F1181" t="s">
        <v>13</v>
      </c>
      <c r="G1181" s="7">
        <v>33</v>
      </c>
      <c r="H1181" s="2">
        <v>2658291.2681631502</v>
      </c>
    </row>
    <row r="1182" spans="1:8" x14ac:dyDescent="0.25">
      <c r="A1182" t="str">
        <f t="shared" si="18"/>
        <v>20125-14</v>
      </c>
      <c r="B1182">
        <v>2012</v>
      </c>
      <c r="C1182" t="s">
        <v>5</v>
      </c>
      <c r="D1182" t="s">
        <v>26</v>
      </c>
      <c r="E1182" t="s">
        <v>43</v>
      </c>
      <c r="F1182" t="s">
        <v>13</v>
      </c>
      <c r="G1182" s="7">
        <v>59</v>
      </c>
      <c r="H1182" s="2">
        <v>2693165.8826794801</v>
      </c>
    </row>
    <row r="1183" spans="1:8" x14ac:dyDescent="0.25">
      <c r="A1183" t="str">
        <f t="shared" si="18"/>
        <v>201265-74</v>
      </c>
      <c r="B1183">
        <v>2012</v>
      </c>
      <c r="C1183" t="s">
        <v>1</v>
      </c>
      <c r="D1183" t="s">
        <v>26</v>
      </c>
      <c r="E1183" t="s">
        <v>43</v>
      </c>
      <c r="F1183" t="s">
        <v>13</v>
      </c>
      <c r="G1183" s="7">
        <v>2</v>
      </c>
      <c r="H1183" s="2">
        <v>582433.94467592705</v>
      </c>
    </row>
    <row r="1184" spans="1:8" x14ac:dyDescent="0.25">
      <c r="A1184" t="str">
        <f t="shared" si="18"/>
        <v>201275+</v>
      </c>
      <c r="B1184">
        <v>2012</v>
      </c>
      <c r="C1184" t="s">
        <v>0</v>
      </c>
      <c r="D1184" t="s">
        <v>26</v>
      </c>
      <c r="E1184" t="s">
        <v>43</v>
      </c>
      <c r="F1184" t="s">
        <v>13</v>
      </c>
      <c r="G1184" s="7">
        <v>4</v>
      </c>
      <c r="H1184" s="2">
        <v>398069.84835797001</v>
      </c>
    </row>
    <row r="1185" spans="1:8" x14ac:dyDescent="0.25">
      <c r="A1185" t="str">
        <f t="shared" si="18"/>
        <v>20130-4</v>
      </c>
      <c r="B1185">
        <v>2013</v>
      </c>
      <c r="C1185" t="s">
        <v>6</v>
      </c>
      <c r="D1185" t="s">
        <v>26</v>
      </c>
      <c r="E1185" t="s">
        <v>43</v>
      </c>
      <c r="F1185" t="s">
        <v>13</v>
      </c>
      <c r="G1185" s="7">
        <v>900</v>
      </c>
      <c r="H1185" s="2">
        <v>1336364.77993838</v>
      </c>
    </row>
    <row r="1186" spans="1:8" x14ac:dyDescent="0.25">
      <c r="A1186" t="str">
        <f t="shared" si="18"/>
        <v>201315-24</v>
      </c>
      <c r="B1186">
        <v>2013</v>
      </c>
      <c r="C1186" t="s">
        <v>4</v>
      </c>
      <c r="D1186" t="s">
        <v>26</v>
      </c>
      <c r="E1186" t="s">
        <v>43</v>
      </c>
      <c r="F1186" t="s">
        <v>13</v>
      </c>
      <c r="G1186" s="7">
        <v>49</v>
      </c>
      <c r="H1186" s="2">
        <v>2602650.6589393602</v>
      </c>
    </row>
    <row r="1187" spans="1:8" x14ac:dyDescent="0.25">
      <c r="A1187" t="str">
        <f t="shared" si="18"/>
        <v>201325-44</v>
      </c>
      <c r="B1187">
        <v>2013</v>
      </c>
      <c r="C1187" t="s">
        <v>3</v>
      </c>
      <c r="D1187" t="s">
        <v>26</v>
      </c>
      <c r="E1187" t="s">
        <v>43</v>
      </c>
      <c r="F1187" t="s">
        <v>13</v>
      </c>
      <c r="G1187" s="7">
        <v>49</v>
      </c>
      <c r="H1187" s="2">
        <v>4442157.0636299504</v>
      </c>
    </row>
    <row r="1188" spans="1:8" x14ac:dyDescent="0.25">
      <c r="A1188" t="str">
        <f t="shared" si="18"/>
        <v>201345-64</v>
      </c>
      <c r="B1188">
        <v>2013</v>
      </c>
      <c r="C1188" t="s">
        <v>2</v>
      </c>
      <c r="D1188" t="s">
        <v>26</v>
      </c>
      <c r="E1188" t="s">
        <v>43</v>
      </c>
      <c r="F1188" t="s">
        <v>13</v>
      </c>
      <c r="G1188" s="7">
        <v>39</v>
      </c>
      <c r="H1188" s="2">
        <v>2752738.9724179399</v>
      </c>
    </row>
    <row r="1189" spans="1:8" x14ac:dyDescent="0.25">
      <c r="A1189" t="str">
        <f t="shared" si="18"/>
        <v>20135-14</v>
      </c>
      <c r="B1189">
        <v>2013</v>
      </c>
      <c r="C1189" t="s">
        <v>5</v>
      </c>
      <c r="D1189" t="s">
        <v>26</v>
      </c>
      <c r="E1189" t="s">
        <v>43</v>
      </c>
      <c r="F1189" t="s">
        <v>13</v>
      </c>
      <c r="G1189" s="7">
        <v>56</v>
      </c>
      <c r="H1189" s="2">
        <v>2699988.6782491799</v>
      </c>
    </row>
    <row r="1190" spans="1:8" x14ac:dyDescent="0.25">
      <c r="A1190" t="str">
        <f t="shared" si="18"/>
        <v>201365-74</v>
      </c>
      <c r="B1190">
        <v>2013</v>
      </c>
      <c r="C1190" t="s">
        <v>1</v>
      </c>
      <c r="D1190" t="s">
        <v>26</v>
      </c>
      <c r="E1190" t="s">
        <v>43</v>
      </c>
      <c r="F1190" t="s">
        <v>13</v>
      </c>
      <c r="G1190" s="7">
        <v>3</v>
      </c>
      <c r="H1190" s="2">
        <v>606480.27141564596</v>
      </c>
    </row>
    <row r="1191" spans="1:8" x14ac:dyDescent="0.25">
      <c r="A1191" t="str">
        <f t="shared" si="18"/>
        <v>201375+</v>
      </c>
      <c r="B1191">
        <v>2013</v>
      </c>
      <c r="C1191" t="s">
        <v>0</v>
      </c>
      <c r="D1191" t="s">
        <v>26</v>
      </c>
      <c r="E1191" t="s">
        <v>43</v>
      </c>
      <c r="F1191" t="s">
        <v>13</v>
      </c>
      <c r="G1191" s="7">
        <v>1</v>
      </c>
      <c r="H1191" s="2">
        <v>411257.72175729403</v>
      </c>
    </row>
    <row r="1192" spans="1:8" x14ac:dyDescent="0.25">
      <c r="A1192" t="str">
        <f t="shared" si="18"/>
        <v>20140-4</v>
      </c>
      <c r="B1192">
        <v>2014</v>
      </c>
      <c r="C1192" t="s">
        <v>6</v>
      </c>
      <c r="D1192" t="s">
        <v>26</v>
      </c>
      <c r="E1192" t="s">
        <v>43</v>
      </c>
      <c r="F1192" t="s">
        <v>13</v>
      </c>
      <c r="G1192" s="7">
        <v>912</v>
      </c>
      <c r="H1192" s="2">
        <v>1331891</v>
      </c>
    </row>
    <row r="1193" spans="1:8" x14ac:dyDescent="0.25">
      <c r="A1193" t="str">
        <f t="shared" si="18"/>
        <v>201415-24</v>
      </c>
      <c r="B1193">
        <v>2014</v>
      </c>
      <c r="C1193" t="s">
        <v>4</v>
      </c>
      <c r="D1193" t="s">
        <v>26</v>
      </c>
      <c r="E1193" t="s">
        <v>43</v>
      </c>
      <c r="F1193" t="s">
        <v>13</v>
      </c>
      <c r="G1193" s="7">
        <v>40</v>
      </c>
      <c r="H1193" s="2">
        <v>2610538</v>
      </c>
    </row>
    <row r="1194" spans="1:8" x14ac:dyDescent="0.25">
      <c r="A1194" t="str">
        <f t="shared" si="18"/>
        <v>201425-44</v>
      </c>
      <c r="B1194">
        <v>2014</v>
      </c>
      <c r="C1194" t="s">
        <v>3</v>
      </c>
      <c r="D1194" t="s">
        <v>26</v>
      </c>
      <c r="E1194" t="s">
        <v>43</v>
      </c>
      <c r="F1194" t="s">
        <v>13</v>
      </c>
      <c r="G1194" s="7">
        <v>58</v>
      </c>
      <c r="H1194" s="2">
        <v>4511948</v>
      </c>
    </row>
    <row r="1195" spans="1:8" x14ac:dyDescent="0.25">
      <c r="A1195" t="str">
        <f t="shared" si="18"/>
        <v>201445-64</v>
      </c>
      <c r="B1195">
        <v>2014</v>
      </c>
      <c r="C1195" t="s">
        <v>2</v>
      </c>
      <c r="D1195" t="s">
        <v>26</v>
      </c>
      <c r="E1195" t="s">
        <v>43</v>
      </c>
      <c r="F1195" t="s">
        <v>13</v>
      </c>
      <c r="G1195" s="7">
        <v>59</v>
      </c>
      <c r="H1195" s="2">
        <v>2845267</v>
      </c>
    </row>
    <row r="1196" spans="1:8" x14ac:dyDescent="0.25">
      <c r="A1196" t="str">
        <f t="shared" si="18"/>
        <v>20145-14</v>
      </c>
      <c r="B1196">
        <v>2014</v>
      </c>
      <c r="C1196" t="s">
        <v>5</v>
      </c>
      <c r="D1196" t="s">
        <v>26</v>
      </c>
      <c r="E1196" t="s">
        <v>43</v>
      </c>
      <c r="F1196" t="s">
        <v>13</v>
      </c>
      <c r="G1196" s="7">
        <v>67</v>
      </c>
      <c r="H1196" s="2">
        <v>2704490</v>
      </c>
    </row>
    <row r="1197" spans="1:8" x14ac:dyDescent="0.25">
      <c r="A1197" t="str">
        <f t="shared" si="18"/>
        <v>201465-74</v>
      </c>
      <c r="B1197">
        <v>2014</v>
      </c>
      <c r="C1197" t="s">
        <v>1</v>
      </c>
      <c r="D1197" t="s">
        <v>26</v>
      </c>
      <c r="E1197" t="s">
        <v>43</v>
      </c>
      <c r="F1197" t="s">
        <v>13</v>
      </c>
      <c r="G1197" s="7">
        <v>2</v>
      </c>
      <c r="H1197" s="2">
        <v>631943</v>
      </c>
    </row>
    <row r="1198" spans="1:8" x14ac:dyDescent="0.25">
      <c r="A1198" t="str">
        <f t="shared" si="18"/>
        <v>201475+</v>
      </c>
      <c r="B1198">
        <v>2014</v>
      </c>
      <c r="C1198" t="s">
        <v>0</v>
      </c>
      <c r="D1198" t="s">
        <v>26</v>
      </c>
      <c r="E1198" t="s">
        <v>43</v>
      </c>
      <c r="F1198" t="s">
        <v>13</v>
      </c>
      <c r="G1198" s="7">
        <v>6</v>
      </c>
      <c r="H1198" s="2">
        <v>425486</v>
      </c>
    </row>
    <row r="1199" spans="1:8" x14ac:dyDescent="0.25">
      <c r="A1199" t="str">
        <f t="shared" si="18"/>
        <v>19960-4</v>
      </c>
      <c r="B1199">
        <v>1996</v>
      </c>
      <c r="C1199" t="s">
        <v>6</v>
      </c>
      <c r="D1199" t="s">
        <v>26</v>
      </c>
      <c r="E1199">
        <v>10</v>
      </c>
      <c r="F1199" t="s">
        <v>12</v>
      </c>
      <c r="G1199" s="7">
        <v>1081</v>
      </c>
      <c r="H1199" s="2">
        <v>1308550.7828250399</v>
      </c>
    </row>
    <row r="1200" spans="1:8" x14ac:dyDescent="0.25">
      <c r="A1200" t="str">
        <f t="shared" si="18"/>
        <v>199615-24</v>
      </c>
      <c r="B1200">
        <v>1996</v>
      </c>
      <c r="C1200" t="s">
        <v>4</v>
      </c>
      <c r="D1200" t="s">
        <v>26</v>
      </c>
      <c r="E1200">
        <v>10</v>
      </c>
      <c r="F1200" t="s">
        <v>12</v>
      </c>
      <c r="G1200" s="7">
        <v>13</v>
      </c>
      <c r="H1200" s="2">
        <v>2136825.68729656</v>
      </c>
    </row>
    <row r="1201" spans="1:8" x14ac:dyDescent="0.25">
      <c r="A1201" t="str">
        <f t="shared" si="18"/>
        <v>199625-44</v>
      </c>
      <c r="B1201">
        <v>1996</v>
      </c>
      <c r="C1201" t="s">
        <v>3</v>
      </c>
      <c r="D1201" t="s">
        <v>26</v>
      </c>
      <c r="E1201">
        <v>10</v>
      </c>
      <c r="F1201" t="s">
        <v>12</v>
      </c>
      <c r="G1201" s="7">
        <v>29</v>
      </c>
      <c r="H1201" s="2">
        <v>3245545.2890741802</v>
      </c>
    </row>
    <row r="1202" spans="1:8" x14ac:dyDescent="0.25">
      <c r="A1202" t="str">
        <f t="shared" si="18"/>
        <v>199645-64</v>
      </c>
      <c r="B1202">
        <v>1996</v>
      </c>
      <c r="C1202" t="s">
        <v>2</v>
      </c>
      <c r="D1202" t="s">
        <v>26</v>
      </c>
      <c r="E1202">
        <v>10</v>
      </c>
      <c r="F1202" t="s">
        <v>12</v>
      </c>
      <c r="G1202" s="7">
        <v>75</v>
      </c>
      <c r="H1202" s="2">
        <v>1448877.9572723201</v>
      </c>
    </row>
    <row r="1203" spans="1:8" x14ac:dyDescent="0.25">
      <c r="A1203" t="str">
        <f t="shared" si="18"/>
        <v>19965-14</v>
      </c>
      <c r="B1203">
        <v>1996</v>
      </c>
      <c r="C1203" t="s">
        <v>5</v>
      </c>
      <c r="D1203" t="s">
        <v>26</v>
      </c>
      <c r="E1203">
        <v>10</v>
      </c>
      <c r="F1203" t="s">
        <v>12</v>
      </c>
      <c r="G1203" s="7">
        <v>38</v>
      </c>
      <c r="H1203" s="2">
        <v>2617766.7452121698</v>
      </c>
    </row>
    <row r="1204" spans="1:8" x14ac:dyDescent="0.25">
      <c r="A1204" t="str">
        <f t="shared" si="18"/>
        <v>199665-74</v>
      </c>
      <c r="B1204">
        <v>1996</v>
      </c>
      <c r="C1204" t="s">
        <v>1</v>
      </c>
      <c r="D1204" t="s">
        <v>26</v>
      </c>
      <c r="E1204">
        <v>10</v>
      </c>
      <c r="F1204" t="s">
        <v>12</v>
      </c>
      <c r="G1204" s="7">
        <v>63</v>
      </c>
      <c r="H1204" s="2">
        <v>373487.34083337098</v>
      </c>
    </row>
    <row r="1205" spans="1:8" x14ac:dyDescent="0.25">
      <c r="A1205" t="str">
        <f t="shared" si="18"/>
        <v>199675+</v>
      </c>
      <c r="B1205">
        <v>1996</v>
      </c>
      <c r="C1205" t="s">
        <v>0</v>
      </c>
      <c r="D1205" t="s">
        <v>26</v>
      </c>
      <c r="E1205">
        <v>10</v>
      </c>
      <c r="F1205" t="s">
        <v>12</v>
      </c>
      <c r="G1205" s="7">
        <v>226</v>
      </c>
      <c r="H1205" s="2">
        <v>186458.585231801</v>
      </c>
    </row>
    <row r="1206" spans="1:8" x14ac:dyDescent="0.25">
      <c r="A1206" t="str">
        <f t="shared" si="18"/>
        <v>19970-4</v>
      </c>
      <c r="B1206">
        <v>1997</v>
      </c>
      <c r="C1206" t="s">
        <v>6</v>
      </c>
      <c r="D1206" t="s">
        <v>26</v>
      </c>
      <c r="E1206">
        <v>10</v>
      </c>
      <c r="F1206" t="s">
        <v>12</v>
      </c>
      <c r="G1206" s="7">
        <v>785</v>
      </c>
      <c r="H1206" s="2">
        <v>1317732.8696950199</v>
      </c>
    </row>
    <row r="1207" spans="1:8" x14ac:dyDescent="0.25">
      <c r="A1207" t="str">
        <f t="shared" si="18"/>
        <v>199715-24</v>
      </c>
      <c r="B1207">
        <v>1997</v>
      </c>
      <c r="C1207" t="s">
        <v>4</v>
      </c>
      <c r="D1207" t="s">
        <v>26</v>
      </c>
      <c r="E1207">
        <v>10</v>
      </c>
      <c r="F1207" t="s">
        <v>12</v>
      </c>
      <c r="G1207" s="7">
        <v>15</v>
      </c>
      <c r="H1207" s="2">
        <v>2190257.4123779298</v>
      </c>
    </row>
    <row r="1208" spans="1:8" x14ac:dyDescent="0.25">
      <c r="A1208" t="str">
        <f t="shared" si="18"/>
        <v>199725-44</v>
      </c>
      <c r="B1208">
        <v>1997</v>
      </c>
      <c r="C1208" t="s">
        <v>3</v>
      </c>
      <c r="D1208" t="s">
        <v>26</v>
      </c>
      <c r="E1208">
        <v>10</v>
      </c>
      <c r="F1208" t="s">
        <v>12</v>
      </c>
      <c r="G1208" s="7">
        <v>36</v>
      </c>
      <c r="H1208" s="2">
        <v>3319788.9734445098</v>
      </c>
    </row>
    <row r="1209" spans="1:8" x14ac:dyDescent="0.25">
      <c r="A1209" t="str">
        <f t="shared" si="18"/>
        <v>199745-64</v>
      </c>
      <c r="B1209">
        <v>1997</v>
      </c>
      <c r="C1209" t="s">
        <v>2</v>
      </c>
      <c r="D1209" t="s">
        <v>26</v>
      </c>
      <c r="E1209">
        <v>10</v>
      </c>
      <c r="F1209" t="s">
        <v>12</v>
      </c>
      <c r="G1209" s="7">
        <v>55</v>
      </c>
      <c r="H1209" s="2">
        <v>1494497.7743633899</v>
      </c>
    </row>
    <row r="1210" spans="1:8" x14ac:dyDescent="0.25">
      <c r="A1210" t="str">
        <f t="shared" si="18"/>
        <v>19975-14</v>
      </c>
      <c r="B1210">
        <v>1997</v>
      </c>
      <c r="C1210" t="s">
        <v>5</v>
      </c>
      <c r="D1210" t="s">
        <v>26</v>
      </c>
      <c r="E1210">
        <v>10</v>
      </c>
      <c r="F1210" t="s">
        <v>12</v>
      </c>
      <c r="G1210" s="7">
        <v>18</v>
      </c>
      <c r="H1210" s="2">
        <v>2625110.0471272999</v>
      </c>
    </row>
    <row r="1211" spans="1:8" x14ac:dyDescent="0.25">
      <c r="A1211" t="str">
        <f t="shared" si="18"/>
        <v>199765-74</v>
      </c>
      <c r="B1211">
        <v>1997</v>
      </c>
      <c r="C1211" t="s">
        <v>1</v>
      </c>
      <c r="D1211" t="s">
        <v>26</v>
      </c>
      <c r="E1211">
        <v>10</v>
      </c>
      <c r="F1211" t="s">
        <v>12</v>
      </c>
      <c r="G1211" s="7">
        <v>73</v>
      </c>
      <c r="H1211" s="2">
        <v>377918.60450002301</v>
      </c>
    </row>
    <row r="1212" spans="1:8" x14ac:dyDescent="0.25">
      <c r="A1212" t="str">
        <f t="shared" si="18"/>
        <v>199775+</v>
      </c>
      <c r="B1212">
        <v>1997</v>
      </c>
      <c r="C1212" t="s">
        <v>0</v>
      </c>
      <c r="D1212" t="s">
        <v>26</v>
      </c>
      <c r="E1212">
        <v>10</v>
      </c>
      <c r="F1212" t="s">
        <v>12</v>
      </c>
      <c r="G1212" s="7">
        <v>169</v>
      </c>
      <c r="H1212" s="2">
        <v>197836.55113907999</v>
      </c>
    </row>
    <row r="1213" spans="1:8" x14ac:dyDescent="0.25">
      <c r="A1213" t="str">
        <f t="shared" si="18"/>
        <v>19980-4</v>
      </c>
      <c r="B1213">
        <v>1998</v>
      </c>
      <c r="C1213" t="s">
        <v>6</v>
      </c>
      <c r="D1213" t="s">
        <v>26</v>
      </c>
      <c r="E1213">
        <v>10</v>
      </c>
      <c r="F1213" t="s">
        <v>12</v>
      </c>
      <c r="G1213" s="7">
        <v>780</v>
      </c>
      <c r="H1213" s="2">
        <v>1325697.93484751</v>
      </c>
    </row>
    <row r="1214" spans="1:8" x14ac:dyDescent="0.25">
      <c r="A1214" t="str">
        <f t="shared" si="18"/>
        <v>199815-24</v>
      </c>
      <c r="B1214">
        <v>1998</v>
      </c>
      <c r="C1214" t="s">
        <v>4</v>
      </c>
      <c r="D1214" t="s">
        <v>26</v>
      </c>
      <c r="E1214">
        <v>10</v>
      </c>
      <c r="F1214" t="s">
        <v>12</v>
      </c>
      <c r="G1214" s="7">
        <v>6</v>
      </c>
      <c r="H1214" s="2">
        <v>2242694.2061889698</v>
      </c>
    </row>
    <row r="1215" spans="1:8" x14ac:dyDescent="0.25">
      <c r="A1215" t="str">
        <f t="shared" si="18"/>
        <v>199825-44</v>
      </c>
      <c r="B1215">
        <v>1998</v>
      </c>
      <c r="C1215" t="s">
        <v>3</v>
      </c>
      <c r="D1215" t="s">
        <v>26</v>
      </c>
      <c r="E1215">
        <v>10</v>
      </c>
      <c r="F1215" t="s">
        <v>12</v>
      </c>
      <c r="G1215" s="7">
        <v>32</v>
      </c>
      <c r="H1215" s="2">
        <v>3392799.98672225</v>
      </c>
    </row>
    <row r="1216" spans="1:8" x14ac:dyDescent="0.25">
      <c r="A1216" t="str">
        <f t="shared" si="18"/>
        <v>199845-64</v>
      </c>
      <c r="B1216">
        <v>1998</v>
      </c>
      <c r="C1216" t="s">
        <v>2</v>
      </c>
      <c r="D1216" t="s">
        <v>26</v>
      </c>
      <c r="E1216">
        <v>10</v>
      </c>
      <c r="F1216" t="s">
        <v>12</v>
      </c>
      <c r="G1216" s="7">
        <v>61</v>
      </c>
      <c r="H1216" s="2">
        <v>1544756.3871817</v>
      </c>
    </row>
    <row r="1217" spans="1:8" x14ac:dyDescent="0.25">
      <c r="A1217" t="str">
        <f t="shared" si="18"/>
        <v>19985-14</v>
      </c>
      <c r="B1217">
        <v>1998</v>
      </c>
      <c r="C1217" t="s">
        <v>5</v>
      </c>
      <c r="D1217" t="s">
        <v>26</v>
      </c>
      <c r="E1217">
        <v>10</v>
      </c>
      <c r="F1217" t="s">
        <v>12</v>
      </c>
      <c r="G1217" s="7">
        <v>23</v>
      </c>
      <c r="H1217" s="2">
        <v>2628255.52356365</v>
      </c>
    </row>
    <row r="1218" spans="1:8" x14ac:dyDescent="0.25">
      <c r="A1218" t="str">
        <f t="shared" ref="A1218:A1281" si="19">+CONCATENATE(B1218,C1218)</f>
        <v>199865-74</v>
      </c>
      <c r="B1218">
        <v>1998</v>
      </c>
      <c r="C1218" t="s">
        <v>1</v>
      </c>
      <c r="D1218" t="s">
        <v>26</v>
      </c>
      <c r="E1218">
        <v>10</v>
      </c>
      <c r="F1218" t="s">
        <v>12</v>
      </c>
      <c r="G1218" s="7">
        <v>56</v>
      </c>
      <c r="H1218" s="2">
        <v>383636.80225001101</v>
      </c>
    </row>
    <row r="1219" spans="1:8" x14ac:dyDescent="0.25">
      <c r="A1219" t="str">
        <f t="shared" si="19"/>
        <v>199875+</v>
      </c>
      <c r="B1219">
        <v>1998</v>
      </c>
      <c r="C1219" t="s">
        <v>0</v>
      </c>
      <c r="D1219" t="s">
        <v>26</v>
      </c>
      <c r="E1219">
        <v>10</v>
      </c>
      <c r="F1219" t="s">
        <v>12</v>
      </c>
      <c r="G1219" s="7">
        <v>185</v>
      </c>
      <c r="H1219" s="2">
        <v>210840.77556954001</v>
      </c>
    </row>
    <row r="1220" spans="1:8" x14ac:dyDescent="0.25">
      <c r="A1220" t="str">
        <f t="shared" si="19"/>
        <v>19990-4</v>
      </c>
      <c r="B1220">
        <v>1999</v>
      </c>
      <c r="C1220" t="s">
        <v>6</v>
      </c>
      <c r="D1220" t="s">
        <v>26</v>
      </c>
      <c r="E1220">
        <v>10</v>
      </c>
      <c r="F1220" t="s">
        <v>12</v>
      </c>
      <c r="G1220" s="7">
        <v>631</v>
      </c>
      <c r="H1220" s="2">
        <v>1332528.9782825001</v>
      </c>
    </row>
    <row r="1221" spans="1:8" x14ac:dyDescent="0.25">
      <c r="A1221" t="str">
        <f t="shared" si="19"/>
        <v>199915-24</v>
      </c>
      <c r="B1221">
        <v>1999</v>
      </c>
      <c r="C1221" t="s">
        <v>4</v>
      </c>
      <c r="D1221" t="s">
        <v>26</v>
      </c>
      <c r="E1221">
        <v>10</v>
      </c>
      <c r="F1221" t="s">
        <v>12</v>
      </c>
      <c r="G1221" s="7">
        <v>5</v>
      </c>
      <c r="H1221" s="2">
        <v>2293434.06872966</v>
      </c>
    </row>
    <row r="1222" spans="1:8" x14ac:dyDescent="0.25">
      <c r="A1222" t="str">
        <f t="shared" si="19"/>
        <v>199925-44</v>
      </c>
      <c r="B1222">
        <v>1999</v>
      </c>
      <c r="C1222" t="s">
        <v>3</v>
      </c>
      <c r="D1222" t="s">
        <v>26</v>
      </c>
      <c r="E1222">
        <v>10</v>
      </c>
      <c r="F1222" t="s">
        <v>12</v>
      </c>
      <c r="G1222" s="7">
        <v>27</v>
      </c>
      <c r="H1222" s="2">
        <v>3464730.3289074199</v>
      </c>
    </row>
    <row r="1223" spans="1:8" x14ac:dyDescent="0.25">
      <c r="A1223" t="str">
        <f t="shared" si="19"/>
        <v>199945-64</v>
      </c>
      <c r="B1223">
        <v>1999</v>
      </c>
      <c r="C1223" t="s">
        <v>2</v>
      </c>
      <c r="D1223" t="s">
        <v>26</v>
      </c>
      <c r="E1223">
        <v>10</v>
      </c>
      <c r="F1223" t="s">
        <v>12</v>
      </c>
      <c r="G1223" s="7">
        <v>35</v>
      </c>
      <c r="H1223" s="2">
        <v>1599513.7957272299</v>
      </c>
    </row>
    <row r="1224" spans="1:8" x14ac:dyDescent="0.25">
      <c r="A1224" t="str">
        <f t="shared" si="19"/>
        <v>19995-14</v>
      </c>
      <c r="B1224">
        <v>1999</v>
      </c>
      <c r="C1224" t="s">
        <v>5</v>
      </c>
      <c r="D1224" t="s">
        <v>26</v>
      </c>
      <c r="E1224">
        <v>10</v>
      </c>
      <c r="F1224" t="s">
        <v>12</v>
      </c>
      <c r="G1224" s="7">
        <v>15</v>
      </c>
      <c r="H1224" s="2">
        <v>2628380.1745212199</v>
      </c>
    </row>
    <row r="1225" spans="1:8" x14ac:dyDescent="0.25">
      <c r="A1225" t="str">
        <f t="shared" si="19"/>
        <v>199965-74</v>
      </c>
      <c r="B1225">
        <v>1999</v>
      </c>
      <c r="C1225" t="s">
        <v>1</v>
      </c>
      <c r="D1225" t="s">
        <v>26</v>
      </c>
      <c r="E1225">
        <v>10</v>
      </c>
      <c r="F1225" t="s">
        <v>12</v>
      </c>
      <c r="G1225" s="7">
        <v>57</v>
      </c>
      <c r="H1225" s="2">
        <v>390568.93408333702</v>
      </c>
    </row>
    <row r="1226" spans="1:8" x14ac:dyDescent="0.25">
      <c r="A1226" t="str">
        <f t="shared" si="19"/>
        <v>199975+</v>
      </c>
      <c r="B1226">
        <v>1999</v>
      </c>
      <c r="C1226" t="s">
        <v>0</v>
      </c>
      <c r="D1226" t="s">
        <v>26</v>
      </c>
      <c r="E1226">
        <v>10</v>
      </c>
      <c r="F1226" t="s">
        <v>12</v>
      </c>
      <c r="G1226" s="7">
        <v>182</v>
      </c>
      <c r="H1226" s="2">
        <v>225043.25852318</v>
      </c>
    </row>
    <row r="1227" spans="1:8" x14ac:dyDescent="0.25">
      <c r="A1227" t="str">
        <f t="shared" si="19"/>
        <v>20000-4</v>
      </c>
      <c r="B1227">
        <v>2000</v>
      </c>
      <c r="C1227" t="s">
        <v>6</v>
      </c>
      <c r="D1227" t="s">
        <v>26</v>
      </c>
      <c r="E1227">
        <v>10</v>
      </c>
      <c r="F1227" t="s">
        <v>12</v>
      </c>
      <c r="G1227" s="7">
        <v>510</v>
      </c>
      <c r="H1227" s="2">
        <v>1338309</v>
      </c>
    </row>
    <row r="1228" spans="1:8" x14ac:dyDescent="0.25">
      <c r="A1228" t="str">
        <f t="shared" si="19"/>
        <v>200015-24</v>
      </c>
      <c r="B1228">
        <v>2000</v>
      </c>
      <c r="C1228" t="s">
        <v>4</v>
      </c>
      <c r="D1228" t="s">
        <v>26</v>
      </c>
      <c r="E1228">
        <v>10</v>
      </c>
      <c r="F1228" t="s">
        <v>12</v>
      </c>
      <c r="G1228" s="7">
        <v>9</v>
      </c>
      <c r="H1228" s="2">
        <v>2341775</v>
      </c>
    </row>
    <row r="1229" spans="1:8" x14ac:dyDescent="0.25">
      <c r="A1229" t="str">
        <f t="shared" si="19"/>
        <v>200025-44</v>
      </c>
      <c r="B1229">
        <v>2000</v>
      </c>
      <c r="C1229" t="s">
        <v>3</v>
      </c>
      <c r="D1229" t="s">
        <v>26</v>
      </c>
      <c r="E1229">
        <v>10</v>
      </c>
      <c r="F1229" t="s">
        <v>12</v>
      </c>
      <c r="G1229" s="7">
        <v>22</v>
      </c>
      <c r="H1229" s="2">
        <v>3535732</v>
      </c>
    </row>
    <row r="1230" spans="1:8" x14ac:dyDescent="0.25">
      <c r="A1230" t="str">
        <f t="shared" si="19"/>
        <v>200045-64</v>
      </c>
      <c r="B1230">
        <v>2000</v>
      </c>
      <c r="C1230" t="s">
        <v>2</v>
      </c>
      <c r="D1230" t="s">
        <v>26</v>
      </c>
      <c r="E1230">
        <v>10</v>
      </c>
      <c r="F1230" t="s">
        <v>12</v>
      </c>
      <c r="G1230" s="7">
        <v>33</v>
      </c>
      <c r="H1230" s="2">
        <v>1658630</v>
      </c>
    </row>
    <row r="1231" spans="1:8" x14ac:dyDescent="0.25">
      <c r="A1231" t="str">
        <f t="shared" si="19"/>
        <v>20005-14</v>
      </c>
      <c r="B1231">
        <v>2000</v>
      </c>
      <c r="C1231" t="s">
        <v>5</v>
      </c>
      <c r="D1231" t="s">
        <v>26</v>
      </c>
      <c r="E1231">
        <v>10</v>
      </c>
      <c r="F1231" t="s">
        <v>12</v>
      </c>
      <c r="G1231" s="7">
        <v>12</v>
      </c>
      <c r="H1231" s="2">
        <v>2626661</v>
      </c>
    </row>
    <row r="1232" spans="1:8" x14ac:dyDescent="0.25">
      <c r="A1232" t="str">
        <f t="shared" si="19"/>
        <v>200065-74</v>
      </c>
      <c r="B1232">
        <v>2000</v>
      </c>
      <c r="C1232" t="s">
        <v>1</v>
      </c>
      <c r="D1232" t="s">
        <v>26</v>
      </c>
      <c r="E1232">
        <v>10</v>
      </c>
      <c r="F1232" t="s">
        <v>12</v>
      </c>
      <c r="G1232" s="7">
        <v>34</v>
      </c>
      <c r="H1232" s="2">
        <v>398642</v>
      </c>
    </row>
    <row r="1233" spans="1:8" x14ac:dyDescent="0.25">
      <c r="A1233" t="str">
        <f t="shared" si="19"/>
        <v>200075+</v>
      </c>
      <c r="B1233">
        <v>2000</v>
      </c>
      <c r="C1233" t="s">
        <v>0</v>
      </c>
      <c r="D1233" t="s">
        <v>26</v>
      </c>
      <c r="E1233">
        <v>10</v>
      </c>
      <c r="F1233" t="s">
        <v>12</v>
      </c>
      <c r="G1233" s="7">
        <v>144</v>
      </c>
      <c r="H1233" s="2">
        <v>240016</v>
      </c>
    </row>
    <row r="1234" spans="1:8" x14ac:dyDescent="0.25">
      <c r="A1234" t="str">
        <f t="shared" si="19"/>
        <v>20010-4</v>
      </c>
      <c r="B1234">
        <v>2001</v>
      </c>
      <c r="C1234" t="s">
        <v>6</v>
      </c>
      <c r="D1234" t="s">
        <v>26</v>
      </c>
      <c r="E1234">
        <v>10</v>
      </c>
      <c r="F1234" t="s">
        <v>12</v>
      </c>
      <c r="G1234" s="7">
        <v>506</v>
      </c>
      <c r="H1234" s="2">
        <v>1343121</v>
      </c>
    </row>
    <row r="1235" spans="1:8" x14ac:dyDescent="0.25">
      <c r="A1235" t="str">
        <f t="shared" si="19"/>
        <v>200115-24</v>
      </c>
      <c r="B1235">
        <v>2001</v>
      </c>
      <c r="C1235" t="s">
        <v>4</v>
      </c>
      <c r="D1235" t="s">
        <v>26</v>
      </c>
      <c r="E1235">
        <v>10</v>
      </c>
      <c r="F1235" t="s">
        <v>12</v>
      </c>
      <c r="G1235" s="7">
        <v>11</v>
      </c>
      <c r="H1235" s="2">
        <v>2387015</v>
      </c>
    </row>
    <row r="1236" spans="1:8" x14ac:dyDescent="0.25">
      <c r="A1236" t="str">
        <f t="shared" si="19"/>
        <v>200125-44</v>
      </c>
      <c r="B1236">
        <v>2001</v>
      </c>
      <c r="C1236" t="s">
        <v>3</v>
      </c>
      <c r="D1236" t="s">
        <v>26</v>
      </c>
      <c r="E1236">
        <v>10</v>
      </c>
      <c r="F1236" t="s">
        <v>12</v>
      </c>
      <c r="G1236" s="7">
        <v>28</v>
      </c>
      <c r="H1236" s="2">
        <v>3605957</v>
      </c>
    </row>
    <row r="1237" spans="1:8" x14ac:dyDescent="0.25">
      <c r="A1237" t="str">
        <f t="shared" si="19"/>
        <v>200145-64</v>
      </c>
      <c r="B1237">
        <v>2001</v>
      </c>
      <c r="C1237" t="s">
        <v>2</v>
      </c>
      <c r="D1237" t="s">
        <v>26</v>
      </c>
      <c r="E1237">
        <v>10</v>
      </c>
      <c r="F1237" t="s">
        <v>12</v>
      </c>
      <c r="G1237" s="7">
        <v>51</v>
      </c>
      <c r="H1237" s="2">
        <v>1721965</v>
      </c>
    </row>
    <row r="1238" spans="1:8" x14ac:dyDescent="0.25">
      <c r="A1238" t="str">
        <f t="shared" si="19"/>
        <v>20015-14</v>
      </c>
      <c r="B1238">
        <v>2001</v>
      </c>
      <c r="C1238" t="s">
        <v>5</v>
      </c>
      <c r="D1238" t="s">
        <v>26</v>
      </c>
      <c r="E1238">
        <v>10</v>
      </c>
      <c r="F1238" t="s">
        <v>12</v>
      </c>
      <c r="G1238" s="7">
        <v>15</v>
      </c>
      <c r="H1238" s="2">
        <v>2624275</v>
      </c>
    </row>
    <row r="1239" spans="1:8" x14ac:dyDescent="0.25">
      <c r="A1239" t="str">
        <f t="shared" si="19"/>
        <v>200165-74</v>
      </c>
      <c r="B1239">
        <v>2001</v>
      </c>
      <c r="C1239" t="s">
        <v>1</v>
      </c>
      <c r="D1239" t="s">
        <v>26</v>
      </c>
      <c r="E1239">
        <v>10</v>
      </c>
      <c r="F1239" t="s">
        <v>12</v>
      </c>
      <c r="G1239" s="7">
        <v>36</v>
      </c>
      <c r="H1239" s="2">
        <v>407783</v>
      </c>
    </row>
    <row r="1240" spans="1:8" x14ac:dyDescent="0.25">
      <c r="A1240" t="str">
        <f t="shared" si="19"/>
        <v>200175+</v>
      </c>
      <c r="B1240">
        <v>2001</v>
      </c>
      <c r="C1240" t="s">
        <v>0</v>
      </c>
      <c r="D1240" t="s">
        <v>26</v>
      </c>
      <c r="E1240">
        <v>10</v>
      </c>
      <c r="F1240" t="s">
        <v>12</v>
      </c>
      <c r="G1240" s="7">
        <v>183</v>
      </c>
      <c r="H1240" s="2">
        <v>255331</v>
      </c>
    </row>
    <row r="1241" spans="1:8" x14ac:dyDescent="0.25">
      <c r="A1241" t="str">
        <f t="shared" si="19"/>
        <v>20020-4</v>
      </c>
      <c r="B1241">
        <v>2002</v>
      </c>
      <c r="C1241" t="s">
        <v>6</v>
      </c>
      <c r="D1241" t="s">
        <v>26</v>
      </c>
      <c r="E1241">
        <v>10</v>
      </c>
      <c r="F1241" t="s">
        <v>12</v>
      </c>
      <c r="G1241" s="7">
        <v>495</v>
      </c>
      <c r="H1241" s="2">
        <v>1347045</v>
      </c>
    </row>
    <row r="1242" spans="1:8" x14ac:dyDescent="0.25">
      <c r="A1242" t="str">
        <f t="shared" si="19"/>
        <v>200215-24</v>
      </c>
      <c r="B1242">
        <v>2002</v>
      </c>
      <c r="C1242" t="s">
        <v>4</v>
      </c>
      <c r="D1242" t="s">
        <v>26</v>
      </c>
      <c r="E1242">
        <v>10</v>
      </c>
      <c r="F1242" t="s">
        <v>12</v>
      </c>
      <c r="G1242" s="7">
        <v>16</v>
      </c>
      <c r="H1242" s="2">
        <v>2428415</v>
      </c>
    </row>
    <row r="1243" spans="1:8" x14ac:dyDescent="0.25">
      <c r="A1243" t="str">
        <f t="shared" si="19"/>
        <v>200225-44</v>
      </c>
      <c r="B1243">
        <v>2002</v>
      </c>
      <c r="C1243" t="s">
        <v>3</v>
      </c>
      <c r="D1243" t="s">
        <v>26</v>
      </c>
      <c r="E1243">
        <v>10</v>
      </c>
      <c r="F1243" t="s">
        <v>12</v>
      </c>
      <c r="G1243" s="7">
        <v>20</v>
      </c>
      <c r="H1243" s="2">
        <v>3675559</v>
      </c>
    </row>
    <row r="1244" spans="1:8" x14ac:dyDescent="0.25">
      <c r="A1244" t="str">
        <f t="shared" si="19"/>
        <v>200245-64</v>
      </c>
      <c r="B1244">
        <v>2002</v>
      </c>
      <c r="C1244" t="s">
        <v>2</v>
      </c>
      <c r="D1244" t="s">
        <v>26</v>
      </c>
      <c r="E1244">
        <v>10</v>
      </c>
      <c r="F1244" t="s">
        <v>12</v>
      </c>
      <c r="G1244" s="7">
        <v>43</v>
      </c>
      <c r="H1244" s="2">
        <v>1789361</v>
      </c>
    </row>
    <row r="1245" spans="1:8" x14ac:dyDescent="0.25">
      <c r="A1245" t="str">
        <f t="shared" si="19"/>
        <v>20025-14</v>
      </c>
      <c r="B1245">
        <v>2002</v>
      </c>
      <c r="C1245" t="s">
        <v>5</v>
      </c>
      <c r="D1245" t="s">
        <v>26</v>
      </c>
      <c r="E1245">
        <v>10</v>
      </c>
      <c r="F1245" t="s">
        <v>12</v>
      </c>
      <c r="G1245" s="7">
        <v>10</v>
      </c>
      <c r="H1245" s="2">
        <v>2622422</v>
      </c>
    </row>
    <row r="1246" spans="1:8" x14ac:dyDescent="0.25">
      <c r="A1246" t="str">
        <f t="shared" si="19"/>
        <v>200265-74</v>
      </c>
      <c r="B1246">
        <v>2002</v>
      </c>
      <c r="C1246" t="s">
        <v>1</v>
      </c>
      <c r="D1246" t="s">
        <v>26</v>
      </c>
      <c r="E1246">
        <v>10</v>
      </c>
      <c r="F1246" t="s">
        <v>12</v>
      </c>
      <c r="G1246" s="7">
        <v>46</v>
      </c>
      <c r="H1246" s="2">
        <v>417907</v>
      </c>
    </row>
    <row r="1247" spans="1:8" x14ac:dyDescent="0.25">
      <c r="A1247" t="str">
        <f t="shared" si="19"/>
        <v>200275+</v>
      </c>
      <c r="B1247">
        <v>2002</v>
      </c>
      <c r="C1247" t="s">
        <v>0</v>
      </c>
      <c r="D1247" t="s">
        <v>26</v>
      </c>
      <c r="E1247">
        <v>10</v>
      </c>
      <c r="F1247" t="s">
        <v>12</v>
      </c>
      <c r="G1247" s="7">
        <v>153</v>
      </c>
      <c r="H1247" s="2">
        <v>270538</v>
      </c>
    </row>
    <row r="1248" spans="1:8" x14ac:dyDescent="0.25">
      <c r="A1248" t="str">
        <f t="shared" si="19"/>
        <v>20030-4</v>
      </c>
      <c r="B1248">
        <v>2003</v>
      </c>
      <c r="C1248" t="s">
        <v>6</v>
      </c>
      <c r="D1248" t="s">
        <v>26</v>
      </c>
      <c r="E1248">
        <v>10</v>
      </c>
      <c r="F1248" t="s">
        <v>12</v>
      </c>
      <c r="G1248" s="7">
        <v>763</v>
      </c>
      <c r="H1248" s="2">
        <v>1350164</v>
      </c>
    </row>
    <row r="1249" spans="1:8" x14ac:dyDescent="0.25">
      <c r="A1249" t="str">
        <f t="shared" si="19"/>
        <v>200315-24</v>
      </c>
      <c r="B1249">
        <v>2003</v>
      </c>
      <c r="C1249" t="s">
        <v>4</v>
      </c>
      <c r="D1249" t="s">
        <v>26</v>
      </c>
      <c r="E1249">
        <v>10</v>
      </c>
      <c r="F1249" t="s">
        <v>12</v>
      </c>
      <c r="G1249" s="7">
        <v>15</v>
      </c>
      <c r="H1249" s="2">
        <v>2465273</v>
      </c>
    </row>
    <row r="1250" spans="1:8" x14ac:dyDescent="0.25">
      <c r="A1250" t="str">
        <f t="shared" si="19"/>
        <v>200325-44</v>
      </c>
      <c r="B1250">
        <v>2003</v>
      </c>
      <c r="C1250" t="s">
        <v>3</v>
      </c>
      <c r="D1250" t="s">
        <v>26</v>
      </c>
      <c r="E1250">
        <v>10</v>
      </c>
      <c r="F1250" t="s">
        <v>12</v>
      </c>
      <c r="G1250" s="7">
        <v>34</v>
      </c>
      <c r="H1250" s="2">
        <v>3744690</v>
      </c>
    </row>
    <row r="1251" spans="1:8" x14ac:dyDescent="0.25">
      <c r="A1251" t="str">
        <f t="shared" si="19"/>
        <v>200345-64</v>
      </c>
      <c r="B1251">
        <v>2003</v>
      </c>
      <c r="C1251" t="s">
        <v>2</v>
      </c>
      <c r="D1251" t="s">
        <v>26</v>
      </c>
      <c r="E1251">
        <v>10</v>
      </c>
      <c r="F1251" t="s">
        <v>12</v>
      </c>
      <c r="G1251" s="7">
        <v>36</v>
      </c>
      <c r="H1251" s="2">
        <v>1860678</v>
      </c>
    </row>
    <row r="1252" spans="1:8" x14ac:dyDescent="0.25">
      <c r="A1252" t="str">
        <f t="shared" si="19"/>
        <v>20035-14</v>
      </c>
      <c r="B1252">
        <v>2003</v>
      </c>
      <c r="C1252" t="s">
        <v>5</v>
      </c>
      <c r="D1252" t="s">
        <v>26</v>
      </c>
      <c r="E1252">
        <v>10</v>
      </c>
      <c r="F1252" t="s">
        <v>12</v>
      </c>
      <c r="G1252" s="7">
        <v>19</v>
      </c>
      <c r="H1252" s="2">
        <v>2622279</v>
      </c>
    </row>
    <row r="1253" spans="1:8" x14ac:dyDescent="0.25">
      <c r="A1253" t="str">
        <f t="shared" si="19"/>
        <v>200365-74</v>
      </c>
      <c r="B1253">
        <v>2003</v>
      </c>
      <c r="C1253" t="s">
        <v>1</v>
      </c>
      <c r="D1253" t="s">
        <v>26</v>
      </c>
      <c r="E1253">
        <v>10</v>
      </c>
      <c r="F1253" t="s">
        <v>12</v>
      </c>
      <c r="G1253" s="7">
        <v>72</v>
      </c>
      <c r="H1253" s="2">
        <v>428941</v>
      </c>
    </row>
    <row r="1254" spans="1:8" x14ac:dyDescent="0.25">
      <c r="A1254" t="str">
        <f t="shared" si="19"/>
        <v>200375+</v>
      </c>
      <c r="B1254">
        <v>2003</v>
      </c>
      <c r="C1254" t="s">
        <v>0</v>
      </c>
      <c r="D1254" t="s">
        <v>26</v>
      </c>
      <c r="E1254">
        <v>10</v>
      </c>
      <c r="F1254" t="s">
        <v>12</v>
      </c>
      <c r="G1254" s="7">
        <v>228</v>
      </c>
      <c r="H1254" s="2">
        <v>285209</v>
      </c>
    </row>
    <row r="1255" spans="1:8" x14ac:dyDescent="0.25">
      <c r="A1255" t="str">
        <f t="shared" si="19"/>
        <v>20040-4</v>
      </c>
      <c r="B1255">
        <v>2004</v>
      </c>
      <c r="C1255" t="s">
        <v>6</v>
      </c>
      <c r="D1255" t="s">
        <v>26</v>
      </c>
      <c r="E1255">
        <v>10</v>
      </c>
      <c r="F1255" t="s">
        <v>12</v>
      </c>
      <c r="G1255" s="7">
        <v>454</v>
      </c>
      <c r="H1255" s="2">
        <v>1352508</v>
      </c>
    </row>
    <row r="1256" spans="1:8" x14ac:dyDescent="0.25">
      <c r="A1256" t="str">
        <f t="shared" si="19"/>
        <v>200415-24</v>
      </c>
      <c r="B1256">
        <v>2004</v>
      </c>
      <c r="C1256" t="s">
        <v>4</v>
      </c>
      <c r="D1256" t="s">
        <v>26</v>
      </c>
      <c r="E1256">
        <v>10</v>
      </c>
      <c r="F1256" t="s">
        <v>12</v>
      </c>
      <c r="G1256" s="7">
        <v>9</v>
      </c>
      <c r="H1256" s="2">
        <v>2497409</v>
      </c>
    </row>
    <row r="1257" spans="1:8" x14ac:dyDescent="0.25">
      <c r="A1257" t="str">
        <f t="shared" si="19"/>
        <v>200425-44</v>
      </c>
      <c r="B1257">
        <v>2004</v>
      </c>
      <c r="C1257" t="s">
        <v>3</v>
      </c>
      <c r="D1257" t="s">
        <v>26</v>
      </c>
      <c r="E1257">
        <v>10</v>
      </c>
      <c r="F1257" t="s">
        <v>12</v>
      </c>
      <c r="G1257" s="7">
        <v>32</v>
      </c>
      <c r="H1257" s="2">
        <v>3813358</v>
      </c>
    </row>
    <row r="1258" spans="1:8" x14ac:dyDescent="0.25">
      <c r="A1258" t="str">
        <f t="shared" si="19"/>
        <v>200445-64</v>
      </c>
      <c r="B1258">
        <v>2004</v>
      </c>
      <c r="C1258" t="s">
        <v>2</v>
      </c>
      <c r="D1258" t="s">
        <v>26</v>
      </c>
      <c r="E1258">
        <v>10</v>
      </c>
      <c r="F1258" t="s">
        <v>12</v>
      </c>
      <c r="G1258" s="7">
        <v>59</v>
      </c>
      <c r="H1258" s="2">
        <v>1936129</v>
      </c>
    </row>
    <row r="1259" spans="1:8" x14ac:dyDescent="0.25">
      <c r="A1259" t="str">
        <f t="shared" si="19"/>
        <v>20045-14</v>
      </c>
      <c r="B1259">
        <v>2004</v>
      </c>
      <c r="C1259" t="s">
        <v>5</v>
      </c>
      <c r="D1259" t="s">
        <v>26</v>
      </c>
      <c r="E1259">
        <v>10</v>
      </c>
      <c r="F1259" t="s">
        <v>12</v>
      </c>
      <c r="G1259" s="7">
        <v>20</v>
      </c>
      <c r="H1259" s="2">
        <v>2624530</v>
      </c>
    </row>
    <row r="1260" spans="1:8" x14ac:dyDescent="0.25">
      <c r="A1260" t="str">
        <f t="shared" si="19"/>
        <v>200465-74</v>
      </c>
      <c r="B1260">
        <v>2004</v>
      </c>
      <c r="C1260" t="s">
        <v>1</v>
      </c>
      <c r="D1260" t="s">
        <v>26</v>
      </c>
      <c r="E1260">
        <v>10</v>
      </c>
      <c r="F1260" t="s">
        <v>12</v>
      </c>
      <c r="G1260" s="7">
        <v>62</v>
      </c>
      <c r="H1260" s="2">
        <v>441018</v>
      </c>
    </row>
    <row r="1261" spans="1:8" x14ac:dyDescent="0.25">
      <c r="A1261" t="str">
        <f t="shared" si="19"/>
        <v>200475+</v>
      </c>
      <c r="B1261">
        <v>2004</v>
      </c>
      <c r="C1261" t="s">
        <v>0</v>
      </c>
      <c r="D1261" t="s">
        <v>26</v>
      </c>
      <c r="E1261">
        <v>10</v>
      </c>
      <c r="F1261" t="s">
        <v>12</v>
      </c>
      <c r="G1261" s="7">
        <v>229</v>
      </c>
      <c r="H1261" s="2">
        <v>299301</v>
      </c>
    </row>
    <row r="1262" spans="1:8" x14ac:dyDescent="0.25">
      <c r="A1262" t="str">
        <f t="shared" si="19"/>
        <v>20050-4</v>
      </c>
      <c r="B1262">
        <v>2005</v>
      </c>
      <c r="C1262" t="s">
        <v>6</v>
      </c>
      <c r="D1262" t="s">
        <v>26</v>
      </c>
      <c r="E1262">
        <v>10</v>
      </c>
      <c r="F1262" t="s">
        <v>12</v>
      </c>
      <c r="G1262" s="7">
        <v>391</v>
      </c>
      <c r="H1262" s="2">
        <v>1353852</v>
      </c>
    </row>
    <row r="1263" spans="1:8" x14ac:dyDescent="0.25">
      <c r="A1263" t="str">
        <f t="shared" si="19"/>
        <v>200515-24</v>
      </c>
      <c r="B1263">
        <v>2005</v>
      </c>
      <c r="C1263" t="s">
        <v>4</v>
      </c>
      <c r="D1263" t="s">
        <v>26</v>
      </c>
      <c r="E1263">
        <v>10</v>
      </c>
      <c r="F1263" t="s">
        <v>12</v>
      </c>
      <c r="G1263" s="7">
        <v>6</v>
      </c>
      <c r="H1263" s="2">
        <v>2524017</v>
      </c>
    </row>
    <row r="1264" spans="1:8" x14ac:dyDescent="0.25">
      <c r="A1264" t="str">
        <f t="shared" si="19"/>
        <v>200525-44</v>
      </c>
      <c r="B1264">
        <v>2005</v>
      </c>
      <c r="C1264" t="s">
        <v>3</v>
      </c>
      <c r="D1264" t="s">
        <v>26</v>
      </c>
      <c r="E1264">
        <v>10</v>
      </c>
      <c r="F1264" t="s">
        <v>12</v>
      </c>
      <c r="G1264" s="7">
        <v>27</v>
      </c>
      <c r="H1264" s="2">
        <v>3881062</v>
      </c>
    </row>
    <row r="1265" spans="1:8" x14ac:dyDescent="0.25">
      <c r="A1265" t="str">
        <f t="shared" si="19"/>
        <v>200545-64</v>
      </c>
      <c r="B1265">
        <v>2005</v>
      </c>
      <c r="C1265" t="s">
        <v>2</v>
      </c>
      <c r="D1265" t="s">
        <v>26</v>
      </c>
      <c r="E1265">
        <v>10</v>
      </c>
      <c r="F1265" t="s">
        <v>12</v>
      </c>
      <c r="G1265" s="7">
        <v>51</v>
      </c>
      <c r="H1265" s="2">
        <v>2016148</v>
      </c>
    </row>
    <row r="1266" spans="1:8" x14ac:dyDescent="0.25">
      <c r="A1266" t="str">
        <f t="shared" si="19"/>
        <v>20055-14</v>
      </c>
      <c r="B1266">
        <v>2005</v>
      </c>
      <c r="C1266" t="s">
        <v>5</v>
      </c>
      <c r="D1266" t="s">
        <v>26</v>
      </c>
      <c r="E1266">
        <v>10</v>
      </c>
      <c r="F1266" t="s">
        <v>12</v>
      </c>
      <c r="G1266" s="7">
        <v>12</v>
      </c>
      <c r="H1266" s="2">
        <v>2629864</v>
      </c>
    </row>
    <row r="1267" spans="1:8" x14ac:dyDescent="0.25">
      <c r="A1267" t="str">
        <f t="shared" si="19"/>
        <v>200565-74</v>
      </c>
      <c r="B1267">
        <v>2005</v>
      </c>
      <c r="C1267" t="s">
        <v>1</v>
      </c>
      <c r="D1267" t="s">
        <v>26</v>
      </c>
      <c r="E1267">
        <v>10</v>
      </c>
      <c r="F1267" t="s">
        <v>12</v>
      </c>
      <c r="G1267" s="7">
        <v>58</v>
      </c>
      <c r="H1267" s="2">
        <v>454245</v>
      </c>
    </row>
    <row r="1268" spans="1:8" x14ac:dyDescent="0.25">
      <c r="A1268" t="str">
        <f t="shared" si="19"/>
        <v>200575+</v>
      </c>
      <c r="B1268">
        <v>2005</v>
      </c>
      <c r="C1268" t="s">
        <v>0</v>
      </c>
      <c r="D1268" t="s">
        <v>26</v>
      </c>
      <c r="E1268">
        <v>10</v>
      </c>
      <c r="F1268" t="s">
        <v>12</v>
      </c>
      <c r="G1268" s="7">
        <v>218</v>
      </c>
      <c r="H1268" s="2">
        <v>312767</v>
      </c>
    </row>
    <row r="1269" spans="1:8" x14ac:dyDescent="0.25">
      <c r="A1269" t="str">
        <f t="shared" si="19"/>
        <v>20060-4</v>
      </c>
      <c r="B1269">
        <v>2006</v>
      </c>
      <c r="C1269" t="s">
        <v>6</v>
      </c>
      <c r="D1269" t="s">
        <v>26</v>
      </c>
      <c r="E1269">
        <v>10</v>
      </c>
      <c r="F1269" t="s">
        <v>12</v>
      </c>
      <c r="G1269" s="7">
        <v>322</v>
      </c>
      <c r="H1269" s="2">
        <v>1354432</v>
      </c>
    </row>
    <row r="1270" spans="1:8" x14ac:dyDescent="0.25">
      <c r="A1270" t="str">
        <f t="shared" si="19"/>
        <v>200615-24</v>
      </c>
      <c r="B1270">
        <v>2006</v>
      </c>
      <c r="C1270" t="s">
        <v>4</v>
      </c>
      <c r="D1270" t="s">
        <v>26</v>
      </c>
      <c r="E1270">
        <v>10</v>
      </c>
      <c r="F1270" t="s">
        <v>12</v>
      </c>
      <c r="G1270" s="7">
        <v>11</v>
      </c>
      <c r="H1270" s="2">
        <v>2544731</v>
      </c>
    </row>
    <row r="1271" spans="1:8" x14ac:dyDescent="0.25">
      <c r="A1271" t="str">
        <f t="shared" si="19"/>
        <v>200625-44</v>
      </c>
      <c r="B1271">
        <v>2006</v>
      </c>
      <c r="C1271" t="s">
        <v>3</v>
      </c>
      <c r="D1271" t="s">
        <v>26</v>
      </c>
      <c r="E1271">
        <v>10</v>
      </c>
      <c r="F1271" t="s">
        <v>12</v>
      </c>
      <c r="G1271" s="7">
        <v>17</v>
      </c>
      <c r="H1271" s="2">
        <v>3947836</v>
      </c>
    </row>
    <row r="1272" spans="1:8" x14ac:dyDescent="0.25">
      <c r="A1272" t="str">
        <f t="shared" si="19"/>
        <v>200645-64</v>
      </c>
      <c r="B1272">
        <v>2006</v>
      </c>
      <c r="C1272" t="s">
        <v>2</v>
      </c>
      <c r="D1272" t="s">
        <v>26</v>
      </c>
      <c r="E1272">
        <v>10</v>
      </c>
      <c r="F1272" t="s">
        <v>12</v>
      </c>
      <c r="G1272" s="7">
        <v>65</v>
      </c>
      <c r="H1272" s="2">
        <v>2100791</v>
      </c>
    </row>
    <row r="1273" spans="1:8" x14ac:dyDescent="0.25">
      <c r="A1273" t="str">
        <f t="shared" si="19"/>
        <v>20065-14</v>
      </c>
      <c r="B1273">
        <v>2006</v>
      </c>
      <c r="C1273" t="s">
        <v>5</v>
      </c>
      <c r="D1273" t="s">
        <v>26</v>
      </c>
      <c r="E1273">
        <v>10</v>
      </c>
      <c r="F1273" t="s">
        <v>12</v>
      </c>
      <c r="G1273" s="7">
        <v>13</v>
      </c>
      <c r="H1273" s="2">
        <v>2638747</v>
      </c>
    </row>
    <row r="1274" spans="1:8" x14ac:dyDescent="0.25">
      <c r="A1274" t="str">
        <f t="shared" si="19"/>
        <v>200665-74</v>
      </c>
      <c r="B1274">
        <v>2006</v>
      </c>
      <c r="C1274" t="s">
        <v>1</v>
      </c>
      <c r="D1274" t="s">
        <v>26</v>
      </c>
      <c r="E1274">
        <v>10</v>
      </c>
      <c r="F1274" t="s">
        <v>12</v>
      </c>
      <c r="G1274" s="7">
        <v>48</v>
      </c>
      <c r="H1274" s="2">
        <v>468680</v>
      </c>
    </row>
    <row r="1275" spans="1:8" x14ac:dyDescent="0.25">
      <c r="A1275" t="str">
        <f t="shared" si="19"/>
        <v>200675+</v>
      </c>
      <c r="B1275">
        <v>2006</v>
      </c>
      <c r="C1275" t="s">
        <v>0</v>
      </c>
      <c r="D1275" t="s">
        <v>26</v>
      </c>
      <c r="E1275">
        <v>10</v>
      </c>
      <c r="F1275" t="s">
        <v>12</v>
      </c>
      <c r="G1275" s="7">
        <v>195</v>
      </c>
      <c r="H1275" s="2">
        <v>325672</v>
      </c>
    </row>
    <row r="1276" spans="1:8" x14ac:dyDescent="0.25">
      <c r="A1276" t="str">
        <f t="shared" si="19"/>
        <v>20070-4</v>
      </c>
      <c r="B1276">
        <v>2007</v>
      </c>
      <c r="C1276" t="s">
        <v>6</v>
      </c>
      <c r="D1276" t="s">
        <v>26</v>
      </c>
      <c r="E1276">
        <v>10</v>
      </c>
      <c r="F1276" t="s">
        <v>12</v>
      </c>
      <c r="G1276" s="7">
        <v>266</v>
      </c>
      <c r="H1276" s="2">
        <v>1354234</v>
      </c>
    </row>
    <row r="1277" spans="1:8" x14ac:dyDescent="0.25">
      <c r="A1277" t="str">
        <f t="shared" si="19"/>
        <v>200715-24</v>
      </c>
      <c r="B1277">
        <v>2007</v>
      </c>
      <c r="C1277" t="s">
        <v>4</v>
      </c>
      <c r="D1277" t="s">
        <v>26</v>
      </c>
      <c r="E1277">
        <v>10</v>
      </c>
      <c r="F1277" t="s">
        <v>12</v>
      </c>
      <c r="G1277" s="7">
        <v>5</v>
      </c>
      <c r="H1277" s="2">
        <v>2561885</v>
      </c>
    </row>
    <row r="1278" spans="1:8" x14ac:dyDescent="0.25">
      <c r="A1278" t="str">
        <f t="shared" si="19"/>
        <v>200725-44</v>
      </c>
      <c r="B1278">
        <v>2007</v>
      </c>
      <c r="C1278" t="s">
        <v>3</v>
      </c>
      <c r="D1278" t="s">
        <v>26</v>
      </c>
      <c r="E1278">
        <v>10</v>
      </c>
      <c r="F1278" t="s">
        <v>12</v>
      </c>
      <c r="G1278" s="7">
        <v>16</v>
      </c>
      <c r="H1278" s="2">
        <v>4016163</v>
      </c>
    </row>
    <row r="1279" spans="1:8" x14ac:dyDescent="0.25">
      <c r="A1279" t="str">
        <f t="shared" si="19"/>
        <v>200745-64</v>
      </c>
      <c r="B1279">
        <v>2007</v>
      </c>
      <c r="C1279" t="s">
        <v>2</v>
      </c>
      <c r="D1279" t="s">
        <v>26</v>
      </c>
      <c r="E1279">
        <v>10</v>
      </c>
      <c r="F1279" t="s">
        <v>12</v>
      </c>
      <c r="G1279" s="7">
        <v>64</v>
      </c>
      <c r="H1279" s="2">
        <v>2188071</v>
      </c>
    </row>
    <row r="1280" spans="1:8" x14ac:dyDescent="0.25">
      <c r="A1280" t="str">
        <f t="shared" si="19"/>
        <v>20075-14</v>
      </c>
      <c r="B1280">
        <v>2007</v>
      </c>
      <c r="C1280" t="s">
        <v>5</v>
      </c>
      <c r="D1280" t="s">
        <v>26</v>
      </c>
      <c r="E1280">
        <v>10</v>
      </c>
      <c r="F1280" t="s">
        <v>12</v>
      </c>
      <c r="G1280" s="7">
        <v>13</v>
      </c>
      <c r="H1280" s="2">
        <v>2647233</v>
      </c>
    </row>
    <row r="1281" spans="1:8" x14ac:dyDescent="0.25">
      <c r="A1281" t="str">
        <f t="shared" si="19"/>
        <v>200765-74</v>
      </c>
      <c r="B1281">
        <v>2007</v>
      </c>
      <c r="C1281" t="s">
        <v>1</v>
      </c>
      <c r="D1281" t="s">
        <v>26</v>
      </c>
      <c r="E1281">
        <v>10</v>
      </c>
      <c r="F1281" t="s">
        <v>12</v>
      </c>
      <c r="G1281" s="7">
        <v>58</v>
      </c>
      <c r="H1281" s="2">
        <v>484321</v>
      </c>
    </row>
    <row r="1282" spans="1:8" x14ac:dyDescent="0.25">
      <c r="A1282" t="str">
        <f t="shared" ref="A1282:A1345" si="20">+CONCATENATE(B1282,C1282)</f>
        <v>200775+</v>
      </c>
      <c r="B1282">
        <v>2007</v>
      </c>
      <c r="C1282" t="s">
        <v>0</v>
      </c>
      <c r="D1282" t="s">
        <v>26</v>
      </c>
      <c r="E1282">
        <v>10</v>
      </c>
      <c r="F1282" t="s">
        <v>12</v>
      </c>
      <c r="G1282" s="7">
        <v>199</v>
      </c>
      <c r="H1282" s="2">
        <v>338128</v>
      </c>
    </row>
    <row r="1283" spans="1:8" x14ac:dyDescent="0.25">
      <c r="A1283" t="str">
        <f t="shared" si="20"/>
        <v>20080-4</v>
      </c>
      <c r="B1283">
        <v>2008</v>
      </c>
      <c r="C1283" t="s">
        <v>6</v>
      </c>
      <c r="D1283" t="s">
        <v>26</v>
      </c>
      <c r="E1283">
        <v>10</v>
      </c>
      <c r="F1283" t="s">
        <v>12</v>
      </c>
      <c r="G1283" s="7">
        <v>191</v>
      </c>
      <c r="H1283" s="2">
        <v>1353145</v>
      </c>
    </row>
    <row r="1284" spans="1:8" x14ac:dyDescent="0.25">
      <c r="A1284" t="str">
        <f t="shared" si="20"/>
        <v>200815-24</v>
      </c>
      <c r="B1284">
        <v>2008</v>
      </c>
      <c r="C1284" t="s">
        <v>4</v>
      </c>
      <c r="D1284" t="s">
        <v>26</v>
      </c>
      <c r="E1284">
        <v>10</v>
      </c>
      <c r="F1284" t="s">
        <v>12</v>
      </c>
      <c r="G1284" s="7">
        <v>8</v>
      </c>
      <c r="H1284" s="2">
        <v>2575138</v>
      </c>
    </row>
    <row r="1285" spans="1:8" x14ac:dyDescent="0.25">
      <c r="A1285" t="str">
        <f t="shared" si="20"/>
        <v>200825-44</v>
      </c>
      <c r="B1285">
        <v>2008</v>
      </c>
      <c r="C1285" t="s">
        <v>3</v>
      </c>
      <c r="D1285" t="s">
        <v>26</v>
      </c>
      <c r="E1285">
        <v>10</v>
      </c>
      <c r="F1285" t="s">
        <v>12</v>
      </c>
      <c r="G1285" s="7">
        <v>17</v>
      </c>
      <c r="H1285" s="2">
        <v>4085944</v>
      </c>
    </row>
    <row r="1286" spans="1:8" x14ac:dyDescent="0.25">
      <c r="A1286" t="str">
        <f t="shared" si="20"/>
        <v>200845-64</v>
      </c>
      <c r="B1286">
        <v>2008</v>
      </c>
      <c r="C1286" t="s">
        <v>2</v>
      </c>
      <c r="D1286" t="s">
        <v>26</v>
      </c>
      <c r="E1286">
        <v>10</v>
      </c>
      <c r="F1286" t="s">
        <v>12</v>
      </c>
      <c r="G1286" s="7">
        <v>54</v>
      </c>
      <c r="H1286" s="2">
        <v>2277674</v>
      </c>
    </row>
    <row r="1287" spans="1:8" x14ac:dyDescent="0.25">
      <c r="A1287" t="str">
        <f t="shared" si="20"/>
        <v>20085-14</v>
      </c>
      <c r="B1287">
        <v>2008</v>
      </c>
      <c r="C1287" t="s">
        <v>5</v>
      </c>
      <c r="D1287" t="s">
        <v>26</v>
      </c>
      <c r="E1287">
        <v>10</v>
      </c>
      <c r="F1287" t="s">
        <v>12</v>
      </c>
      <c r="G1287" s="7">
        <v>12</v>
      </c>
      <c r="H1287" s="2">
        <v>2655740</v>
      </c>
    </row>
    <row r="1288" spans="1:8" x14ac:dyDescent="0.25">
      <c r="A1288" t="str">
        <f t="shared" si="20"/>
        <v>200865-74</v>
      </c>
      <c r="B1288">
        <v>2008</v>
      </c>
      <c r="C1288" t="s">
        <v>1</v>
      </c>
      <c r="D1288" t="s">
        <v>26</v>
      </c>
      <c r="E1288">
        <v>10</v>
      </c>
      <c r="F1288" t="s">
        <v>12</v>
      </c>
      <c r="G1288" s="7">
        <v>45</v>
      </c>
      <c r="H1288" s="2">
        <v>501201</v>
      </c>
    </row>
    <row r="1289" spans="1:8" x14ac:dyDescent="0.25">
      <c r="A1289" t="str">
        <f t="shared" si="20"/>
        <v>200875+</v>
      </c>
      <c r="B1289">
        <v>2008</v>
      </c>
      <c r="C1289" t="s">
        <v>0</v>
      </c>
      <c r="D1289" t="s">
        <v>26</v>
      </c>
      <c r="E1289">
        <v>10</v>
      </c>
      <c r="F1289" t="s">
        <v>12</v>
      </c>
      <c r="G1289" s="7">
        <v>197</v>
      </c>
      <c r="H1289" s="2">
        <v>350235</v>
      </c>
    </row>
    <row r="1290" spans="1:8" x14ac:dyDescent="0.25">
      <c r="A1290" t="str">
        <f t="shared" si="20"/>
        <v>20090-4</v>
      </c>
      <c r="B1290">
        <v>2009</v>
      </c>
      <c r="C1290" t="s">
        <v>6</v>
      </c>
      <c r="D1290" t="s">
        <v>26</v>
      </c>
      <c r="E1290">
        <v>10</v>
      </c>
      <c r="F1290" t="s">
        <v>12</v>
      </c>
      <c r="G1290" s="7">
        <v>193</v>
      </c>
      <c r="H1290" s="2">
        <v>1351158</v>
      </c>
    </row>
    <row r="1291" spans="1:8" x14ac:dyDescent="0.25">
      <c r="A1291" t="str">
        <f t="shared" si="20"/>
        <v>200915-24</v>
      </c>
      <c r="B1291">
        <v>2009</v>
      </c>
      <c r="C1291" t="s">
        <v>4</v>
      </c>
      <c r="D1291" t="s">
        <v>26</v>
      </c>
      <c r="E1291">
        <v>10</v>
      </c>
      <c r="F1291" t="s">
        <v>12</v>
      </c>
      <c r="G1291" s="7">
        <v>7</v>
      </c>
      <c r="H1291" s="2">
        <v>2584791</v>
      </c>
    </row>
    <row r="1292" spans="1:8" x14ac:dyDescent="0.25">
      <c r="A1292" t="str">
        <f t="shared" si="20"/>
        <v>200925-44</v>
      </c>
      <c r="B1292">
        <v>2009</v>
      </c>
      <c r="C1292" t="s">
        <v>3</v>
      </c>
      <c r="D1292" t="s">
        <v>26</v>
      </c>
      <c r="E1292">
        <v>10</v>
      </c>
      <c r="F1292" t="s">
        <v>12</v>
      </c>
      <c r="G1292" s="7">
        <v>22</v>
      </c>
      <c r="H1292" s="2">
        <v>4156891</v>
      </c>
    </row>
    <row r="1293" spans="1:8" x14ac:dyDescent="0.25">
      <c r="A1293" t="str">
        <f t="shared" si="20"/>
        <v>200945-64</v>
      </c>
      <c r="B1293">
        <v>2009</v>
      </c>
      <c r="C1293" t="s">
        <v>2</v>
      </c>
      <c r="D1293" t="s">
        <v>26</v>
      </c>
      <c r="E1293">
        <v>10</v>
      </c>
      <c r="F1293" t="s">
        <v>12</v>
      </c>
      <c r="G1293" s="7">
        <v>47</v>
      </c>
      <c r="H1293" s="2">
        <v>2369589</v>
      </c>
    </row>
    <row r="1294" spans="1:8" x14ac:dyDescent="0.25">
      <c r="A1294" t="str">
        <f t="shared" si="20"/>
        <v>20095-14</v>
      </c>
      <c r="B1294">
        <v>2009</v>
      </c>
      <c r="C1294" t="s">
        <v>5</v>
      </c>
      <c r="D1294" t="s">
        <v>26</v>
      </c>
      <c r="E1294">
        <v>10</v>
      </c>
      <c r="F1294" t="s">
        <v>12</v>
      </c>
      <c r="G1294" s="7">
        <v>7</v>
      </c>
      <c r="H1294" s="2">
        <v>2664671</v>
      </c>
    </row>
    <row r="1295" spans="1:8" x14ac:dyDescent="0.25">
      <c r="A1295" t="str">
        <f t="shared" si="20"/>
        <v>200965-74</v>
      </c>
      <c r="B1295">
        <v>2009</v>
      </c>
      <c r="C1295" t="s">
        <v>1</v>
      </c>
      <c r="D1295" t="s">
        <v>26</v>
      </c>
      <c r="E1295">
        <v>10</v>
      </c>
      <c r="F1295" t="s">
        <v>12</v>
      </c>
      <c r="G1295" s="7">
        <v>47</v>
      </c>
      <c r="H1295" s="2">
        <v>519377</v>
      </c>
    </row>
    <row r="1296" spans="1:8" x14ac:dyDescent="0.25">
      <c r="A1296" t="str">
        <f t="shared" si="20"/>
        <v>200975+</v>
      </c>
      <c r="B1296">
        <v>2009</v>
      </c>
      <c r="C1296" t="s">
        <v>0</v>
      </c>
      <c r="D1296" t="s">
        <v>26</v>
      </c>
      <c r="E1296">
        <v>10</v>
      </c>
      <c r="F1296" t="s">
        <v>12</v>
      </c>
      <c r="G1296" s="7">
        <v>169</v>
      </c>
      <c r="H1296" s="2">
        <v>362131</v>
      </c>
    </row>
    <row r="1297" spans="1:8" x14ac:dyDescent="0.25">
      <c r="A1297" t="str">
        <f t="shared" si="20"/>
        <v>20100-4</v>
      </c>
      <c r="B1297">
        <v>2010</v>
      </c>
      <c r="C1297" t="s">
        <v>6</v>
      </c>
      <c r="D1297" t="s">
        <v>26</v>
      </c>
      <c r="E1297">
        <v>10</v>
      </c>
      <c r="F1297" t="s">
        <v>12</v>
      </c>
      <c r="G1297" s="7">
        <v>193</v>
      </c>
      <c r="H1297" s="2">
        <v>1348289</v>
      </c>
    </row>
    <row r="1298" spans="1:8" x14ac:dyDescent="0.25">
      <c r="A1298" t="str">
        <f t="shared" si="20"/>
        <v>201015-24</v>
      </c>
      <c r="B1298">
        <v>2010</v>
      </c>
      <c r="C1298" t="s">
        <v>4</v>
      </c>
      <c r="D1298" t="s">
        <v>26</v>
      </c>
      <c r="E1298">
        <v>10</v>
      </c>
      <c r="F1298" t="s">
        <v>12</v>
      </c>
      <c r="G1298" s="7">
        <v>3</v>
      </c>
      <c r="H1298" s="2">
        <v>2590746</v>
      </c>
    </row>
    <row r="1299" spans="1:8" x14ac:dyDescent="0.25">
      <c r="A1299" t="str">
        <f t="shared" si="20"/>
        <v>201025-44</v>
      </c>
      <c r="B1299">
        <v>2010</v>
      </c>
      <c r="C1299" t="s">
        <v>3</v>
      </c>
      <c r="D1299" t="s">
        <v>26</v>
      </c>
      <c r="E1299">
        <v>10</v>
      </c>
      <c r="F1299" t="s">
        <v>12</v>
      </c>
      <c r="G1299" s="7">
        <v>14</v>
      </c>
      <c r="H1299" s="2">
        <v>4228246</v>
      </c>
    </row>
    <row r="1300" spans="1:8" x14ac:dyDescent="0.25">
      <c r="A1300" t="str">
        <f t="shared" si="20"/>
        <v>201045-64</v>
      </c>
      <c r="B1300">
        <v>2010</v>
      </c>
      <c r="C1300" t="s">
        <v>2</v>
      </c>
      <c r="D1300" t="s">
        <v>26</v>
      </c>
      <c r="E1300">
        <v>10</v>
      </c>
      <c r="F1300" t="s">
        <v>12</v>
      </c>
      <c r="G1300" s="7">
        <v>63</v>
      </c>
      <c r="H1300" s="2">
        <v>2464321</v>
      </c>
    </row>
    <row r="1301" spans="1:8" x14ac:dyDescent="0.25">
      <c r="A1301" t="str">
        <f t="shared" si="20"/>
        <v>20105-14</v>
      </c>
      <c r="B1301">
        <v>2010</v>
      </c>
      <c r="C1301" t="s">
        <v>5</v>
      </c>
      <c r="D1301" t="s">
        <v>26</v>
      </c>
      <c r="E1301">
        <v>10</v>
      </c>
      <c r="F1301" t="s">
        <v>12</v>
      </c>
      <c r="G1301" s="7">
        <v>9</v>
      </c>
      <c r="H1301" s="2">
        <v>2674173</v>
      </c>
    </row>
    <row r="1302" spans="1:8" x14ac:dyDescent="0.25">
      <c r="A1302" t="str">
        <f t="shared" si="20"/>
        <v>201065-74</v>
      </c>
      <c r="B1302">
        <v>2010</v>
      </c>
      <c r="C1302" t="s">
        <v>1</v>
      </c>
      <c r="D1302" t="s">
        <v>26</v>
      </c>
      <c r="E1302">
        <v>10</v>
      </c>
      <c r="F1302" t="s">
        <v>12</v>
      </c>
      <c r="G1302" s="7">
        <v>46</v>
      </c>
      <c r="H1302" s="2">
        <v>538921</v>
      </c>
    </row>
    <row r="1303" spans="1:8" x14ac:dyDescent="0.25">
      <c r="A1303" t="str">
        <f t="shared" si="20"/>
        <v>201075+</v>
      </c>
      <c r="B1303">
        <v>2010</v>
      </c>
      <c r="C1303" t="s">
        <v>0</v>
      </c>
      <c r="D1303" t="s">
        <v>26</v>
      </c>
      <c r="E1303">
        <v>10</v>
      </c>
      <c r="F1303" t="s">
        <v>12</v>
      </c>
      <c r="G1303" s="7">
        <v>151</v>
      </c>
      <c r="H1303" s="2">
        <v>373918</v>
      </c>
    </row>
    <row r="1304" spans="1:8" x14ac:dyDescent="0.25">
      <c r="A1304" t="str">
        <f t="shared" si="20"/>
        <v>20110-4</v>
      </c>
      <c r="B1304">
        <v>2011</v>
      </c>
      <c r="C1304" t="s">
        <v>6</v>
      </c>
      <c r="D1304" t="s">
        <v>26</v>
      </c>
      <c r="E1304">
        <v>10</v>
      </c>
      <c r="F1304" t="s">
        <v>12</v>
      </c>
      <c r="G1304" s="7">
        <v>192</v>
      </c>
      <c r="H1304" s="2">
        <v>1344595</v>
      </c>
    </row>
    <row r="1305" spans="1:8" x14ac:dyDescent="0.25">
      <c r="A1305" t="str">
        <f t="shared" si="20"/>
        <v>201115-24</v>
      </c>
      <c r="B1305">
        <v>2011</v>
      </c>
      <c r="C1305" t="s">
        <v>4</v>
      </c>
      <c r="D1305" t="s">
        <v>26</v>
      </c>
      <c r="E1305">
        <v>10</v>
      </c>
      <c r="F1305" t="s">
        <v>12</v>
      </c>
      <c r="G1305" s="7">
        <v>7</v>
      </c>
      <c r="H1305" s="2">
        <v>2593350</v>
      </c>
    </row>
    <row r="1306" spans="1:8" x14ac:dyDescent="0.25">
      <c r="A1306" t="str">
        <f t="shared" si="20"/>
        <v>201125-44</v>
      </c>
      <c r="B1306">
        <v>2011</v>
      </c>
      <c r="C1306" t="s">
        <v>3</v>
      </c>
      <c r="D1306" t="s">
        <v>26</v>
      </c>
      <c r="E1306">
        <v>10</v>
      </c>
      <c r="F1306" t="s">
        <v>12</v>
      </c>
      <c r="G1306" s="7">
        <v>18</v>
      </c>
      <c r="H1306" s="2">
        <v>4299392</v>
      </c>
    </row>
    <row r="1307" spans="1:8" x14ac:dyDescent="0.25">
      <c r="A1307" t="str">
        <f t="shared" si="20"/>
        <v>201145-64</v>
      </c>
      <c r="B1307">
        <v>2011</v>
      </c>
      <c r="C1307" t="s">
        <v>2</v>
      </c>
      <c r="D1307" t="s">
        <v>26</v>
      </c>
      <c r="E1307">
        <v>10</v>
      </c>
      <c r="F1307" t="s">
        <v>12</v>
      </c>
      <c r="G1307" s="7">
        <v>60</v>
      </c>
      <c r="H1307" s="2">
        <v>2561836</v>
      </c>
    </row>
    <row r="1308" spans="1:8" x14ac:dyDescent="0.25">
      <c r="A1308" t="str">
        <f t="shared" si="20"/>
        <v>20115-14</v>
      </c>
      <c r="B1308">
        <v>2011</v>
      </c>
      <c r="C1308" t="s">
        <v>5</v>
      </c>
      <c r="D1308" t="s">
        <v>26</v>
      </c>
      <c r="E1308">
        <v>10</v>
      </c>
      <c r="F1308" t="s">
        <v>12</v>
      </c>
      <c r="G1308" s="7">
        <v>11</v>
      </c>
      <c r="H1308" s="2">
        <v>2684312</v>
      </c>
    </row>
    <row r="1309" spans="1:8" x14ac:dyDescent="0.25">
      <c r="A1309" t="str">
        <f t="shared" si="20"/>
        <v>201165-74</v>
      </c>
      <c r="B1309">
        <v>2011</v>
      </c>
      <c r="C1309" t="s">
        <v>1</v>
      </c>
      <c r="D1309" t="s">
        <v>26</v>
      </c>
      <c r="E1309">
        <v>10</v>
      </c>
      <c r="F1309" t="s">
        <v>12</v>
      </c>
      <c r="G1309" s="7">
        <v>42</v>
      </c>
      <c r="H1309" s="2">
        <v>559899</v>
      </c>
    </row>
    <row r="1310" spans="1:8" x14ac:dyDescent="0.25">
      <c r="A1310" t="str">
        <f t="shared" si="20"/>
        <v>201175+</v>
      </c>
      <c r="B1310">
        <v>2011</v>
      </c>
      <c r="C1310" t="s">
        <v>0</v>
      </c>
      <c r="D1310" t="s">
        <v>26</v>
      </c>
      <c r="E1310">
        <v>10</v>
      </c>
      <c r="F1310" t="s">
        <v>12</v>
      </c>
      <c r="G1310" s="7">
        <v>191</v>
      </c>
      <c r="H1310" s="2">
        <v>385721</v>
      </c>
    </row>
    <row r="1311" spans="1:8" x14ac:dyDescent="0.25">
      <c r="A1311" t="str">
        <f t="shared" si="20"/>
        <v>20120-4</v>
      </c>
      <c r="B1311">
        <v>2012</v>
      </c>
      <c r="C1311" t="s">
        <v>6</v>
      </c>
      <c r="D1311" t="s">
        <v>26</v>
      </c>
      <c r="E1311">
        <v>10</v>
      </c>
      <c r="F1311" t="s">
        <v>12</v>
      </c>
      <c r="G1311" s="7">
        <v>173</v>
      </c>
      <c r="H1311" s="2">
        <v>1340586.3214094499</v>
      </c>
    </row>
    <row r="1312" spans="1:8" x14ac:dyDescent="0.25">
      <c r="A1312" t="str">
        <f t="shared" si="20"/>
        <v>201215-24</v>
      </c>
      <c r="B1312">
        <v>2012</v>
      </c>
      <c r="C1312" t="s">
        <v>4</v>
      </c>
      <c r="D1312" t="s">
        <v>26</v>
      </c>
      <c r="E1312">
        <v>10</v>
      </c>
      <c r="F1312" t="s">
        <v>12</v>
      </c>
      <c r="G1312" s="7">
        <v>5</v>
      </c>
      <c r="H1312" s="2">
        <v>2596932.5593387499</v>
      </c>
    </row>
    <row r="1313" spans="1:8" x14ac:dyDescent="0.25">
      <c r="A1313" t="str">
        <f t="shared" si="20"/>
        <v>201225-44</v>
      </c>
      <c r="B1313">
        <v>2012</v>
      </c>
      <c r="C1313" t="s">
        <v>3</v>
      </c>
      <c r="D1313" t="s">
        <v>26</v>
      </c>
      <c r="E1313">
        <v>10</v>
      </c>
      <c r="F1313" t="s">
        <v>12</v>
      </c>
      <c r="G1313" s="7">
        <v>28</v>
      </c>
      <c r="H1313" s="2">
        <v>4370928.8062696801</v>
      </c>
    </row>
    <row r="1314" spans="1:8" x14ac:dyDescent="0.25">
      <c r="A1314" t="str">
        <f t="shared" si="20"/>
        <v>201245-64</v>
      </c>
      <c r="B1314">
        <v>2012</v>
      </c>
      <c r="C1314" t="s">
        <v>2</v>
      </c>
      <c r="D1314" t="s">
        <v>26</v>
      </c>
      <c r="E1314">
        <v>10</v>
      </c>
      <c r="F1314" t="s">
        <v>12</v>
      </c>
      <c r="G1314" s="7">
        <v>55</v>
      </c>
      <c r="H1314" s="2">
        <v>2658291.2681631502</v>
      </c>
    </row>
    <row r="1315" spans="1:8" x14ac:dyDescent="0.25">
      <c r="A1315" t="str">
        <f t="shared" si="20"/>
        <v>20125-14</v>
      </c>
      <c r="B1315">
        <v>2012</v>
      </c>
      <c r="C1315" t="s">
        <v>5</v>
      </c>
      <c r="D1315" t="s">
        <v>26</v>
      </c>
      <c r="E1315">
        <v>10</v>
      </c>
      <c r="F1315" t="s">
        <v>12</v>
      </c>
      <c r="G1315" s="7">
        <v>10</v>
      </c>
      <c r="H1315" s="2">
        <v>2693165.8826794801</v>
      </c>
    </row>
    <row r="1316" spans="1:8" x14ac:dyDescent="0.25">
      <c r="A1316" t="str">
        <f t="shared" si="20"/>
        <v>201265-74</v>
      </c>
      <c r="B1316">
        <v>2012</v>
      </c>
      <c r="C1316" t="s">
        <v>1</v>
      </c>
      <c r="D1316" t="s">
        <v>26</v>
      </c>
      <c r="E1316">
        <v>10</v>
      </c>
      <c r="F1316" t="s">
        <v>12</v>
      </c>
      <c r="G1316" s="7">
        <v>52</v>
      </c>
      <c r="H1316" s="2">
        <v>582433.94467592705</v>
      </c>
    </row>
    <row r="1317" spans="1:8" x14ac:dyDescent="0.25">
      <c r="A1317" t="str">
        <f t="shared" si="20"/>
        <v>201275+</v>
      </c>
      <c r="B1317">
        <v>2012</v>
      </c>
      <c r="C1317" t="s">
        <v>0</v>
      </c>
      <c r="D1317" t="s">
        <v>26</v>
      </c>
      <c r="E1317">
        <v>10</v>
      </c>
      <c r="F1317" t="s">
        <v>12</v>
      </c>
      <c r="G1317" s="7">
        <v>183</v>
      </c>
      <c r="H1317" s="2">
        <v>398069.84835797001</v>
      </c>
    </row>
    <row r="1318" spans="1:8" x14ac:dyDescent="0.25">
      <c r="A1318" t="str">
        <f t="shared" si="20"/>
        <v>20130-4</v>
      </c>
      <c r="B1318">
        <v>2013</v>
      </c>
      <c r="C1318" t="s">
        <v>6</v>
      </c>
      <c r="D1318" t="s">
        <v>26</v>
      </c>
      <c r="E1318">
        <v>10</v>
      </c>
      <c r="F1318" t="s">
        <v>12</v>
      </c>
      <c r="G1318" s="7">
        <v>181</v>
      </c>
      <c r="H1318" s="2">
        <v>1336364.77993838</v>
      </c>
    </row>
    <row r="1319" spans="1:8" x14ac:dyDescent="0.25">
      <c r="A1319" t="str">
        <f t="shared" si="20"/>
        <v>201315-24</v>
      </c>
      <c r="B1319">
        <v>2013</v>
      </c>
      <c r="C1319" t="s">
        <v>4</v>
      </c>
      <c r="D1319" t="s">
        <v>26</v>
      </c>
      <c r="E1319">
        <v>10</v>
      </c>
      <c r="F1319" t="s">
        <v>12</v>
      </c>
      <c r="G1319" s="7">
        <v>11</v>
      </c>
      <c r="H1319" s="2">
        <v>2602650.6589393602</v>
      </c>
    </row>
    <row r="1320" spans="1:8" x14ac:dyDescent="0.25">
      <c r="A1320" t="str">
        <f t="shared" si="20"/>
        <v>201325-44</v>
      </c>
      <c r="B1320">
        <v>2013</v>
      </c>
      <c r="C1320" t="s">
        <v>3</v>
      </c>
      <c r="D1320" t="s">
        <v>26</v>
      </c>
      <c r="E1320">
        <v>10</v>
      </c>
      <c r="F1320" t="s">
        <v>12</v>
      </c>
      <c r="G1320" s="7">
        <v>26</v>
      </c>
      <c r="H1320" s="2">
        <v>4442157.0636299504</v>
      </c>
    </row>
    <row r="1321" spans="1:8" x14ac:dyDescent="0.25">
      <c r="A1321" t="str">
        <f t="shared" si="20"/>
        <v>201345-64</v>
      </c>
      <c r="B1321">
        <v>2013</v>
      </c>
      <c r="C1321" t="s">
        <v>2</v>
      </c>
      <c r="D1321" t="s">
        <v>26</v>
      </c>
      <c r="E1321">
        <v>10</v>
      </c>
      <c r="F1321" t="s">
        <v>12</v>
      </c>
      <c r="G1321" s="7">
        <v>61</v>
      </c>
      <c r="H1321" s="2">
        <v>2752738.9724179399</v>
      </c>
    </row>
    <row r="1322" spans="1:8" x14ac:dyDescent="0.25">
      <c r="A1322" t="str">
        <f t="shared" si="20"/>
        <v>20135-14</v>
      </c>
      <c r="B1322">
        <v>2013</v>
      </c>
      <c r="C1322" t="s">
        <v>5</v>
      </c>
      <c r="D1322" t="s">
        <v>26</v>
      </c>
      <c r="E1322">
        <v>10</v>
      </c>
      <c r="F1322" t="s">
        <v>12</v>
      </c>
      <c r="G1322" s="7">
        <v>9</v>
      </c>
      <c r="H1322" s="2">
        <v>2699988.6782491799</v>
      </c>
    </row>
    <row r="1323" spans="1:8" x14ac:dyDescent="0.25">
      <c r="A1323" t="str">
        <f t="shared" si="20"/>
        <v>201365-74</v>
      </c>
      <c r="B1323">
        <v>2013</v>
      </c>
      <c r="C1323" t="s">
        <v>1</v>
      </c>
      <c r="D1323" t="s">
        <v>26</v>
      </c>
      <c r="E1323">
        <v>10</v>
      </c>
      <c r="F1323" t="s">
        <v>12</v>
      </c>
      <c r="G1323" s="7">
        <v>49</v>
      </c>
      <c r="H1323" s="2">
        <v>606480.27141564596</v>
      </c>
    </row>
    <row r="1324" spans="1:8" x14ac:dyDescent="0.25">
      <c r="A1324" t="str">
        <f t="shared" si="20"/>
        <v>201375+</v>
      </c>
      <c r="B1324">
        <v>2013</v>
      </c>
      <c r="C1324" t="s">
        <v>0</v>
      </c>
      <c r="D1324" t="s">
        <v>26</v>
      </c>
      <c r="E1324">
        <v>10</v>
      </c>
      <c r="F1324" t="s">
        <v>12</v>
      </c>
      <c r="G1324" s="7">
        <v>188</v>
      </c>
      <c r="H1324" s="2">
        <v>411257.72175729403</v>
      </c>
    </row>
    <row r="1325" spans="1:8" x14ac:dyDescent="0.25">
      <c r="A1325" t="str">
        <f t="shared" si="20"/>
        <v>20140-4</v>
      </c>
      <c r="B1325">
        <v>2014</v>
      </c>
      <c r="C1325" t="s">
        <v>6</v>
      </c>
      <c r="D1325" t="s">
        <v>26</v>
      </c>
      <c r="E1325">
        <v>10</v>
      </c>
      <c r="F1325" t="s">
        <v>12</v>
      </c>
      <c r="G1325" s="7">
        <v>210</v>
      </c>
      <c r="H1325" s="2">
        <v>1331891</v>
      </c>
    </row>
    <row r="1326" spans="1:8" x14ac:dyDescent="0.25">
      <c r="A1326" t="str">
        <f t="shared" si="20"/>
        <v>201415-24</v>
      </c>
      <c r="B1326">
        <v>2014</v>
      </c>
      <c r="C1326" t="s">
        <v>4</v>
      </c>
      <c r="D1326" t="s">
        <v>26</v>
      </c>
      <c r="E1326">
        <v>10</v>
      </c>
      <c r="F1326" t="s">
        <v>12</v>
      </c>
      <c r="G1326" s="7">
        <v>7</v>
      </c>
      <c r="H1326" s="2">
        <v>2610538</v>
      </c>
    </row>
    <row r="1327" spans="1:8" x14ac:dyDescent="0.25">
      <c r="A1327" t="str">
        <f t="shared" si="20"/>
        <v>201425-44</v>
      </c>
      <c r="B1327">
        <v>2014</v>
      </c>
      <c r="C1327" t="s">
        <v>3</v>
      </c>
      <c r="D1327" t="s">
        <v>26</v>
      </c>
      <c r="E1327">
        <v>10</v>
      </c>
      <c r="F1327" t="s">
        <v>12</v>
      </c>
      <c r="G1327" s="7">
        <v>23</v>
      </c>
      <c r="H1327" s="2">
        <v>4511948</v>
      </c>
    </row>
    <row r="1328" spans="1:8" x14ac:dyDescent="0.25">
      <c r="A1328" t="str">
        <f t="shared" si="20"/>
        <v>201445-64</v>
      </c>
      <c r="B1328">
        <v>2014</v>
      </c>
      <c r="C1328" t="s">
        <v>2</v>
      </c>
      <c r="D1328" t="s">
        <v>26</v>
      </c>
      <c r="E1328">
        <v>10</v>
      </c>
      <c r="F1328" t="s">
        <v>12</v>
      </c>
      <c r="G1328" s="7">
        <v>81</v>
      </c>
      <c r="H1328" s="2">
        <v>2845267</v>
      </c>
    </row>
    <row r="1329" spans="1:8" x14ac:dyDescent="0.25">
      <c r="A1329" t="str">
        <f t="shared" si="20"/>
        <v>20145-14</v>
      </c>
      <c r="B1329">
        <v>2014</v>
      </c>
      <c r="C1329" t="s">
        <v>5</v>
      </c>
      <c r="D1329" t="s">
        <v>26</v>
      </c>
      <c r="E1329">
        <v>10</v>
      </c>
      <c r="F1329" t="s">
        <v>12</v>
      </c>
      <c r="G1329" s="7">
        <v>8</v>
      </c>
      <c r="H1329" s="2">
        <v>2704490</v>
      </c>
    </row>
    <row r="1330" spans="1:8" x14ac:dyDescent="0.25">
      <c r="A1330" t="str">
        <f t="shared" si="20"/>
        <v>201465-74</v>
      </c>
      <c r="B1330">
        <v>2014</v>
      </c>
      <c r="C1330" t="s">
        <v>1</v>
      </c>
      <c r="D1330" t="s">
        <v>26</v>
      </c>
      <c r="E1330">
        <v>10</v>
      </c>
      <c r="F1330" t="s">
        <v>12</v>
      </c>
      <c r="G1330" s="7">
        <v>61</v>
      </c>
      <c r="H1330" s="2">
        <v>631943</v>
      </c>
    </row>
    <row r="1331" spans="1:8" x14ac:dyDescent="0.25">
      <c r="A1331" t="str">
        <f t="shared" si="20"/>
        <v>201475+</v>
      </c>
      <c r="B1331">
        <v>2014</v>
      </c>
      <c r="C1331" t="s">
        <v>0</v>
      </c>
      <c r="D1331" t="s">
        <v>26</v>
      </c>
      <c r="E1331">
        <v>10</v>
      </c>
      <c r="F1331" t="s">
        <v>12</v>
      </c>
      <c r="G1331" s="7">
        <v>295</v>
      </c>
      <c r="H1331" s="2">
        <v>425486</v>
      </c>
    </row>
    <row r="1332" spans="1:8" x14ac:dyDescent="0.25">
      <c r="A1332" t="str">
        <f t="shared" si="20"/>
        <v>19960-4</v>
      </c>
      <c r="B1332">
        <v>1996</v>
      </c>
      <c r="C1332" t="s">
        <v>6</v>
      </c>
      <c r="D1332" t="s">
        <v>26</v>
      </c>
      <c r="E1332">
        <v>11</v>
      </c>
      <c r="F1332" t="s">
        <v>11</v>
      </c>
      <c r="G1332" s="7">
        <v>12</v>
      </c>
      <c r="H1332" s="2">
        <v>1308550.7828250399</v>
      </c>
    </row>
    <row r="1333" spans="1:8" x14ac:dyDescent="0.25">
      <c r="A1333" t="str">
        <f t="shared" si="20"/>
        <v>199615-24</v>
      </c>
      <c r="B1333">
        <v>1996</v>
      </c>
      <c r="C1333" t="s">
        <v>4</v>
      </c>
      <c r="D1333" t="s">
        <v>26</v>
      </c>
      <c r="E1333">
        <v>11</v>
      </c>
      <c r="F1333" t="s">
        <v>11</v>
      </c>
      <c r="G1333" s="7">
        <v>33</v>
      </c>
      <c r="H1333" s="2">
        <v>2136825.68729656</v>
      </c>
    </row>
    <row r="1334" spans="1:8" x14ac:dyDescent="0.25">
      <c r="A1334" t="str">
        <f t="shared" si="20"/>
        <v>199625-44</v>
      </c>
      <c r="B1334">
        <v>1996</v>
      </c>
      <c r="C1334" t="s">
        <v>3</v>
      </c>
      <c r="D1334" t="s">
        <v>26</v>
      </c>
      <c r="E1334">
        <v>11</v>
      </c>
      <c r="F1334" t="s">
        <v>11</v>
      </c>
      <c r="G1334" s="7">
        <v>106</v>
      </c>
      <c r="H1334" s="2">
        <v>3245545.2890741802</v>
      </c>
    </row>
    <row r="1335" spans="1:8" x14ac:dyDescent="0.25">
      <c r="A1335" t="str">
        <f t="shared" si="20"/>
        <v>199645-64</v>
      </c>
      <c r="B1335">
        <v>1996</v>
      </c>
      <c r="C1335" t="s">
        <v>2</v>
      </c>
      <c r="D1335" t="s">
        <v>26</v>
      </c>
      <c r="E1335">
        <v>11</v>
      </c>
      <c r="F1335" t="s">
        <v>11</v>
      </c>
      <c r="G1335" s="7">
        <v>145</v>
      </c>
      <c r="H1335" s="2">
        <v>1448877.9572723201</v>
      </c>
    </row>
    <row r="1336" spans="1:8" x14ac:dyDescent="0.25">
      <c r="A1336" t="str">
        <f t="shared" si="20"/>
        <v>19965-14</v>
      </c>
      <c r="B1336">
        <v>1996</v>
      </c>
      <c r="C1336" t="s">
        <v>5</v>
      </c>
      <c r="D1336" t="s">
        <v>26</v>
      </c>
      <c r="E1336">
        <v>11</v>
      </c>
      <c r="F1336" t="s">
        <v>11</v>
      </c>
      <c r="G1336" s="7">
        <v>10</v>
      </c>
      <c r="H1336" s="2">
        <v>2617766.7452121698</v>
      </c>
    </row>
    <row r="1337" spans="1:8" x14ac:dyDescent="0.25">
      <c r="A1337" t="str">
        <f t="shared" si="20"/>
        <v>199665-74</v>
      </c>
      <c r="B1337">
        <v>1996</v>
      </c>
      <c r="C1337" t="s">
        <v>1</v>
      </c>
      <c r="D1337" t="s">
        <v>26</v>
      </c>
      <c r="E1337">
        <v>11</v>
      </c>
      <c r="F1337" t="s">
        <v>11</v>
      </c>
      <c r="G1337" s="7">
        <v>125</v>
      </c>
      <c r="H1337" s="2">
        <v>373487.34083337098</v>
      </c>
    </row>
    <row r="1338" spans="1:8" x14ac:dyDescent="0.25">
      <c r="A1338" t="str">
        <f t="shared" si="20"/>
        <v>199675+</v>
      </c>
      <c r="B1338">
        <v>1996</v>
      </c>
      <c r="C1338" t="s">
        <v>0</v>
      </c>
      <c r="D1338" t="s">
        <v>26</v>
      </c>
      <c r="E1338">
        <v>11</v>
      </c>
      <c r="F1338" t="s">
        <v>11</v>
      </c>
      <c r="G1338" s="7">
        <v>182</v>
      </c>
      <c r="H1338" s="2">
        <v>186458.585231801</v>
      </c>
    </row>
    <row r="1339" spans="1:8" x14ac:dyDescent="0.25">
      <c r="A1339" t="str">
        <f t="shared" si="20"/>
        <v>19970-4</v>
      </c>
      <c r="B1339">
        <v>1997</v>
      </c>
      <c r="C1339" t="s">
        <v>6</v>
      </c>
      <c r="D1339" t="s">
        <v>26</v>
      </c>
      <c r="E1339">
        <v>11</v>
      </c>
      <c r="F1339" t="s">
        <v>11</v>
      </c>
      <c r="G1339" s="7">
        <v>10</v>
      </c>
      <c r="H1339" s="2">
        <v>1317732.8696950199</v>
      </c>
    </row>
    <row r="1340" spans="1:8" x14ac:dyDescent="0.25">
      <c r="A1340" t="str">
        <f t="shared" si="20"/>
        <v>199715-24</v>
      </c>
      <c r="B1340">
        <v>1997</v>
      </c>
      <c r="C1340" t="s">
        <v>4</v>
      </c>
      <c r="D1340" t="s">
        <v>26</v>
      </c>
      <c r="E1340">
        <v>11</v>
      </c>
      <c r="F1340" t="s">
        <v>11</v>
      </c>
      <c r="G1340" s="7">
        <v>30</v>
      </c>
      <c r="H1340" s="2">
        <v>2190257.4123779298</v>
      </c>
    </row>
    <row r="1341" spans="1:8" x14ac:dyDescent="0.25">
      <c r="A1341" t="str">
        <f t="shared" si="20"/>
        <v>199725-44</v>
      </c>
      <c r="B1341">
        <v>1997</v>
      </c>
      <c r="C1341" t="s">
        <v>3</v>
      </c>
      <c r="D1341" t="s">
        <v>26</v>
      </c>
      <c r="E1341">
        <v>11</v>
      </c>
      <c r="F1341" t="s">
        <v>11</v>
      </c>
      <c r="G1341" s="7">
        <v>119</v>
      </c>
      <c r="H1341" s="2">
        <v>3319788.9734445098</v>
      </c>
    </row>
    <row r="1342" spans="1:8" x14ac:dyDescent="0.25">
      <c r="A1342" t="str">
        <f t="shared" si="20"/>
        <v>199745-64</v>
      </c>
      <c r="B1342">
        <v>1997</v>
      </c>
      <c r="C1342" t="s">
        <v>2</v>
      </c>
      <c r="D1342" t="s">
        <v>26</v>
      </c>
      <c r="E1342">
        <v>11</v>
      </c>
      <c r="F1342" t="s">
        <v>11</v>
      </c>
      <c r="G1342" s="7">
        <v>176</v>
      </c>
      <c r="H1342" s="2">
        <v>1494497.7743633899</v>
      </c>
    </row>
    <row r="1343" spans="1:8" x14ac:dyDescent="0.25">
      <c r="A1343" t="str">
        <f t="shared" si="20"/>
        <v>19975-14</v>
      </c>
      <c r="B1343">
        <v>1997</v>
      </c>
      <c r="C1343" t="s">
        <v>5</v>
      </c>
      <c r="D1343" t="s">
        <v>26</v>
      </c>
      <c r="E1343">
        <v>11</v>
      </c>
      <c r="F1343" t="s">
        <v>11</v>
      </c>
      <c r="G1343" s="7">
        <v>20</v>
      </c>
      <c r="H1343" s="2">
        <v>2625110.0471272999</v>
      </c>
    </row>
    <row r="1344" spans="1:8" x14ac:dyDescent="0.25">
      <c r="A1344" t="str">
        <f t="shared" si="20"/>
        <v>199765-74</v>
      </c>
      <c r="B1344">
        <v>1997</v>
      </c>
      <c r="C1344" t="s">
        <v>1</v>
      </c>
      <c r="D1344" t="s">
        <v>26</v>
      </c>
      <c r="E1344">
        <v>11</v>
      </c>
      <c r="F1344" t="s">
        <v>11</v>
      </c>
      <c r="G1344" s="7">
        <v>113</v>
      </c>
      <c r="H1344" s="2">
        <v>377918.60450002301</v>
      </c>
    </row>
    <row r="1345" spans="1:8" x14ac:dyDescent="0.25">
      <c r="A1345" t="str">
        <f t="shared" si="20"/>
        <v>199775+</v>
      </c>
      <c r="B1345">
        <v>1997</v>
      </c>
      <c r="C1345" t="s">
        <v>0</v>
      </c>
      <c r="D1345" t="s">
        <v>26</v>
      </c>
      <c r="E1345">
        <v>11</v>
      </c>
      <c r="F1345" t="s">
        <v>11</v>
      </c>
      <c r="G1345" s="7">
        <v>197</v>
      </c>
      <c r="H1345" s="2">
        <v>197836.55113907999</v>
      </c>
    </row>
    <row r="1346" spans="1:8" x14ac:dyDescent="0.25">
      <c r="A1346" t="str">
        <f t="shared" ref="A1346:A1409" si="21">+CONCATENATE(B1346,C1346)</f>
        <v>19980-4</v>
      </c>
      <c r="B1346">
        <v>1998</v>
      </c>
      <c r="C1346" t="s">
        <v>6</v>
      </c>
      <c r="D1346" t="s">
        <v>26</v>
      </c>
      <c r="E1346">
        <v>11</v>
      </c>
      <c r="F1346" t="s">
        <v>11</v>
      </c>
      <c r="G1346" s="7">
        <v>10</v>
      </c>
      <c r="H1346" s="2">
        <v>1325697.93484751</v>
      </c>
    </row>
    <row r="1347" spans="1:8" x14ac:dyDescent="0.25">
      <c r="A1347" t="str">
        <f t="shared" si="21"/>
        <v>199815-24</v>
      </c>
      <c r="B1347">
        <v>1998</v>
      </c>
      <c r="C1347" t="s">
        <v>4</v>
      </c>
      <c r="D1347" t="s">
        <v>26</v>
      </c>
      <c r="E1347">
        <v>11</v>
      </c>
      <c r="F1347" t="s">
        <v>11</v>
      </c>
      <c r="G1347" s="7">
        <v>32</v>
      </c>
      <c r="H1347" s="2">
        <v>2242694.2061889698</v>
      </c>
    </row>
    <row r="1348" spans="1:8" x14ac:dyDescent="0.25">
      <c r="A1348" t="str">
        <f t="shared" si="21"/>
        <v>199825-44</v>
      </c>
      <c r="B1348">
        <v>1998</v>
      </c>
      <c r="C1348" t="s">
        <v>3</v>
      </c>
      <c r="D1348" t="s">
        <v>26</v>
      </c>
      <c r="E1348">
        <v>11</v>
      </c>
      <c r="F1348" t="s">
        <v>11</v>
      </c>
      <c r="G1348" s="7">
        <v>81</v>
      </c>
      <c r="H1348" s="2">
        <v>3392799.98672225</v>
      </c>
    </row>
    <row r="1349" spans="1:8" x14ac:dyDescent="0.25">
      <c r="A1349" t="str">
        <f t="shared" si="21"/>
        <v>199845-64</v>
      </c>
      <c r="B1349">
        <v>1998</v>
      </c>
      <c r="C1349" t="s">
        <v>2</v>
      </c>
      <c r="D1349" t="s">
        <v>26</v>
      </c>
      <c r="E1349">
        <v>11</v>
      </c>
      <c r="F1349" t="s">
        <v>11</v>
      </c>
      <c r="G1349" s="7">
        <v>176</v>
      </c>
      <c r="H1349" s="2">
        <v>1544756.3871817</v>
      </c>
    </row>
    <row r="1350" spans="1:8" x14ac:dyDescent="0.25">
      <c r="A1350" t="str">
        <f t="shared" si="21"/>
        <v>19985-14</v>
      </c>
      <c r="B1350">
        <v>1998</v>
      </c>
      <c r="C1350" t="s">
        <v>5</v>
      </c>
      <c r="D1350" t="s">
        <v>26</v>
      </c>
      <c r="E1350">
        <v>11</v>
      </c>
      <c r="F1350" t="s">
        <v>11</v>
      </c>
      <c r="G1350" s="7">
        <v>19</v>
      </c>
      <c r="H1350" s="2">
        <v>2628255.52356365</v>
      </c>
    </row>
    <row r="1351" spans="1:8" x14ac:dyDescent="0.25">
      <c r="A1351" t="str">
        <f t="shared" si="21"/>
        <v>199865-74</v>
      </c>
      <c r="B1351">
        <v>1998</v>
      </c>
      <c r="C1351" t="s">
        <v>1</v>
      </c>
      <c r="D1351" t="s">
        <v>26</v>
      </c>
      <c r="E1351">
        <v>11</v>
      </c>
      <c r="F1351" t="s">
        <v>11</v>
      </c>
      <c r="G1351" s="7">
        <v>112</v>
      </c>
      <c r="H1351" s="2">
        <v>383636.80225001101</v>
      </c>
    </row>
    <row r="1352" spans="1:8" x14ac:dyDescent="0.25">
      <c r="A1352" t="str">
        <f t="shared" si="21"/>
        <v>199875+</v>
      </c>
      <c r="B1352">
        <v>1998</v>
      </c>
      <c r="C1352" t="s">
        <v>0</v>
      </c>
      <c r="D1352" t="s">
        <v>26</v>
      </c>
      <c r="E1352">
        <v>11</v>
      </c>
      <c r="F1352" t="s">
        <v>11</v>
      </c>
      <c r="G1352" s="7">
        <v>161</v>
      </c>
      <c r="H1352" s="2">
        <v>210840.77556954001</v>
      </c>
    </row>
    <row r="1353" spans="1:8" x14ac:dyDescent="0.25">
      <c r="A1353" t="str">
        <f t="shared" si="21"/>
        <v>19990-4</v>
      </c>
      <c r="B1353">
        <v>1999</v>
      </c>
      <c r="C1353" t="s">
        <v>6</v>
      </c>
      <c r="D1353" t="s">
        <v>26</v>
      </c>
      <c r="E1353">
        <v>11</v>
      </c>
      <c r="F1353" t="s">
        <v>11</v>
      </c>
      <c r="G1353" s="7">
        <v>14</v>
      </c>
      <c r="H1353" s="2">
        <v>1332528.9782825001</v>
      </c>
    </row>
    <row r="1354" spans="1:8" x14ac:dyDescent="0.25">
      <c r="A1354" t="str">
        <f t="shared" si="21"/>
        <v>199915-24</v>
      </c>
      <c r="B1354">
        <v>1999</v>
      </c>
      <c r="C1354" t="s">
        <v>4</v>
      </c>
      <c r="D1354" t="s">
        <v>26</v>
      </c>
      <c r="E1354">
        <v>11</v>
      </c>
      <c r="F1354" t="s">
        <v>11</v>
      </c>
      <c r="G1354" s="7">
        <v>16</v>
      </c>
      <c r="H1354" s="2">
        <v>2293434.06872966</v>
      </c>
    </row>
    <row r="1355" spans="1:8" x14ac:dyDescent="0.25">
      <c r="A1355" t="str">
        <f t="shared" si="21"/>
        <v>199925-44</v>
      </c>
      <c r="B1355">
        <v>1999</v>
      </c>
      <c r="C1355" t="s">
        <v>3</v>
      </c>
      <c r="D1355" t="s">
        <v>26</v>
      </c>
      <c r="E1355">
        <v>11</v>
      </c>
      <c r="F1355" t="s">
        <v>11</v>
      </c>
      <c r="G1355" s="7">
        <v>109</v>
      </c>
      <c r="H1355" s="2">
        <v>3464730.3289074199</v>
      </c>
    </row>
    <row r="1356" spans="1:8" x14ac:dyDescent="0.25">
      <c r="A1356" t="str">
        <f t="shared" si="21"/>
        <v>199945-64</v>
      </c>
      <c r="B1356">
        <v>1999</v>
      </c>
      <c r="C1356" t="s">
        <v>2</v>
      </c>
      <c r="D1356" t="s">
        <v>26</v>
      </c>
      <c r="E1356">
        <v>11</v>
      </c>
      <c r="F1356" t="s">
        <v>11</v>
      </c>
      <c r="G1356" s="7">
        <v>201</v>
      </c>
      <c r="H1356" s="2">
        <v>1599513.7957272299</v>
      </c>
    </row>
    <row r="1357" spans="1:8" x14ac:dyDescent="0.25">
      <c r="A1357" t="str">
        <f t="shared" si="21"/>
        <v>19995-14</v>
      </c>
      <c r="B1357">
        <v>1999</v>
      </c>
      <c r="C1357" t="s">
        <v>5</v>
      </c>
      <c r="D1357" t="s">
        <v>26</v>
      </c>
      <c r="E1357">
        <v>11</v>
      </c>
      <c r="F1357" t="s">
        <v>11</v>
      </c>
      <c r="G1357" s="7">
        <v>14</v>
      </c>
      <c r="H1357" s="2">
        <v>2628380.1745212199</v>
      </c>
    </row>
    <row r="1358" spans="1:8" x14ac:dyDescent="0.25">
      <c r="A1358" t="str">
        <f t="shared" si="21"/>
        <v>199965-74</v>
      </c>
      <c r="B1358">
        <v>1999</v>
      </c>
      <c r="C1358" t="s">
        <v>1</v>
      </c>
      <c r="D1358" t="s">
        <v>26</v>
      </c>
      <c r="E1358">
        <v>11</v>
      </c>
      <c r="F1358" t="s">
        <v>11</v>
      </c>
      <c r="G1358" s="7">
        <v>109</v>
      </c>
      <c r="H1358" s="2">
        <v>390568.93408333702</v>
      </c>
    </row>
    <row r="1359" spans="1:8" x14ac:dyDescent="0.25">
      <c r="A1359" t="str">
        <f t="shared" si="21"/>
        <v>199975+</v>
      </c>
      <c r="B1359">
        <v>1999</v>
      </c>
      <c r="C1359" t="s">
        <v>0</v>
      </c>
      <c r="D1359" t="s">
        <v>26</v>
      </c>
      <c r="E1359">
        <v>11</v>
      </c>
      <c r="F1359" t="s">
        <v>11</v>
      </c>
      <c r="G1359" s="7">
        <v>202</v>
      </c>
      <c r="H1359" s="2">
        <v>225043.25852318</v>
      </c>
    </row>
    <row r="1360" spans="1:8" x14ac:dyDescent="0.25">
      <c r="A1360" t="str">
        <f t="shared" si="21"/>
        <v>20000-4</v>
      </c>
      <c r="B1360">
        <v>2000</v>
      </c>
      <c r="C1360" t="s">
        <v>6</v>
      </c>
      <c r="D1360" t="s">
        <v>26</v>
      </c>
      <c r="E1360">
        <v>11</v>
      </c>
      <c r="F1360" t="s">
        <v>11</v>
      </c>
      <c r="G1360" s="7">
        <v>13</v>
      </c>
      <c r="H1360" s="2">
        <v>1338309</v>
      </c>
    </row>
    <row r="1361" spans="1:8" x14ac:dyDescent="0.25">
      <c r="A1361" t="str">
        <f t="shared" si="21"/>
        <v>200015-24</v>
      </c>
      <c r="B1361">
        <v>2000</v>
      </c>
      <c r="C1361" t="s">
        <v>4</v>
      </c>
      <c r="D1361" t="s">
        <v>26</v>
      </c>
      <c r="E1361">
        <v>11</v>
      </c>
      <c r="F1361" t="s">
        <v>11</v>
      </c>
      <c r="G1361" s="7">
        <v>24</v>
      </c>
      <c r="H1361" s="2">
        <v>2341775</v>
      </c>
    </row>
    <row r="1362" spans="1:8" x14ac:dyDescent="0.25">
      <c r="A1362" t="str">
        <f t="shared" si="21"/>
        <v>200025-44</v>
      </c>
      <c r="B1362">
        <v>2000</v>
      </c>
      <c r="C1362" t="s">
        <v>3</v>
      </c>
      <c r="D1362" t="s">
        <v>26</v>
      </c>
      <c r="E1362">
        <v>11</v>
      </c>
      <c r="F1362" t="s">
        <v>11</v>
      </c>
      <c r="G1362" s="7">
        <v>88</v>
      </c>
      <c r="H1362" s="2">
        <v>3535732</v>
      </c>
    </row>
    <row r="1363" spans="1:8" x14ac:dyDescent="0.25">
      <c r="A1363" t="str">
        <f t="shared" si="21"/>
        <v>200045-64</v>
      </c>
      <c r="B1363">
        <v>2000</v>
      </c>
      <c r="C1363" t="s">
        <v>2</v>
      </c>
      <c r="D1363" t="s">
        <v>26</v>
      </c>
      <c r="E1363">
        <v>11</v>
      </c>
      <c r="F1363" t="s">
        <v>11</v>
      </c>
      <c r="G1363" s="7">
        <v>148</v>
      </c>
      <c r="H1363" s="2">
        <v>1658630</v>
      </c>
    </row>
    <row r="1364" spans="1:8" x14ac:dyDescent="0.25">
      <c r="A1364" t="str">
        <f t="shared" si="21"/>
        <v>20005-14</v>
      </c>
      <c r="B1364">
        <v>2000</v>
      </c>
      <c r="C1364" t="s">
        <v>5</v>
      </c>
      <c r="D1364" t="s">
        <v>26</v>
      </c>
      <c r="E1364">
        <v>11</v>
      </c>
      <c r="F1364" t="s">
        <v>11</v>
      </c>
      <c r="G1364" s="7">
        <v>17</v>
      </c>
      <c r="H1364" s="2">
        <v>2626661</v>
      </c>
    </row>
    <row r="1365" spans="1:8" x14ac:dyDescent="0.25">
      <c r="A1365" t="str">
        <f t="shared" si="21"/>
        <v>200065-74</v>
      </c>
      <c r="B1365">
        <v>2000</v>
      </c>
      <c r="C1365" t="s">
        <v>1</v>
      </c>
      <c r="D1365" t="s">
        <v>26</v>
      </c>
      <c r="E1365">
        <v>11</v>
      </c>
      <c r="F1365" t="s">
        <v>11</v>
      </c>
      <c r="G1365" s="7">
        <v>97</v>
      </c>
      <c r="H1365" s="2">
        <v>398642</v>
      </c>
    </row>
    <row r="1366" spans="1:8" x14ac:dyDescent="0.25">
      <c r="A1366" t="str">
        <f t="shared" si="21"/>
        <v>200075+</v>
      </c>
      <c r="B1366">
        <v>2000</v>
      </c>
      <c r="C1366" t="s">
        <v>0</v>
      </c>
      <c r="D1366" t="s">
        <v>26</v>
      </c>
      <c r="E1366">
        <v>11</v>
      </c>
      <c r="F1366" t="s">
        <v>11</v>
      </c>
      <c r="G1366" s="7">
        <v>204</v>
      </c>
      <c r="H1366" s="2">
        <v>240016</v>
      </c>
    </row>
    <row r="1367" spans="1:8" x14ac:dyDescent="0.25">
      <c r="A1367" t="str">
        <f t="shared" si="21"/>
        <v>20010-4</v>
      </c>
      <c r="B1367">
        <v>2001</v>
      </c>
      <c r="C1367" t="s">
        <v>6</v>
      </c>
      <c r="D1367" t="s">
        <v>26</v>
      </c>
      <c r="E1367">
        <v>11</v>
      </c>
      <c r="F1367" t="s">
        <v>11</v>
      </c>
      <c r="G1367" s="7">
        <v>7</v>
      </c>
      <c r="H1367" s="2">
        <v>1343121</v>
      </c>
    </row>
    <row r="1368" spans="1:8" x14ac:dyDescent="0.25">
      <c r="A1368" t="str">
        <f t="shared" si="21"/>
        <v>200115-24</v>
      </c>
      <c r="B1368">
        <v>2001</v>
      </c>
      <c r="C1368" t="s">
        <v>4</v>
      </c>
      <c r="D1368" t="s">
        <v>26</v>
      </c>
      <c r="E1368">
        <v>11</v>
      </c>
      <c r="F1368" t="s">
        <v>11</v>
      </c>
      <c r="G1368" s="7">
        <v>20</v>
      </c>
      <c r="H1368" s="2">
        <v>2387015</v>
      </c>
    </row>
    <row r="1369" spans="1:8" x14ac:dyDescent="0.25">
      <c r="A1369" t="str">
        <f t="shared" si="21"/>
        <v>200125-44</v>
      </c>
      <c r="B1369">
        <v>2001</v>
      </c>
      <c r="C1369" t="s">
        <v>3</v>
      </c>
      <c r="D1369" t="s">
        <v>26</v>
      </c>
      <c r="E1369">
        <v>11</v>
      </c>
      <c r="F1369" t="s">
        <v>11</v>
      </c>
      <c r="G1369" s="7">
        <v>76</v>
      </c>
      <c r="H1369" s="2">
        <v>3605957</v>
      </c>
    </row>
    <row r="1370" spans="1:8" x14ac:dyDescent="0.25">
      <c r="A1370" t="str">
        <f t="shared" si="21"/>
        <v>200145-64</v>
      </c>
      <c r="B1370">
        <v>2001</v>
      </c>
      <c r="C1370" t="s">
        <v>2</v>
      </c>
      <c r="D1370" t="s">
        <v>26</v>
      </c>
      <c r="E1370">
        <v>11</v>
      </c>
      <c r="F1370" t="s">
        <v>11</v>
      </c>
      <c r="G1370" s="7">
        <v>172</v>
      </c>
      <c r="H1370" s="2">
        <v>1721965</v>
      </c>
    </row>
    <row r="1371" spans="1:8" x14ac:dyDescent="0.25">
      <c r="A1371" t="str">
        <f t="shared" si="21"/>
        <v>20015-14</v>
      </c>
      <c r="B1371">
        <v>2001</v>
      </c>
      <c r="C1371" t="s">
        <v>5</v>
      </c>
      <c r="D1371" t="s">
        <v>26</v>
      </c>
      <c r="E1371">
        <v>11</v>
      </c>
      <c r="F1371" t="s">
        <v>11</v>
      </c>
      <c r="G1371" s="7">
        <v>18</v>
      </c>
      <c r="H1371" s="2">
        <v>2624275</v>
      </c>
    </row>
    <row r="1372" spans="1:8" x14ac:dyDescent="0.25">
      <c r="A1372" t="str">
        <f t="shared" si="21"/>
        <v>200165-74</v>
      </c>
      <c r="B1372">
        <v>2001</v>
      </c>
      <c r="C1372" t="s">
        <v>1</v>
      </c>
      <c r="D1372" t="s">
        <v>26</v>
      </c>
      <c r="E1372">
        <v>11</v>
      </c>
      <c r="F1372" t="s">
        <v>11</v>
      </c>
      <c r="G1372" s="7">
        <v>112</v>
      </c>
      <c r="H1372" s="2">
        <v>407783</v>
      </c>
    </row>
    <row r="1373" spans="1:8" x14ac:dyDescent="0.25">
      <c r="A1373" t="str">
        <f t="shared" si="21"/>
        <v>200175+</v>
      </c>
      <c r="B1373">
        <v>2001</v>
      </c>
      <c r="C1373" t="s">
        <v>0</v>
      </c>
      <c r="D1373" t="s">
        <v>26</v>
      </c>
      <c r="E1373">
        <v>11</v>
      </c>
      <c r="F1373" t="s">
        <v>11</v>
      </c>
      <c r="G1373" s="7">
        <v>197</v>
      </c>
      <c r="H1373" s="2">
        <v>255331</v>
      </c>
    </row>
    <row r="1374" spans="1:8" x14ac:dyDescent="0.25">
      <c r="A1374" t="str">
        <f t="shared" si="21"/>
        <v>20020-4</v>
      </c>
      <c r="B1374">
        <v>2002</v>
      </c>
      <c r="C1374" t="s">
        <v>6</v>
      </c>
      <c r="D1374" t="s">
        <v>26</v>
      </c>
      <c r="E1374">
        <v>11</v>
      </c>
      <c r="F1374" t="s">
        <v>11</v>
      </c>
      <c r="G1374" s="7">
        <v>11</v>
      </c>
      <c r="H1374" s="2">
        <v>1347045</v>
      </c>
    </row>
    <row r="1375" spans="1:8" x14ac:dyDescent="0.25">
      <c r="A1375" t="str">
        <f t="shared" si="21"/>
        <v>200215-24</v>
      </c>
      <c r="B1375">
        <v>2002</v>
      </c>
      <c r="C1375" t="s">
        <v>4</v>
      </c>
      <c r="D1375" t="s">
        <v>26</v>
      </c>
      <c r="E1375">
        <v>11</v>
      </c>
      <c r="F1375" t="s">
        <v>11</v>
      </c>
      <c r="G1375" s="7">
        <v>18</v>
      </c>
      <c r="H1375" s="2">
        <v>2428415</v>
      </c>
    </row>
    <row r="1376" spans="1:8" x14ac:dyDescent="0.25">
      <c r="A1376" t="str">
        <f t="shared" si="21"/>
        <v>200225-44</v>
      </c>
      <c r="B1376">
        <v>2002</v>
      </c>
      <c r="C1376" t="s">
        <v>3</v>
      </c>
      <c r="D1376" t="s">
        <v>26</v>
      </c>
      <c r="E1376">
        <v>11</v>
      </c>
      <c r="F1376" t="s">
        <v>11</v>
      </c>
      <c r="G1376" s="7">
        <v>87</v>
      </c>
      <c r="H1376" s="2">
        <v>3675559</v>
      </c>
    </row>
    <row r="1377" spans="1:8" x14ac:dyDescent="0.25">
      <c r="A1377" t="str">
        <f t="shared" si="21"/>
        <v>200245-64</v>
      </c>
      <c r="B1377">
        <v>2002</v>
      </c>
      <c r="C1377" t="s">
        <v>2</v>
      </c>
      <c r="D1377" t="s">
        <v>26</v>
      </c>
      <c r="E1377">
        <v>11</v>
      </c>
      <c r="F1377" t="s">
        <v>11</v>
      </c>
      <c r="G1377" s="7">
        <v>155</v>
      </c>
      <c r="H1377" s="2">
        <v>1789361</v>
      </c>
    </row>
    <row r="1378" spans="1:8" x14ac:dyDescent="0.25">
      <c r="A1378" t="str">
        <f t="shared" si="21"/>
        <v>20025-14</v>
      </c>
      <c r="B1378">
        <v>2002</v>
      </c>
      <c r="C1378" t="s">
        <v>5</v>
      </c>
      <c r="D1378" t="s">
        <v>26</v>
      </c>
      <c r="E1378">
        <v>11</v>
      </c>
      <c r="F1378" t="s">
        <v>11</v>
      </c>
      <c r="G1378" s="7">
        <v>12</v>
      </c>
      <c r="H1378" s="2">
        <v>2622422</v>
      </c>
    </row>
    <row r="1379" spans="1:8" x14ac:dyDescent="0.25">
      <c r="A1379" t="str">
        <f t="shared" si="21"/>
        <v>200265-74</v>
      </c>
      <c r="B1379">
        <v>2002</v>
      </c>
      <c r="C1379" t="s">
        <v>1</v>
      </c>
      <c r="D1379" t="s">
        <v>26</v>
      </c>
      <c r="E1379">
        <v>11</v>
      </c>
      <c r="F1379" t="s">
        <v>11</v>
      </c>
      <c r="G1379" s="7">
        <v>97</v>
      </c>
      <c r="H1379" s="2">
        <v>417907</v>
      </c>
    </row>
    <row r="1380" spans="1:8" x14ac:dyDescent="0.25">
      <c r="A1380" t="str">
        <f t="shared" si="21"/>
        <v>200275+</v>
      </c>
      <c r="B1380">
        <v>2002</v>
      </c>
      <c r="C1380" t="s">
        <v>0</v>
      </c>
      <c r="D1380" t="s">
        <v>26</v>
      </c>
      <c r="E1380">
        <v>11</v>
      </c>
      <c r="F1380" t="s">
        <v>11</v>
      </c>
      <c r="G1380" s="7">
        <v>200</v>
      </c>
      <c r="H1380" s="2">
        <v>270538</v>
      </c>
    </row>
    <row r="1381" spans="1:8" x14ac:dyDescent="0.25">
      <c r="A1381" t="str">
        <f t="shared" si="21"/>
        <v>20030-4</v>
      </c>
      <c r="B1381">
        <v>2003</v>
      </c>
      <c r="C1381" t="s">
        <v>6</v>
      </c>
      <c r="D1381" t="s">
        <v>26</v>
      </c>
      <c r="E1381">
        <v>11</v>
      </c>
      <c r="F1381" t="s">
        <v>11</v>
      </c>
      <c r="G1381" s="7">
        <v>22</v>
      </c>
      <c r="H1381" s="2">
        <v>1350164</v>
      </c>
    </row>
    <row r="1382" spans="1:8" x14ac:dyDescent="0.25">
      <c r="A1382" t="str">
        <f t="shared" si="21"/>
        <v>200315-24</v>
      </c>
      <c r="B1382">
        <v>2003</v>
      </c>
      <c r="C1382" t="s">
        <v>4</v>
      </c>
      <c r="D1382" t="s">
        <v>26</v>
      </c>
      <c r="E1382">
        <v>11</v>
      </c>
      <c r="F1382" t="s">
        <v>11</v>
      </c>
      <c r="G1382" s="7">
        <v>27</v>
      </c>
      <c r="H1382" s="2">
        <v>2465273</v>
      </c>
    </row>
    <row r="1383" spans="1:8" x14ac:dyDescent="0.25">
      <c r="A1383" t="str">
        <f t="shared" si="21"/>
        <v>200325-44</v>
      </c>
      <c r="B1383">
        <v>2003</v>
      </c>
      <c r="C1383" t="s">
        <v>3</v>
      </c>
      <c r="D1383" t="s">
        <v>26</v>
      </c>
      <c r="E1383">
        <v>11</v>
      </c>
      <c r="F1383" t="s">
        <v>11</v>
      </c>
      <c r="G1383" s="7">
        <v>80</v>
      </c>
      <c r="H1383" s="2">
        <v>3744690</v>
      </c>
    </row>
    <row r="1384" spans="1:8" x14ac:dyDescent="0.25">
      <c r="A1384" t="str">
        <f t="shared" si="21"/>
        <v>200345-64</v>
      </c>
      <c r="B1384">
        <v>2003</v>
      </c>
      <c r="C1384" t="s">
        <v>2</v>
      </c>
      <c r="D1384" t="s">
        <v>26</v>
      </c>
      <c r="E1384">
        <v>11</v>
      </c>
      <c r="F1384" t="s">
        <v>11</v>
      </c>
      <c r="G1384" s="7">
        <v>185</v>
      </c>
      <c r="H1384" s="2">
        <v>1860678</v>
      </c>
    </row>
    <row r="1385" spans="1:8" x14ac:dyDescent="0.25">
      <c r="A1385" t="str">
        <f t="shared" si="21"/>
        <v>20035-14</v>
      </c>
      <c r="B1385">
        <v>2003</v>
      </c>
      <c r="C1385" t="s">
        <v>5</v>
      </c>
      <c r="D1385" t="s">
        <v>26</v>
      </c>
      <c r="E1385">
        <v>11</v>
      </c>
      <c r="F1385" t="s">
        <v>11</v>
      </c>
      <c r="G1385" s="7">
        <v>15</v>
      </c>
      <c r="H1385" s="2">
        <v>2622279</v>
      </c>
    </row>
    <row r="1386" spans="1:8" x14ac:dyDescent="0.25">
      <c r="A1386" t="str">
        <f t="shared" si="21"/>
        <v>200365-74</v>
      </c>
      <c r="B1386">
        <v>2003</v>
      </c>
      <c r="C1386" t="s">
        <v>1</v>
      </c>
      <c r="D1386" t="s">
        <v>26</v>
      </c>
      <c r="E1386">
        <v>11</v>
      </c>
      <c r="F1386" t="s">
        <v>11</v>
      </c>
      <c r="G1386" s="7">
        <v>111</v>
      </c>
      <c r="H1386" s="2">
        <v>428941</v>
      </c>
    </row>
    <row r="1387" spans="1:8" x14ac:dyDescent="0.25">
      <c r="A1387" t="str">
        <f t="shared" si="21"/>
        <v>200375+</v>
      </c>
      <c r="B1387">
        <v>2003</v>
      </c>
      <c r="C1387" t="s">
        <v>0</v>
      </c>
      <c r="D1387" t="s">
        <v>26</v>
      </c>
      <c r="E1387">
        <v>11</v>
      </c>
      <c r="F1387" t="s">
        <v>11</v>
      </c>
      <c r="G1387" s="7">
        <v>228</v>
      </c>
      <c r="H1387" s="2">
        <v>285209</v>
      </c>
    </row>
    <row r="1388" spans="1:8" x14ac:dyDescent="0.25">
      <c r="A1388" t="str">
        <f t="shared" si="21"/>
        <v>20040-4</v>
      </c>
      <c r="B1388">
        <v>2004</v>
      </c>
      <c r="C1388" t="s">
        <v>6</v>
      </c>
      <c r="D1388" t="s">
        <v>26</v>
      </c>
      <c r="E1388">
        <v>11</v>
      </c>
      <c r="F1388" t="s">
        <v>11</v>
      </c>
      <c r="G1388" s="7">
        <v>10</v>
      </c>
      <c r="H1388" s="2">
        <v>1352508</v>
      </c>
    </row>
    <row r="1389" spans="1:8" x14ac:dyDescent="0.25">
      <c r="A1389" t="str">
        <f t="shared" si="21"/>
        <v>200415-24</v>
      </c>
      <c r="B1389">
        <v>2004</v>
      </c>
      <c r="C1389" t="s">
        <v>4</v>
      </c>
      <c r="D1389" t="s">
        <v>26</v>
      </c>
      <c r="E1389">
        <v>11</v>
      </c>
      <c r="F1389" t="s">
        <v>11</v>
      </c>
      <c r="G1389" s="7">
        <v>19</v>
      </c>
      <c r="H1389" s="2">
        <v>2497409</v>
      </c>
    </row>
    <row r="1390" spans="1:8" x14ac:dyDescent="0.25">
      <c r="A1390" t="str">
        <f t="shared" si="21"/>
        <v>200425-44</v>
      </c>
      <c r="B1390">
        <v>2004</v>
      </c>
      <c r="C1390" t="s">
        <v>3</v>
      </c>
      <c r="D1390" t="s">
        <v>26</v>
      </c>
      <c r="E1390">
        <v>11</v>
      </c>
      <c r="F1390" t="s">
        <v>11</v>
      </c>
      <c r="G1390" s="7">
        <v>91</v>
      </c>
      <c r="H1390" s="2">
        <v>3813358</v>
      </c>
    </row>
    <row r="1391" spans="1:8" x14ac:dyDescent="0.25">
      <c r="A1391" t="str">
        <f t="shared" si="21"/>
        <v>200445-64</v>
      </c>
      <c r="B1391">
        <v>2004</v>
      </c>
      <c r="C1391" t="s">
        <v>2</v>
      </c>
      <c r="D1391" t="s">
        <v>26</v>
      </c>
      <c r="E1391">
        <v>11</v>
      </c>
      <c r="F1391" t="s">
        <v>11</v>
      </c>
      <c r="G1391" s="7">
        <v>153</v>
      </c>
      <c r="H1391" s="2">
        <v>1936129</v>
      </c>
    </row>
    <row r="1392" spans="1:8" x14ac:dyDescent="0.25">
      <c r="A1392" t="str">
        <f t="shared" si="21"/>
        <v>20045-14</v>
      </c>
      <c r="B1392">
        <v>2004</v>
      </c>
      <c r="C1392" t="s">
        <v>5</v>
      </c>
      <c r="D1392" t="s">
        <v>26</v>
      </c>
      <c r="E1392">
        <v>11</v>
      </c>
      <c r="F1392" t="s">
        <v>11</v>
      </c>
      <c r="G1392" s="7">
        <v>16</v>
      </c>
      <c r="H1392" s="2">
        <v>2624530</v>
      </c>
    </row>
    <row r="1393" spans="1:8" x14ac:dyDescent="0.25">
      <c r="A1393" t="str">
        <f t="shared" si="21"/>
        <v>200465-74</v>
      </c>
      <c r="B1393">
        <v>2004</v>
      </c>
      <c r="C1393" t="s">
        <v>1</v>
      </c>
      <c r="D1393" t="s">
        <v>26</v>
      </c>
      <c r="E1393">
        <v>11</v>
      </c>
      <c r="F1393" t="s">
        <v>11</v>
      </c>
      <c r="G1393" s="7">
        <v>111</v>
      </c>
      <c r="H1393" s="2">
        <v>441018</v>
      </c>
    </row>
    <row r="1394" spans="1:8" x14ac:dyDescent="0.25">
      <c r="A1394" t="str">
        <f t="shared" si="21"/>
        <v>200475+</v>
      </c>
      <c r="B1394">
        <v>2004</v>
      </c>
      <c r="C1394" t="s">
        <v>0</v>
      </c>
      <c r="D1394" t="s">
        <v>26</v>
      </c>
      <c r="E1394">
        <v>11</v>
      </c>
      <c r="F1394" t="s">
        <v>11</v>
      </c>
      <c r="G1394" s="7">
        <v>220</v>
      </c>
      <c r="H1394" s="2">
        <v>299301</v>
      </c>
    </row>
    <row r="1395" spans="1:8" x14ac:dyDescent="0.25">
      <c r="A1395" t="str">
        <f t="shared" si="21"/>
        <v>20050-4</v>
      </c>
      <c r="B1395">
        <v>2005</v>
      </c>
      <c r="C1395" t="s">
        <v>6</v>
      </c>
      <c r="D1395" t="s">
        <v>26</v>
      </c>
      <c r="E1395">
        <v>11</v>
      </c>
      <c r="F1395" t="s">
        <v>11</v>
      </c>
      <c r="G1395" s="7">
        <v>3</v>
      </c>
      <c r="H1395" s="2">
        <v>1353852</v>
      </c>
    </row>
    <row r="1396" spans="1:8" x14ac:dyDescent="0.25">
      <c r="A1396" t="str">
        <f t="shared" si="21"/>
        <v>200515-24</v>
      </c>
      <c r="B1396">
        <v>2005</v>
      </c>
      <c r="C1396" t="s">
        <v>4</v>
      </c>
      <c r="D1396" t="s">
        <v>26</v>
      </c>
      <c r="E1396">
        <v>11</v>
      </c>
      <c r="F1396" t="s">
        <v>11</v>
      </c>
      <c r="G1396" s="7">
        <v>16</v>
      </c>
      <c r="H1396" s="2">
        <v>2524017</v>
      </c>
    </row>
    <row r="1397" spans="1:8" x14ac:dyDescent="0.25">
      <c r="A1397" t="str">
        <f t="shared" si="21"/>
        <v>200525-44</v>
      </c>
      <c r="B1397">
        <v>2005</v>
      </c>
      <c r="C1397" t="s">
        <v>3</v>
      </c>
      <c r="D1397" t="s">
        <v>26</v>
      </c>
      <c r="E1397">
        <v>11</v>
      </c>
      <c r="F1397" t="s">
        <v>11</v>
      </c>
      <c r="G1397" s="7">
        <v>68</v>
      </c>
      <c r="H1397" s="2">
        <v>3881062</v>
      </c>
    </row>
    <row r="1398" spans="1:8" x14ac:dyDescent="0.25">
      <c r="A1398" t="str">
        <f t="shared" si="21"/>
        <v>200545-64</v>
      </c>
      <c r="B1398">
        <v>2005</v>
      </c>
      <c r="C1398" t="s">
        <v>2</v>
      </c>
      <c r="D1398" t="s">
        <v>26</v>
      </c>
      <c r="E1398">
        <v>11</v>
      </c>
      <c r="F1398" t="s">
        <v>11</v>
      </c>
      <c r="G1398" s="7">
        <v>150</v>
      </c>
      <c r="H1398" s="2">
        <v>2016148</v>
      </c>
    </row>
    <row r="1399" spans="1:8" x14ac:dyDescent="0.25">
      <c r="A1399" t="str">
        <f t="shared" si="21"/>
        <v>20055-14</v>
      </c>
      <c r="B1399">
        <v>2005</v>
      </c>
      <c r="C1399" t="s">
        <v>5</v>
      </c>
      <c r="D1399" t="s">
        <v>26</v>
      </c>
      <c r="E1399">
        <v>11</v>
      </c>
      <c r="F1399" t="s">
        <v>11</v>
      </c>
      <c r="G1399" s="7">
        <v>13</v>
      </c>
      <c r="H1399" s="2">
        <v>2629864</v>
      </c>
    </row>
    <row r="1400" spans="1:8" x14ac:dyDescent="0.25">
      <c r="A1400" t="str">
        <f t="shared" si="21"/>
        <v>200565-74</v>
      </c>
      <c r="B1400">
        <v>2005</v>
      </c>
      <c r="C1400" t="s">
        <v>1</v>
      </c>
      <c r="D1400" t="s">
        <v>26</v>
      </c>
      <c r="E1400">
        <v>11</v>
      </c>
      <c r="F1400" t="s">
        <v>11</v>
      </c>
      <c r="G1400" s="7">
        <v>115</v>
      </c>
      <c r="H1400" s="2">
        <v>454245</v>
      </c>
    </row>
    <row r="1401" spans="1:8" x14ac:dyDescent="0.25">
      <c r="A1401" t="str">
        <f t="shared" si="21"/>
        <v>200575+</v>
      </c>
      <c r="B1401">
        <v>2005</v>
      </c>
      <c r="C1401" t="s">
        <v>0</v>
      </c>
      <c r="D1401" t="s">
        <v>26</v>
      </c>
      <c r="E1401">
        <v>11</v>
      </c>
      <c r="F1401" t="s">
        <v>11</v>
      </c>
      <c r="G1401" s="7">
        <v>236</v>
      </c>
      <c r="H1401" s="2">
        <v>312767</v>
      </c>
    </row>
    <row r="1402" spans="1:8" x14ac:dyDescent="0.25">
      <c r="A1402" t="str">
        <f t="shared" si="21"/>
        <v>20060-4</v>
      </c>
      <c r="B1402">
        <v>2006</v>
      </c>
      <c r="C1402" t="s">
        <v>6</v>
      </c>
      <c r="D1402" t="s">
        <v>26</v>
      </c>
      <c r="E1402">
        <v>11</v>
      </c>
      <c r="F1402" t="s">
        <v>11</v>
      </c>
      <c r="G1402" s="7">
        <v>10</v>
      </c>
      <c r="H1402" s="2">
        <v>1354432</v>
      </c>
    </row>
    <row r="1403" spans="1:8" x14ac:dyDescent="0.25">
      <c r="A1403" t="str">
        <f t="shared" si="21"/>
        <v>200615-24</v>
      </c>
      <c r="B1403">
        <v>2006</v>
      </c>
      <c r="C1403" t="s">
        <v>4</v>
      </c>
      <c r="D1403" t="s">
        <v>26</v>
      </c>
      <c r="E1403">
        <v>11</v>
      </c>
      <c r="F1403" t="s">
        <v>11</v>
      </c>
      <c r="G1403" s="7">
        <v>23</v>
      </c>
      <c r="H1403" s="2">
        <v>2544731</v>
      </c>
    </row>
    <row r="1404" spans="1:8" x14ac:dyDescent="0.25">
      <c r="A1404" t="str">
        <f t="shared" si="21"/>
        <v>200625-44</v>
      </c>
      <c r="B1404">
        <v>2006</v>
      </c>
      <c r="C1404" t="s">
        <v>3</v>
      </c>
      <c r="D1404" t="s">
        <v>26</v>
      </c>
      <c r="E1404">
        <v>11</v>
      </c>
      <c r="F1404" t="s">
        <v>11</v>
      </c>
      <c r="G1404" s="7">
        <v>89</v>
      </c>
      <c r="H1404" s="2">
        <v>3947836</v>
      </c>
    </row>
    <row r="1405" spans="1:8" x14ac:dyDescent="0.25">
      <c r="A1405" t="str">
        <f t="shared" si="21"/>
        <v>200645-64</v>
      </c>
      <c r="B1405">
        <v>2006</v>
      </c>
      <c r="C1405" t="s">
        <v>2</v>
      </c>
      <c r="D1405" t="s">
        <v>26</v>
      </c>
      <c r="E1405">
        <v>11</v>
      </c>
      <c r="F1405" t="s">
        <v>11</v>
      </c>
      <c r="G1405" s="7">
        <v>154</v>
      </c>
      <c r="H1405" s="2">
        <v>2100791</v>
      </c>
    </row>
    <row r="1406" spans="1:8" x14ac:dyDescent="0.25">
      <c r="A1406" t="str">
        <f t="shared" si="21"/>
        <v>20065-14</v>
      </c>
      <c r="B1406">
        <v>2006</v>
      </c>
      <c r="C1406" t="s">
        <v>5</v>
      </c>
      <c r="D1406" t="s">
        <v>26</v>
      </c>
      <c r="E1406">
        <v>11</v>
      </c>
      <c r="F1406" t="s">
        <v>11</v>
      </c>
      <c r="G1406" s="7">
        <v>18</v>
      </c>
      <c r="H1406" s="2">
        <v>2638747</v>
      </c>
    </row>
    <row r="1407" spans="1:8" x14ac:dyDescent="0.25">
      <c r="A1407" t="str">
        <f t="shared" si="21"/>
        <v>200665-74</v>
      </c>
      <c r="B1407">
        <v>2006</v>
      </c>
      <c r="C1407" t="s">
        <v>1</v>
      </c>
      <c r="D1407" t="s">
        <v>26</v>
      </c>
      <c r="E1407">
        <v>11</v>
      </c>
      <c r="F1407" t="s">
        <v>11</v>
      </c>
      <c r="G1407" s="7">
        <v>105</v>
      </c>
      <c r="H1407" s="2">
        <v>468680</v>
      </c>
    </row>
    <row r="1408" spans="1:8" x14ac:dyDescent="0.25">
      <c r="A1408" t="str">
        <f t="shared" si="21"/>
        <v>200675+</v>
      </c>
      <c r="B1408">
        <v>2006</v>
      </c>
      <c r="C1408" t="s">
        <v>0</v>
      </c>
      <c r="D1408" t="s">
        <v>26</v>
      </c>
      <c r="E1408">
        <v>11</v>
      </c>
      <c r="F1408" t="s">
        <v>11</v>
      </c>
      <c r="G1408" s="7">
        <v>238</v>
      </c>
      <c r="H1408" s="2">
        <v>325672</v>
      </c>
    </row>
    <row r="1409" spans="1:8" x14ac:dyDescent="0.25">
      <c r="A1409" t="str">
        <f t="shared" si="21"/>
        <v>20070-4</v>
      </c>
      <c r="B1409">
        <v>2007</v>
      </c>
      <c r="C1409" t="s">
        <v>6</v>
      </c>
      <c r="D1409" t="s">
        <v>26</v>
      </c>
      <c r="E1409">
        <v>11</v>
      </c>
      <c r="F1409" t="s">
        <v>11</v>
      </c>
      <c r="G1409" s="7">
        <v>8</v>
      </c>
      <c r="H1409" s="2">
        <v>1354234</v>
      </c>
    </row>
    <row r="1410" spans="1:8" x14ac:dyDescent="0.25">
      <c r="A1410" t="str">
        <f t="shared" ref="A1410:A1473" si="22">+CONCATENATE(B1410,C1410)</f>
        <v>200715-24</v>
      </c>
      <c r="B1410">
        <v>2007</v>
      </c>
      <c r="C1410" t="s">
        <v>4</v>
      </c>
      <c r="D1410" t="s">
        <v>26</v>
      </c>
      <c r="E1410">
        <v>11</v>
      </c>
      <c r="F1410" t="s">
        <v>11</v>
      </c>
      <c r="G1410" s="7">
        <v>19</v>
      </c>
      <c r="H1410" s="2">
        <v>2561885</v>
      </c>
    </row>
    <row r="1411" spans="1:8" x14ac:dyDescent="0.25">
      <c r="A1411" t="str">
        <f t="shared" si="22"/>
        <v>200725-44</v>
      </c>
      <c r="B1411">
        <v>2007</v>
      </c>
      <c r="C1411" t="s">
        <v>3</v>
      </c>
      <c r="D1411" t="s">
        <v>26</v>
      </c>
      <c r="E1411">
        <v>11</v>
      </c>
      <c r="F1411" t="s">
        <v>11</v>
      </c>
      <c r="G1411" s="7">
        <v>78</v>
      </c>
      <c r="H1411" s="2">
        <v>4016163</v>
      </c>
    </row>
    <row r="1412" spans="1:8" x14ac:dyDescent="0.25">
      <c r="A1412" t="str">
        <f t="shared" si="22"/>
        <v>200745-64</v>
      </c>
      <c r="B1412">
        <v>2007</v>
      </c>
      <c r="C1412" t="s">
        <v>2</v>
      </c>
      <c r="D1412" t="s">
        <v>26</v>
      </c>
      <c r="E1412">
        <v>11</v>
      </c>
      <c r="F1412" t="s">
        <v>11</v>
      </c>
      <c r="G1412" s="7">
        <v>198</v>
      </c>
      <c r="H1412" s="2">
        <v>2188071</v>
      </c>
    </row>
    <row r="1413" spans="1:8" x14ac:dyDescent="0.25">
      <c r="A1413" t="str">
        <f t="shared" si="22"/>
        <v>20075-14</v>
      </c>
      <c r="B1413">
        <v>2007</v>
      </c>
      <c r="C1413" t="s">
        <v>5</v>
      </c>
      <c r="D1413" t="s">
        <v>26</v>
      </c>
      <c r="E1413">
        <v>11</v>
      </c>
      <c r="F1413" t="s">
        <v>11</v>
      </c>
      <c r="G1413" s="7">
        <v>14</v>
      </c>
      <c r="H1413" s="2">
        <v>2647233</v>
      </c>
    </row>
    <row r="1414" spans="1:8" x14ac:dyDescent="0.25">
      <c r="A1414" t="str">
        <f t="shared" si="22"/>
        <v>200765-74</v>
      </c>
      <c r="B1414">
        <v>2007</v>
      </c>
      <c r="C1414" t="s">
        <v>1</v>
      </c>
      <c r="D1414" t="s">
        <v>26</v>
      </c>
      <c r="E1414">
        <v>11</v>
      </c>
      <c r="F1414" t="s">
        <v>11</v>
      </c>
      <c r="G1414" s="7">
        <v>107</v>
      </c>
      <c r="H1414" s="2">
        <v>484321</v>
      </c>
    </row>
    <row r="1415" spans="1:8" x14ac:dyDescent="0.25">
      <c r="A1415" t="str">
        <f t="shared" si="22"/>
        <v>200775+</v>
      </c>
      <c r="B1415">
        <v>2007</v>
      </c>
      <c r="C1415" t="s">
        <v>0</v>
      </c>
      <c r="D1415" t="s">
        <v>26</v>
      </c>
      <c r="E1415">
        <v>11</v>
      </c>
      <c r="F1415" t="s">
        <v>11</v>
      </c>
      <c r="G1415" s="7">
        <v>256</v>
      </c>
      <c r="H1415" s="2">
        <v>338128</v>
      </c>
    </row>
    <row r="1416" spans="1:8" x14ac:dyDescent="0.25">
      <c r="A1416" t="str">
        <f t="shared" si="22"/>
        <v>20080-4</v>
      </c>
      <c r="B1416">
        <v>2008</v>
      </c>
      <c r="C1416" t="s">
        <v>6</v>
      </c>
      <c r="D1416" t="s">
        <v>26</v>
      </c>
      <c r="E1416">
        <v>11</v>
      </c>
      <c r="F1416" t="s">
        <v>11</v>
      </c>
      <c r="G1416" s="7">
        <v>9</v>
      </c>
      <c r="H1416" s="2">
        <v>1353145</v>
      </c>
    </row>
    <row r="1417" spans="1:8" x14ac:dyDescent="0.25">
      <c r="A1417" t="str">
        <f t="shared" si="22"/>
        <v>200815-24</v>
      </c>
      <c r="B1417">
        <v>2008</v>
      </c>
      <c r="C1417" t="s">
        <v>4</v>
      </c>
      <c r="D1417" t="s">
        <v>26</v>
      </c>
      <c r="E1417">
        <v>11</v>
      </c>
      <c r="F1417" t="s">
        <v>11</v>
      </c>
      <c r="G1417" s="7">
        <v>19</v>
      </c>
      <c r="H1417" s="2">
        <v>2575138</v>
      </c>
    </row>
    <row r="1418" spans="1:8" x14ac:dyDescent="0.25">
      <c r="A1418" t="str">
        <f t="shared" si="22"/>
        <v>200825-44</v>
      </c>
      <c r="B1418">
        <v>2008</v>
      </c>
      <c r="C1418" t="s">
        <v>3</v>
      </c>
      <c r="D1418" t="s">
        <v>26</v>
      </c>
      <c r="E1418">
        <v>11</v>
      </c>
      <c r="F1418" t="s">
        <v>11</v>
      </c>
      <c r="G1418" s="7">
        <v>94</v>
      </c>
      <c r="H1418" s="2">
        <v>4085944</v>
      </c>
    </row>
    <row r="1419" spans="1:8" x14ac:dyDescent="0.25">
      <c r="A1419" t="str">
        <f t="shared" si="22"/>
        <v>200845-64</v>
      </c>
      <c r="B1419">
        <v>2008</v>
      </c>
      <c r="C1419" t="s">
        <v>2</v>
      </c>
      <c r="D1419" t="s">
        <v>26</v>
      </c>
      <c r="E1419">
        <v>11</v>
      </c>
      <c r="F1419" t="s">
        <v>11</v>
      </c>
      <c r="G1419" s="7">
        <v>211</v>
      </c>
      <c r="H1419" s="2">
        <v>2277674</v>
      </c>
    </row>
    <row r="1420" spans="1:8" x14ac:dyDescent="0.25">
      <c r="A1420" t="str">
        <f t="shared" si="22"/>
        <v>20085-14</v>
      </c>
      <c r="B1420">
        <v>2008</v>
      </c>
      <c r="C1420" t="s">
        <v>5</v>
      </c>
      <c r="D1420" t="s">
        <v>26</v>
      </c>
      <c r="E1420">
        <v>11</v>
      </c>
      <c r="F1420" t="s">
        <v>11</v>
      </c>
      <c r="G1420" s="7">
        <v>14</v>
      </c>
      <c r="H1420" s="2">
        <v>2655740</v>
      </c>
    </row>
    <row r="1421" spans="1:8" x14ac:dyDescent="0.25">
      <c r="A1421" t="str">
        <f t="shared" si="22"/>
        <v>200865-74</v>
      </c>
      <c r="B1421">
        <v>2008</v>
      </c>
      <c r="C1421" t="s">
        <v>1</v>
      </c>
      <c r="D1421" t="s">
        <v>26</v>
      </c>
      <c r="E1421">
        <v>11</v>
      </c>
      <c r="F1421" t="s">
        <v>11</v>
      </c>
      <c r="G1421" s="7">
        <v>144</v>
      </c>
      <c r="H1421" s="2">
        <v>501201</v>
      </c>
    </row>
    <row r="1422" spans="1:8" x14ac:dyDescent="0.25">
      <c r="A1422" t="str">
        <f t="shared" si="22"/>
        <v>200875+</v>
      </c>
      <c r="B1422">
        <v>2008</v>
      </c>
      <c r="C1422" t="s">
        <v>0</v>
      </c>
      <c r="D1422" t="s">
        <v>26</v>
      </c>
      <c r="E1422">
        <v>11</v>
      </c>
      <c r="F1422" t="s">
        <v>11</v>
      </c>
      <c r="G1422" s="7">
        <v>328</v>
      </c>
      <c r="H1422" s="2">
        <v>350235</v>
      </c>
    </row>
    <row r="1423" spans="1:8" x14ac:dyDescent="0.25">
      <c r="A1423" t="str">
        <f t="shared" si="22"/>
        <v>20090-4</v>
      </c>
      <c r="B1423">
        <v>2009</v>
      </c>
      <c r="C1423" t="s">
        <v>6</v>
      </c>
      <c r="D1423" t="s">
        <v>26</v>
      </c>
      <c r="E1423">
        <v>11</v>
      </c>
      <c r="F1423" t="s">
        <v>11</v>
      </c>
      <c r="G1423" s="7">
        <v>9</v>
      </c>
      <c r="H1423" s="2">
        <v>1351158</v>
      </c>
    </row>
    <row r="1424" spans="1:8" x14ac:dyDescent="0.25">
      <c r="A1424" t="str">
        <f t="shared" si="22"/>
        <v>200915-24</v>
      </c>
      <c r="B1424">
        <v>2009</v>
      </c>
      <c r="C1424" t="s">
        <v>4</v>
      </c>
      <c r="D1424" t="s">
        <v>26</v>
      </c>
      <c r="E1424">
        <v>11</v>
      </c>
      <c r="F1424" t="s">
        <v>11</v>
      </c>
      <c r="G1424" s="7">
        <v>33</v>
      </c>
      <c r="H1424" s="2">
        <v>2584791</v>
      </c>
    </row>
    <row r="1425" spans="1:8" x14ac:dyDescent="0.25">
      <c r="A1425" t="str">
        <f t="shared" si="22"/>
        <v>200925-44</v>
      </c>
      <c r="B1425">
        <v>2009</v>
      </c>
      <c r="C1425" t="s">
        <v>3</v>
      </c>
      <c r="D1425" t="s">
        <v>26</v>
      </c>
      <c r="E1425">
        <v>11</v>
      </c>
      <c r="F1425" t="s">
        <v>11</v>
      </c>
      <c r="G1425" s="7">
        <v>106</v>
      </c>
      <c r="H1425" s="2">
        <v>4156891</v>
      </c>
    </row>
    <row r="1426" spans="1:8" x14ac:dyDescent="0.25">
      <c r="A1426" t="str">
        <f t="shared" si="22"/>
        <v>200945-64</v>
      </c>
      <c r="B1426">
        <v>2009</v>
      </c>
      <c r="C1426" t="s">
        <v>2</v>
      </c>
      <c r="D1426" t="s">
        <v>26</v>
      </c>
      <c r="E1426">
        <v>11</v>
      </c>
      <c r="F1426" t="s">
        <v>11</v>
      </c>
      <c r="G1426" s="7">
        <v>275</v>
      </c>
      <c r="H1426" s="2">
        <v>2369589</v>
      </c>
    </row>
    <row r="1427" spans="1:8" x14ac:dyDescent="0.25">
      <c r="A1427" t="str">
        <f t="shared" si="22"/>
        <v>20095-14</v>
      </c>
      <c r="B1427">
        <v>2009</v>
      </c>
      <c r="C1427" t="s">
        <v>5</v>
      </c>
      <c r="D1427" t="s">
        <v>26</v>
      </c>
      <c r="E1427">
        <v>11</v>
      </c>
      <c r="F1427" t="s">
        <v>11</v>
      </c>
      <c r="G1427" s="7">
        <v>12</v>
      </c>
      <c r="H1427" s="2">
        <v>2664671</v>
      </c>
    </row>
    <row r="1428" spans="1:8" x14ac:dyDescent="0.25">
      <c r="A1428" t="str">
        <f t="shared" si="22"/>
        <v>200965-74</v>
      </c>
      <c r="B1428">
        <v>2009</v>
      </c>
      <c r="C1428" t="s">
        <v>1</v>
      </c>
      <c r="D1428" t="s">
        <v>26</v>
      </c>
      <c r="E1428">
        <v>11</v>
      </c>
      <c r="F1428" t="s">
        <v>11</v>
      </c>
      <c r="G1428" s="7">
        <v>166</v>
      </c>
      <c r="H1428" s="2">
        <v>519377</v>
      </c>
    </row>
    <row r="1429" spans="1:8" x14ac:dyDescent="0.25">
      <c r="A1429" t="str">
        <f t="shared" si="22"/>
        <v>200975+</v>
      </c>
      <c r="B1429">
        <v>2009</v>
      </c>
      <c r="C1429" t="s">
        <v>0</v>
      </c>
      <c r="D1429" t="s">
        <v>26</v>
      </c>
      <c r="E1429">
        <v>11</v>
      </c>
      <c r="F1429" t="s">
        <v>11</v>
      </c>
      <c r="G1429" s="7">
        <v>358</v>
      </c>
      <c r="H1429" s="2">
        <v>362131</v>
      </c>
    </row>
    <row r="1430" spans="1:8" x14ac:dyDescent="0.25">
      <c r="A1430" t="str">
        <f t="shared" si="22"/>
        <v>20100-4</v>
      </c>
      <c r="B1430">
        <v>2010</v>
      </c>
      <c r="C1430" t="s">
        <v>6</v>
      </c>
      <c r="D1430" t="s">
        <v>26</v>
      </c>
      <c r="E1430">
        <v>11</v>
      </c>
      <c r="F1430" t="s">
        <v>11</v>
      </c>
      <c r="G1430" s="7">
        <v>8</v>
      </c>
      <c r="H1430" s="2">
        <v>1348289</v>
      </c>
    </row>
    <row r="1431" spans="1:8" x14ac:dyDescent="0.25">
      <c r="A1431" t="str">
        <f t="shared" si="22"/>
        <v>201015-24</v>
      </c>
      <c r="B1431">
        <v>2010</v>
      </c>
      <c r="C1431" t="s">
        <v>4</v>
      </c>
      <c r="D1431" t="s">
        <v>26</v>
      </c>
      <c r="E1431">
        <v>11</v>
      </c>
      <c r="F1431" t="s">
        <v>11</v>
      </c>
      <c r="G1431" s="7">
        <v>27</v>
      </c>
      <c r="H1431" s="2">
        <v>2590746</v>
      </c>
    </row>
    <row r="1432" spans="1:8" x14ac:dyDescent="0.25">
      <c r="A1432" t="str">
        <f t="shared" si="22"/>
        <v>201025-44</v>
      </c>
      <c r="B1432">
        <v>2010</v>
      </c>
      <c r="C1432" t="s">
        <v>3</v>
      </c>
      <c r="D1432" t="s">
        <v>26</v>
      </c>
      <c r="E1432">
        <v>11</v>
      </c>
      <c r="F1432" t="s">
        <v>11</v>
      </c>
      <c r="G1432" s="7">
        <v>85</v>
      </c>
      <c r="H1432" s="2">
        <v>4228246</v>
      </c>
    </row>
    <row r="1433" spans="1:8" x14ac:dyDescent="0.25">
      <c r="A1433" t="str">
        <f t="shared" si="22"/>
        <v>201045-64</v>
      </c>
      <c r="B1433">
        <v>2010</v>
      </c>
      <c r="C1433" t="s">
        <v>2</v>
      </c>
      <c r="D1433" t="s">
        <v>26</v>
      </c>
      <c r="E1433">
        <v>11</v>
      </c>
      <c r="F1433" t="s">
        <v>11</v>
      </c>
      <c r="G1433" s="7">
        <v>274</v>
      </c>
      <c r="H1433" s="2">
        <v>2464321</v>
      </c>
    </row>
    <row r="1434" spans="1:8" x14ac:dyDescent="0.25">
      <c r="A1434" t="str">
        <f t="shared" si="22"/>
        <v>20105-14</v>
      </c>
      <c r="B1434">
        <v>2010</v>
      </c>
      <c r="C1434" t="s">
        <v>5</v>
      </c>
      <c r="D1434" t="s">
        <v>26</v>
      </c>
      <c r="E1434">
        <v>11</v>
      </c>
      <c r="F1434" t="s">
        <v>11</v>
      </c>
      <c r="G1434" s="7">
        <v>8</v>
      </c>
      <c r="H1434" s="2">
        <v>2674173</v>
      </c>
    </row>
    <row r="1435" spans="1:8" x14ac:dyDescent="0.25">
      <c r="A1435" t="str">
        <f t="shared" si="22"/>
        <v>201065-74</v>
      </c>
      <c r="B1435">
        <v>2010</v>
      </c>
      <c r="C1435" t="s">
        <v>1</v>
      </c>
      <c r="D1435" t="s">
        <v>26</v>
      </c>
      <c r="E1435">
        <v>11</v>
      </c>
      <c r="F1435" t="s">
        <v>11</v>
      </c>
      <c r="G1435" s="7">
        <v>163</v>
      </c>
      <c r="H1435" s="2">
        <v>538921</v>
      </c>
    </row>
    <row r="1436" spans="1:8" x14ac:dyDescent="0.25">
      <c r="A1436" t="str">
        <f t="shared" si="22"/>
        <v>201075+</v>
      </c>
      <c r="B1436">
        <v>2010</v>
      </c>
      <c r="C1436" t="s">
        <v>0</v>
      </c>
      <c r="D1436" t="s">
        <v>26</v>
      </c>
      <c r="E1436">
        <v>11</v>
      </c>
      <c r="F1436" t="s">
        <v>11</v>
      </c>
      <c r="G1436" s="7">
        <v>402</v>
      </c>
      <c r="H1436" s="2">
        <v>373918</v>
      </c>
    </row>
    <row r="1437" spans="1:8" x14ac:dyDescent="0.25">
      <c r="A1437" t="str">
        <f t="shared" si="22"/>
        <v>20110-4</v>
      </c>
      <c r="B1437">
        <v>2011</v>
      </c>
      <c r="C1437" t="s">
        <v>6</v>
      </c>
      <c r="D1437" t="s">
        <v>26</v>
      </c>
      <c r="E1437">
        <v>11</v>
      </c>
      <c r="F1437" t="s">
        <v>11</v>
      </c>
      <c r="G1437" s="7">
        <v>10</v>
      </c>
      <c r="H1437" s="2">
        <v>1344595</v>
      </c>
    </row>
    <row r="1438" spans="1:8" x14ac:dyDescent="0.25">
      <c r="A1438" t="str">
        <f t="shared" si="22"/>
        <v>201115-24</v>
      </c>
      <c r="B1438">
        <v>2011</v>
      </c>
      <c r="C1438" t="s">
        <v>4</v>
      </c>
      <c r="D1438" t="s">
        <v>26</v>
      </c>
      <c r="E1438">
        <v>11</v>
      </c>
      <c r="F1438" t="s">
        <v>11</v>
      </c>
      <c r="G1438" s="7">
        <v>23</v>
      </c>
      <c r="H1438" s="2">
        <v>2593350</v>
      </c>
    </row>
    <row r="1439" spans="1:8" x14ac:dyDescent="0.25">
      <c r="A1439" t="str">
        <f t="shared" si="22"/>
        <v>201125-44</v>
      </c>
      <c r="B1439">
        <v>2011</v>
      </c>
      <c r="C1439" t="s">
        <v>3</v>
      </c>
      <c r="D1439" t="s">
        <v>26</v>
      </c>
      <c r="E1439">
        <v>11</v>
      </c>
      <c r="F1439" t="s">
        <v>11</v>
      </c>
      <c r="G1439" s="7">
        <v>97</v>
      </c>
      <c r="H1439" s="2">
        <v>4299392</v>
      </c>
    </row>
    <row r="1440" spans="1:8" x14ac:dyDescent="0.25">
      <c r="A1440" t="str">
        <f t="shared" si="22"/>
        <v>201145-64</v>
      </c>
      <c r="B1440">
        <v>2011</v>
      </c>
      <c r="C1440" t="s">
        <v>2</v>
      </c>
      <c r="D1440" t="s">
        <v>26</v>
      </c>
      <c r="E1440">
        <v>11</v>
      </c>
      <c r="F1440" t="s">
        <v>11</v>
      </c>
      <c r="G1440" s="7">
        <v>214</v>
      </c>
      <c r="H1440" s="2">
        <v>2561836</v>
      </c>
    </row>
    <row r="1441" spans="1:8" x14ac:dyDescent="0.25">
      <c r="A1441" t="str">
        <f t="shared" si="22"/>
        <v>20115-14</v>
      </c>
      <c r="B1441">
        <v>2011</v>
      </c>
      <c r="C1441" t="s">
        <v>5</v>
      </c>
      <c r="D1441" t="s">
        <v>26</v>
      </c>
      <c r="E1441">
        <v>11</v>
      </c>
      <c r="F1441" t="s">
        <v>11</v>
      </c>
      <c r="G1441" s="7">
        <v>13</v>
      </c>
      <c r="H1441" s="2">
        <v>2684312</v>
      </c>
    </row>
    <row r="1442" spans="1:8" x14ac:dyDescent="0.25">
      <c r="A1442" t="str">
        <f t="shared" si="22"/>
        <v>201165-74</v>
      </c>
      <c r="B1442">
        <v>2011</v>
      </c>
      <c r="C1442" t="s">
        <v>1</v>
      </c>
      <c r="D1442" t="s">
        <v>26</v>
      </c>
      <c r="E1442">
        <v>11</v>
      </c>
      <c r="F1442" t="s">
        <v>11</v>
      </c>
      <c r="G1442" s="7">
        <v>128</v>
      </c>
      <c r="H1442" s="2">
        <v>559899</v>
      </c>
    </row>
    <row r="1443" spans="1:8" x14ac:dyDescent="0.25">
      <c r="A1443" t="str">
        <f t="shared" si="22"/>
        <v>201175+</v>
      </c>
      <c r="B1443">
        <v>2011</v>
      </c>
      <c r="C1443" t="s">
        <v>0</v>
      </c>
      <c r="D1443" t="s">
        <v>26</v>
      </c>
      <c r="E1443">
        <v>11</v>
      </c>
      <c r="F1443" t="s">
        <v>11</v>
      </c>
      <c r="G1443" s="7">
        <v>376</v>
      </c>
      <c r="H1443" s="2">
        <v>385721</v>
      </c>
    </row>
    <row r="1444" spans="1:8" x14ac:dyDescent="0.25">
      <c r="A1444" t="str">
        <f t="shared" si="22"/>
        <v>20120-4</v>
      </c>
      <c r="B1444">
        <v>2012</v>
      </c>
      <c r="C1444" t="s">
        <v>6</v>
      </c>
      <c r="D1444" t="s">
        <v>26</v>
      </c>
      <c r="E1444">
        <v>11</v>
      </c>
      <c r="F1444" t="s">
        <v>11</v>
      </c>
      <c r="G1444" s="7">
        <v>7</v>
      </c>
      <c r="H1444" s="2">
        <v>1340586.3214094499</v>
      </c>
    </row>
    <row r="1445" spans="1:8" x14ac:dyDescent="0.25">
      <c r="A1445" t="str">
        <f t="shared" si="22"/>
        <v>201215-24</v>
      </c>
      <c r="B1445">
        <v>2012</v>
      </c>
      <c r="C1445" t="s">
        <v>4</v>
      </c>
      <c r="D1445" t="s">
        <v>26</v>
      </c>
      <c r="E1445">
        <v>11</v>
      </c>
      <c r="F1445" t="s">
        <v>11</v>
      </c>
      <c r="G1445" s="7">
        <v>21</v>
      </c>
      <c r="H1445" s="2">
        <v>2596932.5593387499</v>
      </c>
    </row>
    <row r="1446" spans="1:8" x14ac:dyDescent="0.25">
      <c r="A1446" t="str">
        <f t="shared" si="22"/>
        <v>201225-44</v>
      </c>
      <c r="B1446">
        <v>2012</v>
      </c>
      <c r="C1446" t="s">
        <v>3</v>
      </c>
      <c r="D1446" t="s">
        <v>26</v>
      </c>
      <c r="E1446">
        <v>11</v>
      </c>
      <c r="F1446" t="s">
        <v>11</v>
      </c>
      <c r="G1446" s="7">
        <v>76</v>
      </c>
      <c r="H1446" s="2">
        <v>4370928.8062696801</v>
      </c>
    </row>
    <row r="1447" spans="1:8" x14ac:dyDescent="0.25">
      <c r="A1447" t="str">
        <f t="shared" si="22"/>
        <v>201245-64</v>
      </c>
      <c r="B1447">
        <v>2012</v>
      </c>
      <c r="C1447" t="s">
        <v>2</v>
      </c>
      <c r="D1447" t="s">
        <v>26</v>
      </c>
      <c r="E1447">
        <v>11</v>
      </c>
      <c r="F1447" t="s">
        <v>11</v>
      </c>
      <c r="G1447" s="7">
        <v>226</v>
      </c>
      <c r="H1447" s="2">
        <v>2658291.2681631502</v>
      </c>
    </row>
    <row r="1448" spans="1:8" x14ac:dyDescent="0.25">
      <c r="A1448" t="str">
        <f t="shared" si="22"/>
        <v>20125-14</v>
      </c>
      <c r="B1448">
        <v>2012</v>
      </c>
      <c r="C1448" t="s">
        <v>5</v>
      </c>
      <c r="D1448" t="s">
        <v>26</v>
      </c>
      <c r="E1448">
        <v>11</v>
      </c>
      <c r="F1448" t="s">
        <v>11</v>
      </c>
      <c r="G1448" s="7">
        <v>8</v>
      </c>
      <c r="H1448" s="2">
        <v>2693165.8826794801</v>
      </c>
    </row>
    <row r="1449" spans="1:8" x14ac:dyDescent="0.25">
      <c r="A1449" t="str">
        <f t="shared" si="22"/>
        <v>201265-74</v>
      </c>
      <c r="B1449">
        <v>2012</v>
      </c>
      <c r="C1449" t="s">
        <v>1</v>
      </c>
      <c r="D1449" t="s">
        <v>26</v>
      </c>
      <c r="E1449">
        <v>11</v>
      </c>
      <c r="F1449" t="s">
        <v>11</v>
      </c>
      <c r="G1449" s="7">
        <v>145</v>
      </c>
      <c r="H1449" s="2">
        <v>582433.94467592705</v>
      </c>
    </row>
    <row r="1450" spans="1:8" x14ac:dyDescent="0.25">
      <c r="A1450" t="str">
        <f t="shared" si="22"/>
        <v>201275+</v>
      </c>
      <c r="B1450">
        <v>2012</v>
      </c>
      <c r="C1450" t="s">
        <v>0</v>
      </c>
      <c r="D1450" t="s">
        <v>26</v>
      </c>
      <c r="E1450">
        <v>11</v>
      </c>
      <c r="F1450" t="s">
        <v>11</v>
      </c>
      <c r="G1450" s="7">
        <v>333</v>
      </c>
      <c r="H1450" s="2">
        <v>398069.84835797001</v>
      </c>
    </row>
    <row r="1451" spans="1:8" x14ac:dyDescent="0.25">
      <c r="A1451" t="str">
        <f t="shared" si="22"/>
        <v>20130-4</v>
      </c>
      <c r="B1451">
        <v>2013</v>
      </c>
      <c r="C1451" t="s">
        <v>6</v>
      </c>
      <c r="D1451" t="s">
        <v>26</v>
      </c>
      <c r="E1451">
        <v>11</v>
      </c>
      <c r="F1451" t="s">
        <v>11</v>
      </c>
      <c r="G1451" s="7">
        <v>6</v>
      </c>
      <c r="H1451" s="2">
        <v>1336364.77993838</v>
      </c>
    </row>
    <row r="1452" spans="1:8" x14ac:dyDescent="0.25">
      <c r="A1452" t="str">
        <f t="shared" si="22"/>
        <v>201315-24</v>
      </c>
      <c r="B1452">
        <v>2013</v>
      </c>
      <c r="C1452" t="s">
        <v>4</v>
      </c>
      <c r="D1452" t="s">
        <v>26</v>
      </c>
      <c r="E1452">
        <v>11</v>
      </c>
      <c r="F1452" t="s">
        <v>11</v>
      </c>
      <c r="G1452" s="7">
        <v>21</v>
      </c>
      <c r="H1452" s="2">
        <v>2602650.6589393602</v>
      </c>
    </row>
    <row r="1453" spans="1:8" x14ac:dyDescent="0.25">
      <c r="A1453" t="str">
        <f t="shared" si="22"/>
        <v>201325-44</v>
      </c>
      <c r="B1453">
        <v>2013</v>
      </c>
      <c r="C1453" t="s">
        <v>3</v>
      </c>
      <c r="D1453" t="s">
        <v>26</v>
      </c>
      <c r="E1453">
        <v>11</v>
      </c>
      <c r="F1453" t="s">
        <v>11</v>
      </c>
      <c r="G1453" s="7">
        <v>99</v>
      </c>
      <c r="H1453" s="2">
        <v>4442157.0636299504</v>
      </c>
    </row>
    <row r="1454" spans="1:8" x14ac:dyDescent="0.25">
      <c r="A1454" t="str">
        <f t="shared" si="22"/>
        <v>201345-64</v>
      </c>
      <c r="B1454">
        <v>2013</v>
      </c>
      <c r="C1454" t="s">
        <v>2</v>
      </c>
      <c r="D1454" t="s">
        <v>26</v>
      </c>
      <c r="E1454">
        <v>11</v>
      </c>
      <c r="F1454" t="s">
        <v>11</v>
      </c>
      <c r="G1454" s="7">
        <v>246</v>
      </c>
      <c r="H1454" s="2">
        <v>2752738.9724179399</v>
      </c>
    </row>
    <row r="1455" spans="1:8" x14ac:dyDescent="0.25">
      <c r="A1455" t="str">
        <f t="shared" si="22"/>
        <v>20135-14</v>
      </c>
      <c r="B1455">
        <v>2013</v>
      </c>
      <c r="C1455" t="s">
        <v>5</v>
      </c>
      <c r="D1455" t="s">
        <v>26</v>
      </c>
      <c r="E1455">
        <v>11</v>
      </c>
      <c r="F1455" t="s">
        <v>11</v>
      </c>
      <c r="G1455" s="7">
        <v>7</v>
      </c>
      <c r="H1455" s="2">
        <v>2699988.6782491799</v>
      </c>
    </row>
    <row r="1456" spans="1:8" x14ac:dyDescent="0.25">
      <c r="A1456" t="str">
        <f t="shared" si="22"/>
        <v>201365-74</v>
      </c>
      <c r="B1456">
        <v>2013</v>
      </c>
      <c r="C1456" t="s">
        <v>1</v>
      </c>
      <c r="D1456" t="s">
        <v>26</v>
      </c>
      <c r="E1456">
        <v>11</v>
      </c>
      <c r="F1456" t="s">
        <v>11</v>
      </c>
      <c r="G1456" s="7">
        <v>158</v>
      </c>
      <c r="H1456" s="2">
        <v>606480.27141564596</v>
      </c>
    </row>
    <row r="1457" spans="1:8" x14ac:dyDescent="0.25">
      <c r="A1457" t="str">
        <f t="shared" si="22"/>
        <v>201375+</v>
      </c>
      <c r="B1457">
        <v>2013</v>
      </c>
      <c r="C1457" t="s">
        <v>0</v>
      </c>
      <c r="D1457" t="s">
        <v>26</v>
      </c>
      <c r="E1457">
        <v>11</v>
      </c>
      <c r="F1457" t="s">
        <v>11</v>
      </c>
      <c r="G1457" s="7">
        <v>365</v>
      </c>
      <c r="H1457" s="2">
        <v>411257.72175729403</v>
      </c>
    </row>
    <row r="1458" spans="1:8" x14ac:dyDescent="0.25">
      <c r="A1458" t="str">
        <f t="shared" si="22"/>
        <v>20140-4</v>
      </c>
      <c r="B1458">
        <v>2014</v>
      </c>
      <c r="C1458" t="s">
        <v>6</v>
      </c>
      <c r="D1458" t="s">
        <v>26</v>
      </c>
      <c r="E1458">
        <v>11</v>
      </c>
      <c r="F1458" t="s">
        <v>11</v>
      </c>
      <c r="G1458" s="7">
        <v>6</v>
      </c>
      <c r="H1458" s="2">
        <v>1331891</v>
      </c>
    </row>
    <row r="1459" spans="1:8" x14ac:dyDescent="0.25">
      <c r="A1459" t="str">
        <f t="shared" si="22"/>
        <v>201415-24</v>
      </c>
      <c r="B1459">
        <v>2014</v>
      </c>
      <c r="C1459" t="s">
        <v>4</v>
      </c>
      <c r="D1459" t="s">
        <v>26</v>
      </c>
      <c r="E1459">
        <v>11</v>
      </c>
      <c r="F1459" t="s">
        <v>11</v>
      </c>
      <c r="G1459" s="7">
        <v>27</v>
      </c>
      <c r="H1459" s="2">
        <v>2610538</v>
      </c>
    </row>
    <row r="1460" spans="1:8" x14ac:dyDescent="0.25">
      <c r="A1460" t="str">
        <f t="shared" si="22"/>
        <v>201425-44</v>
      </c>
      <c r="B1460">
        <v>2014</v>
      </c>
      <c r="C1460" t="s">
        <v>3</v>
      </c>
      <c r="D1460" t="s">
        <v>26</v>
      </c>
      <c r="E1460">
        <v>11</v>
      </c>
      <c r="F1460" t="s">
        <v>11</v>
      </c>
      <c r="G1460" s="7">
        <v>98</v>
      </c>
      <c r="H1460" s="2">
        <v>4511948</v>
      </c>
    </row>
    <row r="1461" spans="1:8" x14ac:dyDescent="0.25">
      <c r="A1461" t="str">
        <f t="shared" si="22"/>
        <v>201445-64</v>
      </c>
      <c r="B1461">
        <v>2014</v>
      </c>
      <c r="C1461" t="s">
        <v>2</v>
      </c>
      <c r="D1461" t="s">
        <v>26</v>
      </c>
      <c r="E1461">
        <v>11</v>
      </c>
      <c r="F1461" t="s">
        <v>11</v>
      </c>
      <c r="G1461" s="7">
        <v>295</v>
      </c>
      <c r="H1461" s="2">
        <v>2845267</v>
      </c>
    </row>
    <row r="1462" spans="1:8" x14ac:dyDescent="0.25">
      <c r="A1462" t="str">
        <f t="shared" si="22"/>
        <v>20145-14</v>
      </c>
      <c r="B1462">
        <v>2014</v>
      </c>
      <c r="C1462" t="s">
        <v>5</v>
      </c>
      <c r="D1462" t="s">
        <v>26</v>
      </c>
      <c r="E1462">
        <v>11</v>
      </c>
      <c r="F1462" t="s">
        <v>11</v>
      </c>
      <c r="G1462" s="7">
        <v>11</v>
      </c>
      <c r="H1462" s="2">
        <v>2704490</v>
      </c>
    </row>
    <row r="1463" spans="1:8" x14ac:dyDescent="0.25">
      <c r="A1463" t="str">
        <f t="shared" si="22"/>
        <v>201465-74</v>
      </c>
      <c r="B1463">
        <v>2014</v>
      </c>
      <c r="C1463" t="s">
        <v>1</v>
      </c>
      <c r="D1463" t="s">
        <v>26</v>
      </c>
      <c r="E1463">
        <v>11</v>
      </c>
      <c r="F1463" t="s">
        <v>11</v>
      </c>
      <c r="G1463" s="7">
        <v>175</v>
      </c>
      <c r="H1463" s="2">
        <v>631943</v>
      </c>
    </row>
    <row r="1464" spans="1:8" x14ac:dyDescent="0.25">
      <c r="A1464" t="str">
        <f t="shared" si="22"/>
        <v>201475+</v>
      </c>
      <c r="B1464">
        <v>2014</v>
      </c>
      <c r="C1464" t="s">
        <v>0</v>
      </c>
      <c r="D1464" t="s">
        <v>26</v>
      </c>
      <c r="E1464">
        <v>11</v>
      </c>
      <c r="F1464" t="s">
        <v>11</v>
      </c>
      <c r="G1464" s="7">
        <v>448</v>
      </c>
      <c r="H1464" s="2">
        <v>425486</v>
      </c>
    </row>
    <row r="1465" spans="1:8" x14ac:dyDescent="0.25">
      <c r="A1465" t="str">
        <f t="shared" si="22"/>
        <v>19960-4</v>
      </c>
      <c r="B1465">
        <v>1996</v>
      </c>
      <c r="C1465" t="s">
        <v>6</v>
      </c>
      <c r="D1465" t="s">
        <v>26</v>
      </c>
      <c r="E1465">
        <v>12</v>
      </c>
      <c r="F1465" t="s">
        <v>10</v>
      </c>
      <c r="G1465" s="7">
        <v>12</v>
      </c>
      <c r="H1465" s="2">
        <v>1308550.7828250399</v>
      </c>
    </row>
    <row r="1466" spans="1:8" x14ac:dyDescent="0.25">
      <c r="A1466" t="str">
        <f t="shared" si="22"/>
        <v>199615-24</v>
      </c>
      <c r="B1466">
        <v>1996</v>
      </c>
      <c r="C1466" t="s">
        <v>4</v>
      </c>
      <c r="D1466" t="s">
        <v>26</v>
      </c>
      <c r="E1466">
        <v>12</v>
      </c>
      <c r="F1466" t="s">
        <v>10</v>
      </c>
      <c r="G1466" s="7">
        <v>11</v>
      </c>
      <c r="H1466" s="2">
        <v>2136825.68729656</v>
      </c>
    </row>
    <row r="1467" spans="1:8" x14ac:dyDescent="0.25">
      <c r="A1467" t="str">
        <f t="shared" si="22"/>
        <v>199625-44</v>
      </c>
      <c r="B1467">
        <v>1996</v>
      </c>
      <c r="C1467" t="s">
        <v>3</v>
      </c>
      <c r="D1467" t="s">
        <v>26</v>
      </c>
      <c r="E1467">
        <v>12</v>
      </c>
      <c r="F1467" t="s">
        <v>10</v>
      </c>
      <c r="G1467" s="7">
        <v>42</v>
      </c>
      <c r="H1467" s="2">
        <v>3245545.2890741802</v>
      </c>
    </row>
    <row r="1468" spans="1:8" x14ac:dyDescent="0.25">
      <c r="A1468" t="str">
        <f t="shared" si="22"/>
        <v>199645-64</v>
      </c>
      <c r="B1468">
        <v>1996</v>
      </c>
      <c r="C1468" t="s">
        <v>2</v>
      </c>
      <c r="D1468" t="s">
        <v>26</v>
      </c>
      <c r="E1468">
        <v>12</v>
      </c>
      <c r="F1468" t="s">
        <v>10</v>
      </c>
      <c r="G1468" s="7">
        <v>103</v>
      </c>
      <c r="H1468" s="2">
        <v>1448877.9572723201</v>
      </c>
    </row>
    <row r="1469" spans="1:8" x14ac:dyDescent="0.25">
      <c r="A1469" t="str">
        <f t="shared" si="22"/>
        <v>19965-14</v>
      </c>
      <c r="B1469">
        <v>1996</v>
      </c>
      <c r="C1469" t="s">
        <v>5</v>
      </c>
      <c r="D1469" t="s">
        <v>26</v>
      </c>
      <c r="E1469">
        <v>12</v>
      </c>
      <c r="F1469" t="s">
        <v>10</v>
      </c>
      <c r="G1469" s="7">
        <v>16</v>
      </c>
      <c r="H1469" s="2">
        <v>2617766.7452121698</v>
      </c>
    </row>
    <row r="1470" spans="1:8" x14ac:dyDescent="0.25">
      <c r="A1470" t="str">
        <f t="shared" si="22"/>
        <v>199665-74</v>
      </c>
      <c r="B1470">
        <v>1996</v>
      </c>
      <c r="C1470" t="s">
        <v>1</v>
      </c>
      <c r="D1470" t="s">
        <v>26</v>
      </c>
      <c r="E1470">
        <v>12</v>
      </c>
      <c r="F1470" t="s">
        <v>10</v>
      </c>
      <c r="G1470" s="7">
        <v>78</v>
      </c>
      <c r="H1470" s="2">
        <v>373487.34083337098</v>
      </c>
    </row>
    <row r="1471" spans="1:8" x14ac:dyDescent="0.25">
      <c r="A1471" t="str">
        <f t="shared" si="22"/>
        <v>199675+</v>
      </c>
      <c r="B1471">
        <v>1996</v>
      </c>
      <c r="C1471" t="s">
        <v>0</v>
      </c>
      <c r="D1471" t="s">
        <v>26</v>
      </c>
      <c r="E1471">
        <v>12</v>
      </c>
      <c r="F1471" t="s">
        <v>10</v>
      </c>
      <c r="G1471" s="7">
        <v>96</v>
      </c>
      <c r="H1471" s="2">
        <v>186458.585231801</v>
      </c>
    </row>
    <row r="1472" spans="1:8" x14ac:dyDescent="0.25">
      <c r="A1472" t="str">
        <f t="shared" si="22"/>
        <v>19970-4</v>
      </c>
      <c r="B1472">
        <v>1997</v>
      </c>
      <c r="C1472" t="s">
        <v>6</v>
      </c>
      <c r="D1472" t="s">
        <v>26</v>
      </c>
      <c r="E1472">
        <v>12</v>
      </c>
      <c r="F1472" t="s">
        <v>10</v>
      </c>
      <c r="G1472" s="7">
        <v>14</v>
      </c>
      <c r="H1472" s="2">
        <v>1317732.8696950199</v>
      </c>
    </row>
    <row r="1473" spans="1:8" x14ac:dyDescent="0.25">
      <c r="A1473" t="str">
        <f t="shared" si="22"/>
        <v>199715-24</v>
      </c>
      <c r="B1473">
        <v>1997</v>
      </c>
      <c r="C1473" t="s">
        <v>4</v>
      </c>
      <c r="D1473" t="s">
        <v>26</v>
      </c>
      <c r="E1473">
        <v>12</v>
      </c>
      <c r="F1473" t="s">
        <v>10</v>
      </c>
      <c r="G1473" s="7">
        <v>19</v>
      </c>
      <c r="H1473" s="2">
        <v>2190257.4123779298</v>
      </c>
    </row>
    <row r="1474" spans="1:8" x14ac:dyDescent="0.25">
      <c r="A1474" t="str">
        <f t="shared" ref="A1474:A1537" si="23">+CONCATENATE(B1474,C1474)</f>
        <v>199725-44</v>
      </c>
      <c r="B1474">
        <v>1997</v>
      </c>
      <c r="C1474" t="s">
        <v>3</v>
      </c>
      <c r="D1474" t="s">
        <v>26</v>
      </c>
      <c r="E1474">
        <v>12</v>
      </c>
      <c r="F1474" t="s">
        <v>10</v>
      </c>
      <c r="G1474" s="7">
        <v>65</v>
      </c>
      <c r="H1474" s="2">
        <v>3319788.9734445098</v>
      </c>
    </row>
    <row r="1475" spans="1:8" x14ac:dyDescent="0.25">
      <c r="A1475" t="str">
        <f t="shared" si="23"/>
        <v>199745-64</v>
      </c>
      <c r="B1475">
        <v>1997</v>
      </c>
      <c r="C1475" t="s">
        <v>2</v>
      </c>
      <c r="D1475" t="s">
        <v>26</v>
      </c>
      <c r="E1475">
        <v>12</v>
      </c>
      <c r="F1475" t="s">
        <v>10</v>
      </c>
      <c r="G1475" s="7">
        <v>111</v>
      </c>
      <c r="H1475" s="2">
        <v>1494497.7743633899</v>
      </c>
    </row>
    <row r="1476" spans="1:8" x14ac:dyDescent="0.25">
      <c r="A1476" t="str">
        <f t="shared" si="23"/>
        <v>19975-14</v>
      </c>
      <c r="B1476">
        <v>1997</v>
      </c>
      <c r="C1476" t="s">
        <v>5</v>
      </c>
      <c r="D1476" t="s">
        <v>26</v>
      </c>
      <c r="E1476">
        <v>12</v>
      </c>
      <c r="F1476" t="s">
        <v>10</v>
      </c>
      <c r="G1476" s="7">
        <v>18</v>
      </c>
      <c r="H1476" s="2">
        <v>2625110.0471272999</v>
      </c>
    </row>
    <row r="1477" spans="1:8" x14ac:dyDescent="0.25">
      <c r="A1477" t="str">
        <f t="shared" si="23"/>
        <v>199765-74</v>
      </c>
      <c r="B1477">
        <v>1997</v>
      </c>
      <c r="C1477" t="s">
        <v>1</v>
      </c>
      <c r="D1477" t="s">
        <v>26</v>
      </c>
      <c r="E1477">
        <v>12</v>
      </c>
      <c r="F1477" t="s">
        <v>10</v>
      </c>
      <c r="G1477" s="7">
        <v>72</v>
      </c>
      <c r="H1477" s="2">
        <v>377918.60450002301</v>
      </c>
    </row>
    <row r="1478" spans="1:8" x14ac:dyDescent="0.25">
      <c r="A1478" t="str">
        <f t="shared" si="23"/>
        <v>199775+</v>
      </c>
      <c r="B1478">
        <v>1997</v>
      </c>
      <c r="C1478" t="s">
        <v>0</v>
      </c>
      <c r="D1478" t="s">
        <v>26</v>
      </c>
      <c r="E1478">
        <v>12</v>
      </c>
      <c r="F1478" t="s">
        <v>10</v>
      </c>
      <c r="G1478" s="7">
        <v>73</v>
      </c>
      <c r="H1478" s="2">
        <v>197836.55113907999</v>
      </c>
    </row>
    <row r="1479" spans="1:8" x14ac:dyDescent="0.25">
      <c r="A1479" t="str">
        <f t="shared" si="23"/>
        <v>19980-4</v>
      </c>
      <c r="B1479">
        <v>1998</v>
      </c>
      <c r="C1479" t="s">
        <v>6</v>
      </c>
      <c r="D1479" t="s">
        <v>26</v>
      </c>
      <c r="E1479">
        <v>12</v>
      </c>
      <c r="F1479" t="s">
        <v>10</v>
      </c>
      <c r="G1479" s="7">
        <v>20</v>
      </c>
      <c r="H1479" s="2">
        <v>1325697.93484751</v>
      </c>
    </row>
    <row r="1480" spans="1:8" x14ac:dyDescent="0.25">
      <c r="A1480" t="str">
        <f t="shared" si="23"/>
        <v>199815-24</v>
      </c>
      <c r="B1480">
        <v>1998</v>
      </c>
      <c r="C1480" t="s">
        <v>4</v>
      </c>
      <c r="D1480" t="s">
        <v>26</v>
      </c>
      <c r="E1480">
        <v>12</v>
      </c>
      <c r="F1480" t="s">
        <v>10</v>
      </c>
      <c r="G1480" s="7">
        <v>22</v>
      </c>
      <c r="H1480" s="2">
        <v>2242694.2061889698</v>
      </c>
    </row>
    <row r="1481" spans="1:8" x14ac:dyDescent="0.25">
      <c r="A1481" t="str">
        <f t="shared" si="23"/>
        <v>199825-44</v>
      </c>
      <c r="B1481">
        <v>1998</v>
      </c>
      <c r="C1481" t="s">
        <v>3</v>
      </c>
      <c r="D1481" t="s">
        <v>26</v>
      </c>
      <c r="E1481">
        <v>12</v>
      </c>
      <c r="F1481" t="s">
        <v>10</v>
      </c>
      <c r="G1481" s="7">
        <v>54</v>
      </c>
      <c r="H1481" s="2">
        <v>3392799.98672225</v>
      </c>
    </row>
    <row r="1482" spans="1:8" x14ac:dyDescent="0.25">
      <c r="A1482" t="str">
        <f t="shared" si="23"/>
        <v>199845-64</v>
      </c>
      <c r="B1482">
        <v>1998</v>
      </c>
      <c r="C1482" t="s">
        <v>2</v>
      </c>
      <c r="D1482" t="s">
        <v>26</v>
      </c>
      <c r="E1482">
        <v>12</v>
      </c>
      <c r="F1482" t="s">
        <v>10</v>
      </c>
      <c r="G1482" s="7">
        <v>107</v>
      </c>
      <c r="H1482" s="2">
        <v>1544756.3871817</v>
      </c>
    </row>
    <row r="1483" spans="1:8" x14ac:dyDescent="0.25">
      <c r="A1483" t="str">
        <f t="shared" si="23"/>
        <v>19985-14</v>
      </c>
      <c r="B1483">
        <v>1998</v>
      </c>
      <c r="C1483" t="s">
        <v>5</v>
      </c>
      <c r="D1483" t="s">
        <v>26</v>
      </c>
      <c r="E1483">
        <v>12</v>
      </c>
      <c r="F1483" t="s">
        <v>10</v>
      </c>
      <c r="G1483" s="7">
        <v>13</v>
      </c>
      <c r="H1483" s="2">
        <v>2628255.52356365</v>
      </c>
    </row>
    <row r="1484" spans="1:8" x14ac:dyDescent="0.25">
      <c r="A1484" t="str">
        <f t="shared" si="23"/>
        <v>199865-74</v>
      </c>
      <c r="B1484">
        <v>1998</v>
      </c>
      <c r="C1484" t="s">
        <v>1</v>
      </c>
      <c r="D1484" t="s">
        <v>26</v>
      </c>
      <c r="E1484">
        <v>12</v>
      </c>
      <c r="F1484" t="s">
        <v>10</v>
      </c>
      <c r="G1484" s="7">
        <v>89</v>
      </c>
      <c r="H1484" s="2">
        <v>383636.80225001101</v>
      </c>
    </row>
    <row r="1485" spans="1:8" x14ac:dyDescent="0.25">
      <c r="A1485" t="str">
        <f t="shared" si="23"/>
        <v>199875+</v>
      </c>
      <c r="B1485">
        <v>1998</v>
      </c>
      <c r="C1485" t="s">
        <v>0</v>
      </c>
      <c r="D1485" t="s">
        <v>26</v>
      </c>
      <c r="E1485">
        <v>12</v>
      </c>
      <c r="F1485" t="s">
        <v>10</v>
      </c>
      <c r="G1485" s="7">
        <v>116</v>
      </c>
      <c r="H1485" s="2">
        <v>210840.77556954001</v>
      </c>
    </row>
    <row r="1486" spans="1:8" x14ac:dyDescent="0.25">
      <c r="A1486" t="str">
        <f t="shared" si="23"/>
        <v>19990-4</v>
      </c>
      <c r="B1486">
        <v>1999</v>
      </c>
      <c r="C1486" t="s">
        <v>6</v>
      </c>
      <c r="D1486" t="s">
        <v>26</v>
      </c>
      <c r="E1486">
        <v>12</v>
      </c>
      <c r="F1486" t="s">
        <v>10</v>
      </c>
      <c r="G1486" s="7">
        <v>18</v>
      </c>
      <c r="H1486" s="2">
        <v>1332528.9782825001</v>
      </c>
    </row>
    <row r="1487" spans="1:8" x14ac:dyDescent="0.25">
      <c r="A1487" t="str">
        <f t="shared" si="23"/>
        <v>199915-24</v>
      </c>
      <c r="B1487">
        <v>1999</v>
      </c>
      <c r="C1487" t="s">
        <v>4</v>
      </c>
      <c r="D1487" t="s">
        <v>26</v>
      </c>
      <c r="E1487">
        <v>12</v>
      </c>
      <c r="F1487" t="s">
        <v>10</v>
      </c>
      <c r="G1487" s="7">
        <v>17</v>
      </c>
      <c r="H1487" s="2">
        <v>2293434.06872966</v>
      </c>
    </row>
    <row r="1488" spans="1:8" x14ac:dyDescent="0.25">
      <c r="A1488" t="str">
        <f t="shared" si="23"/>
        <v>199925-44</v>
      </c>
      <c r="B1488">
        <v>1999</v>
      </c>
      <c r="C1488" t="s">
        <v>3</v>
      </c>
      <c r="D1488" t="s">
        <v>26</v>
      </c>
      <c r="E1488">
        <v>12</v>
      </c>
      <c r="F1488" t="s">
        <v>10</v>
      </c>
      <c r="G1488" s="7">
        <v>57</v>
      </c>
      <c r="H1488" s="2">
        <v>3464730.3289074199</v>
      </c>
    </row>
    <row r="1489" spans="1:8" x14ac:dyDescent="0.25">
      <c r="A1489" t="str">
        <f t="shared" si="23"/>
        <v>199945-64</v>
      </c>
      <c r="B1489">
        <v>1999</v>
      </c>
      <c r="C1489" t="s">
        <v>2</v>
      </c>
      <c r="D1489" t="s">
        <v>26</v>
      </c>
      <c r="E1489">
        <v>12</v>
      </c>
      <c r="F1489" t="s">
        <v>10</v>
      </c>
      <c r="G1489" s="7">
        <v>128</v>
      </c>
      <c r="H1489" s="2">
        <v>1599513.7957272299</v>
      </c>
    </row>
    <row r="1490" spans="1:8" x14ac:dyDescent="0.25">
      <c r="A1490" t="str">
        <f t="shared" si="23"/>
        <v>19995-14</v>
      </c>
      <c r="B1490">
        <v>1999</v>
      </c>
      <c r="C1490" t="s">
        <v>5</v>
      </c>
      <c r="D1490" t="s">
        <v>26</v>
      </c>
      <c r="E1490">
        <v>12</v>
      </c>
      <c r="F1490" t="s">
        <v>10</v>
      </c>
      <c r="G1490" s="7">
        <v>18</v>
      </c>
      <c r="H1490" s="2">
        <v>2628380.1745212199</v>
      </c>
    </row>
    <row r="1491" spans="1:8" x14ac:dyDescent="0.25">
      <c r="A1491" t="str">
        <f t="shared" si="23"/>
        <v>199965-74</v>
      </c>
      <c r="B1491">
        <v>1999</v>
      </c>
      <c r="C1491" t="s">
        <v>1</v>
      </c>
      <c r="D1491" t="s">
        <v>26</v>
      </c>
      <c r="E1491">
        <v>12</v>
      </c>
      <c r="F1491" t="s">
        <v>10</v>
      </c>
      <c r="G1491" s="7">
        <v>95</v>
      </c>
      <c r="H1491" s="2">
        <v>390568.93408333702</v>
      </c>
    </row>
    <row r="1492" spans="1:8" x14ac:dyDescent="0.25">
      <c r="A1492" t="str">
        <f t="shared" si="23"/>
        <v>199975+</v>
      </c>
      <c r="B1492">
        <v>1999</v>
      </c>
      <c r="C1492" t="s">
        <v>0</v>
      </c>
      <c r="D1492" t="s">
        <v>26</v>
      </c>
      <c r="E1492">
        <v>12</v>
      </c>
      <c r="F1492" t="s">
        <v>10</v>
      </c>
      <c r="G1492" s="7">
        <v>108</v>
      </c>
      <c r="H1492" s="2">
        <v>225043.25852318</v>
      </c>
    </row>
    <row r="1493" spans="1:8" x14ac:dyDescent="0.25">
      <c r="A1493" t="str">
        <f t="shared" si="23"/>
        <v>20000-4</v>
      </c>
      <c r="B1493">
        <v>2000</v>
      </c>
      <c r="C1493" t="s">
        <v>6</v>
      </c>
      <c r="D1493" t="s">
        <v>26</v>
      </c>
      <c r="E1493">
        <v>12</v>
      </c>
      <c r="F1493" t="s">
        <v>10</v>
      </c>
      <c r="G1493" s="7">
        <v>18</v>
      </c>
      <c r="H1493" s="2">
        <v>1338309</v>
      </c>
    </row>
    <row r="1494" spans="1:8" x14ac:dyDescent="0.25">
      <c r="A1494" t="str">
        <f t="shared" si="23"/>
        <v>200015-24</v>
      </c>
      <c r="B1494">
        <v>2000</v>
      </c>
      <c r="C1494" t="s">
        <v>4</v>
      </c>
      <c r="D1494" t="s">
        <v>26</v>
      </c>
      <c r="E1494">
        <v>12</v>
      </c>
      <c r="F1494" t="s">
        <v>10</v>
      </c>
      <c r="G1494" s="7">
        <v>20</v>
      </c>
      <c r="H1494" s="2">
        <v>2341775</v>
      </c>
    </row>
    <row r="1495" spans="1:8" x14ac:dyDescent="0.25">
      <c r="A1495" t="str">
        <f t="shared" si="23"/>
        <v>200025-44</v>
      </c>
      <c r="B1495">
        <v>2000</v>
      </c>
      <c r="C1495" t="s">
        <v>3</v>
      </c>
      <c r="D1495" t="s">
        <v>26</v>
      </c>
      <c r="E1495">
        <v>12</v>
      </c>
      <c r="F1495" t="s">
        <v>10</v>
      </c>
      <c r="G1495" s="7">
        <v>60</v>
      </c>
      <c r="H1495" s="2">
        <v>3535732</v>
      </c>
    </row>
    <row r="1496" spans="1:8" x14ac:dyDescent="0.25">
      <c r="A1496" t="str">
        <f t="shared" si="23"/>
        <v>200045-64</v>
      </c>
      <c r="B1496">
        <v>2000</v>
      </c>
      <c r="C1496" t="s">
        <v>2</v>
      </c>
      <c r="D1496" t="s">
        <v>26</v>
      </c>
      <c r="E1496">
        <v>12</v>
      </c>
      <c r="F1496" t="s">
        <v>10</v>
      </c>
      <c r="G1496" s="7">
        <v>118</v>
      </c>
      <c r="H1496" s="2">
        <v>1658630</v>
      </c>
    </row>
    <row r="1497" spans="1:8" x14ac:dyDescent="0.25">
      <c r="A1497" t="str">
        <f t="shared" si="23"/>
        <v>20005-14</v>
      </c>
      <c r="B1497">
        <v>2000</v>
      </c>
      <c r="C1497" t="s">
        <v>5</v>
      </c>
      <c r="D1497" t="s">
        <v>26</v>
      </c>
      <c r="E1497">
        <v>12</v>
      </c>
      <c r="F1497" t="s">
        <v>10</v>
      </c>
      <c r="G1497" s="7">
        <v>16</v>
      </c>
      <c r="H1497" s="2">
        <v>2626661</v>
      </c>
    </row>
    <row r="1498" spans="1:8" x14ac:dyDescent="0.25">
      <c r="A1498" t="str">
        <f t="shared" si="23"/>
        <v>200065-74</v>
      </c>
      <c r="B1498">
        <v>2000</v>
      </c>
      <c r="C1498" t="s">
        <v>1</v>
      </c>
      <c r="D1498" t="s">
        <v>26</v>
      </c>
      <c r="E1498">
        <v>12</v>
      </c>
      <c r="F1498" t="s">
        <v>10</v>
      </c>
      <c r="G1498" s="7">
        <v>110</v>
      </c>
      <c r="H1498" s="2">
        <v>398642</v>
      </c>
    </row>
    <row r="1499" spans="1:8" x14ac:dyDescent="0.25">
      <c r="A1499" t="str">
        <f t="shared" si="23"/>
        <v>200075+</v>
      </c>
      <c r="B1499">
        <v>2000</v>
      </c>
      <c r="C1499" t="s">
        <v>0</v>
      </c>
      <c r="D1499" t="s">
        <v>26</v>
      </c>
      <c r="E1499">
        <v>12</v>
      </c>
      <c r="F1499" t="s">
        <v>10</v>
      </c>
      <c r="G1499" s="7">
        <v>131</v>
      </c>
      <c r="H1499" s="2">
        <v>240016</v>
      </c>
    </row>
    <row r="1500" spans="1:8" x14ac:dyDescent="0.25">
      <c r="A1500" t="str">
        <f t="shared" si="23"/>
        <v>20010-4</v>
      </c>
      <c r="B1500">
        <v>2001</v>
      </c>
      <c r="C1500" t="s">
        <v>6</v>
      </c>
      <c r="D1500" t="s">
        <v>26</v>
      </c>
      <c r="E1500">
        <v>12</v>
      </c>
      <c r="F1500" t="s">
        <v>10</v>
      </c>
      <c r="G1500" s="7">
        <v>11</v>
      </c>
      <c r="H1500" s="2">
        <v>1343121</v>
      </c>
    </row>
    <row r="1501" spans="1:8" x14ac:dyDescent="0.25">
      <c r="A1501" t="str">
        <f t="shared" si="23"/>
        <v>200115-24</v>
      </c>
      <c r="B1501">
        <v>2001</v>
      </c>
      <c r="C1501" t="s">
        <v>4</v>
      </c>
      <c r="D1501" t="s">
        <v>26</v>
      </c>
      <c r="E1501">
        <v>12</v>
      </c>
      <c r="F1501" t="s">
        <v>10</v>
      </c>
      <c r="G1501" s="7">
        <v>16</v>
      </c>
      <c r="H1501" s="2">
        <v>2387015</v>
      </c>
    </row>
    <row r="1502" spans="1:8" x14ac:dyDescent="0.25">
      <c r="A1502" t="str">
        <f t="shared" si="23"/>
        <v>200125-44</v>
      </c>
      <c r="B1502">
        <v>2001</v>
      </c>
      <c r="C1502" t="s">
        <v>3</v>
      </c>
      <c r="D1502" t="s">
        <v>26</v>
      </c>
      <c r="E1502">
        <v>12</v>
      </c>
      <c r="F1502" t="s">
        <v>10</v>
      </c>
      <c r="G1502" s="7">
        <v>66</v>
      </c>
      <c r="H1502" s="2">
        <v>3605957</v>
      </c>
    </row>
    <row r="1503" spans="1:8" x14ac:dyDescent="0.25">
      <c r="A1503" t="str">
        <f t="shared" si="23"/>
        <v>200145-64</v>
      </c>
      <c r="B1503">
        <v>2001</v>
      </c>
      <c r="C1503" t="s">
        <v>2</v>
      </c>
      <c r="D1503" t="s">
        <v>26</v>
      </c>
      <c r="E1503">
        <v>12</v>
      </c>
      <c r="F1503" t="s">
        <v>10</v>
      </c>
      <c r="G1503" s="7">
        <v>145</v>
      </c>
      <c r="H1503" s="2">
        <v>1721965</v>
      </c>
    </row>
    <row r="1504" spans="1:8" x14ac:dyDescent="0.25">
      <c r="A1504" t="str">
        <f t="shared" si="23"/>
        <v>20015-14</v>
      </c>
      <c r="B1504">
        <v>2001</v>
      </c>
      <c r="C1504" t="s">
        <v>5</v>
      </c>
      <c r="D1504" t="s">
        <v>26</v>
      </c>
      <c r="E1504">
        <v>12</v>
      </c>
      <c r="F1504" t="s">
        <v>10</v>
      </c>
      <c r="G1504" s="7">
        <v>21</v>
      </c>
      <c r="H1504" s="2">
        <v>2624275</v>
      </c>
    </row>
    <row r="1505" spans="1:8" x14ac:dyDescent="0.25">
      <c r="A1505" t="str">
        <f t="shared" si="23"/>
        <v>200165-74</v>
      </c>
      <c r="B1505">
        <v>2001</v>
      </c>
      <c r="C1505" t="s">
        <v>1</v>
      </c>
      <c r="D1505" t="s">
        <v>26</v>
      </c>
      <c r="E1505">
        <v>12</v>
      </c>
      <c r="F1505" t="s">
        <v>10</v>
      </c>
      <c r="G1505" s="7">
        <v>113</v>
      </c>
      <c r="H1505" s="2">
        <v>407783</v>
      </c>
    </row>
    <row r="1506" spans="1:8" x14ac:dyDescent="0.25">
      <c r="A1506" t="str">
        <f t="shared" si="23"/>
        <v>200175+</v>
      </c>
      <c r="B1506">
        <v>2001</v>
      </c>
      <c r="C1506" t="s">
        <v>0</v>
      </c>
      <c r="D1506" t="s">
        <v>26</v>
      </c>
      <c r="E1506">
        <v>12</v>
      </c>
      <c r="F1506" t="s">
        <v>10</v>
      </c>
      <c r="G1506" s="7">
        <v>150</v>
      </c>
      <c r="H1506" s="2">
        <v>255331</v>
      </c>
    </row>
    <row r="1507" spans="1:8" x14ac:dyDescent="0.25">
      <c r="A1507" t="str">
        <f t="shared" si="23"/>
        <v>20020-4</v>
      </c>
      <c r="B1507">
        <v>2002</v>
      </c>
      <c r="C1507" t="s">
        <v>6</v>
      </c>
      <c r="D1507" t="s">
        <v>26</v>
      </c>
      <c r="E1507">
        <v>12</v>
      </c>
      <c r="F1507" t="s">
        <v>10</v>
      </c>
      <c r="G1507" s="7">
        <v>17</v>
      </c>
      <c r="H1507" s="2">
        <v>1347045</v>
      </c>
    </row>
    <row r="1508" spans="1:8" x14ac:dyDescent="0.25">
      <c r="A1508" t="str">
        <f t="shared" si="23"/>
        <v>200215-24</v>
      </c>
      <c r="B1508">
        <v>2002</v>
      </c>
      <c r="C1508" t="s">
        <v>4</v>
      </c>
      <c r="D1508" t="s">
        <v>26</v>
      </c>
      <c r="E1508">
        <v>12</v>
      </c>
      <c r="F1508" t="s">
        <v>10</v>
      </c>
      <c r="G1508" s="7">
        <v>16</v>
      </c>
      <c r="H1508" s="2">
        <v>2428415</v>
      </c>
    </row>
    <row r="1509" spans="1:8" x14ac:dyDescent="0.25">
      <c r="A1509" t="str">
        <f t="shared" si="23"/>
        <v>200225-44</v>
      </c>
      <c r="B1509">
        <v>2002</v>
      </c>
      <c r="C1509" t="s">
        <v>3</v>
      </c>
      <c r="D1509" t="s">
        <v>26</v>
      </c>
      <c r="E1509">
        <v>12</v>
      </c>
      <c r="F1509" t="s">
        <v>10</v>
      </c>
      <c r="G1509" s="7">
        <v>75</v>
      </c>
      <c r="H1509" s="2">
        <v>3675559</v>
      </c>
    </row>
    <row r="1510" spans="1:8" x14ac:dyDescent="0.25">
      <c r="A1510" t="str">
        <f t="shared" si="23"/>
        <v>200245-64</v>
      </c>
      <c r="B1510">
        <v>2002</v>
      </c>
      <c r="C1510" t="s">
        <v>2</v>
      </c>
      <c r="D1510" t="s">
        <v>26</v>
      </c>
      <c r="E1510">
        <v>12</v>
      </c>
      <c r="F1510" t="s">
        <v>10</v>
      </c>
      <c r="G1510" s="7">
        <v>155</v>
      </c>
      <c r="H1510" s="2">
        <v>1789361</v>
      </c>
    </row>
    <row r="1511" spans="1:8" x14ac:dyDescent="0.25">
      <c r="A1511" t="str">
        <f t="shared" si="23"/>
        <v>20025-14</v>
      </c>
      <c r="B1511">
        <v>2002</v>
      </c>
      <c r="C1511" t="s">
        <v>5</v>
      </c>
      <c r="D1511" t="s">
        <v>26</v>
      </c>
      <c r="E1511">
        <v>12</v>
      </c>
      <c r="F1511" t="s">
        <v>10</v>
      </c>
      <c r="G1511" s="7">
        <v>26</v>
      </c>
      <c r="H1511" s="2">
        <v>2622422</v>
      </c>
    </row>
    <row r="1512" spans="1:8" x14ac:dyDescent="0.25">
      <c r="A1512" t="str">
        <f t="shared" si="23"/>
        <v>200265-74</v>
      </c>
      <c r="B1512">
        <v>2002</v>
      </c>
      <c r="C1512" t="s">
        <v>1</v>
      </c>
      <c r="D1512" t="s">
        <v>26</v>
      </c>
      <c r="E1512">
        <v>12</v>
      </c>
      <c r="F1512" t="s">
        <v>10</v>
      </c>
      <c r="G1512" s="7">
        <v>101</v>
      </c>
      <c r="H1512" s="2">
        <v>417907</v>
      </c>
    </row>
    <row r="1513" spans="1:8" x14ac:dyDescent="0.25">
      <c r="A1513" t="str">
        <f t="shared" si="23"/>
        <v>200275+</v>
      </c>
      <c r="B1513">
        <v>2002</v>
      </c>
      <c r="C1513" t="s">
        <v>0</v>
      </c>
      <c r="D1513" t="s">
        <v>26</v>
      </c>
      <c r="E1513">
        <v>12</v>
      </c>
      <c r="F1513" t="s">
        <v>10</v>
      </c>
      <c r="G1513" s="7">
        <v>139</v>
      </c>
      <c r="H1513" s="2">
        <v>270538</v>
      </c>
    </row>
    <row r="1514" spans="1:8" x14ac:dyDescent="0.25">
      <c r="A1514" t="str">
        <f t="shared" si="23"/>
        <v>20030-4</v>
      </c>
      <c r="B1514">
        <v>2003</v>
      </c>
      <c r="C1514" t="s">
        <v>6</v>
      </c>
      <c r="D1514" t="s">
        <v>26</v>
      </c>
      <c r="E1514">
        <v>12</v>
      </c>
      <c r="F1514" t="s">
        <v>10</v>
      </c>
      <c r="G1514" s="7">
        <v>14</v>
      </c>
      <c r="H1514" s="2">
        <v>1350164</v>
      </c>
    </row>
    <row r="1515" spans="1:8" x14ac:dyDescent="0.25">
      <c r="A1515" t="str">
        <f t="shared" si="23"/>
        <v>200315-24</v>
      </c>
      <c r="B1515">
        <v>2003</v>
      </c>
      <c r="C1515" t="s">
        <v>4</v>
      </c>
      <c r="D1515" t="s">
        <v>26</v>
      </c>
      <c r="E1515">
        <v>12</v>
      </c>
      <c r="F1515" t="s">
        <v>10</v>
      </c>
      <c r="G1515" s="7">
        <v>13</v>
      </c>
      <c r="H1515" s="2">
        <v>2465273</v>
      </c>
    </row>
    <row r="1516" spans="1:8" x14ac:dyDescent="0.25">
      <c r="A1516" t="str">
        <f t="shared" si="23"/>
        <v>200325-44</v>
      </c>
      <c r="B1516">
        <v>2003</v>
      </c>
      <c r="C1516" t="s">
        <v>3</v>
      </c>
      <c r="D1516" t="s">
        <v>26</v>
      </c>
      <c r="E1516">
        <v>12</v>
      </c>
      <c r="F1516" t="s">
        <v>10</v>
      </c>
      <c r="G1516" s="7">
        <v>88</v>
      </c>
      <c r="H1516" s="2">
        <v>3744690</v>
      </c>
    </row>
    <row r="1517" spans="1:8" x14ac:dyDescent="0.25">
      <c r="A1517" t="str">
        <f t="shared" si="23"/>
        <v>200345-64</v>
      </c>
      <c r="B1517">
        <v>2003</v>
      </c>
      <c r="C1517" t="s">
        <v>2</v>
      </c>
      <c r="D1517" t="s">
        <v>26</v>
      </c>
      <c r="E1517">
        <v>12</v>
      </c>
      <c r="F1517" t="s">
        <v>10</v>
      </c>
      <c r="G1517" s="7">
        <v>143</v>
      </c>
      <c r="H1517" s="2">
        <v>1860678</v>
      </c>
    </row>
    <row r="1518" spans="1:8" x14ac:dyDescent="0.25">
      <c r="A1518" t="str">
        <f t="shared" si="23"/>
        <v>20035-14</v>
      </c>
      <c r="B1518">
        <v>2003</v>
      </c>
      <c r="C1518" t="s">
        <v>5</v>
      </c>
      <c r="D1518" t="s">
        <v>26</v>
      </c>
      <c r="E1518">
        <v>12</v>
      </c>
      <c r="F1518" t="s">
        <v>10</v>
      </c>
      <c r="G1518" s="7">
        <v>17</v>
      </c>
      <c r="H1518" s="2">
        <v>2622279</v>
      </c>
    </row>
    <row r="1519" spans="1:8" x14ac:dyDescent="0.25">
      <c r="A1519" t="str">
        <f t="shared" si="23"/>
        <v>200365-74</v>
      </c>
      <c r="B1519">
        <v>2003</v>
      </c>
      <c r="C1519" t="s">
        <v>1</v>
      </c>
      <c r="D1519" t="s">
        <v>26</v>
      </c>
      <c r="E1519">
        <v>12</v>
      </c>
      <c r="F1519" t="s">
        <v>10</v>
      </c>
      <c r="G1519" s="7">
        <v>95</v>
      </c>
      <c r="H1519" s="2">
        <v>428941</v>
      </c>
    </row>
    <row r="1520" spans="1:8" x14ac:dyDescent="0.25">
      <c r="A1520" t="str">
        <f t="shared" si="23"/>
        <v>200375+</v>
      </c>
      <c r="B1520">
        <v>2003</v>
      </c>
      <c r="C1520" t="s">
        <v>0</v>
      </c>
      <c r="D1520" t="s">
        <v>26</v>
      </c>
      <c r="E1520">
        <v>12</v>
      </c>
      <c r="F1520" t="s">
        <v>10</v>
      </c>
      <c r="G1520" s="7">
        <v>154</v>
      </c>
      <c r="H1520" s="2">
        <v>285209</v>
      </c>
    </row>
    <row r="1521" spans="1:8" x14ac:dyDescent="0.25">
      <c r="A1521" t="str">
        <f t="shared" si="23"/>
        <v>20040-4</v>
      </c>
      <c r="B1521">
        <v>2004</v>
      </c>
      <c r="C1521" t="s">
        <v>6</v>
      </c>
      <c r="D1521" t="s">
        <v>26</v>
      </c>
      <c r="E1521">
        <v>12</v>
      </c>
      <c r="F1521" t="s">
        <v>10</v>
      </c>
      <c r="G1521" s="7">
        <v>16</v>
      </c>
      <c r="H1521" s="2">
        <v>1352508</v>
      </c>
    </row>
    <row r="1522" spans="1:8" x14ac:dyDescent="0.25">
      <c r="A1522" t="str">
        <f t="shared" si="23"/>
        <v>200415-24</v>
      </c>
      <c r="B1522">
        <v>2004</v>
      </c>
      <c r="C1522" t="s">
        <v>4</v>
      </c>
      <c r="D1522" t="s">
        <v>26</v>
      </c>
      <c r="E1522">
        <v>12</v>
      </c>
      <c r="F1522" t="s">
        <v>10</v>
      </c>
      <c r="G1522" s="7">
        <v>16</v>
      </c>
      <c r="H1522" s="2">
        <v>2497409</v>
      </c>
    </row>
    <row r="1523" spans="1:8" x14ac:dyDescent="0.25">
      <c r="A1523" t="str">
        <f t="shared" si="23"/>
        <v>200425-44</v>
      </c>
      <c r="B1523">
        <v>2004</v>
      </c>
      <c r="C1523" t="s">
        <v>3</v>
      </c>
      <c r="D1523" t="s">
        <v>26</v>
      </c>
      <c r="E1523">
        <v>12</v>
      </c>
      <c r="F1523" t="s">
        <v>10</v>
      </c>
      <c r="G1523" s="7">
        <v>66</v>
      </c>
      <c r="H1523" s="2">
        <v>3813358</v>
      </c>
    </row>
    <row r="1524" spans="1:8" x14ac:dyDescent="0.25">
      <c r="A1524" t="str">
        <f t="shared" si="23"/>
        <v>200445-64</v>
      </c>
      <c r="B1524">
        <v>2004</v>
      </c>
      <c r="C1524" t="s">
        <v>2</v>
      </c>
      <c r="D1524" t="s">
        <v>26</v>
      </c>
      <c r="E1524">
        <v>12</v>
      </c>
      <c r="F1524" t="s">
        <v>10</v>
      </c>
      <c r="G1524" s="7">
        <v>151</v>
      </c>
      <c r="H1524" s="2">
        <v>1936129</v>
      </c>
    </row>
    <row r="1525" spans="1:8" x14ac:dyDescent="0.25">
      <c r="A1525" t="str">
        <f t="shared" si="23"/>
        <v>20045-14</v>
      </c>
      <c r="B1525">
        <v>2004</v>
      </c>
      <c r="C1525" t="s">
        <v>5</v>
      </c>
      <c r="D1525" t="s">
        <v>26</v>
      </c>
      <c r="E1525">
        <v>12</v>
      </c>
      <c r="F1525" t="s">
        <v>10</v>
      </c>
      <c r="G1525" s="7">
        <v>19</v>
      </c>
      <c r="H1525" s="2">
        <v>2624530</v>
      </c>
    </row>
    <row r="1526" spans="1:8" x14ac:dyDescent="0.25">
      <c r="A1526" t="str">
        <f t="shared" si="23"/>
        <v>200465-74</v>
      </c>
      <c r="B1526">
        <v>2004</v>
      </c>
      <c r="C1526" t="s">
        <v>1</v>
      </c>
      <c r="D1526" t="s">
        <v>26</v>
      </c>
      <c r="E1526">
        <v>12</v>
      </c>
      <c r="F1526" t="s">
        <v>10</v>
      </c>
      <c r="G1526" s="7">
        <v>106</v>
      </c>
      <c r="H1526" s="2">
        <v>441018</v>
      </c>
    </row>
    <row r="1527" spans="1:8" x14ac:dyDescent="0.25">
      <c r="A1527" t="str">
        <f t="shared" si="23"/>
        <v>200475+</v>
      </c>
      <c r="B1527">
        <v>2004</v>
      </c>
      <c r="C1527" t="s">
        <v>0</v>
      </c>
      <c r="D1527" t="s">
        <v>26</v>
      </c>
      <c r="E1527">
        <v>12</v>
      </c>
      <c r="F1527" t="s">
        <v>10</v>
      </c>
      <c r="G1527" s="7">
        <v>185</v>
      </c>
      <c r="H1527" s="2">
        <v>299301</v>
      </c>
    </row>
    <row r="1528" spans="1:8" x14ac:dyDescent="0.25">
      <c r="A1528" t="str">
        <f t="shared" si="23"/>
        <v>20050-4</v>
      </c>
      <c r="B1528">
        <v>2005</v>
      </c>
      <c r="C1528" t="s">
        <v>6</v>
      </c>
      <c r="D1528" t="s">
        <v>26</v>
      </c>
      <c r="E1528">
        <v>12</v>
      </c>
      <c r="F1528" t="s">
        <v>10</v>
      </c>
      <c r="G1528" s="7">
        <v>23</v>
      </c>
      <c r="H1528" s="2">
        <v>1353852</v>
      </c>
    </row>
    <row r="1529" spans="1:8" x14ac:dyDescent="0.25">
      <c r="A1529" t="str">
        <f t="shared" si="23"/>
        <v>200515-24</v>
      </c>
      <c r="B1529">
        <v>2005</v>
      </c>
      <c r="C1529" t="s">
        <v>4</v>
      </c>
      <c r="D1529" t="s">
        <v>26</v>
      </c>
      <c r="E1529">
        <v>12</v>
      </c>
      <c r="F1529" t="s">
        <v>10</v>
      </c>
      <c r="G1529" s="7">
        <v>24</v>
      </c>
      <c r="H1529" s="2">
        <v>2524017</v>
      </c>
    </row>
    <row r="1530" spans="1:8" x14ac:dyDescent="0.25">
      <c r="A1530" t="str">
        <f t="shared" si="23"/>
        <v>200525-44</v>
      </c>
      <c r="B1530">
        <v>2005</v>
      </c>
      <c r="C1530" t="s">
        <v>3</v>
      </c>
      <c r="D1530" t="s">
        <v>26</v>
      </c>
      <c r="E1530">
        <v>12</v>
      </c>
      <c r="F1530" t="s">
        <v>10</v>
      </c>
      <c r="G1530" s="7">
        <v>82</v>
      </c>
      <c r="H1530" s="2">
        <v>3881062</v>
      </c>
    </row>
    <row r="1531" spans="1:8" x14ac:dyDescent="0.25">
      <c r="A1531" t="str">
        <f t="shared" si="23"/>
        <v>200545-64</v>
      </c>
      <c r="B1531">
        <v>2005</v>
      </c>
      <c r="C1531" t="s">
        <v>2</v>
      </c>
      <c r="D1531" t="s">
        <v>26</v>
      </c>
      <c r="E1531">
        <v>12</v>
      </c>
      <c r="F1531" t="s">
        <v>10</v>
      </c>
      <c r="G1531" s="7">
        <v>212</v>
      </c>
      <c r="H1531" s="2">
        <v>2016148</v>
      </c>
    </row>
    <row r="1532" spans="1:8" x14ac:dyDescent="0.25">
      <c r="A1532" t="str">
        <f t="shared" si="23"/>
        <v>20055-14</v>
      </c>
      <c r="B1532">
        <v>2005</v>
      </c>
      <c r="C1532" t="s">
        <v>5</v>
      </c>
      <c r="D1532" t="s">
        <v>26</v>
      </c>
      <c r="E1532">
        <v>12</v>
      </c>
      <c r="F1532" t="s">
        <v>10</v>
      </c>
      <c r="G1532" s="7">
        <v>18</v>
      </c>
      <c r="H1532" s="2">
        <v>2629864</v>
      </c>
    </row>
    <row r="1533" spans="1:8" x14ac:dyDescent="0.25">
      <c r="A1533" t="str">
        <f t="shared" si="23"/>
        <v>200565-74</v>
      </c>
      <c r="B1533">
        <v>2005</v>
      </c>
      <c r="C1533" t="s">
        <v>1</v>
      </c>
      <c r="D1533" t="s">
        <v>26</v>
      </c>
      <c r="E1533">
        <v>12</v>
      </c>
      <c r="F1533" t="s">
        <v>10</v>
      </c>
      <c r="G1533" s="7">
        <v>128</v>
      </c>
      <c r="H1533" s="2">
        <v>454245</v>
      </c>
    </row>
    <row r="1534" spans="1:8" x14ac:dyDescent="0.25">
      <c r="A1534" t="str">
        <f t="shared" si="23"/>
        <v>200575+</v>
      </c>
      <c r="B1534">
        <v>2005</v>
      </c>
      <c r="C1534" t="s">
        <v>0</v>
      </c>
      <c r="D1534" t="s">
        <v>26</v>
      </c>
      <c r="E1534">
        <v>12</v>
      </c>
      <c r="F1534" t="s">
        <v>10</v>
      </c>
      <c r="G1534" s="7">
        <v>185</v>
      </c>
      <c r="H1534" s="2">
        <v>312767</v>
      </c>
    </row>
    <row r="1535" spans="1:8" x14ac:dyDescent="0.25">
      <c r="A1535" t="str">
        <f t="shared" si="23"/>
        <v>20060-4</v>
      </c>
      <c r="B1535">
        <v>2006</v>
      </c>
      <c r="C1535" t="s">
        <v>6</v>
      </c>
      <c r="D1535" t="s">
        <v>26</v>
      </c>
      <c r="E1535">
        <v>12</v>
      </c>
      <c r="F1535" t="s">
        <v>10</v>
      </c>
      <c r="G1535" s="7">
        <v>20</v>
      </c>
      <c r="H1535" s="2">
        <v>1354432</v>
      </c>
    </row>
    <row r="1536" spans="1:8" x14ac:dyDescent="0.25">
      <c r="A1536" t="str">
        <f t="shared" si="23"/>
        <v>200615-24</v>
      </c>
      <c r="B1536">
        <v>2006</v>
      </c>
      <c r="C1536" t="s">
        <v>4</v>
      </c>
      <c r="D1536" t="s">
        <v>26</v>
      </c>
      <c r="E1536">
        <v>12</v>
      </c>
      <c r="F1536" t="s">
        <v>10</v>
      </c>
      <c r="G1536" s="7">
        <v>18</v>
      </c>
      <c r="H1536" s="2">
        <v>2544731</v>
      </c>
    </row>
    <row r="1537" spans="1:8" x14ac:dyDescent="0.25">
      <c r="A1537" t="str">
        <f t="shared" si="23"/>
        <v>200625-44</v>
      </c>
      <c r="B1537">
        <v>2006</v>
      </c>
      <c r="C1537" t="s">
        <v>3</v>
      </c>
      <c r="D1537" t="s">
        <v>26</v>
      </c>
      <c r="E1537">
        <v>12</v>
      </c>
      <c r="F1537" t="s">
        <v>10</v>
      </c>
      <c r="G1537" s="7">
        <v>84</v>
      </c>
      <c r="H1537" s="2">
        <v>3947836</v>
      </c>
    </row>
    <row r="1538" spans="1:8" x14ac:dyDescent="0.25">
      <c r="A1538" t="str">
        <f t="shared" ref="A1538:A1601" si="24">+CONCATENATE(B1538,C1538)</f>
        <v>200645-64</v>
      </c>
      <c r="B1538">
        <v>2006</v>
      </c>
      <c r="C1538" t="s">
        <v>2</v>
      </c>
      <c r="D1538" t="s">
        <v>26</v>
      </c>
      <c r="E1538">
        <v>12</v>
      </c>
      <c r="F1538" t="s">
        <v>10</v>
      </c>
      <c r="G1538" s="7">
        <v>196</v>
      </c>
      <c r="H1538" s="2">
        <v>2100791</v>
      </c>
    </row>
    <row r="1539" spans="1:8" x14ac:dyDescent="0.25">
      <c r="A1539" t="str">
        <f t="shared" si="24"/>
        <v>20065-14</v>
      </c>
      <c r="B1539">
        <v>2006</v>
      </c>
      <c r="C1539" t="s">
        <v>5</v>
      </c>
      <c r="D1539" t="s">
        <v>26</v>
      </c>
      <c r="E1539">
        <v>12</v>
      </c>
      <c r="F1539" t="s">
        <v>10</v>
      </c>
      <c r="G1539" s="7">
        <v>18</v>
      </c>
      <c r="H1539" s="2">
        <v>2638747</v>
      </c>
    </row>
    <row r="1540" spans="1:8" x14ac:dyDescent="0.25">
      <c r="A1540" t="str">
        <f t="shared" si="24"/>
        <v>200665-74</v>
      </c>
      <c r="B1540">
        <v>2006</v>
      </c>
      <c r="C1540" t="s">
        <v>1</v>
      </c>
      <c r="D1540" t="s">
        <v>26</v>
      </c>
      <c r="E1540">
        <v>12</v>
      </c>
      <c r="F1540" t="s">
        <v>10</v>
      </c>
      <c r="G1540" s="7">
        <v>126</v>
      </c>
      <c r="H1540" s="2">
        <v>468680</v>
      </c>
    </row>
    <row r="1541" spans="1:8" x14ac:dyDescent="0.25">
      <c r="A1541" t="str">
        <f t="shared" si="24"/>
        <v>200675+</v>
      </c>
      <c r="B1541">
        <v>2006</v>
      </c>
      <c r="C1541" t="s">
        <v>0</v>
      </c>
      <c r="D1541" t="s">
        <v>26</v>
      </c>
      <c r="E1541">
        <v>12</v>
      </c>
      <c r="F1541" t="s">
        <v>10</v>
      </c>
      <c r="G1541" s="7">
        <v>230</v>
      </c>
      <c r="H1541" s="2">
        <v>325672</v>
      </c>
    </row>
    <row r="1542" spans="1:8" x14ac:dyDescent="0.25">
      <c r="A1542" t="str">
        <f t="shared" si="24"/>
        <v>20070-4</v>
      </c>
      <c r="B1542">
        <v>2007</v>
      </c>
      <c r="C1542" t="s">
        <v>6</v>
      </c>
      <c r="D1542" t="s">
        <v>26</v>
      </c>
      <c r="E1542">
        <v>12</v>
      </c>
      <c r="F1542" t="s">
        <v>10</v>
      </c>
      <c r="G1542" s="7">
        <v>18</v>
      </c>
      <c r="H1542" s="2">
        <v>1354234</v>
      </c>
    </row>
    <row r="1543" spans="1:8" x14ac:dyDescent="0.25">
      <c r="A1543" t="str">
        <f t="shared" si="24"/>
        <v>200715-24</v>
      </c>
      <c r="B1543">
        <v>2007</v>
      </c>
      <c r="C1543" t="s">
        <v>4</v>
      </c>
      <c r="D1543" t="s">
        <v>26</v>
      </c>
      <c r="E1543">
        <v>12</v>
      </c>
      <c r="F1543" t="s">
        <v>10</v>
      </c>
      <c r="G1543" s="7">
        <v>25</v>
      </c>
      <c r="H1543" s="2">
        <v>2561885</v>
      </c>
    </row>
    <row r="1544" spans="1:8" x14ac:dyDescent="0.25">
      <c r="A1544" t="str">
        <f t="shared" si="24"/>
        <v>200725-44</v>
      </c>
      <c r="B1544">
        <v>2007</v>
      </c>
      <c r="C1544" t="s">
        <v>3</v>
      </c>
      <c r="D1544" t="s">
        <v>26</v>
      </c>
      <c r="E1544">
        <v>12</v>
      </c>
      <c r="F1544" t="s">
        <v>10</v>
      </c>
      <c r="G1544" s="7">
        <v>92</v>
      </c>
      <c r="H1544" s="2">
        <v>4016163</v>
      </c>
    </row>
    <row r="1545" spans="1:8" x14ac:dyDescent="0.25">
      <c r="A1545" t="str">
        <f t="shared" si="24"/>
        <v>200745-64</v>
      </c>
      <c r="B1545">
        <v>2007</v>
      </c>
      <c r="C1545" t="s">
        <v>2</v>
      </c>
      <c r="D1545" t="s">
        <v>26</v>
      </c>
      <c r="E1545">
        <v>12</v>
      </c>
      <c r="F1545" t="s">
        <v>10</v>
      </c>
      <c r="G1545" s="7">
        <v>214</v>
      </c>
      <c r="H1545" s="2">
        <v>2188071</v>
      </c>
    </row>
    <row r="1546" spans="1:8" x14ac:dyDescent="0.25">
      <c r="A1546" t="str">
        <f t="shared" si="24"/>
        <v>20075-14</v>
      </c>
      <c r="B1546">
        <v>2007</v>
      </c>
      <c r="C1546" t="s">
        <v>5</v>
      </c>
      <c r="D1546" t="s">
        <v>26</v>
      </c>
      <c r="E1546">
        <v>12</v>
      </c>
      <c r="F1546" t="s">
        <v>10</v>
      </c>
      <c r="G1546" s="7">
        <v>20</v>
      </c>
      <c r="H1546" s="2">
        <v>2647233</v>
      </c>
    </row>
    <row r="1547" spans="1:8" x14ac:dyDescent="0.25">
      <c r="A1547" t="str">
        <f t="shared" si="24"/>
        <v>200765-74</v>
      </c>
      <c r="B1547">
        <v>2007</v>
      </c>
      <c r="C1547" t="s">
        <v>1</v>
      </c>
      <c r="D1547" t="s">
        <v>26</v>
      </c>
      <c r="E1547">
        <v>12</v>
      </c>
      <c r="F1547" t="s">
        <v>10</v>
      </c>
      <c r="G1547" s="7">
        <v>159</v>
      </c>
      <c r="H1547" s="2">
        <v>484321</v>
      </c>
    </row>
    <row r="1548" spans="1:8" x14ac:dyDescent="0.25">
      <c r="A1548" t="str">
        <f t="shared" si="24"/>
        <v>200775+</v>
      </c>
      <c r="B1548">
        <v>2007</v>
      </c>
      <c r="C1548" t="s">
        <v>0</v>
      </c>
      <c r="D1548" t="s">
        <v>26</v>
      </c>
      <c r="E1548">
        <v>12</v>
      </c>
      <c r="F1548" t="s">
        <v>10</v>
      </c>
      <c r="G1548" s="7">
        <v>241</v>
      </c>
      <c r="H1548" s="2">
        <v>338128</v>
      </c>
    </row>
    <row r="1549" spans="1:8" x14ac:dyDescent="0.25">
      <c r="A1549" t="str">
        <f t="shared" si="24"/>
        <v>20080-4</v>
      </c>
      <c r="B1549">
        <v>2008</v>
      </c>
      <c r="C1549" t="s">
        <v>6</v>
      </c>
      <c r="D1549" t="s">
        <v>26</v>
      </c>
      <c r="E1549">
        <v>12</v>
      </c>
      <c r="F1549" t="s">
        <v>10</v>
      </c>
      <c r="G1549" s="7">
        <v>20</v>
      </c>
      <c r="H1549" s="2">
        <v>1353145</v>
      </c>
    </row>
    <row r="1550" spans="1:8" x14ac:dyDescent="0.25">
      <c r="A1550" t="str">
        <f t="shared" si="24"/>
        <v>200815-24</v>
      </c>
      <c r="B1550">
        <v>2008</v>
      </c>
      <c r="C1550" t="s">
        <v>4</v>
      </c>
      <c r="D1550" t="s">
        <v>26</v>
      </c>
      <c r="E1550">
        <v>12</v>
      </c>
      <c r="F1550" t="s">
        <v>10</v>
      </c>
      <c r="G1550" s="7">
        <v>19</v>
      </c>
      <c r="H1550" s="2">
        <v>2575138</v>
      </c>
    </row>
    <row r="1551" spans="1:8" x14ac:dyDescent="0.25">
      <c r="A1551" t="str">
        <f t="shared" si="24"/>
        <v>200825-44</v>
      </c>
      <c r="B1551">
        <v>2008</v>
      </c>
      <c r="C1551" t="s">
        <v>3</v>
      </c>
      <c r="D1551" t="s">
        <v>26</v>
      </c>
      <c r="E1551">
        <v>12</v>
      </c>
      <c r="F1551" t="s">
        <v>10</v>
      </c>
      <c r="G1551" s="7">
        <v>69</v>
      </c>
      <c r="H1551" s="2">
        <v>4085944</v>
      </c>
    </row>
    <row r="1552" spans="1:8" x14ac:dyDescent="0.25">
      <c r="A1552" t="str">
        <f t="shared" si="24"/>
        <v>200845-64</v>
      </c>
      <c r="B1552">
        <v>2008</v>
      </c>
      <c r="C1552" t="s">
        <v>2</v>
      </c>
      <c r="D1552" t="s">
        <v>26</v>
      </c>
      <c r="E1552">
        <v>12</v>
      </c>
      <c r="F1552" t="s">
        <v>10</v>
      </c>
      <c r="G1552" s="7">
        <v>241</v>
      </c>
      <c r="H1552" s="2">
        <v>2277674</v>
      </c>
    </row>
    <row r="1553" spans="1:8" x14ac:dyDescent="0.25">
      <c r="A1553" t="str">
        <f t="shared" si="24"/>
        <v>20085-14</v>
      </c>
      <c r="B1553">
        <v>2008</v>
      </c>
      <c r="C1553" t="s">
        <v>5</v>
      </c>
      <c r="D1553" t="s">
        <v>26</v>
      </c>
      <c r="E1553">
        <v>12</v>
      </c>
      <c r="F1553" t="s">
        <v>10</v>
      </c>
      <c r="G1553" s="7">
        <v>18</v>
      </c>
      <c r="H1553" s="2">
        <v>2655740</v>
      </c>
    </row>
    <row r="1554" spans="1:8" x14ac:dyDescent="0.25">
      <c r="A1554" t="str">
        <f t="shared" si="24"/>
        <v>200865-74</v>
      </c>
      <c r="B1554">
        <v>2008</v>
      </c>
      <c r="C1554" t="s">
        <v>1</v>
      </c>
      <c r="D1554" t="s">
        <v>26</v>
      </c>
      <c r="E1554">
        <v>12</v>
      </c>
      <c r="F1554" t="s">
        <v>10</v>
      </c>
      <c r="G1554" s="7">
        <v>192</v>
      </c>
      <c r="H1554" s="2">
        <v>501201</v>
      </c>
    </row>
    <row r="1555" spans="1:8" x14ac:dyDescent="0.25">
      <c r="A1555" t="str">
        <f t="shared" si="24"/>
        <v>200875+</v>
      </c>
      <c r="B1555">
        <v>2008</v>
      </c>
      <c r="C1555" t="s">
        <v>0</v>
      </c>
      <c r="D1555" t="s">
        <v>26</v>
      </c>
      <c r="E1555">
        <v>12</v>
      </c>
      <c r="F1555" t="s">
        <v>10</v>
      </c>
      <c r="G1555" s="7">
        <v>250</v>
      </c>
      <c r="H1555" s="2">
        <v>350235</v>
      </c>
    </row>
    <row r="1556" spans="1:8" x14ac:dyDescent="0.25">
      <c r="A1556" t="str">
        <f t="shared" si="24"/>
        <v>20090-4</v>
      </c>
      <c r="B1556">
        <v>2009</v>
      </c>
      <c r="C1556" t="s">
        <v>6</v>
      </c>
      <c r="D1556" t="s">
        <v>26</v>
      </c>
      <c r="E1556">
        <v>12</v>
      </c>
      <c r="F1556" t="s">
        <v>10</v>
      </c>
      <c r="G1556" s="7">
        <v>19</v>
      </c>
      <c r="H1556" s="2">
        <v>1351158</v>
      </c>
    </row>
    <row r="1557" spans="1:8" x14ac:dyDescent="0.25">
      <c r="A1557" t="str">
        <f t="shared" si="24"/>
        <v>200915-24</v>
      </c>
      <c r="B1557">
        <v>2009</v>
      </c>
      <c r="C1557" t="s">
        <v>4</v>
      </c>
      <c r="D1557" t="s">
        <v>26</v>
      </c>
      <c r="E1557">
        <v>12</v>
      </c>
      <c r="F1557" t="s">
        <v>10</v>
      </c>
      <c r="G1557" s="7">
        <v>27</v>
      </c>
      <c r="H1557" s="2">
        <v>2584791</v>
      </c>
    </row>
    <row r="1558" spans="1:8" x14ac:dyDescent="0.25">
      <c r="A1558" t="str">
        <f t="shared" si="24"/>
        <v>200925-44</v>
      </c>
      <c r="B1558">
        <v>2009</v>
      </c>
      <c r="C1558" t="s">
        <v>3</v>
      </c>
      <c r="D1558" t="s">
        <v>26</v>
      </c>
      <c r="E1558">
        <v>12</v>
      </c>
      <c r="F1558" t="s">
        <v>10</v>
      </c>
      <c r="G1558" s="7">
        <v>75</v>
      </c>
      <c r="H1558" s="2">
        <v>4156891</v>
      </c>
    </row>
    <row r="1559" spans="1:8" x14ac:dyDescent="0.25">
      <c r="A1559" t="str">
        <f t="shared" si="24"/>
        <v>200945-64</v>
      </c>
      <c r="B1559">
        <v>2009</v>
      </c>
      <c r="C1559" t="s">
        <v>2</v>
      </c>
      <c r="D1559" t="s">
        <v>26</v>
      </c>
      <c r="E1559">
        <v>12</v>
      </c>
      <c r="F1559" t="s">
        <v>10</v>
      </c>
      <c r="G1559" s="7">
        <v>272</v>
      </c>
      <c r="H1559" s="2">
        <v>2369589</v>
      </c>
    </row>
    <row r="1560" spans="1:8" x14ac:dyDescent="0.25">
      <c r="A1560" t="str">
        <f t="shared" si="24"/>
        <v>20095-14</v>
      </c>
      <c r="B1560">
        <v>2009</v>
      </c>
      <c r="C1560" t="s">
        <v>5</v>
      </c>
      <c r="D1560" t="s">
        <v>26</v>
      </c>
      <c r="E1560">
        <v>12</v>
      </c>
      <c r="F1560" t="s">
        <v>10</v>
      </c>
      <c r="G1560" s="7">
        <v>24</v>
      </c>
      <c r="H1560" s="2">
        <v>2664671</v>
      </c>
    </row>
    <row r="1561" spans="1:8" x14ac:dyDescent="0.25">
      <c r="A1561" t="str">
        <f t="shared" si="24"/>
        <v>200965-74</v>
      </c>
      <c r="B1561">
        <v>2009</v>
      </c>
      <c r="C1561" t="s">
        <v>1</v>
      </c>
      <c r="D1561" t="s">
        <v>26</v>
      </c>
      <c r="E1561">
        <v>12</v>
      </c>
      <c r="F1561" t="s">
        <v>10</v>
      </c>
      <c r="G1561" s="7">
        <v>154</v>
      </c>
      <c r="H1561" s="2">
        <v>519377</v>
      </c>
    </row>
    <row r="1562" spans="1:8" x14ac:dyDescent="0.25">
      <c r="A1562" t="str">
        <f t="shared" si="24"/>
        <v>200975+</v>
      </c>
      <c r="B1562">
        <v>2009</v>
      </c>
      <c r="C1562" t="s">
        <v>0</v>
      </c>
      <c r="D1562" t="s">
        <v>26</v>
      </c>
      <c r="E1562">
        <v>12</v>
      </c>
      <c r="F1562" t="s">
        <v>10</v>
      </c>
      <c r="G1562" s="7">
        <v>255</v>
      </c>
      <c r="H1562" s="2">
        <v>362131</v>
      </c>
    </row>
    <row r="1563" spans="1:8" x14ac:dyDescent="0.25">
      <c r="A1563" t="str">
        <f t="shared" si="24"/>
        <v>20100-4</v>
      </c>
      <c r="B1563">
        <v>2010</v>
      </c>
      <c r="C1563" t="s">
        <v>6</v>
      </c>
      <c r="D1563" t="s">
        <v>26</v>
      </c>
      <c r="E1563">
        <v>12</v>
      </c>
      <c r="F1563" t="s">
        <v>10</v>
      </c>
      <c r="G1563" s="7">
        <v>18</v>
      </c>
      <c r="H1563" s="2">
        <v>1348289</v>
      </c>
    </row>
    <row r="1564" spans="1:8" x14ac:dyDescent="0.25">
      <c r="A1564" t="str">
        <f t="shared" si="24"/>
        <v>201015-24</v>
      </c>
      <c r="B1564">
        <v>2010</v>
      </c>
      <c r="C1564" t="s">
        <v>4</v>
      </c>
      <c r="D1564" t="s">
        <v>26</v>
      </c>
      <c r="E1564">
        <v>12</v>
      </c>
      <c r="F1564" t="s">
        <v>10</v>
      </c>
      <c r="G1564" s="7">
        <v>24</v>
      </c>
      <c r="H1564" s="2">
        <v>2590746</v>
      </c>
    </row>
    <row r="1565" spans="1:8" x14ac:dyDescent="0.25">
      <c r="A1565" t="str">
        <f t="shared" si="24"/>
        <v>201025-44</v>
      </c>
      <c r="B1565">
        <v>2010</v>
      </c>
      <c r="C1565" t="s">
        <v>3</v>
      </c>
      <c r="D1565" t="s">
        <v>26</v>
      </c>
      <c r="E1565">
        <v>12</v>
      </c>
      <c r="F1565" t="s">
        <v>10</v>
      </c>
      <c r="G1565" s="7">
        <v>92</v>
      </c>
      <c r="H1565" s="2">
        <v>4228246</v>
      </c>
    </row>
    <row r="1566" spans="1:8" x14ac:dyDescent="0.25">
      <c r="A1566" t="str">
        <f t="shared" si="24"/>
        <v>201045-64</v>
      </c>
      <c r="B1566">
        <v>2010</v>
      </c>
      <c r="C1566" t="s">
        <v>2</v>
      </c>
      <c r="D1566" t="s">
        <v>26</v>
      </c>
      <c r="E1566">
        <v>12</v>
      </c>
      <c r="F1566" t="s">
        <v>10</v>
      </c>
      <c r="G1566" s="7">
        <v>300</v>
      </c>
      <c r="H1566" s="2">
        <v>2464321</v>
      </c>
    </row>
    <row r="1567" spans="1:8" x14ac:dyDescent="0.25">
      <c r="A1567" t="str">
        <f t="shared" si="24"/>
        <v>20105-14</v>
      </c>
      <c r="B1567">
        <v>2010</v>
      </c>
      <c r="C1567" t="s">
        <v>5</v>
      </c>
      <c r="D1567" t="s">
        <v>26</v>
      </c>
      <c r="E1567">
        <v>12</v>
      </c>
      <c r="F1567" t="s">
        <v>10</v>
      </c>
      <c r="G1567" s="7">
        <v>19</v>
      </c>
      <c r="H1567" s="2">
        <v>2674173</v>
      </c>
    </row>
    <row r="1568" spans="1:8" x14ac:dyDescent="0.25">
      <c r="A1568" t="str">
        <f t="shared" si="24"/>
        <v>201065-74</v>
      </c>
      <c r="B1568">
        <v>2010</v>
      </c>
      <c r="C1568" t="s">
        <v>1</v>
      </c>
      <c r="D1568" t="s">
        <v>26</v>
      </c>
      <c r="E1568">
        <v>12</v>
      </c>
      <c r="F1568" t="s">
        <v>10</v>
      </c>
      <c r="G1568" s="7">
        <v>177</v>
      </c>
      <c r="H1568" s="2">
        <v>538921</v>
      </c>
    </row>
    <row r="1569" spans="1:8" x14ac:dyDescent="0.25">
      <c r="A1569" t="str">
        <f t="shared" si="24"/>
        <v>201075+</v>
      </c>
      <c r="B1569">
        <v>2010</v>
      </c>
      <c r="C1569" t="s">
        <v>0</v>
      </c>
      <c r="D1569" t="s">
        <v>26</v>
      </c>
      <c r="E1569">
        <v>12</v>
      </c>
      <c r="F1569" t="s">
        <v>10</v>
      </c>
      <c r="G1569" s="7">
        <v>294</v>
      </c>
      <c r="H1569" s="2">
        <v>373918</v>
      </c>
    </row>
    <row r="1570" spans="1:8" x14ac:dyDescent="0.25">
      <c r="A1570" t="str">
        <f t="shared" si="24"/>
        <v>20110-4</v>
      </c>
      <c r="B1570">
        <v>2011</v>
      </c>
      <c r="C1570" t="s">
        <v>6</v>
      </c>
      <c r="D1570" t="s">
        <v>26</v>
      </c>
      <c r="E1570">
        <v>12</v>
      </c>
      <c r="F1570" t="s">
        <v>10</v>
      </c>
      <c r="G1570" s="7">
        <v>21</v>
      </c>
      <c r="H1570" s="2">
        <v>1344595</v>
      </c>
    </row>
    <row r="1571" spans="1:8" x14ac:dyDescent="0.25">
      <c r="A1571" t="str">
        <f t="shared" si="24"/>
        <v>201115-24</v>
      </c>
      <c r="B1571">
        <v>2011</v>
      </c>
      <c r="C1571" t="s">
        <v>4</v>
      </c>
      <c r="D1571" t="s">
        <v>26</v>
      </c>
      <c r="E1571">
        <v>12</v>
      </c>
      <c r="F1571" t="s">
        <v>10</v>
      </c>
      <c r="G1571" s="7">
        <v>29</v>
      </c>
      <c r="H1571" s="2">
        <v>2593350</v>
      </c>
    </row>
    <row r="1572" spans="1:8" x14ac:dyDescent="0.25">
      <c r="A1572" t="str">
        <f t="shared" si="24"/>
        <v>201125-44</v>
      </c>
      <c r="B1572">
        <v>2011</v>
      </c>
      <c r="C1572" t="s">
        <v>3</v>
      </c>
      <c r="D1572" t="s">
        <v>26</v>
      </c>
      <c r="E1572">
        <v>12</v>
      </c>
      <c r="F1572" t="s">
        <v>10</v>
      </c>
      <c r="G1572" s="7">
        <v>115</v>
      </c>
      <c r="H1572" s="2">
        <v>4299392</v>
      </c>
    </row>
    <row r="1573" spans="1:8" x14ac:dyDescent="0.25">
      <c r="A1573" t="str">
        <f t="shared" si="24"/>
        <v>201145-64</v>
      </c>
      <c r="B1573">
        <v>2011</v>
      </c>
      <c r="C1573" t="s">
        <v>2</v>
      </c>
      <c r="D1573" t="s">
        <v>26</v>
      </c>
      <c r="E1573">
        <v>12</v>
      </c>
      <c r="F1573" t="s">
        <v>10</v>
      </c>
      <c r="G1573" s="7">
        <v>308</v>
      </c>
      <c r="H1573" s="2">
        <v>2561836</v>
      </c>
    </row>
    <row r="1574" spans="1:8" x14ac:dyDescent="0.25">
      <c r="A1574" t="str">
        <f t="shared" si="24"/>
        <v>20115-14</v>
      </c>
      <c r="B1574">
        <v>2011</v>
      </c>
      <c r="C1574" t="s">
        <v>5</v>
      </c>
      <c r="D1574" t="s">
        <v>26</v>
      </c>
      <c r="E1574">
        <v>12</v>
      </c>
      <c r="F1574" t="s">
        <v>10</v>
      </c>
      <c r="G1574" s="7">
        <v>12</v>
      </c>
      <c r="H1574" s="2">
        <v>2684312</v>
      </c>
    </row>
    <row r="1575" spans="1:8" x14ac:dyDescent="0.25">
      <c r="A1575" t="str">
        <f t="shared" si="24"/>
        <v>201165-74</v>
      </c>
      <c r="B1575">
        <v>2011</v>
      </c>
      <c r="C1575" t="s">
        <v>1</v>
      </c>
      <c r="D1575" t="s">
        <v>26</v>
      </c>
      <c r="E1575">
        <v>12</v>
      </c>
      <c r="F1575" t="s">
        <v>10</v>
      </c>
      <c r="G1575" s="7">
        <v>171</v>
      </c>
      <c r="H1575" s="2">
        <v>559899</v>
      </c>
    </row>
    <row r="1576" spans="1:8" x14ac:dyDescent="0.25">
      <c r="A1576" t="str">
        <f t="shared" si="24"/>
        <v>201175+</v>
      </c>
      <c r="B1576">
        <v>2011</v>
      </c>
      <c r="C1576" t="s">
        <v>0</v>
      </c>
      <c r="D1576" t="s">
        <v>26</v>
      </c>
      <c r="E1576">
        <v>12</v>
      </c>
      <c r="F1576" t="s">
        <v>10</v>
      </c>
      <c r="G1576" s="7">
        <v>309</v>
      </c>
      <c r="H1576" s="2">
        <v>385721</v>
      </c>
    </row>
    <row r="1577" spans="1:8" x14ac:dyDescent="0.25">
      <c r="A1577" t="str">
        <f t="shared" si="24"/>
        <v>20120-4</v>
      </c>
      <c r="B1577">
        <v>2012</v>
      </c>
      <c r="C1577" t="s">
        <v>6</v>
      </c>
      <c r="D1577" t="s">
        <v>26</v>
      </c>
      <c r="E1577">
        <v>12</v>
      </c>
      <c r="F1577" t="s">
        <v>10</v>
      </c>
      <c r="G1577" s="7">
        <v>22</v>
      </c>
      <c r="H1577" s="2">
        <v>1340586.3214094499</v>
      </c>
    </row>
    <row r="1578" spans="1:8" x14ac:dyDescent="0.25">
      <c r="A1578" t="str">
        <f t="shared" si="24"/>
        <v>201215-24</v>
      </c>
      <c r="B1578">
        <v>2012</v>
      </c>
      <c r="C1578" t="s">
        <v>4</v>
      </c>
      <c r="D1578" t="s">
        <v>26</v>
      </c>
      <c r="E1578">
        <v>12</v>
      </c>
      <c r="F1578" t="s">
        <v>10</v>
      </c>
      <c r="G1578" s="7">
        <v>24</v>
      </c>
      <c r="H1578" s="2">
        <v>2596932.5593387499</v>
      </c>
    </row>
    <row r="1579" spans="1:8" x14ac:dyDescent="0.25">
      <c r="A1579" t="str">
        <f t="shared" si="24"/>
        <v>201225-44</v>
      </c>
      <c r="B1579">
        <v>2012</v>
      </c>
      <c r="C1579" t="s">
        <v>3</v>
      </c>
      <c r="D1579" t="s">
        <v>26</v>
      </c>
      <c r="E1579">
        <v>12</v>
      </c>
      <c r="F1579" t="s">
        <v>10</v>
      </c>
      <c r="G1579" s="7">
        <v>106</v>
      </c>
      <c r="H1579" s="2">
        <v>4370928.8062696801</v>
      </c>
    </row>
    <row r="1580" spans="1:8" x14ac:dyDescent="0.25">
      <c r="A1580" t="str">
        <f t="shared" si="24"/>
        <v>201245-64</v>
      </c>
      <c r="B1580">
        <v>2012</v>
      </c>
      <c r="C1580" t="s">
        <v>2</v>
      </c>
      <c r="D1580" t="s">
        <v>26</v>
      </c>
      <c r="E1580">
        <v>12</v>
      </c>
      <c r="F1580" t="s">
        <v>10</v>
      </c>
      <c r="G1580" s="7">
        <v>322</v>
      </c>
      <c r="H1580" s="2">
        <v>2658291.2681631502</v>
      </c>
    </row>
    <row r="1581" spans="1:8" x14ac:dyDescent="0.25">
      <c r="A1581" t="str">
        <f t="shared" si="24"/>
        <v>20125-14</v>
      </c>
      <c r="B1581">
        <v>2012</v>
      </c>
      <c r="C1581" t="s">
        <v>5</v>
      </c>
      <c r="D1581" t="s">
        <v>26</v>
      </c>
      <c r="E1581">
        <v>12</v>
      </c>
      <c r="F1581" t="s">
        <v>10</v>
      </c>
      <c r="G1581" s="7">
        <v>20</v>
      </c>
      <c r="H1581" s="2">
        <v>2693165.8826794801</v>
      </c>
    </row>
    <row r="1582" spans="1:8" x14ac:dyDescent="0.25">
      <c r="A1582" t="str">
        <f t="shared" si="24"/>
        <v>201265-74</v>
      </c>
      <c r="B1582">
        <v>2012</v>
      </c>
      <c r="C1582" t="s">
        <v>1</v>
      </c>
      <c r="D1582" t="s">
        <v>26</v>
      </c>
      <c r="E1582">
        <v>12</v>
      </c>
      <c r="F1582" t="s">
        <v>10</v>
      </c>
      <c r="G1582" s="7">
        <v>189</v>
      </c>
      <c r="H1582" s="2">
        <v>582433.94467592705</v>
      </c>
    </row>
    <row r="1583" spans="1:8" x14ac:dyDescent="0.25">
      <c r="A1583" t="str">
        <f t="shared" si="24"/>
        <v>201275+</v>
      </c>
      <c r="B1583">
        <v>2012</v>
      </c>
      <c r="C1583" t="s">
        <v>0</v>
      </c>
      <c r="D1583" t="s">
        <v>26</v>
      </c>
      <c r="E1583">
        <v>12</v>
      </c>
      <c r="F1583" t="s">
        <v>10</v>
      </c>
      <c r="G1583" s="7">
        <v>350</v>
      </c>
      <c r="H1583" s="2">
        <v>398069.84835797001</v>
      </c>
    </row>
    <row r="1584" spans="1:8" x14ac:dyDescent="0.25">
      <c r="A1584" t="str">
        <f t="shared" si="24"/>
        <v>20130-4</v>
      </c>
      <c r="B1584">
        <v>2013</v>
      </c>
      <c r="C1584" t="s">
        <v>6</v>
      </c>
      <c r="D1584" t="s">
        <v>26</v>
      </c>
      <c r="E1584">
        <v>12</v>
      </c>
      <c r="F1584" t="s">
        <v>10</v>
      </c>
      <c r="G1584" s="7">
        <v>34</v>
      </c>
      <c r="H1584" s="2">
        <v>1336364.77993838</v>
      </c>
    </row>
    <row r="1585" spans="1:8" x14ac:dyDescent="0.25">
      <c r="A1585" t="str">
        <f t="shared" si="24"/>
        <v>201315-24</v>
      </c>
      <c r="B1585">
        <v>2013</v>
      </c>
      <c r="C1585" t="s">
        <v>4</v>
      </c>
      <c r="D1585" t="s">
        <v>26</v>
      </c>
      <c r="E1585">
        <v>12</v>
      </c>
      <c r="F1585" t="s">
        <v>10</v>
      </c>
      <c r="G1585" s="7">
        <v>22</v>
      </c>
      <c r="H1585" s="2">
        <v>2602650.6589393602</v>
      </c>
    </row>
    <row r="1586" spans="1:8" x14ac:dyDescent="0.25">
      <c r="A1586" t="str">
        <f t="shared" si="24"/>
        <v>201325-44</v>
      </c>
      <c r="B1586">
        <v>2013</v>
      </c>
      <c r="C1586" t="s">
        <v>3</v>
      </c>
      <c r="D1586" t="s">
        <v>26</v>
      </c>
      <c r="E1586">
        <v>12</v>
      </c>
      <c r="F1586" t="s">
        <v>10</v>
      </c>
      <c r="G1586" s="7">
        <v>118</v>
      </c>
      <c r="H1586" s="2">
        <v>4442157.0636299504</v>
      </c>
    </row>
    <row r="1587" spans="1:8" x14ac:dyDescent="0.25">
      <c r="A1587" t="str">
        <f t="shared" si="24"/>
        <v>201345-64</v>
      </c>
      <c r="B1587">
        <v>2013</v>
      </c>
      <c r="C1587" t="s">
        <v>2</v>
      </c>
      <c r="D1587" t="s">
        <v>26</v>
      </c>
      <c r="E1587">
        <v>12</v>
      </c>
      <c r="F1587" t="s">
        <v>10</v>
      </c>
      <c r="G1587" s="7">
        <v>344</v>
      </c>
      <c r="H1587" s="2">
        <v>2752738.9724179399</v>
      </c>
    </row>
    <row r="1588" spans="1:8" x14ac:dyDescent="0.25">
      <c r="A1588" t="str">
        <f t="shared" si="24"/>
        <v>20135-14</v>
      </c>
      <c r="B1588">
        <v>2013</v>
      </c>
      <c r="C1588" t="s">
        <v>5</v>
      </c>
      <c r="D1588" t="s">
        <v>26</v>
      </c>
      <c r="E1588">
        <v>12</v>
      </c>
      <c r="F1588" t="s">
        <v>10</v>
      </c>
      <c r="G1588" s="7">
        <v>10</v>
      </c>
      <c r="H1588" s="2">
        <v>2699988.6782491799</v>
      </c>
    </row>
    <row r="1589" spans="1:8" x14ac:dyDescent="0.25">
      <c r="A1589" t="str">
        <f t="shared" si="24"/>
        <v>201365-74</v>
      </c>
      <c r="B1589">
        <v>2013</v>
      </c>
      <c r="C1589" t="s">
        <v>1</v>
      </c>
      <c r="D1589" t="s">
        <v>26</v>
      </c>
      <c r="E1589">
        <v>12</v>
      </c>
      <c r="F1589" t="s">
        <v>10</v>
      </c>
      <c r="G1589" s="7">
        <v>221</v>
      </c>
      <c r="H1589" s="2">
        <v>606480.27141564596</v>
      </c>
    </row>
    <row r="1590" spans="1:8" x14ac:dyDescent="0.25">
      <c r="A1590" t="str">
        <f t="shared" si="24"/>
        <v>201375+</v>
      </c>
      <c r="B1590">
        <v>2013</v>
      </c>
      <c r="C1590" t="s">
        <v>0</v>
      </c>
      <c r="D1590" t="s">
        <v>26</v>
      </c>
      <c r="E1590">
        <v>12</v>
      </c>
      <c r="F1590" t="s">
        <v>10</v>
      </c>
      <c r="G1590" s="7">
        <v>357</v>
      </c>
      <c r="H1590" s="2">
        <v>411257.72175729403</v>
      </c>
    </row>
    <row r="1591" spans="1:8" x14ac:dyDescent="0.25">
      <c r="A1591" t="str">
        <f t="shared" si="24"/>
        <v>20140-4</v>
      </c>
      <c r="B1591">
        <v>2014</v>
      </c>
      <c r="C1591" t="s">
        <v>6</v>
      </c>
      <c r="D1591" t="s">
        <v>26</v>
      </c>
      <c r="E1591">
        <v>12</v>
      </c>
      <c r="F1591" t="s">
        <v>10</v>
      </c>
      <c r="G1591" s="7">
        <v>22</v>
      </c>
      <c r="H1591" s="2">
        <v>1331891</v>
      </c>
    </row>
    <row r="1592" spans="1:8" x14ac:dyDescent="0.25">
      <c r="A1592" t="str">
        <f t="shared" si="24"/>
        <v>201415-24</v>
      </c>
      <c r="B1592">
        <v>2014</v>
      </c>
      <c r="C1592" t="s">
        <v>4</v>
      </c>
      <c r="D1592" t="s">
        <v>26</v>
      </c>
      <c r="E1592">
        <v>12</v>
      </c>
      <c r="F1592" t="s">
        <v>10</v>
      </c>
      <c r="G1592" s="7">
        <v>26</v>
      </c>
      <c r="H1592" s="2">
        <v>2610538</v>
      </c>
    </row>
    <row r="1593" spans="1:8" x14ac:dyDescent="0.25">
      <c r="A1593" t="str">
        <f t="shared" si="24"/>
        <v>201425-44</v>
      </c>
      <c r="B1593">
        <v>2014</v>
      </c>
      <c r="C1593" t="s">
        <v>3</v>
      </c>
      <c r="D1593" t="s">
        <v>26</v>
      </c>
      <c r="E1593">
        <v>12</v>
      </c>
      <c r="F1593" t="s">
        <v>10</v>
      </c>
      <c r="G1593" s="7">
        <v>93</v>
      </c>
      <c r="H1593" s="2">
        <v>4511948</v>
      </c>
    </row>
    <row r="1594" spans="1:8" x14ac:dyDescent="0.25">
      <c r="A1594" t="str">
        <f t="shared" si="24"/>
        <v>201445-64</v>
      </c>
      <c r="B1594">
        <v>2014</v>
      </c>
      <c r="C1594" t="s">
        <v>2</v>
      </c>
      <c r="D1594" t="s">
        <v>26</v>
      </c>
      <c r="E1594">
        <v>12</v>
      </c>
      <c r="F1594" t="s">
        <v>10</v>
      </c>
      <c r="G1594" s="7">
        <v>322</v>
      </c>
      <c r="H1594" s="2">
        <v>2845267</v>
      </c>
    </row>
    <row r="1595" spans="1:8" x14ac:dyDescent="0.25">
      <c r="A1595" t="str">
        <f t="shared" si="24"/>
        <v>20145-14</v>
      </c>
      <c r="B1595">
        <v>2014</v>
      </c>
      <c r="C1595" t="s">
        <v>5</v>
      </c>
      <c r="D1595" t="s">
        <v>26</v>
      </c>
      <c r="E1595">
        <v>12</v>
      </c>
      <c r="F1595" t="s">
        <v>10</v>
      </c>
      <c r="G1595" s="7">
        <v>19</v>
      </c>
      <c r="H1595" s="2">
        <v>2704490</v>
      </c>
    </row>
    <row r="1596" spans="1:8" x14ac:dyDescent="0.25">
      <c r="A1596" t="str">
        <f t="shared" si="24"/>
        <v>201465-74</v>
      </c>
      <c r="B1596">
        <v>2014</v>
      </c>
      <c r="C1596" t="s">
        <v>1</v>
      </c>
      <c r="D1596" t="s">
        <v>26</v>
      </c>
      <c r="E1596">
        <v>12</v>
      </c>
      <c r="F1596" t="s">
        <v>10</v>
      </c>
      <c r="G1596" s="7">
        <v>213</v>
      </c>
      <c r="H1596" s="2">
        <v>631943</v>
      </c>
    </row>
    <row r="1597" spans="1:8" x14ac:dyDescent="0.25">
      <c r="A1597" t="str">
        <f t="shared" si="24"/>
        <v>201475+</v>
      </c>
      <c r="B1597">
        <v>2014</v>
      </c>
      <c r="C1597" t="s">
        <v>0</v>
      </c>
      <c r="D1597" t="s">
        <v>26</v>
      </c>
      <c r="E1597">
        <v>12</v>
      </c>
      <c r="F1597" t="s">
        <v>10</v>
      </c>
      <c r="G1597" s="7">
        <v>393</v>
      </c>
      <c r="H1597" s="2">
        <v>425486</v>
      </c>
    </row>
    <row r="1598" spans="1:8" x14ac:dyDescent="0.25">
      <c r="A1598" t="str">
        <f t="shared" si="24"/>
        <v>19960-4</v>
      </c>
      <c r="B1598">
        <v>1996</v>
      </c>
      <c r="C1598" t="s">
        <v>6</v>
      </c>
      <c r="D1598" t="s">
        <v>26</v>
      </c>
      <c r="E1598">
        <v>13</v>
      </c>
      <c r="F1598" t="s">
        <v>9</v>
      </c>
      <c r="G1598" s="7">
        <v>0</v>
      </c>
      <c r="H1598" s="2">
        <v>1308550.7828250399</v>
      </c>
    </row>
    <row r="1599" spans="1:8" x14ac:dyDescent="0.25">
      <c r="A1599" t="str">
        <f t="shared" si="24"/>
        <v>199615-24</v>
      </c>
      <c r="B1599">
        <v>1996</v>
      </c>
      <c r="C1599" t="s">
        <v>4</v>
      </c>
      <c r="D1599" t="s">
        <v>26</v>
      </c>
      <c r="E1599">
        <v>13</v>
      </c>
      <c r="F1599" t="s">
        <v>9</v>
      </c>
      <c r="G1599" s="7">
        <v>2</v>
      </c>
      <c r="H1599" s="2">
        <v>2136825.68729656</v>
      </c>
    </row>
    <row r="1600" spans="1:8" x14ac:dyDescent="0.25">
      <c r="A1600" t="str">
        <f t="shared" si="24"/>
        <v>199625-44</v>
      </c>
      <c r="B1600">
        <v>1996</v>
      </c>
      <c r="C1600" t="s">
        <v>3</v>
      </c>
      <c r="D1600" t="s">
        <v>26</v>
      </c>
      <c r="E1600">
        <v>13</v>
      </c>
      <c r="F1600" t="s">
        <v>9</v>
      </c>
      <c r="G1600" s="7">
        <v>24</v>
      </c>
      <c r="H1600" s="2">
        <v>3245545.2890741802</v>
      </c>
    </row>
    <row r="1601" spans="1:8" x14ac:dyDescent="0.25">
      <c r="A1601" t="str">
        <f t="shared" si="24"/>
        <v>199645-64</v>
      </c>
      <c r="B1601">
        <v>1996</v>
      </c>
      <c r="C1601" t="s">
        <v>2</v>
      </c>
      <c r="D1601" t="s">
        <v>26</v>
      </c>
      <c r="E1601">
        <v>13</v>
      </c>
      <c r="F1601" t="s">
        <v>9</v>
      </c>
      <c r="G1601" s="7">
        <v>81</v>
      </c>
      <c r="H1601" s="2">
        <v>1448877.9572723201</v>
      </c>
    </row>
    <row r="1602" spans="1:8" x14ac:dyDescent="0.25">
      <c r="A1602" t="str">
        <f t="shared" ref="A1602:A1665" si="25">+CONCATENATE(B1602,C1602)</f>
        <v>19965-14</v>
      </c>
      <c r="B1602">
        <v>1996</v>
      </c>
      <c r="C1602" t="s">
        <v>5</v>
      </c>
      <c r="D1602" t="s">
        <v>26</v>
      </c>
      <c r="E1602">
        <v>13</v>
      </c>
      <c r="F1602" t="s">
        <v>9</v>
      </c>
      <c r="G1602" s="7">
        <v>0</v>
      </c>
      <c r="H1602" s="2">
        <v>2617766.7452121698</v>
      </c>
    </row>
    <row r="1603" spans="1:8" x14ac:dyDescent="0.25">
      <c r="A1603" t="str">
        <f t="shared" si="25"/>
        <v>199665-74</v>
      </c>
      <c r="B1603">
        <v>1996</v>
      </c>
      <c r="C1603" t="s">
        <v>1</v>
      </c>
      <c r="D1603" t="s">
        <v>26</v>
      </c>
      <c r="E1603">
        <v>13</v>
      </c>
      <c r="F1603" t="s">
        <v>9</v>
      </c>
      <c r="G1603" s="7">
        <v>97</v>
      </c>
      <c r="H1603" s="2">
        <v>373487.34083337098</v>
      </c>
    </row>
    <row r="1604" spans="1:8" x14ac:dyDescent="0.25">
      <c r="A1604" t="str">
        <f t="shared" si="25"/>
        <v>199675+</v>
      </c>
      <c r="B1604">
        <v>1996</v>
      </c>
      <c r="C1604" t="s">
        <v>0</v>
      </c>
      <c r="D1604" t="s">
        <v>26</v>
      </c>
      <c r="E1604">
        <v>13</v>
      </c>
      <c r="F1604" t="s">
        <v>9</v>
      </c>
      <c r="G1604" s="7">
        <v>188</v>
      </c>
      <c r="H1604" s="2">
        <v>186458.585231801</v>
      </c>
    </row>
    <row r="1605" spans="1:8" x14ac:dyDescent="0.25">
      <c r="A1605" t="str">
        <f t="shared" si="25"/>
        <v>19970-4</v>
      </c>
      <c r="B1605">
        <v>1997</v>
      </c>
      <c r="C1605" t="s">
        <v>6</v>
      </c>
      <c r="D1605" t="s">
        <v>26</v>
      </c>
      <c r="E1605">
        <v>13</v>
      </c>
      <c r="F1605" t="s">
        <v>9</v>
      </c>
      <c r="G1605" s="7">
        <v>1</v>
      </c>
      <c r="H1605" s="2">
        <v>1317732.8696950199</v>
      </c>
    </row>
    <row r="1606" spans="1:8" x14ac:dyDescent="0.25">
      <c r="A1606" t="str">
        <f t="shared" si="25"/>
        <v>199715-24</v>
      </c>
      <c r="B1606">
        <v>1997</v>
      </c>
      <c r="C1606" t="s">
        <v>4</v>
      </c>
      <c r="D1606" t="s">
        <v>26</v>
      </c>
      <c r="E1606">
        <v>13</v>
      </c>
      <c r="F1606" t="s">
        <v>9</v>
      </c>
      <c r="G1606" s="7">
        <v>7</v>
      </c>
      <c r="H1606" s="2">
        <v>2190257.4123779298</v>
      </c>
    </row>
    <row r="1607" spans="1:8" x14ac:dyDescent="0.25">
      <c r="A1607" t="str">
        <f t="shared" si="25"/>
        <v>199725-44</v>
      </c>
      <c r="B1607">
        <v>1997</v>
      </c>
      <c r="C1607" t="s">
        <v>3</v>
      </c>
      <c r="D1607" t="s">
        <v>26</v>
      </c>
      <c r="E1607">
        <v>13</v>
      </c>
      <c r="F1607" t="s">
        <v>9</v>
      </c>
      <c r="G1607" s="7">
        <v>47</v>
      </c>
      <c r="H1607" s="2">
        <v>3319788.9734445098</v>
      </c>
    </row>
    <row r="1608" spans="1:8" x14ac:dyDescent="0.25">
      <c r="A1608" t="str">
        <f t="shared" si="25"/>
        <v>199745-64</v>
      </c>
      <c r="B1608">
        <v>1997</v>
      </c>
      <c r="C1608" t="s">
        <v>2</v>
      </c>
      <c r="D1608" t="s">
        <v>26</v>
      </c>
      <c r="E1608">
        <v>13</v>
      </c>
      <c r="F1608" t="s">
        <v>9</v>
      </c>
      <c r="G1608" s="7">
        <v>124</v>
      </c>
      <c r="H1608" s="2">
        <v>1494497.7743633899</v>
      </c>
    </row>
    <row r="1609" spans="1:8" x14ac:dyDescent="0.25">
      <c r="A1609" t="str">
        <f t="shared" si="25"/>
        <v>19975-14</v>
      </c>
      <c r="B1609">
        <v>1997</v>
      </c>
      <c r="C1609" t="s">
        <v>5</v>
      </c>
      <c r="D1609" t="s">
        <v>26</v>
      </c>
      <c r="E1609">
        <v>13</v>
      </c>
      <c r="F1609" t="s">
        <v>9</v>
      </c>
      <c r="G1609" s="7">
        <v>2</v>
      </c>
      <c r="H1609" s="2">
        <v>2625110.0471272999</v>
      </c>
    </row>
    <row r="1610" spans="1:8" x14ac:dyDescent="0.25">
      <c r="A1610" t="str">
        <f t="shared" si="25"/>
        <v>199765-74</v>
      </c>
      <c r="B1610">
        <v>1997</v>
      </c>
      <c r="C1610" t="s">
        <v>1</v>
      </c>
      <c r="D1610" t="s">
        <v>26</v>
      </c>
      <c r="E1610">
        <v>13</v>
      </c>
      <c r="F1610" t="s">
        <v>9</v>
      </c>
      <c r="G1610" s="7">
        <v>133</v>
      </c>
      <c r="H1610" s="2">
        <v>377918.60450002301</v>
      </c>
    </row>
    <row r="1611" spans="1:8" x14ac:dyDescent="0.25">
      <c r="A1611" t="str">
        <f t="shared" si="25"/>
        <v>199775+</v>
      </c>
      <c r="B1611">
        <v>1997</v>
      </c>
      <c r="C1611" t="s">
        <v>0</v>
      </c>
      <c r="D1611" t="s">
        <v>26</v>
      </c>
      <c r="E1611">
        <v>13</v>
      </c>
      <c r="F1611" t="s">
        <v>9</v>
      </c>
      <c r="G1611" s="7">
        <v>286</v>
      </c>
      <c r="H1611" s="2">
        <v>197836.55113907999</v>
      </c>
    </row>
    <row r="1612" spans="1:8" x14ac:dyDescent="0.25">
      <c r="A1612" t="str">
        <f t="shared" si="25"/>
        <v>19980-4</v>
      </c>
      <c r="B1612">
        <v>1998</v>
      </c>
      <c r="C1612" t="s">
        <v>6</v>
      </c>
      <c r="D1612" t="s">
        <v>26</v>
      </c>
      <c r="E1612">
        <v>13</v>
      </c>
      <c r="F1612" t="s">
        <v>9</v>
      </c>
      <c r="G1612" s="7">
        <v>0</v>
      </c>
      <c r="H1612" s="2">
        <v>1325697.93484751</v>
      </c>
    </row>
    <row r="1613" spans="1:8" x14ac:dyDescent="0.25">
      <c r="A1613" t="str">
        <f t="shared" si="25"/>
        <v>199815-24</v>
      </c>
      <c r="B1613">
        <v>1998</v>
      </c>
      <c r="C1613" t="s">
        <v>4</v>
      </c>
      <c r="D1613" t="s">
        <v>26</v>
      </c>
      <c r="E1613">
        <v>13</v>
      </c>
      <c r="F1613" t="s">
        <v>9</v>
      </c>
      <c r="G1613" s="7">
        <v>3</v>
      </c>
      <c r="H1613" s="2">
        <v>2242694.2061889698</v>
      </c>
    </row>
    <row r="1614" spans="1:8" x14ac:dyDescent="0.25">
      <c r="A1614" t="str">
        <f t="shared" si="25"/>
        <v>199825-44</v>
      </c>
      <c r="B1614">
        <v>1998</v>
      </c>
      <c r="C1614" t="s">
        <v>3</v>
      </c>
      <c r="D1614" t="s">
        <v>26</v>
      </c>
      <c r="E1614">
        <v>13</v>
      </c>
      <c r="F1614" t="s">
        <v>9</v>
      </c>
      <c r="G1614" s="7">
        <v>45</v>
      </c>
      <c r="H1614" s="2">
        <v>3392799.98672225</v>
      </c>
    </row>
    <row r="1615" spans="1:8" x14ac:dyDescent="0.25">
      <c r="A1615" t="str">
        <f t="shared" si="25"/>
        <v>199845-64</v>
      </c>
      <c r="B1615">
        <v>1998</v>
      </c>
      <c r="C1615" t="s">
        <v>2</v>
      </c>
      <c r="D1615" t="s">
        <v>26</v>
      </c>
      <c r="E1615">
        <v>13</v>
      </c>
      <c r="F1615" t="s">
        <v>9</v>
      </c>
      <c r="G1615" s="7">
        <v>134</v>
      </c>
      <c r="H1615" s="2">
        <v>1544756.3871817</v>
      </c>
    </row>
    <row r="1616" spans="1:8" x14ac:dyDescent="0.25">
      <c r="A1616" t="str">
        <f t="shared" si="25"/>
        <v>19985-14</v>
      </c>
      <c r="B1616">
        <v>1998</v>
      </c>
      <c r="C1616" t="s">
        <v>5</v>
      </c>
      <c r="D1616" t="s">
        <v>26</v>
      </c>
      <c r="E1616">
        <v>13</v>
      </c>
      <c r="F1616" t="s">
        <v>9</v>
      </c>
      <c r="G1616" s="7">
        <v>0</v>
      </c>
      <c r="H1616" s="2">
        <v>2628255.52356365</v>
      </c>
    </row>
    <row r="1617" spans="1:8" x14ac:dyDescent="0.25">
      <c r="A1617" t="str">
        <f t="shared" si="25"/>
        <v>199865-74</v>
      </c>
      <c r="B1617">
        <v>1998</v>
      </c>
      <c r="C1617" t="s">
        <v>1</v>
      </c>
      <c r="D1617" t="s">
        <v>26</v>
      </c>
      <c r="E1617">
        <v>13</v>
      </c>
      <c r="F1617" t="s">
        <v>9</v>
      </c>
      <c r="G1617" s="7">
        <v>134</v>
      </c>
      <c r="H1617" s="2">
        <v>383636.80225001101</v>
      </c>
    </row>
    <row r="1618" spans="1:8" x14ac:dyDescent="0.25">
      <c r="A1618" t="str">
        <f t="shared" si="25"/>
        <v>199875+</v>
      </c>
      <c r="B1618">
        <v>1998</v>
      </c>
      <c r="C1618" t="s">
        <v>0</v>
      </c>
      <c r="D1618" t="s">
        <v>26</v>
      </c>
      <c r="E1618">
        <v>13</v>
      </c>
      <c r="F1618" t="s">
        <v>9</v>
      </c>
      <c r="G1618" s="7">
        <v>268</v>
      </c>
      <c r="H1618" s="2">
        <v>210840.77556954001</v>
      </c>
    </row>
    <row r="1619" spans="1:8" x14ac:dyDescent="0.25">
      <c r="A1619" t="str">
        <f t="shared" si="25"/>
        <v>19990-4</v>
      </c>
      <c r="B1619">
        <v>1999</v>
      </c>
      <c r="C1619" t="s">
        <v>6</v>
      </c>
      <c r="D1619" t="s">
        <v>26</v>
      </c>
      <c r="E1619">
        <v>13</v>
      </c>
      <c r="F1619" t="s">
        <v>9</v>
      </c>
      <c r="G1619" s="7">
        <v>3</v>
      </c>
      <c r="H1619" s="2">
        <v>1332528.9782825001</v>
      </c>
    </row>
    <row r="1620" spans="1:8" x14ac:dyDescent="0.25">
      <c r="A1620" t="str">
        <f t="shared" si="25"/>
        <v>199915-24</v>
      </c>
      <c r="B1620">
        <v>1999</v>
      </c>
      <c r="C1620" t="s">
        <v>4</v>
      </c>
      <c r="D1620" t="s">
        <v>26</v>
      </c>
      <c r="E1620">
        <v>13</v>
      </c>
      <c r="F1620" t="s">
        <v>9</v>
      </c>
      <c r="G1620" s="7">
        <v>4</v>
      </c>
      <c r="H1620" s="2">
        <v>2293434.06872966</v>
      </c>
    </row>
    <row r="1621" spans="1:8" x14ac:dyDescent="0.25">
      <c r="A1621" t="str">
        <f t="shared" si="25"/>
        <v>199925-44</v>
      </c>
      <c r="B1621">
        <v>1999</v>
      </c>
      <c r="C1621" t="s">
        <v>3</v>
      </c>
      <c r="D1621" t="s">
        <v>26</v>
      </c>
      <c r="E1621">
        <v>13</v>
      </c>
      <c r="F1621" t="s">
        <v>9</v>
      </c>
      <c r="G1621" s="7">
        <v>47</v>
      </c>
      <c r="H1621" s="2">
        <v>3464730.3289074199</v>
      </c>
    </row>
    <row r="1622" spans="1:8" x14ac:dyDescent="0.25">
      <c r="A1622" t="str">
        <f t="shared" si="25"/>
        <v>199945-64</v>
      </c>
      <c r="B1622">
        <v>1999</v>
      </c>
      <c r="C1622" t="s">
        <v>2</v>
      </c>
      <c r="D1622" t="s">
        <v>26</v>
      </c>
      <c r="E1622">
        <v>13</v>
      </c>
      <c r="F1622" t="s">
        <v>9</v>
      </c>
      <c r="G1622" s="7">
        <v>118</v>
      </c>
      <c r="H1622" s="2">
        <v>1599513.7957272299</v>
      </c>
    </row>
    <row r="1623" spans="1:8" x14ac:dyDescent="0.25">
      <c r="A1623" t="str">
        <f t="shared" si="25"/>
        <v>19995-14</v>
      </c>
      <c r="B1623">
        <v>1999</v>
      </c>
      <c r="C1623" t="s">
        <v>5</v>
      </c>
      <c r="D1623" t="s">
        <v>26</v>
      </c>
      <c r="E1623">
        <v>13</v>
      </c>
      <c r="F1623" t="s">
        <v>9</v>
      </c>
      <c r="G1623" s="7">
        <v>0</v>
      </c>
      <c r="H1623" s="2">
        <v>2628380.1745212199</v>
      </c>
    </row>
    <row r="1624" spans="1:8" x14ac:dyDescent="0.25">
      <c r="A1624" t="str">
        <f t="shared" si="25"/>
        <v>199965-74</v>
      </c>
      <c r="B1624">
        <v>1999</v>
      </c>
      <c r="C1624" t="s">
        <v>1</v>
      </c>
      <c r="D1624" t="s">
        <v>26</v>
      </c>
      <c r="E1624">
        <v>13</v>
      </c>
      <c r="F1624" t="s">
        <v>9</v>
      </c>
      <c r="G1624" s="7">
        <v>123</v>
      </c>
      <c r="H1624" s="2">
        <v>390568.93408333702</v>
      </c>
    </row>
    <row r="1625" spans="1:8" x14ac:dyDescent="0.25">
      <c r="A1625" t="str">
        <f t="shared" si="25"/>
        <v>199975+</v>
      </c>
      <c r="B1625">
        <v>1999</v>
      </c>
      <c r="C1625" t="s">
        <v>0</v>
      </c>
      <c r="D1625" t="s">
        <v>26</v>
      </c>
      <c r="E1625">
        <v>13</v>
      </c>
      <c r="F1625" t="s">
        <v>9</v>
      </c>
      <c r="G1625" s="7">
        <v>274</v>
      </c>
      <c r="H1625" s="2">
        <v>225043.25852318</v>
      </c>
    </row>
    <row r="1626" spans="1:8" x14ac:dyDescent="0.25">
      <c r="A1626" t="str">
        <f t="shared" si="25"/>
        <v>20000-4</v>
      </c>
      <c r="B1626">
        <v>2000</v>
      </c>
      <c r="C1626" t="s">
        <v>6</v>
      </c>
      <c r="D1626" t="s">
        <v>26</v>
      </c>
      <c r="E1626">
        <v>13</v>
      </c>
      <c r="F1626" t="s">
        <v>9</v>
      </c>
      <c r="G1626" s="7">
        <v>0</v>
      </c>
      <c r="H1626" s="2">
        <v>1338309</v>
      </c>
    </row>
    <row r="1627" spans="1:8" x14ac:dyDescent="0.25">
      <c r="A1627" t="str">
        <f t="shared" si="25"/>
        <v>200015-24</v>
      </c>
      <c r="B1627">
        <v>2000</v>
      </c>
      <c r="C1627" t="s">
        <v>4</v>
      </c>
      <c r="D1627" t="s">
        <v>26</v>
      </c>
      <c r="E1627">
        <v>13</v>
      </c>
      <c r="F1627" t="s">
        <v>9</v>
      </c>
      <c r="G1627" s="7">
        <v>6</v>
      </c>
      <c r="H1627" s="2">
        <v>2341775</v>
      </c>
    </row>
    <row r="1628" spans="1:8" x14ac:dyDescent="0.25">
      <c r="A1628" t="str">
        <f t="shared" si="25"/>
        <v>200025-44</v>
      </c>
      <c r="B1628">
        <v>2000</v>
      </c>
      <c r="C1628" t="s">
        <v>3</v>
      </c>
      <c r="D1628" t="s">
        <v>26</v>
      </c>
      <c r="E1628">
        <v>13</v>
      </c>
      <c r="F1628" t="s">
        <v>9</v>
      </c>
      <c r="G1628" s="7">
        <v>40</v>
      </c>
      <c r="H1628" s="2">
        <v>3535732</v>
      </c>
    </row>
    <row r="1629" spans="1:8" x14ac:dyDescent="0.25">
      <c r="A1629" t="str">
        <f t="shared" si="25"/>
        <v>200045-64</v>
      </c>
      <c r="B1629">
        <v>2000</v>
      </c>
      <c r="C1629" t="s">
        <v>2</v>
      </c>
      <c r="D1629" t="s">
        <v>26</v>
      </c>
      <c r="E1629">
        <v>13</v>
      </c>
      <c r="F1629" t="s">
        <v>9</v>
      </c>
      <c r="G1629" s="7">
        <v>95</v>
      </c>
      <c r="H1629" s="2">
        <v>1658630</v>
      </c>
    </row>
    <row r="1630" spans="1:8" x14ac:dyDescent="0.25">
      <c r="A1630" t="str">
        <f t="shared" si="25"/>
        <v>20005-14</v>
      </c>
      <c r="B1630">
        <v>2000</v>
      </c>
      <c r="C1630" t="s">
        <v>5</v>
      </c>
      <c r="D1630" t="s">
        <v>26</v>
      </c>
      <c r="E1630">
        <v>13</v>
      </c>
      <c r="F1630" t="s">
        <v>9</v>
      </c>
      <c r="G1630" s="7">
        <v>3</v>
      </c>
      <c r="H1630" s="2">
        <v>2626661</v>
      </c>
    </row>
    <row r="1631" spans="1:8" x14ac:dyDescent="0.25">
      <c r="A1631" t="str">
        <f t="shared" si="25"/>
        <v>200065-74</v>
      </c>
      <c r="B1631">
        <v>2000</v>
      </c>
      <c r="C1631" t="s">
        <v>1</v>
      </c>
      <c r="D1631" t="s">
        <v>26</v>
      </c>
      <c r="E1631">
        <v>13</v>
      </c>
      <c r="F1631" t="s">
        <v>9</v>
      </c>
      <c r="G1631" s="7">
        <v>94</v>
      </c>
      <c r="H1631" s="2">
        <v>398642</v>
      </c>
    </row>
    <row r="1632" spans="1:8" x14ac:dyDescent="0.25">
      <c r="A1632" t="str">
        <f t="shared" si="25"/>
        <v>200075+</v>
      </c>
      <c r="B1632">
        <v>2000</v>
      </c>
      <c r="C1632" t="s">
        <v>0</v>
      </c>
      <c r="D1632" t="s">
        <v>26</v>
      </c>
      <c r="E1632">
        <v>13</v>
      </c>
      <c r="F1632" t="s">
        <v>9</v>
      </c>
      <c r="G1632" s="7">
        <v>284</v>
      </c>
      <c r="H1632" s="2">
        <v>240016</v>
      </c>
    </row>
    <row r="1633" spans="1:8" x14ac:dyDescent="0.25">
      <c r="A1633" t="str">
        <f t="shared" si="25"/>
        <v>20010-4</v>
      </c>
      <c r="B1633">
        <v>2001</v>
      </c>
      <c r="C1633" t="s">
        <v>6</v>
      </c>
      <c r="D1633" t="s">
        <v>26</v>
      </c>
      <c r="E1633">
        <v>13</v>
      </c>
      <c r="F1633" t="s">
        <v>9</v>
      </c>
      <c r="G1633" s="7">
        <v>0</v>
      </c>
      <c r="H1633" s="2">
        <v>1343121</v>
      </c>
    </row>
    <row r="1634" spans="1:8" x14ac:dyDescent="0.25">
      <c r="A1634" t="str">
        <f t="shared" si="25"/>
        <v>200115-24</v>
      </c>
      <c r="B1634">
        <v>2001</v>
      </c>
      <c r="C1634" t="s">
        <v>4</v>
      </c>
      <c r="D1634" t="s">
        <v>26</v>
      </c>
      <c r="E1634">
        <v>13</v>
      </c>
      <c r="F1634" t="s">
        <v>9</v>
      </c>
      <c r="G1634" s="7">
        <v>4</v>
      </c>
      <c r="H1634" s="2">
        <v>2387015</v>
      </c>
    </row>
    <row r="1635" spans="1:8" x14ac:dyDescent="0.25">
      <c r="A1635" t="str">
        <f t="shared" si="25"/>
        <v>200125-44</v>
      </c>
      <c r="B1635">
        <v>2001</v>
      </c>
      <c r="C1635" t="s">
        <v>3</v>
      </c>
      <c r="D1635" t="s">
        <v>26</v>
      </c>
      <c r="E1635">
        <v>13</v>
      </c>
      <c r="F1635" t="s">
        <v>9</v>
      </c>
      <c r="G1635" s="7">
        <v>42</v>
      </c>
      <c r="H1635" s="2">
        <v>3605957</v>
      </c>
    </row>
    <row r="1636" spans="1:8" x14ac:dyDescent="0.25">
      <c r="A1636" t="str">
        <f t="shared" si="25"/>
        <v>200145-64</v>
      </c>
      <c r="B1636">
        <v>2001</v>
      </c>
      <c r="C1636" t="s">
        <v>2</v>
      </c>
      <c r="D1636" t="s">
        <v>26</v>
      </c>
      <c r="E1636">
        <v>13</v>
      </c>
      <c r="F1636" t="s">
        <v>9</v>
      </c>
      <c r="G1636" s="7">
        <v>128</v>
      </c>
      <c r="H1636" s="2">
        <v>1721965</v>
      </c>
    </row>
    <row r="1637" spans="1:8" x14ac:dyDescent="0.25">
      <c r="A1637" t="str">
        <f t="shared" si="25"/>
        <v>20015-14</v>
      </c>
      <c r="B1637">
        <v>2001</v>
      </c>
      <c r="C1637" t="s">
        <v>5</v>
      </c>
      <c r="D1637" t="s">
        <v>26</v>
      </c>
      <c r="E1637">
        <v>13</v>
      </c>
      <c r="F1637" t="s">
        <v>9</v>
      </c>
      <c r="G1637" s="7">
        <v>2</v>
      </c>
      <c r="H1637" s="2">
        <v>2624275</v>
      </c>
    </row>
    <row r="1638" spans="1:8" x14ac:dyDescent="0.25">
      <c r="A1638" t="str">
        <f t="shared" si="25"/>
        <v>200165-74</v>
      </c>
      <c r="B1638">
        <v>2001</v>
      </c>
      <c r="C1638" t="s">
        <v>1</v>
      </c>
      <c r="D1638" t="s">
        <v>26</v>
      </c>
      <c r="E1638">
        <v>13</v>
      </c>
      <c r="F1638" t="s">
        <v>9</v>
      </c>
      <c r="G1638" s="7">
        <v>134</v>
      </c>
      <c r="H1638" s="2">
        <v>407783</v>
      </c>
    </row>
    <row r="1639" spans="1:8" x14ac:dyDescent="0.25">
      <c r="A1639" t="str">
        <f t="shared" si="25"/>
        <v>200175+</v>
      </c>
      <c r="B1639">
        <v>2001</v>
      </c>
      <c r="C1639" t="s">
        <v>0</v>
      </c>
      <c r="D1639" t="s">
        <v>26</v>
      </c>
      <c r="E1639">
        <v>13</v>
      </c>
      <c r="F1639" t="s">
        <v>9</v>
      </c>
      <c r="G1639" s="7">
        <v>317</v>
      </c>
      <c r="H1639" s="2">
        <v>255331</v>
      </c>
    </row>
    <row r="1640" spans="1:8" x14ac:dyDescent="0.25">
      <c r="A1640" t="str">
        <f t="shared" si="25"/>
        <v>20020-4</v>
      </c>
      <c r="B1640">
        <v>2002</v>
      </c>
      <c r="C1640" t="s">
        <v>6</v>
      </c>
      <c r="D1640" t="s">
        <v>26</v>
      </c>
      <c r="E1640">
        <v>13</v>
      </c>
      <c r="F1640" t="s">
        <v>9</v>
      </c>
      <c r="G1640" s="7">
        <v>1</v>
      </c>
      <c r="H1640" s="2">
        <v>1347045</v>
      </c>
    </row>
    <row r="1641" spans="1:8" x14ac:dyDescent="0.25">
      <c r="A1641" t="str">
        <f t="shared" si="25"/>
        <v>200215-24</v>
      </c>
      <c r="B1641">
        <v>2002</v>
      </c>
      <c r="C1641" t="s">
        <v>4</v>
      </c>
      <c r="D1641" t="s">
        <v>26</v>
      </c>
      <c r="E1641">
        <v>13</v>
      </c>
      <c r="F1641" t="s">
        <v>9</v>
      </c>
      <c r="G1641" s="7">
        <v>4</v>
      </c>
      <c r="H1641" s="2">
        <v>2428415</v>
      </c>
    </row>
    <row r="1642" spans="1:8" x14ac:dyDescent="0.25">
      <c r="A1642" t="str">
        <f t="shared" si="25"/>
        <v>200225-44</v>
      </c>
      <c r="B1642">
        <v>2002</v>
      </c>
      <c r="C1642" t="s">
        <v>3</v>
      </c>
      <c r="D1642" t="s">
        <v>26</v>
      </c>
      <c r="E1642">
        <v>13</v>
      </c>
      <c r="F1642" t="s">
        <v>9</v>
      </c>
      <c r="G1642" s="7">
        <v>37</v>
      </c>
      <c r="H1642" s="2">
        <v>3675559</v>
      </c>
    </row>
    <row r="1643" spans="1:8" x14ac:dyDescent="0.25">
      <c r="A1643" t="str">
        <f t="shared" si="25"/>
        <v>200245-64</v>
      </c>
      <c r="B1643">
        <v>2002</v>
      </c>
      <c r="C1643" t="s">
        <v>2</v>
      </c>
      <c r="D1643" t="s">
        <v>26</v>
      </c>
      <c r="E1643">
        <v>13</v>
      </c>
      <c r="F1643" t="s">
        <v>9</v>
      </c>
      <c r="G1643" s="7">
        <v>126</v>
      </c>
      <c r="H1643" s="2">
        <v>1789361</v>
      </c>
    </row>
    <row r="1644" spans="1:8" x14ac:dyDescent="0.25">
      <c r="A1644" t="str">
        <f t="shared" si="25"/>
        <v>20025-14</v>
      </c>
      <c r="B1644">
        <v>2002</v>
      </c>
      <c r="C1644" t="s">
        <v>5</v>
      </c>
      <c r="D1644" t="s">
        <v>26</v>
      </c>
      <c r="E1644">
        <v>13</v>
      </c>
      <c r="F1644" t="s">
        <v>9</v>
      </c>
      <c r="G1644" s="7">
        <v>1</v>
      </c>
      <c r="H1644" s="2">
        <v>2622422</v>
      </c>
    </row>
    <row r="1645" spans="1:8" x14ac:dyDescent="0.25">
      <c r="A1645" t="str">
        <f t="shared" si="25"/>
        <v>200265-74</v>
      </c>
      <c r="B1645">
        <v>2002</v>
      </c>
      <c r="C1645" t="s">
        <v>1</v>
      </c>
      <c r="D1645" t="s">
        <v>26</v>
      </c>
      <c r="E1645">
        <v>13</v>
      </c>
      <c r="F1645" t="s">
        <v>9</v>
      </c>
      <c r="G1645" s="7">
        <v>136</v>
      </c>
      <c r="H1645" s="2">
        <v>417907</v>
      </c>
    </row>
    <row r="1646" spans="1:8" x14ac:dyDescent="0.25">
      <c r="A1646" t="str">
        <f t="shared" si="25"/>
        <v>200275+</v>
      </c>
      <c r="B1646">
        <v>2002</v>
      </c>
      <c r="C1646" t="s">
        <v>0</v>
      </c>
      <c r="D1646" t="s">
        <v>26</v>
      </c>
      <c r="E1646">
        <v>13</v>
      </c>
      <c r="F1646" t="s">
        <v>9</v>
      </c>
      <c r="G1646" s="7">
        <v>307</v>
      </c>
      <c r="H1646" s="2">
        <v>270538</v>
      </c>
    </row>
    <row r="1647" spans="1:8" x14ac:dyDescent="0.25">
      <c r="A1647" t="str">
        <f t="shared" si="25"/>
        <v>20030-4</v>
      </c>
      <c r="B1647">
        <v>2003</v>
      </c>
      <c r="C1647" t="s">
        <v>6</v>
      </c>
      <c r="D1647" t="s">
        <v>26</v>
      </c>
      <c r="E1647">
        <v>13</v>
      </c>
      <c r="F1647" t="s">
        <v>9</v>
      </c>
      <c r="G1647" s="7">
        <v>0</v>
      </c>
      <c r="H1647" s="2">
        <v>1350164</v>
      </c>
    </row>
    <row r="1648" spans="1:8" x14ac:dyDescent="0.25">
      <c r="A1648" t="str">
        <f t="shared" si="25"/>
        <v>200315-24</v>
      </c>
      <c r="B1648">
        <v>2003</v>
      </c>
      <c r="C1648" t="s">
        <v>4</v>
      </c>
      <c r="D1648" t="s">
        <v>26</v>
      </c>
      <c r="E1648">
        <v>13</v>
      </c>
      <c r="F1648" t="s">
        <v>9</v>
      </c>
      <c r="G1648" s="7">
        <v>5</v>
      </c>
      <c r="H1648" s="2">
        <v>2465273</v>
      </c>
    </row>
    <row r="1649" spans="1:8" x14ac:dyDescent="0.25">
      <c r="A1649" t="str">
        <f t="shared" si="25"/>
        <v>200325-44</v>
      </c>
      <c r="B1649">
        <v>2003</v>
      </c>
      <c r="C1649" t="s">
        <v>3</v>
      </c>
      <c r="D1649" t="s">
        <v>26</v>
      </c>
      <c r="E1649">
        <v>13</v>
      </c>
      <c r="F1649" t="s">
        <v>9</v>
      </c>
      <c r="G1649" s="7">
        <v>41</v>
      </c>
      <c r="H1649" s="2">
        <v>3744690</v>
      </c>
    </row>
    <row r="1650" spans="1:8" x14ac:dyDescent="0.25">
      <c r="A1650" t="str">
        <f t="shared" si="25"/>
        <v>200345-64</v>
      </c>
      <c r="B1650">
        <v>2003</v>
      </c>
      <c r="C1650" t="s">
        <v>2</v>
      </c>
      <c r="D1650" t="s">
        <v>26</v>
      </c>
      <c r="E1650">
        <v>13</v>
      </c>
      <c r="F1650" t="s">
        <v>9</v>
      </c>
      <c r="G1650" s="7">
        <v>171</v>
      </c>
      <c r="H1650" s="2">
        <v>1860678</v>
      </c>
    </row>
    <row r="1651" spans="1:8" x14ac:dyDescent="0.25">
      <c r="A1651" t="str">
        <f t="shared" si="25"/>
        <v>20035-14</v>
      </c>
      <c r="B1651">
        <v>2003</v>
      </c>
      <c r="C1651" t="s">
        <v>5</v>
      </c>
      <c r="D1651" t="s">
        <v>26</v>
      </c>
      <c r="E1651">
        <v>13</v>
      </c>
      <c r="F1651" t="s">
        <v>9</v>
      </c>
      <c r="G1651" s="7">
        <v>1</v>
      </c>
      <c r="H1651" s="2">
        <v>2622279</v>
      </c>
    </row>
    <row r="1652" spans="1:8" x14ac:dyDescent="0.25">
      <c r="A1652" t="str">
        <f t="shared" si="25"/>
        <v>200365-74</v>
      </c>
      <c r="B1652">
        <v>2003</v>
      </c>
      <c r="C1652" t="s">
        <v>1</v>
      </c>
      <c r="D1652" t="s">
        <v>26</v>
      </c>
      <c r="E1652">
        <v>13</v>
      </c>
      <c r="F1652" t="s">
        <v>9</v>
      </c>
      <c r="G1652" s="7">
        <v>144</v>
      </c>
      <c r="H1652" s="2">
        <v>428941</v>
      </c>
    </row>
    <row r="1653" spans="1:8" x14ac:dyDescent="0.25">
      <c r="A1653" t="str">
        <f t="shared" si="25"/>
        <v>200375+</v>
      </c>
      <c r="B1653">
        <v>2003</v>
      </c>
      <c r="C1653" t="s">
        <v>0</v>
      </c>
      <c r="D1653" t="s">
        <v>26</v>
      </c>
      <c r="E1653">
        <v>13</v>
      </c>
      <c r="F1653" t="s">
        <v>9</v>
      </c>
      <c r="G1653" s="7">
        <v>343</v>
      </c>
      <c r="H1653" s="2">
        <v>285209</v>
      </c>
    </row>
    <row r="1654" spans="1:8" x14ac:dyDescent="0.25">
      <c r="A1654" t="str">
        <f t="shared" si="25"/>
        <v>20040-4</v>
      </c>
      <c r="B1654">
        <v>2004</v>
      </c>
      <c r="C1654" t="s">
        <v>6</v>
      </c>
      <c r="D1654" t="s">
        <v>26</v>
      </c>
      <c r="E1654">
        <v>13</v>
      </c>
      <c r="F1654" t="s">
        <v>9</v>
      </c>
      <c r="G1654" s="7">
        <v>0</v>
      </c>
      <c r="H1654" s="2">
        <v>1352508</v>
      </c>
    </row>
    <row r="1655" spans="1:8" x14ac:dyDescent="0.25">
      <c r="A1655" t="str">
        <f t="shared" si="25"/>
        <v>200415-24</v>
      </c>
      <c r="B1655">
        <v>2004</v>
      </c>
      <c r="C1655" t="s">
        <v>4</v>
      </c>
      <c r="D1655" t="s">
        <v>26</v>
      </c>
      <c r="E1655">
        <v>13</v>
      </c>
      <c r="F1655" t="s">
        <v>9</v>
      </c>
      <c r="G1655" s="7">
        <v>1</v>
      </c>
      <c r="H1655" s="2">
        <v>2497409</v>
      </c>
    </row>
    <row r="1656" spans="1:8" x14ac:dyDescent="0.25">
      <c r="A1656" t="str">
        <f t="shared" si="25"/>
        <v>200425-44</v>
      </c>
      <c r="B1656">
        <v>2004</v>
      </c>
      <c r="C1656" t="s">
        <v>3</v>
      </c>
      <c r="D1656" t="s">
        <v>26</v>
      </c>
      <c r="E1656">
        <v>13</v>
      </c>
      <c r="F1656" t="s">
        <v>9</v>
      </c>
      <c r="G1656" s="7">
        <v>48</v>
      </c>
      <c r="H1656" s="2">
        <v>3813358</v>
      </c>
    </row>
    <row r="1657" spans="1:8" x14ac:dyDescent="0.25">
      <c r="A1657" t="str">
        <f t="shared" si="25"/>
        <v>200445-64</v>
      </c>
      <c r="B1657">
        <v>2004</v>
      </c>
      <c r="C1657" t="s">
        <v>2</v>
      </c>
      <c r="D1657" t="s">
        <v>26</v>
      </c>
      <c r="E1657">
        <v>13</v>
      </c>
      <c r="F1657" t="s">
        <v>9</v>
      </c>
      <c r="G1657" s="7">
        <v>151</v>
      </c>
      <c r="H1657" s="2">
        <v>1936129</v>
      </c>
    </row>
    <row r="1658" spans="1:8" x14ac:dyDescent="0.25">
      <c r="A1658" t="str">
        <f t="shared" si="25"/>
        <v>20045-14</v>
      </c>
      <c r="B1658">
        <v>2004</v>
      </c>
      <c r="C1658" t="s">
        <v>5</v>
      </c>
      <c r="D1658" t="s">
        <v>26</v>
      </c>
      <c r="E1658">
        <v>13</v>
      </c>
      <c r="F1658" t="s">
        <v>9</v>
      </c>
      <c r="G1658" s="7">
        <v>3</v>
      </c>
      <c r="H1658" s="2">
        <v>2624530</v>
      </c>
    </row>
    <row r="1659" spans="1:8" x14ac:dyDescent="0.25">
      <c r="A1659" t="str">
        <f t="shared" si="25"/>
        <v>200465-74</v>
      </c>
      <c r="B1659">
        <v>2004</v>
      </c>
      <c r="C1659" t="s">
        <v>1</v>
      </c>
      <c r="D1659" t="s">
        <v>26</v>
      </c>
      <c r="E1659">
        <v>13</v>
      </c>
      <c r="F1659" t="s">
        <v>9</v>
      </c>
      <c r="G1659" s="7">
        <v>156</v>
      </c>
      <c r="H1659" s="2">
        <v>441018</v>
      </c>
    </row>
    <row r="1660" spans="1:8" x14ac:dyDescent="0.25">
      <c r="A1660" t="str">
        <f t="shared" si="25"/>
        <v>200475+</v>
      </c>
      <c r="B1660">
        <v>2004</v>
      </c>
      <c r="C1660" t="s">
        <v>0</v>
      </c>
      <c r="D1660" t="s">
        <v>26</v>
      </c>
      <c r="E1660">
        <v>13</v>
      </c>
      <c r="F1660" t="s">
        <v>9</v>
      </c>
      <c r="G1660" s="7">
        <v>362</v>
      </c>
      <c r="H1660" s="2">
        <v>299301</v>
      </c>
    </row>
    <row r="1661" spans="1:8" x14ac:dyDescent="0.25">
      <c r="A1661" t="str">
        <f t="shared" si="25"/>
        <v>20050-4</v>
      </c>
      <c r="B1661">
        <v>2005</v>
      </c>
      <c r="C1661" t="s">
        <v>6</v>
      </c>
      <c r="D1661" t="s">
        <v>26</v>
      </c>
      <c r="E1661">
        <v>13</v>
      </c>
      <c r="F1661" t="s">
        <v>9</v>
      </c>
      <c r="G1661" s="7">
        <v>1</v>
      </c>
      <c r="H1661" s="2">
        <v>1353852</v>
      </c>
    </row>
    <row r="1662" spans="1:8" x14ac:dyDescent="0.25">
      <c r="A1662" t="str">
        <f t="shared" si="25"/>
        <v>200515-24</v>
      </c>
      <c r="B1662">
        <v>2005</v>
      </c>
      <c r="C1662" t="s">
        <v>4</v>
      </c>
      <c r="D1662" t="s">
        <v>26</v>
      </c>
      <c r="E1662">
        <v>13</v>
      </c>
      <c r="F1662" t="s">
        <v>9</v>
      </c>
      <c r="G1662" s="7">
        <v>4</v>
      </c>
      <c r="H1662" s="2">
        <v>2524017</v>
      </c>
    </row>
    <row r="1663" spans="1:8" x14ac:dyDescent="0.25">
      <c r="A1663" t="str">
        <f t="shared" si="25"/>
        <v>200525-44</v>
      </c>
      <c r="B1663">
        <v>2005</v>
      </c>
      <c r="C1663" t="s">
        <v>3</v>
      </c>
      <c r="D1663" t="s">
        <v>26</v>
      </c>
      <c r="E1663">
        <v>13</v>
      </c>
      <c r="F1663" t="s">
        <v>9</v>
      </c>
      <c r="G1663" s="7">
        <v>28</v>
      </c>
      <c r="H1663" s="2">
        <v>3881062</v>
      </c>
    </row>
    <row r="1664" spans="1:8" x14ac:dyDescent="0.25">
      <c r="A1664" t="str">
        <f t="shared" si="25"/>
        <v>200545-64</v>
      </c>
      <c r="B1664">
        <v>2005</v>
      </c>
      <c r="C1664" t="s">
        <v>2</v>
      </c>
      <c r="D1664" t="s">
        <v>26</v>
      </c>
      <c r="E1664">
        <v>13</v>
      </c>
      <c r="F1664" t="s">
        <v>9</v>
      </c>
      <c r="G1664" s="7">
        <v>139</v>
      </c>
      <c r="H1664" s="2">
        <v>2016148</v>
      </c>
    </row>
    <row r="1665" spans="1:8" x14ac:dyDescent="0.25">
      <c r="A1665" t="str">
        <f t="shared" si="25"/>
        <v>20055-14</v>
      </c>
      <c r="B1665">
        <v>2005</v>
      </c>
      <c r="C1665" t="s">
        <v>5</v>
      </c>
      <c r="D1665" t="s">
        <v>26</v>
      </c>
      <c r="E1665">
        <v>13</v>
      </c>
      <c r="F1665" t="s">
        <v>9</v>
      </c>
      <c r="G1665" s="7">
        <v>4</v>
      </c>
      <c r="H1665" s="2">
        <v>2629864</v>
      </c>
    </row>
    <row r="1666" spans="1:8" x14ac:dyDescent="0.25">
      <c r="A1666" t="str">
        <f t="shared" ref="A1666:A1729" si="26">+CONCATENATE(B1666,C1666)</f>
        <v>200565-74</v>
      </c>
      <c r="B1666">
        <v>2005</v>
      </c>
      <c r="C1666" t="s">
        <v>1</v>
      </c>
      <c r="D1666" t="s">
        <v>26</v>
      </c>
      <c r="E1666">
        <v>13</v>
      </c>
      <c r="F1666" t="s">
        <v>9</v>
      </c>
      <c r="G1666" s="7">
        <v>123</v>
      </c>
      <c r="H1666" s="2">
        <v>454245</v>
      </c>
    </row>
    <row r="1667" spans="1:8" x14ac:dyDescent="0.25">
      <c r="A1667" t="str">
        <f t="shared" si="26"/>
        <v>200575+</v>
      </c>
      <c r="B1667">
        <v>2005</v>
      </c>
      <c r="C1667" t="s">
        <v>0</v>
      </c>
      <c r="D1667" t="s">
        <v>26</v>
      </c>
      <c r="E1667">
        <v>13</v>
      </c>
      <c r="F1667" t="s">
        <v>9</v>
      </c>
      <c r="G1667" s="7">
        <v>409</v>
      </c>
      <c r="H1667" s="2">
        <v>312767</v>
      </c>
    </row>
    <row r="1668" spans="1:8" x14ac:dyDescent="0.25">
      <c r="A1668" t="str">
        <f t="shared" si="26"/>
        <v>20060-4</v>
      </c>
      <c r="B1668">
        <v>2006</v>
      </c>
      <c r="C1668" t="s">
        <v>6</v>
      </c>
      <c r="D1668" t="s">
        <v>26</v>
      </c>
      <c r="E1668">
        <v>13</v>
      </c>
      <c r="F1668" t="s">
        <v>9</v>
      </c>
      <c r="G1668" s="7">
        <v>0</v>
      </c>
      <c r="H1668" s="2">
        <v>1354432</v>
      </c>
    </row>
    <row r="1669" spans="1:8" x14ac:dyDescent="0.25">
      <c r="A1669" t="str">
        <f t="shared" si="26"/>
        <v>200615-24</v>
      </c>
      <c r="B1669">
        <v>2006</v>
      </c>
      <c r="C1669" t="s">
        <v>4</v>
      </c>
      <c r="D1669" t="s">
        <v>26</v>
      </c>
      <c r="E1669">
        <v>13</v>
      </c>
      <c r="F1669" t="s">
        <v>9</v>
      </c>
      <c r="G1669" s="7">
        <v>0</v>
      </c>
      <c r="H1669" s="2">
        <v>2544731</v>
      </c>
    </row>
    <row r="1670" spans="1:8" x14ac:dyDescent="0.25">
      <c r="A1670" t="str">
        <f t="shared" si="26"/>
        <v>200625-44</v>
      </c>
      <c r="B1670">
        <v>2006</v>
      </c>
      <c r="C1670" t="s">
        <v>3</v>
      </c>
      <c r="D1670" t="s">
        <v>26</v>
      </c>
      <c r="E1670">
        <v>13</v>
      </c>
      <c r="F1670" t="s">
        <v>9</v>
      </c>
      <c r="G1670" s="7">
        <v>0</v>
      </c>
      <c r="H1670" s="2">
        <v>3947836</v>
      </c>
    </row>
    <row r="1671" spans="1:8" x14ac:dyDescent="0.25">
      <c r="A1671" t="str">
        <f t="shared" si="26"/>
        <v>200645-64</v>
      </c>
      <c r="B1671">
        <v>2006</v>
      </c>
      <c r="C1671" t="s">
        <v>2</v>
      </c>
      <c r="D1671" t="s">
        <v>26</v>
      </c>
      <c r="E1671">
        <v>13</v>
      </c>
      <c r="F1671" t="s">
        <v>9</v>
      </c>
      <c r="G1671" s="7">
        <v>0</v>
      </c>
      <c r="H1671" s="2">
        <v>2100791</v>
      </c>
    </row>
    <row r="1672" spans="1:8" x14ac:dyDescent="0.25">
      <c r="A1672" t="str">
        <f t="shared" si="26"/>
        <v>20065-14</v>
      </c>
      <c r="B1672">
        <v>2006</v>
      </c>
      <c r="C1672" t="s">
        <v>5</v>
      </c>
      <c r="D1672" t="s">
        <v>26</v>
      </c>
      <c r="E1672">
        <v>13</v>
      </c>
      <c r="F1672" t="s">
        <v>9</v>
      </c>
      <c r="G1672" s="7">
        <v>0</v>
      </c>
      <c r="H1672" s="2">
        <v>2638747</v>
      </c>
    </row>
    <row r="1673" spans="1:8" x14ac:dyDescent="0.25">
      <c r="A1673" t="str">
        <f t="shared" si="26"/>
        <v>200665-74</v>
      </c>
      <c r="B1673">
        <v>2006</v>
      </c>
      <c r="C1673" t="s">
        <v>1</v>
      </c>
      <c r="D1673" t="s">
        <v>26</v>
      </c>
      <c r="E1673">
        <v>13</v>
      </c>
      <c r="F1673" t="s">
        <v>9</v>
      </c>
      <c r="G1673" s="7">
        <v>0</v>
      </c>
      <c r="H1673" s="2">
        <v>468680</v>
      </c>
    </row>
    <row r="1674" spans="1:8" x14ac:dyDescent="0.25">
      <c r="A1674" t="str">
        <f t="shared" si="26"/>
        <v>200675+</v>
      </c>
      <c r="B1674">
        <v>2006</v>
      </c>
      <c r="C1674" t="s">
        <v>0</v>
      </c>
      <c r="D1674" t="s">
        <v>26</v>
      </c>
      <c r="E1674">
        <v>13</v>
      </c>
      <c r="F1674" t="s">
        <v>9</v>
      </c>
      <c r="G1674" s="7">
        <v>0</v>
      </c>
      <c r="H1674" s="2">
        <v>325672</v>
      </c>
    </row>
    <row r="1675" spans="1:8" x14ac:dyDescent="0.25">
      <c r="A1675" t="str">
        <f t="shared" si="26"/>
        <v>20070-4</v>
      </c>
      <c r="B1675">
        <v>2007</v>
      </c>
      <c r="C1675" t="s">
        <v>6</v>
      </c>
      <c r="D1675" t="s">
        <v>26</v>
      </c>
      <c r="E1675">
        <v>13</v>
      </c>
      <c r="F1675" t="s">
        <v>9</v>
      </c>
      <c r="G1675" s="7">
        <v>0</v>
      </c>
      <c r="H1675" s="2">
        <v>1354234</v>
      </c>
    </row>
    <row r="1676" spans="1:8" x14ac:dyDescent="0.25">
      <c r="A1676" t="str">
        <f t="shared" si="26"/>
        <v>200715-24</v>
      </c>
      <c r="B1676">
        <v>2007</v>
      </c>
      <c r="C1676" t="s">
        <v>4</v>
      </c>
      <c r="D1676" t="s">
        <v>26</v>
      </c>
      <c r="E1676">
        <v>13</v>
      </c>
      <c r="F1676" t="s">
        <v>9</v>
      </c>
      <c r="G1676" s="7">
        <v>0</v>
      </c>
      <c r="H1676" s="2">
        <v>2561885</v>
      </c>
    </row>
    <row r="1677" spans="1:8" x14ac:dyDescent="0.25">
      <c r="A1677" t="str">
        <f t="shared" si="26"/>
        <v>200725-44</v>
      </c>
      <c r="B1677">
        <v>2007</v>
      </c>
      <c r="C1677" t="s">
        <v>3</v>
      </c>
      <c r="D1677" t="s">
        <v>26</v>
      </c>
      <c r="E1677">
        <v>13</v>
      </c>
      <c r="F1677" t="s">
        <v>9</v>
      </c>
      <c r="G1677" s="7">
        <v>0</v>
      </c>
      <c r="H1677" s="2">
        <v>4016163</v>
      </c>
    </row>
    <row r="1678" spans="1:8" x14ac:dyDescent="0.25">
      <c r="A1678" t="str">
        <f t="shared" si="26"/>
        <v>200745-64</v>
      </c>
      <c r="B1678">
        <v>2007</v>
      </c>
      <c r="C1678" t="s">
        <v>2</v>
      </c>
      <c r="D1678" t="s">
        <v>26</v>
      </c>
      <c r="E1678">
        <v>13</v>
      </c>
      <c r="F1678" t="s">
        <v>9</v>
      </c>
      <c r="G1678" s="7">
        <v>0</v>
      </c>
      <c r="H1678" s="2">
        <v>2188071</v>
      </c>
    </row>
    <row r="1679" spans="1:8" x14ac:dyDescent="0.25">
      <c r="A1679" t="str">
        <f t="shared" si="26"/>
        <v>20075-14</v>
      </c>
      <c r="B1679">
        <v>2007</v>
      </c>
      <c r="C1679" t="s">
        <v>5</v>
      </c>
      <c r="D1679" t="s">
        <v>26</v>
      </c>
      <c r="E1679">
        <v>13</v>
      </c>
      <c r="F1679" t="s">
        <v>9</v>
      </c>
      <c r="G1679" s="7">
        <v>0</v>
      </c>
      <c r="H1679" s="2">
        <v>2647233</v>
      </c>
    </row>
    <row r="1680" spans="1:8" x14ac:dyDescent="0.25">
      <c r="A1680" t="str">
        <f t="shared" si="26"/>
        <v>200765-74</v>
      </c>
      <c r="B1680">
        <v>2007</v>
      </c>
      <c r="C1680" t="s">
        <v>1</v>
      </c>
      <c r="D1680" t="s">
        <v>26</v>
      </c>
      <c r="E1680">
        <v>13</v>
      </c>
      <c r="F1680" t="s">
        <v>9</v>
      </c>
      <c r="G1680" s="7">
        <v>0</v>
      </c>
      <c r="H1680" s="2">
        <v>484321</v>
      </c>
    </row>
    <row r="1681" spans="1:8" x14ac:dyDescent="0.25">
      <c r="A1681" t="str">
        <f t="shared" si="26"/>
        <v>200775+</v>
      </c>
      <c r="B1681">
        <v>2007</v>
      </c>
      <c r="C1681" t="s">
        <v>0</v>
      </c>
      <c r="D1681" t="s">
        <v>26</v>
      </c>
      <c r="E1681">
        <v>13</v>
      </c>
      <c r="F1681" t="s">
        <v>9</v>
      </c>
      <c r="G1681" s="7">
        <v>0</v>
      </c>
      <c r="H1681" s="2">
        <v>338128</v>
      </c>
    </row>
    <row r="1682" spans="1:8" x14ac:dyDescent="0.25">
      <c r="A1682" t="str">
        <f t="shared" si="26"/>
        <v>20080-4</v>
      </c>
      <c r="B1682">
        <v>2008</v>
      </c>
      <c r="C1682" t="s">
        <v>6</v>
      </c>
      <c r="D1682" t="s">
        <v>26</v>
      </c>
      <c r="E1682">
        <v>13</v>
      </c>
      <c r="F1682" t="s">
        <v>9</v>
      </c>
      <c r="G1682" s="7">
        <v>0</v>
      </c>
      <c r="H1682" s="2">
        <v>1353145</v>
      </c>
    </row>
    <row r="1683" spans="1:8" x14ac:dyDescent="0.25">
      <c r="A1683" t="str">
        <f t="shared" si="26"/>
        <v>200815-24</v>
      </c>
      <c r="B1683">
        <v>2008</v>
      </c>
      <c r="C1683" t="s">
        <v>4</v>
      </c>
      <c r="D1683" t="s">
        <v>26</v>
      </c>
      <c r="E1683">
        <v>13</v>
      </c>
      <c r="F1683" t="s">
        <v>9</v>
      </c>
      <c r="G1683" s="7">
        <v>7</v>
      </c>
      <c r="H1683" s="2">
        <v>2575138</v>
      </c>
    </row>
    <row r="1684" spans="1:8" x14ac:dyDescent="0.25">
      <c r="A1684" t="str">
        <f t="shared" si="26"/>
        <v>200825-44</v>
      </c>
      <c r="B1684">
        <v>2008</v>
      </c>
      <c r="C1684" t="s">
        <v>3</v>
      </c>
      <c r="D1684" t="s">
        <v>26</v>
      </c>
      <c r="E1684">
        <v>13</v>
      </c>
      <c r="F1684" t="s">
        <v>9</v>
      </c>
      <c r="G1684" s="7">
        <v>27</v>
      </c>
      <c r="H1684" s="2">
        <v>4085944</v>
      </c>
    </row>
    <row r="1685" spans="1:8" x14ac:dyDescent="0.25">
      <c r="A1685" t="str">
        <f t="shared" si="26"/>
        <v>200845-64</v>
      </c>
      <c r="B1685">
        <v>2008</v>
      </c>
      <c r="C1685" t="s">
        <v>2</v>
      </c>
      <c r="D1685" t="s">
        <v>26</v>
      </c>
      <c r="E1685">
        <v>13</v>
      </c>
      <c r="F1685" t="s">
        <v>9</v>
      </c>
      <c r="G1685" s="7">
        <v>145</v>
      </c>
      <c r="H1685" s="2">
        <v>2277674</v>
      </c>
    </row>
    <row r="1686" spans="1:8" x14ac:dyDescent="0.25">
      <c r="A1686" t="str">
        <f t="shared" si="26"/>
        <v>20085-14</v>
      </c>
      <c r="B1686">
        <v>2008</v>
      </c>
      <c r="C1686" t="s">
        <v>5</v>
      </c>
      <c r="D1686" t="s">
        <v>26</v>
      </c>
      <c r="E1686">
        <v>13</v>
      </c>
      <c r="F1686" t="s">
        <v>9</v>
      </c>
      <c r="G1686" s="7">
        <v>2</v>
      </c>
      <c r="H1686" s="2">
        <v>2655740</v>
      </c>
    </row>
    <row r="1687" spans="1:8" x14ac:dyDescent="0.25">
      <c r="A1687" t="str">
        <f t="shared" si="26"/>
        <v>200865-74</v>
      </c>
      <c r="B1687">
        <v>2008</v>
      </c>
      <c r="C1687" t="s">
        <v>1</v>
      </c>
      <c r="D1687" t="s">
        <v>26</v>
      </c>
      <c r="E1687">
        <v>13</v>
      </c>
      <c r="F1687" t="s">
        <v>9</v>
      </c>
      <c r="G1687" s="7">
        <v>166</v>
      </c>
      <c r="H1687" s="2">
        <v>501201</v>
      </c>
    </row>
    <row r="1688" spans="1:8" x14ac:dyDescent="0.25">
      <c r="A1688" t="str">
        <f t="shared" si="26"/>
        <v>200875+</v>
      </c>
      <c r="B1688">
        <v>2008</v>
      </c>
      <c r="C1688" t="s">
        <v>0</v>
      </c>
      <c r="D1688" t="s">
        <v>26</v>
      </c>
      <c r="E1688">
        <v>13</v>
      </c>
      <c r="F1688" t="s">
        <v>9</v>
      </c>
      <c r="G1688" s="7">
        <v>484</v>
      </c>
      <c r="H1688" s="2">
        <v>350235</v>
      </c>
    </row>
    <row r="1689" spans="1:8" x14ac:dyDescent="0.25">
      <c r="A1689" t="str">
        <f t="shared" si="26"/>
        <v>20090-4</v>
      </c>
      <c r="B1689">
        <v>2009</v>
      </c>
      <c r="C1689" t="s">
        <v>6</v>
      </c>
      <c r="D1689" t="s">
        <v>26</v>
      </c>
      <c r="E1689">
        <v>13</v>
      </c>
      <c r="F1689" t="s">
        <v>9</v>
      </c>
      <c r="G1689" s="7">
        <v>0</v>
      </c>
      <c r="H1689" s="2">
        <v>1351158</v>
      </c>
    </row>
    <row r="1690" spans="1:8" x14ac:dyDescent="0.25">
      <c r="A1690" t="str">
        <f t="shared" si="26"/>
        <v>200915-24</v>
      </c>
      <c r="B1690">
        <v>2009</v>
      </c>
      <c r="C1690" t="s">
        <v>4</v>
      </c>
      <c r="D1690" t="s">
        <v>26</v>
      </c>
      <c r="E1690">
        <v>13</v>
      </c>
      <c r="F1690" t="s">
        <v>9</v>
      </c>
      <c r="G1690" s="7">
        <v>2</v>
      </c>
      <c r="H1690" s="2">
        <v>2584791</v>
      </c>
    </row>
    <row r="1691" spans="1:8" x14ac:dyDescent="0.25">
      <c r="A1691" t="str">
        <f t="shared" si="26"/>
        <v>200925-44</v>
      </c>
      <c r="B1691">
        <v>2009</v>
      </c>
      <c r="C1691" t="s">
        <v>3</v>
      </c>
      <c r="D1691" t="s">
        <v>26</v>
      </c>
      <c r="E1691">
        <v>13</v>
      </c>
      <c r="F1691" t="s">
        <v>9</v>
      </c>
      <c r="G1691" s="7">
        <v>34</v>
      </c>
      <c r="H1691" s="2">
        <v>4156891</v>
      </c>
    </row>
    <row r="1692" spans="1:8" x14ac:dyDescent="0.25">
      <c r="A1692" t="str">
        <f t="shared" si="26"/>
        <v>200945-64</v>
      </c>
      <c r="B1692">
        <v>2009</v>
      </c>
      <c r="C1692" t="s">
        <v>2</v>
      </c>
      <c r="D1692" t="s">
        <v>26</v>
      </c>
      <c r="E1692">
        <v>13</v>
      </c>
      <c r="F1692" t="s">
        <v>9</v>
      </c>
      <c r="G1692" s="7">
        <v>131</v>
      </c>
      <c r="H1692" s="2">
        <v>2369589</v>
      </c>
    </row>
    <row r="1693" spans="1:8" x14ac:dyDescent="0.25">
      <c r="A1693" t="str">
        <f t="shared" si="26"/>
        <v>20095-14</v>
      </c>
      <c r="B1693">
        <v>2009</v>
      </c>
      <c r="C1693" t="s">
        <v>5</v>
      </c>
      <c r="D1693" t="s">
        <v>26</v>
      </c>
      <c r="E1693">
        <v>13</v>
      </c>
      <c r="F1693" t="s">
        <v>9</v>
      </c>
      <c r="G1693" s="7">
        <v>2</v>
      </c>
      <c r="H1693" s="2">
        <v>2664671</v>
      </c>
    </row>
    <row r="1694" spans="1:8" x14ac:dyDescent="0.25">
      <c r="A1694" t="str">
        <f t="shared" si="26"/>
        <v>200965-74</v>
      </c>
      <c r="B1694">
        <v>2009</v>
      </c>
      <c r="C1694" t="s">
        <v>1</v>
      </c>
      <c r="D1694" t="s">
        <v>26</v>
      </c>
      <c r="E1694">
        <v>13</v>
      </c>
      <c r="F1694" t="s">
        <v>9</v>
      </c>
      <c r="G1694" s="7">
        <v>139</v>
      </c>
      <c r="H1694" s="2">
        <v>519377</v>
      </c>
    </row>
    <row r="1695" spans="1:8" x14ac:dyDescent="0.25">
      <c r="A1695" t="str">
        <f t="shared" si="26"/>
        <v>200975+</v>
      </c>
      <c r="B1695">
        <v>2009</v>
      </c>
      <c r="C1695" t="s">
        <v>0</v>
      </c>
      <c r="D1695" t="s">
        <v>26</v>
      </c>
      <c r="E1695">
        <v>13</v>
      </c>
      <c r="F1695" t="s">
        <v>9</v>
      </c>
      <c r="G1695" s="7">
        <v>526</v>
      </c>
      <c r="H1695" s="2">
        <v>362131</v>
      </c>
    </row>
    <row r="1696" spans="1:8" x14ac:dyDescent="0.25">
      <c r="A1696" t="str">
        <f t="shared" si="26"/>
        <v>20100-4</v>
      </c>
      <c r="B1696">
        <v>2010</v>
      </c>
      <c r="C1696" t="s">
        <v>6</v>
      </c>
      <c r="D1696" t="s">
        <v>26</v>
      </c>
      <c r="E1696">
        <v>13</v>
      </c>
      <c r="F1696" t="s">
        <v>9</v>
      </c>
      <c r="G1696" s="7">
        <v>0</v>
      </c>
      <c r="H1696" s="2">
        <v>1348289</v>
      </c>
    </row>
    <row r="1697" spans="1:8" x14ac:dyDescent="0.25">
      <c r="A1697" t="str">
        <f t="shared" si="26"/>
        <v>201015-24</v>
      </c>
      <c r="B1697">
        <v>2010</v>
      </c>
      <c r="C1697" t="s">
        <v>4</v>
      </c>
      <c r="D1697" t="s">
        <v>26</v>
      </c>
      <c r="E1697">
        <v>13</v>
      </c>
      <c r="F1697" t="s">
        <v>9</v>
      </c>
      <c r="G1697" s="7">
        <v>3</v>
      </c>
      <c r="H1697" s="2">
        <v>2590746</v>
      </c>
    </row>
    <row r="1698" spans="1:8" x14ac:dyDescent="0.25">
      <c r="A1698" t="str">
        <f t="shared" si="26"/>
        <v>201025-44</v>
      </c>
      <c r="B1698">
        <v>2010</v>
      </c>
      <c r="C1698" t="s">
        <v>3</v>
      </c>
      <c r="D1698" t="s">
        <v>26</v>
      </c>
      <c r="E1698">
        <v>13</v>
      </c>
      <c r="F1698" t="s">
        <v>9</v>
      </c>
      <c r="G1698" s="7">
        <v>37</v>
      </c>
      <c r="H1698" s="2">
        <v>4228246</v>
      </c>
    </row>
    <row r="1699" spans="1:8" x14ac:dyDescent="0.25">
      <c r="A1699" t="str">
        <f t="shared" si="26"/>
        <v>201045-64</v>
      </c>
      <c r="B1699">
        <v>2010</v>
      </c>
      <c r="C1699" t="s">
        <v>2</v>
      </c>
      <c r="D1699" t="s">
        <v>26</v>
      </c>
      <c r="E1699">
        <v>13</v>
      </c>
      <c r="F1699" t="s">
        <v>9</v>
      </c>
      <c r="G1699" s="7">
        <v>167</v>
      </c>
      <c r="H1699" s="2">
        <v>2464321</v>
      </c>
    </row>
    <row r="1700" spans="1:8" x14ac:dyDescent="0.25">
      <c r="A1700" t="str">
        <f t="shared" si="26"/>
        <v>20105-14</v>
      </c>
      <c r="B1700">
        <v>2010</v>
      </c>
      <c r="C1700" t="s">
        <v>5</v>
      </c>
      <c r="D1700" t="s">
        <v>26</v>
      </c>
      <c r="E1700">
        <v>13</v>
      </c>
      <c r="F1700" t="s">
        <v>9</v>
      </c>
      <c r="G1700" s="7">
        <v>3</v>
      </c>
      <c r="H1700" s="2">
        <v>2674173</v>
      </c>
    </row>
    <row r="1701" spans="1:8" x14ac:dyDescent="0.25">
      <c r="A1701" t="str">
        <f t="shared" si="26"/>
        <v>201065-74</v>
      </c>
      <c r="B1701">
        <v>2010</v>
      </c>
      <c r="C1701" t="s">
        <v>1</v>
      </c>
      <c r="D1701" t="s">
        <v>26</v>
      </c>
      <c r="E1701">
        <v>13</v>
      </c>
      <c r="F1701" t="s">
        <v>9</v>
      </c>
      <c r="G1701" s="7">
        <v>125</v>
      </c>
      <c r="H1701" s="2">
        <v>538921</v>
      </c>
    </row>
    <row r="1702" spans="1:8" x14ac:dyDescent="0.25">
      <c r="A1702" t="str">
        <f t="shared" si="26"/>
        <v>201075+</v>
      </c>
      <c r="B1702">
        <v>2010</v>
      </c>
      <c r="C1702" t="s">
        <v>0</v>
      </c>
      <c r="D1702" t="s">
        <v>26</v>
      </c>
      <c r="E1702">
        <v>13</v>
      </c>
      <c r="F1702" t="s">
        <v>9</v>
      </c>
      <c r="G1702" s="7">
        <v>486</v>
      </c>
      <c r="H1702" s="2">
        <v>373918</v>
      </c>
    </row>
    <row r="1703" spans="1:8" x14ac:dyDescent="0.25">
      <c r="A1703" t="str">
        <f t="shared" si="26"/>
        <v>20110-4</v>
      </c>
      <c r="B1703">
        <v>2011</v>
      </c>
      <c r="C1703" t="s">
        <v>6</v>
      </c>
      <c r="D1703" t="s">
        <v>26</v>
      </c>
      <c r="E1703">
        <v>13</v>
      </c>
      <c r="F1703" t="s">
        <v>9</v>
      </c>
      <c r="G1703" s="7">
        <v>0</v>
      </c>
      <c r="H1703" s="2">
        <v>1344595</v>
      </c>
    </row>
    <row r="1704" spans="1:8" x14ac:dyDescent="0.25">
      <c r="A1704" t="str">
        <f t="shared" si="26"/>
        <v>201115-24</v>
      </c>
      <c r="B1704">
        <v>2011</v>
      </c>
      <c r="C1704" t="s">
        <v>4</v>
      </c>
      <c r="D1704" t="s">
        <v>26</v>
      </c>
      <c r="E1704">
        <v>13</v>
      </c>
      <c r="F1704" t="s">
        <v>9</v>
      </c>
      <c r="G1704" s="7">
        <v>5</v>
      </c>
      <c r="H1704" s="2">
        <v>2593350</v>
      </c>
    </row>
    <row r="1705" spans="1:8" x14ac:dyDescent="0.25">
      <c r="A1705" t="str">
        <f t="shared" si="26"/>
        <v>201125-44</v>
      </c>
      <c r="B1705">
        <v>2011</v>
      </c>
      <c r="C1705" t="s">
        <v>3</v>
      </c>
      <c r="D1705" t="s">
        <v>26</v>
      </c>
      <c r="E1705">
        <v>13</v>
      </c>
      <c r="F1705" t="s">
        <v>9</v>
      </c>
      <c r="G1705" s="7">
        <v>53</v>
      </c>
      <c r="H1705" s="2">
        <v>4299392</v>
      </c>
    </row>
    <row r="1706" spans="1:8" x14ac:dyDescent="0.25">
      <c r="A1706" t="str">
        <f t="shared" si="26"/>
        <v>201145-64</v>
      </c>
      <c r="B1706">
        <v>2011</v>
      </c>
      <c r="C1706" t="s">
        <v>2</v>
      </c>
      <c r="D1706" t="s">
        <v>26</v>
      </c>
      <c r="E1706">
        <v>13</v>
      </c>
      <c r="F1706" t="s">
        <v>9</v>
      </c>
      <c r="G1706" s="7">
        <v>185</v>
      </c>
      <c r="H1706" s="2">
        <v>2561836</v>
      </c>
    </row>
    <row r="1707" spans="1:8" x14ac:dyDescent="0.25">
      <c r="A1707" t="str">
        <f t="shared" si="26"/>
        <v>20115-14</v>
      </c>
      <c r="B1707">
        <v>2011</v>
      </c>
      <c r="C1707" t="s">
        <v>5</v>
      </c>
      <c r="D1707" t="s">
        <v>26</v>
      </c>
      <c r="E1707">
        <v>13</v>
      </c>
      <c r="F1707" t="s">
        <v>9</v>
      </c>
      <c r="G1707" s="7">
        <v>0</v>
      </c>
      <c r="H1707" s="2">
        <v>2684312</v>
      </c>
    </row>
    <row r="1708" spans="1:8" x14ac:dyDescent="0.25">
      <c r="A1708" t="str">
        <f t="shared" si="26"/>
        <v>201165-74</v>
      </c>
      <c r="B1708">
        <v>2011</v>
      </c>
      <c r="C1708" t="s">
        <v>1</v>
      </c>
      <c r="D1708" t="s">
        <v>26</v>
      </c>
      <c r="E1708">
        <v>13</v>
      </c>
      <c r="F1708" t="s">
        <v>9</v>
      </c>
      <c r="G1708" s="7">
        <v>142</v>
      </c>
      <c r="H1708" s="2">
        <v>559899</v>
      </c>
    </row>
    <row r="1709" spans="1:8" x14ac:dyDescent="0.25">
      <c r="A1709" t="str">
        <f t="shared" si="26"/>
        <v>201175+</v>
      </c>
      <c r="B1709">
        <v>2011</v>
      </c>
      <c r="C1709" t="s">
        <v>0</v>
      </c>
      <c r="D1709" t="s">
        <v>26</v>
      </c>
      <c r="E1709">
        <v>13</v>
      </c>
      <c r="F1709" t="s">
        <v>9</v>
      </c>
      <c r="G1709" s="7">
        <v>534</v>
      </c>
      <c r="H1709" s="2">
        <v>385721</v>
      </c>
    </row>
    <row r="1710" spans="1:8" x14ac:dyDescent="0.25">
      <c r="A1710" t="str">
        <f t="shared" si="26"/>
        <v>20120-4</v>
      </c>
      <c r="B1710">
        <v>2012</v>
      </c>
      <c r="C1710" t="s">
        <v>6</v>
      </c>
      <c r="D1710" t="s">
        <v>26</v>
      </c>
      <c r="E1710">
        <v>13</v>
      </c>
      <c r="F1710" t="s">
        <v>9</v>
      </c>
      <c r="G1710" s="7">
        <v>0</v>
      </c>
      <c r="H1710" s="2">
        <v>1340586.3214094499</v>
      </c>
    </row>
    <row r="1711" spans="1:8" x14ac:dyDescent="0.25">
      <c r="A1711" t="str">
        <f t="shared" si="26"/>
        <v>201215-24</v>
      </c>
      <c r="B1711">
        <v>2012</v>
      </c>
      <c r="C1711" t="s">
        <v>4</v>
      </c>
      <c r="D1711" t="s">
        <v>26</v>
      </c>
      <c r="E1711">
        <v>13</v>
      </c>
      <c r="F1711" t="s">
        <v>9</v>
      </c>
      <c r="G1711" s="7">
        <v>3</v>
      </c>
      <c r="H1711" s="2">
        <v>2596932.5593387499</v>
      </c>
    </row>
    <row r="1712" spans="1:8" x14ac:dyDescent="0.25">
      <c r="A1712" t="str">
        <f t="shared" si="26"/>
        <v>201225-44</v>
      </c>
      <c r="B1712">
        <v>2012</v>
      </c>
      <c r="C1712" t="s">
        <v>3</v>
      </c>
      <c r="D1712" t="s">
        <v>26</v>
      </c>
      <c r="E1712">
        <v>13</v>
      </c>
      <c r="F1712" t="s">
        <v>9</v>
      </c>
      <c r="G1712" s="7">
        <v>43</v>
      </c>
      <c r="H1712" s="2">
        <v>4370928.8062696801</v>
      </c>
    </row>
    <row r="1713" spans="1:8" x14ac:dyDescent="0.25">
      <c r="A1713" t="str">
        <f t="shared" si="26"/>
        <v>201245-64</v>
      </c>
      <c r="B1713">
        <v>2012</v>
      </c>
      <c r="C1713" t="s">
        <v>2</v>
      </c>
      <c r="D1713" t="s">
        <v>26</v>
      </c>
      <c r="E1713">
        <v>13</v>
      </c>
      <c r="F1713" t="s">
        <v>9</v>
      </c>
      <c r="G1713" s="7">
        <v>177</v>
      </c>
      <c r="H1713" s="2">
        <v>2658291.2681631502</v>
      </c>
    </row>
    <row r="1714" spans="1:8" x14ac:dyDescent="0.25">
      <c r="A1714" t="str">
        <f t="shared" si="26"/>
        <v>20125-14</v>
      </c>
      <c r="B1714">
        <v>2012</v>
      </c>
      <c r="C1714" t="s">
        <v>5</v>
      </c>
      <c r="D1714" t="s">
        <v>26</v>
      </c>
      <c r="E1714">
        <v>13</v>
      </c>
      <c r="F1714" t="s">
        <v>9</v>
      </c>
      <c r="G1714" s="7">
        <v>4</v>
      </c>
      <c r="H1714" s="2">
        <v>2693165.8826794801</v>
      </c>
    </row>
    <row r="1715" spans="1:8" x14ac:dyDescent="0.25">
      <c r="A1715" t="str">
        <f t="shared" si="26"/>
        <v>201265-74</v>
      </c>
      <c r="B1715">
        <v>2012</v>
      </c>
      <c r="C1715" t="s">
        <v>1</v>
      </c>
      <c r="D1715" t="s">
        <v>26</v>
      </c>
      <c r="E1715">
        <v>13</v>
      </c>
      <c r="F1715" t="s">
        <v>9</v>
      </c>
      <c r="G1715" s="7">
        <v>160</v>
      </c>
      <c r="H1715" s="2">
        <v>582433.94467592705</v>
      </c>
    </row>
    <row r="1716" spans="1:8" x14ac:dyDescent="0.25">
      <c r="A1716" t="str">
        <f t="shared" si="26"/>
        <v>201275+</v>
      </c>
      <c r="B1716">
        <v>2012</v>
      </c>
      <c r="C1716" t="s">
        <v>0</v>
      </c>
      <c r="D1716" t="s">
        <v>26</v>
      </c>
      <c r="E1716">
        <v>13</v>
      </c>
      <c r="F1716" t="s">
        <v>9</v>
      </c>
      <c r="G1716" s="7">
        <v>532</v>
      </c>
      <c r="H1716" s="2">
        <v>398069.84835797001</v>
      </c>
    </row>
    <row r="1717" spans="1:8" x14ac:dyDescent="0.25">
      <c r="A1717" t="str">
        <f t="shared" si="26"/>
        <v>20130-4</v>
      </c>
      <c r="B1717">
        <v>2013</v>
      </c>
      <c r="C1717" t="s">
        <v>6</v>
      </c>
      <c r="D1717" t="s">
        <v>26</v>
      </c>
      <c r="E1717">
        <v>13</v>
      </c>
      <c r="F1717" t="s">
        <v>9</v>
      </c>
      <c r="G1717" s="7">
        <v>0</v>
      </c>
      <c r="H1717" s="2">
        <v>1336364.77993838</v>
      </c>
    </row>
    <row r="1718" spans="1:8" x14ac:dyDescent="0.25">
      <c r="A1718" t="str">
        <f t="shared" si="26"/>
        <v>201315-24</v>
      </c>
      <c r="B1718">
        <v>2013</v>
      </c>
      <c r="C1718" t="s">
        <v>4</v>
      </c>
      <c r="D1718" t="s">
        <v>26</v>
      </c>
      <c r="E1718">
        <v>13</v>
      </c>
      <c r="F1718" t="s">
        <v>9</v>
      </c>
      <c r="G1718" s="7">
        <v>3</v>
      </c>
      <c r="H1718" s="2">
        <v>2602650.6589393602</v>
      </c>
    </row>
    <row r="1719" spans="1:8" x14ac:dyDescent="0.25">
      <c r="A1719" t="str">
        <f t="shared" si="26"/>
        <v>201325-44</v>
      </c>
      <c r="B1719">
        <v>2013</v>
      </c>
      <c r="C1719" t="s">
        <v>3</v>
      </c>
      <c r="D1719" t="s">
        <v>26</v>
      </c>
      <c r="E1719">
        <v>13</v>
      </c>
      <c r="F1719" t="s">
        <v>9</v>
      </c>
      <c r="G1719" s="7">
        <v>41</v>
      </c>
      <c r="H1719" s="2">
        <v>4442157.0636299504</v>
      </c>
    </row>
    <row r="1720" spans="1:8" x14ac:dyDescent="0.25">
      <c r="A1720" t="str">
        <f t="shared" si="26"/>
        <v>201345-64</v>
      </c>
      <c r="B1720">
        <v>2013</v>
      </c>
      <c r="C1720" t="s">
        <v>2</v>
      </c>
      <c r="D1720" t="s">
        <v>26</v>
      </c>
      <c r="E1720">
        <v>13</v>
      </c>
      <c r="F1720" t="s">
        <v>9</v>
      </c>
      <c r="G1720" s="7">
        <v>199</v>
      </c>
      <c r="H1720" s="2">
        <v>2752738.9724179399</v>
      </c>
    </row>
    <row r="1721" spans="1:8" x14ac:dyDescent="0.25">
      <c r="A1721" t="str">
        <f t="shared" si="26"/>
        <v>20135-14</v>
      </c>
      <c r="B1721">
        <v>2013</v>
      </c>
      <c r="C1721" t="s">
        <v>5</v>
      </c>
      <c r="D1721" t="s">
        <v>26</v>
      </c>
      <c r="E1721">
        <v>13</v>
      </c>
      <c r="F1721" t="s">
        <v>9</v>
      </c>
      <c r="G1721" s="7">
        <v>0</v>
      </c>
      <c r="H1721" s="2">
        <v>2699988.6782491799</v>
      </c>
    </row>
    <row r="1722" spans="1:8" x14ac:dyDescent="0.25">
      <c r="A1722" t="str">
        <f t="shared" si="26"/>
        <v>201365-74</v>
      </c>
      <c r="B1722">
        <v>2013</v>
      </c>
      <c r="C1722" t="s">
        <v>1</v>
      </c>
      <c r="D1722" t="s">
        <v>26</v>
      </c>
      <c r="E1722">
        <v>13</v>
      </c>
      <c r="F1722" t="s">
        <v>9</v>
      </c>
      <c r="G1722" s="7">
        <v>176</v>
      </c>
      <c r="H1722" s="2">
        <v>606480.27141564596</v>
      </c>
    </row>
    <row r="1723" spans="1:8" x14ac:dyDescent="0.25">
      <c r="A1723" t="str">
        <f t="shared" si="26"/>
        <v>201375+</v>
      </c>
      <c r="B1723">
        <v>2013</v>
      </c>
      <c r="C1723" t="s">
        <v>0</v>
      </c>
      <c r="D1723" t="s">
        <v>26</v>
      </c>
      <c r="E1723">
        <v>13</v>
      </c>
      <c r="F1723" t="s">
        <v>9</v>
      </c>
      <c r="G1723" s="7">
        <v>600</v>
      </c>
      <c r="H1723" s="2">
        <v>411257.72175729403</v>
      </c>
    </row>
    <row r="1724" spans="1:8" x14ac:dyDescent="0.25">
      <c r="A1724" t="str">
        <f t="shared" si="26"/>
        <v>20140-4</v>
      </c>
      <c r="B1724">
        <v>2014</v>
      </c>
      <c r="C1724" t="s">
        <v>6</v>
      </c>
      <c r="D1724" t="s">
        <v>26</v>
      </c>
      <c r="E1724">
        <v>13</v>
      </c>
      <c r="F1724" t="s">
        <v>9</v>
      </c>
      <c r="G1724" s="7">
        <v>0</v>
      </c>
      <c r="H1724" s="2">
        <v>1331891</v>
      </c>
    </row>
    <row r="1725" spans="1:8" x14ac:dyDescent="0.25">
      <c r="A1725" t="str">
        <f t="shared" si="26"/>
        <v>201415-24</v>
      </c>
      <c r="B1725">
        <v>2014</v>
      </c>
      <c r="C1725" t="s">
        <v>4</v>
      </c>
      <c r="D1725" t="s">
        <v>26</v>
      </c>
      <c r="E1725">
        <v>13</v>
      </c>
      <c r="F1725" t="s">
        <v>9</v>
      </c>
      <c r="G1725" s="7">
        <v>8</v>
      </c>
      <c r="H1725" s="2">
        <v>2610538</v>
      </c>
    </row>
    <row r="1726" spans="1:8" x14ac:dyDescent="0.25">
      <c r="A1726" t="str">
        <f t="shared" si="26"/>
        <v>201425-44</v>
      </c>
      <c r="B1726">
        <v>2014</v>
      </c>
      <c r="C1726" t="s">
        <v>3</v>
      </c>
      <c r="D1726" t="s">
        <v>26</v>
      </c>
      <c r="E1726">
        <v>13</v>
      </c>
      <c r="F1726" t="s">
        <v>9</v>
      </c>
      <c r="G1726" s="7">
        <v>75</v>
      </c>
      <c r="H1726" s="2">
        <v>4511948</v>
      </c>
    </row>
    <row r="1727" spans="1:8" x14ac:dyDescent="0.25">
      <c r="A1727" t="str">
        <f t="shared" si="26"/>
        <v>201445-64</v>
      </c>
      <c r="B1727">
        <v>2014</v>
      </c>
      <c r="C1727" t="s">
        <v>2</v>
      </c>
      <c r="D1727" t="s">
        <v>26</v>
      </c>
      <c r="E1727">
        <v>13</v>
      </c>
      <c r="F1727" t="s">
        <v>9</v>
      </c>
      <c r="G1727" s="7">
        <v>249</v>
      </c>
      <c r="H1727" s="2">
        <v>2845267</v>
      </c>
    </row>
    <row r="1728" spans="1:8" x14ac:dyDescent="0.25">
      <c r="A1728" t="str">
        <f t="shared" si="26"/>
        <v>20145-14</v>
      </c>
      <c r="B1728">
        <v>2014</v>
      </c>
      <c r="C1728" t="s">
        <v>5</v>
      </c>
      <c r="D1728" t="s">
        <v>26</v>
      </c>
      <c r="E1728">
        <v>13</v>
      </c>
      <c r="F1728" t="s">
        <v>9</v>
      </c>
      <c r="G1728" s="7">
        <v>2</v>
      </c>
      <c r="H1728" s="2">
        <v>2704490</v>
      </c>
    </row>
    <row r="1729" spans="1:8" x14ac:dyDescent="0.25">
      <c r="A1729" t="str">
        <f t="shared" si="26"/>
        <v>201465-74</v>
      </c>
      <c r="B1729">
        <v>2014</v>
      </c>
      <c r="C1729" t="s">
        <v>1</v>
      </c>
      <c r="D1729" t="s">
        <v>26</v>
      </c>
      <c r="E1729">
        <v>13</v>
      </c>
      <c r="F1729" t="s">
        <v>9</v>
      </c>
      <c r="G1729" s="7">
        <v>230</v>
      </c>
      <c r="H1729" s="2">
        <v>631943</v>
      </c>
    </row>
    <row r="1730" spans="1:8" x14ac:dyDescent="0.25">
      <c r="A1730" t="str">
        <f t="shared" ref="A1730:A1793" si="27">+CONCATENATE(B1730,C1730)</f>
        <v>201475+</v>
      </c>
      <c r="B1730">
        <v>2014</v>
      </c>
      <c r="C1730" t="s">
        <v>0</v>
      </c>
      <c r="D1730" t="s">
        <v>26</v>
      </c>
      <c r="E1730">
        <v>13</v>
      </c>
      <c r="F1730" t="s">
        <v>9</v>
      </c>
      <c r="G1730" s="7">
        <v>815</v>
      </c>
      <c r="H1730" s="2">
        <v>425486</v>
      </c>
    </row>
    <row r="1731" spans="1:8" x14ac:dyDescent="0.25">
      <c r="A1731" t="str">
        <f t="shared" si="27"/>
        <v>19960-4</v>
      </c>
      <c r="B1731">
        <v>1996</v>
      </c>
      <c r="C1731" t="s">
        <v>6</v>
      </c>
      <c r="D1731" t="s">
        <v>26</v>
      </c>
      <c r="E1731" t="s">
        <v>44</v>
      </c>
      <c r="F1731" t="s">
        <v>8</v>
      </c>
      <c r="G1731" s="7">
        <v>11</v>
      </c>
      <c r="H1731" s="2">
        <v>1308550.7828250399</v>
      </c>
    </row>
    <row r="1732" spans="1:8" x14ac:dyDescent="0.25">
      <c r="A1732" t="str">
        <f t="shared" si="27"/>
        <v>199615-24</v>
      </c>
      <c r="B1732">
        <v>1996</v>
      </c>
      <c r="C1732" t="s">
        <v>4</v>
      </c>
      <c r="D1732" t="s">
        <v>26</v>
      </c>
      <c r="E1732" t="s">
        <v>44</v>
      </c>
      <c r="F1732" t="s">
        <v>8</v>
      </c>
      <c r="G1732" s="7">
        <v>137</v>
      </c>
      <c r="H1732" s="2">
        <v>2136825.68729656</v>
      </c>
    </row>
    <row r="1733" spans="1:8" x14ac:dyDescent="0.25">
      <c r="A1733" t="str">
        <f t="shared" si="27"/>
        <v>199625-44</v>
      </c>
      <c r="B1733">
        <v>1996</v>
      </c>
      <c r="C1733" t="s">
        <v>3</v>
      </c>
      <c r="D1733" t="s">
        <v>26</v>
      </c>
      <c r="E1733" t="s">
        <v>44</v>
      </c>
      <c r="F1733" t="s">
        <v>8</v>
      </c>
      <c r="G1733" s="7">
        <v>151</v>
      </c>
      <c r="H1733" s="2">
        <v>3245545.2890741802</v>
      </c>
    </row>
    <row r="1734" spans="1:8" x14ac:dyDescent="0.25">
      <c r="A1734" t="str">
        <f t="shared" si="27"/>
        <v>199645-64</v>
      </c>
      <c r="B1734">
        <v>1996</v>
      </c>
      <c r="C1734" t="s">
        <v>2</v>
      </c>
      <c r="D1734" t="s">
        <v>26</v>
      </c>
      <c r="E1734" t="s">
        <v>44</v>
      </c>
      <c r="F1734" t="s">
        <v>8</v>
      </c>
      <c r="G1734" s="7">
        <v>45</v>
      </c>
      <c r="H1734" s="2">
        <v>1448877.9572723201</v>
      </c>
    </row>
    <row r="1735" spans="1:8" x14ac:dyDescent="0.25">
      <c r="A1735" t="str">
        <f t="shared" si="27"/>
        <v>19965-14</v>
      </c>
      <c r="B1735">
        <v>1996</v>
      </c>
      <c r="C1735" t="s">
        <v>5</v>
      </c>
      <c r="D1735" t="s">
        <v>26</v>
      </c>
      <c r="E1735" t="s">
        <v>44</v>
      </c>
      <c r="F1735" t="s">
        <v>8</v>
      </c>
      <c r="G1735" s="7">
        <v>27</v>
      </c>
      <c r="H1735" s="2">
        <v>2617766.7452121698</v>
      </c>
    </row>
    <row r="1736" spans="1:8" x14ac:dyDescent="0.25">
      <c r="A1736" t="str">
        <f t="shared" si="27"/>
        <v>199665-74</v>
      </c>
      <c r="B1736">
        <v>1996</v>
      </c>
      <c r="C1736" t="s">
        <v>1</v>
      </c>
      <c r="D1736" t="s">
        <v>26</v>
      </c>
      <c r="E1736" t="s">
        <v>44</v>
      </c>
      <c r="F1736" t="s">
        <v>8</v>
      </c>
      <c r="G1736" s="7">
        <v>16</v>
      </c>
      <c r="H1736" s="2">
        <v>373487.34083337098</v>
      </c>
    </row>
    <row r="1737" spans="1:8" x14ac:dyDescent="0.25">
      <c r="A1737" t="str">
        <f t="shared" si="27"/>
        <v>199675+</v>
      </c>
      <c r="B1737">
        <v>1996</v>
      </c>
      <c r="C1737" t="s">
        <v>0</v>
      </c>
      <c r="D1737" t="s">
        <v>26</v>
      </c>
      <c r="E1737" t="s">
        <v>44</v>
      </c>
      <c r="F1737" t="s">
        <v>8</v>
      </c>
      <c r="G1737" s="7">
        <v>12</v>
      </c>
      <c r="H1737" s="2">
        <v>186458.585231801</v>
      </c>
    </row>
    <row r="1738" spans="1:8" x14ac:dyDescent="0.25">
      <c r="A1738" t="str">
        <f t="shared" si="27"/>
        <v>19970-4</v>
      </c>
      <c r="B1738">
        <v>1997</v>
      </c>
      <c r="C1738" t="s">
        <v>6</v>
      </c>
      <c r="D1738" t="s">
        <v>26</v>
      </c>
      <c r="E1738" t="s">
        <v>44</v>
      </c>
      <c r="F1738" t="s">
        <v>8</v>
      </c>
      <c r="G1738" s="7">
        <v>19</v>
      </c>
      <c r="H1738" s="2">
        <v>1317732.8696950199</v>
      </c>
    </row>
    <row r="1739" spans="1:8" x14ac:dyDescent="0.25">
      <c r="A1739" t="str">
        <f t="shared" si="27"/>
        <v>199715-24</v>
      </c>
      <c r="B1739">
        <v>1997</v>
      </c>
      <c r="C1739" t="s">
        <v>4</v>
      </c>
      <c r="D1739" t="s">
        <v>26</v>
      </c>
      <c r="E1739" t="s">
        <v>44</v>
      </c>
      <c r="F1739" t="s">
        <v>8</v>
      </c>
      <c r="G1739" s="7">
        <v>140</v>
      </c>
      <c r="H1739" s="2">
        <v>2190257.4123779298</v>
      </c>
    </row>
    <row r="1740" spans="1:8" x14ac:dyDescent="0.25">
      <c r="A1740" t="str">
        <f t="shared" si="27"/>
        <v>199725-44</v>
      </c>
      <c r="B1740">
        <v>1997</v>
      </c>
      <c r="C1740" t="s">
        <v>3</v>
      </c>
      <c r="D1740" t="s">
        <v>26</v>
      </c>
      <c r="E1740" t="s">
        <v>44</v>
      </c>
      <c r="F1740" t="s">
        <v>8</v>
      </c>
      <c r="G1740" s="7">
        <v>148</v>
      </c>
      <c r="H1740" s="2">
        <v>3319788.9734445098</v>
      </c>
    </row>
    <row r="1741" spans="1:8" x14ac:dyDescent="0.25">
      <c r="A1741" t="str">
        <f t="shared" si="27"/>
        <v>199745-64</v>
      </c>
      <c r="B1741">
        <v>1997</v>
      </c>
      <c r="C1741" t="s">
        <v>2</v>
      </c>
      <c r="D1741" t="s">
        <v>26</v>
      </c>
      <c r="E1741" t="s">
        <v>44</v>
      </c>
      <c r="F1741" t="s">
        <v>8</v>
      </c>
      <c r="G1741" s="7">
        <v>59</v>
      </c>
      <c r="H1741" s="2">
        <v>1494497.7743633899</v>
      </c>
    </row>
    <row r="1742" spans="1:8" x14ac:dyDescent="0.25">
      <c r="A1742" t="str">
        <f t="shared" si="27"/>
        <v>19975-14</v>
      </c>
      <c r="B1742">
        <v>1997</v>
      </c>
      <c r="C1742" t="s">
        <v>5</v>
      </c>
      <c r="D1742" t="s">
        <v>26</v>
      </c>
      <c r="E1742" t="s">
        <v>44</v>
      </c>
      <c r="F1742" t="s">
        <v>8</v>
      </c>
      <c r="G1742" s="7">
        <v>34</v>
      </c>
      <c r="H1742" s="2">
        <v>2625110.0471272999</v>
      </c>
    </row>
    <row r="1743" spans="1:8" x14ac:dyDescent="0.25">
      <c r="A1743" t="str">
        <f t="shared" si="27"/>
        <v>199765-74</v>
      </c>
      <c r="B1743">
        <v>1997</v>
      </c>
      <c r="C1743" t="s">
        <v>1</v>
      </c>
      <c r="D1743" t="s">
        <v>26</v>
      </c>
      <c r="E1743" t="s">
        <v>44</v>
      </c>
      <c r="F1743" t="s">
        <v>8</v>
      </c>
      <c r="G1743" s="7">
        <v>17</v>
      </c>
      <c r="H1743" s="2">
        <v>377918.60450002301</v>
      </c>
    </row>
    <row r="1744" spans="1:8" x14ac:dyDescent="0.25">
      <c r="A1744" t="str">
        <f t="shared" si="27"/>
        <v>199775+</v>
      </c>
      <c r="B1744">
        <v>1997</v>
      </c>
      <c r="C1744" t="s">
        <v>0</v>
      </c>
      <c r="D1744" t="s">
        <v>26</v>
      </c>
      <c r="E1744" t="s">
        <v>44</v>
      </c>
      <c r="F1744" t="s">
        <v>8</v>
      </c>
      <c r="G1744" s="7">
        <v>12</v>
      </c>
      <c r="H1744" s="2">
        <v>197836.55113907999</v>
      </c>
    </row>
    <row r="1745" spans="1:8" x14ac:dyDescent="0.25">
      <c r="A1745" t="str">
        <f t="shared" si="27"/>
        <v>19980-4</v>
      </c>
      <c r="B1745">
        <v>1998</v>
      </c>
      <c r="C1745" t="s">
        <v>6</v>
      </c>
      <c r="D1745" t="s">
        <v>26</v>
      </c>
      <c r="E1745" t="s">
        <v>44</v>
      </c>
      <c r="F1745" t="s">
        <v>8</v>
      </c>
      <c r="G1745" s="7">
        <v>17</v>
      </c>
      <c r="H1745" s="2">
        <v>1325697.93484751</v>
      </c>
    </row>
    <row r="1746" spans="1:8" x14ac:dyDescent="0.25">
      <c r="A1746" t="str">
        <f t="shared" si="27"/>
        <v>199815-24</v>
      </c>
      <c r="B1746">
        <v>1998</v>
      </c>
      <c r="C1746" t="s">
        <v>4</v>
      </c>
      <c r="D1746" t="s">
        <v>26</v>
      </c>
      <c r="E1746" t="s">
        <v>44</v>
      </c>
      <c r="F1746" t="s">
        <v>8</v>
      </c>
      <c r="G1746" s="7">
        <v>139</v>
      </c>
      <c r="H1746" s="2">
        <v>2242694.2061889698</v>
      </c>
    </row>
    <row r="1747" spans="1:8" x14ac:dyDescent="0.25">
      <c r="A1747" t="str">
        <f t="shared" si="27"/>
        <v>199825-44</v>
      </c>
      <c r="B1747">
        <v>1998</v>
      </c>
      <c r="C1747" t="s">
        <v>3</v>
      </c>
      <c r="D1747" t="s">
        <v>26</v>
      </c>
      <c r="E1747" t="s">
        <v>44</v>
      </c>
      <c r="F1747" t="s">
        <v>8</v>
      </c>
      <c r="G1747" s="7">
        <v>156</v>
      </c>
      <c r="H1747" s="2">
        <v>3392799.98672225</v>
      </c>
    </row>
    <row r="1748" spans="1:8" x14ac:dyDescent="0.25">
      <c r="A1748" t="str">
        <f t="shared" si="27"/>
        <v>199845-64</v>
      </c>
      <c r="B1748">
        <v>1998</v>
      </c>
      <c r="C1748" t="s">
        <v>2</v>
      </c>
      <c r="D1748" t="s">
        <v>26</v>
      </c>
      <c r="E1748" t="s">
        <v>44</v>
      </c>
      <c r="F1748" t="s">
        <v>8</v>
      </c>
      <c r="G1748" s="7">
        <v>54</v>
      </c>
      <c r="H1748" s="2">
        <v>1544756.3871817</v>
      </c>
    </row>
    <row r="1749" spans="1:8" x14ac:dyDescent="0.25">
      <c r="A1749" t="str">
        <f t="shared" si="27"/>
        <v>19985-14</v>
      </c>
      <c r="B1749">
        <v>1998</v>
      </c>
      <c r="C1749" t="s">
        <v>5</v>
      </c>
      <c r="D1749" t="s">
        <v>26</v>
      </c>
      <c r="E1749" t="s">
        <v>44</v>
      </c>
      <c r="F1749" t="s">
        <v>8</v>
      </c>
      <c r="G1749" s="7">
        <v>31</v>
      </c>
      <c r="H1749" s="2">
        <v>2628255.52356365</v>
      </c>
    </row>
    <row r="1750" spans="1:8" x14ac:dyDescent="0.25">
      <c r="A1750" t="str">
        <f t="shared" si="27"/>
        <v>199865-74</v>
      </c>
      <c r="B1750">
        <v>1998</v>
      </c>
      <c r="C1750" t="s">
        <v>1</v>
      </c>
      <c r="D1750" t="s">
        <v>26</v>
      </c>
      <c r="E1750" t="s">
        <v>44</v>
      </c>
      <c r="F1750" t="s">
        <v>8</v>
      </c>
      <c r="G1750" s="7">
        <v>17</v>
      </c>
      <c r="H1750" s="2">
        <v>383636.80225001101</v>
      </c>
    </row>
    <row r="1751" spans="1:8" x14ac:dyDescent="0.25">
      <c r="A1751" t="str">
        <f t="shared" si="27"/>
        <v>199875+</v>
      </c>
      <c r="B1751">
        <v>1998</v>
      </c>
      <c r="C1751" t="s">
        <v>0</v>
      </c>
      <c r="D1751" t="s">
        <v>26</v>
      </c>
      <c r="E1751" t="s">
        <v>44</v>
      </c>
      <c r="F1751" t="s">
        <v>8</v>
      </c>
      <c r="G1751" s="7">
        <v>12</v>
      </c>
      <c r="H1751" s="2">
        <v>210840.77556954001</v>
      </c>
    </row>
    <row r="1752" spans="1:8" x14ac:dyDescent="0.25">
      <c r="A1752" t="str">
        <f t="shared" si="27"/>
        <v>19990-4</v>
      </c>
      <c r="B1752">
        <v>1999</v>
      </c>
      <c r="C1752" t="s">
        <v>6</v>
      </c>
      <c r="D1752" t="s">
        <v>26</v>
      </c>
      <c r="E1752" t="s">
        <v>44</v>
      </c>
      <c r="F1752" t="s">
        <v>8</v>
      </c>
      <c r="G1752" s="7">
        <v>9</v>
      </c>
      <c r="H1752" s="2">
        <v>1332528.9782825001</v>
      </c>
    </row>
    <row r="1753" spans="1:8" x14ac:dyDescent="0.25">
      <c r="A1753" t="str">
        <f t="shared" si="27"/>
        <v>199915-24</v>
      </c>
      <c r="B1753">
        <v>1999</v>
      </c>
      <c r="C1753" t="s">
        <v>4</v>
      </c>
      <c r="D1753" t="s">
        <v>26</v>
      </c>
      <c r="E1753" t="s">
        <v>44</v>
      </c>
      <c r="F1753" t="s">
        <v>8</v>
      </c>
      <c r="G1753" s="7">
        <v>183</v>
      </c>
      <c r="H1753" s="2">
        <v>2293434.06872966</v>
      </c>
    </row>
    <row r="1754" spans="1:8" x14ac:dyDescent="0.25">
      <c r="A1754" t="str">
        <f t="shared" si="27"/>
        <v>199925-44</v>
      </c>
      <c r="B1754">
        <v>1999</v>
      </c>
      <c r="C1754" t="s">
        <v>3</v>
      </c>
      <c r="D1754" t="s">
        <v>26</v>
      </c>
      <c r="E1754" t="s">
        <v>44</v>
      </c>
      <c r="F1754" t="s">
        <v>8</v>
      </c>
      <c r="G1754" s="7">
        <v>174</v>
      </c>
      <c r="H1754" s="2">
        <v>3464730.3289074199</v>
      </c>
    </row>
    <row r="1755" spans="1:8" x14ac:dyDescent="0.25">
      <c r="A1755" t="str">
        <f t="shared" si="27"/>
        <v>199945-64</v>
      </c>
      <c r="B1755">
        <v>1999</v>
      </c>
      <c r="C1755" t="s">
        <v>2</v>
      </c>
      <c r="D1755" t="s">
        <v>26</v>
      </c>
      <c r="E1755" t="s">
        <v>44</v>
      </c>
      <c r="F1755" t="s">
        <v>8</v>
      </c>
      <c r="G1755" s="7">
        <v>73</v>
      </c>
      <c r="H1755" s="2">
        <v>1599513.7957272299</v>
      </c>
    </row>
    <row r="1756" spans="1:8" x14ac:dyDescent="0.25">
      <c r="A1756" t="str">
        <f t="shared" si="27"/>
        <v>19995-14</v>
      </c>
      <c r="B1756">
        <v>1999</v>
      </c>
      <c r="C1756" t="s">
        <v>5</v>
      </c>
      <c r="D1756" t="s">
        <v>26</v>
      </c>
      <c r="E1756" t="s">
        <v>44</v>
      </c>
      <c r="F1756" t="s">
        <v>8</v>
      </c>
      <c r="G1756" s="7">
        <v>41</v>
      </c>
      <c r="H1756" s="2">
        <v>2628380.1745212199</v>
      </c>
    </row>
    <row r="1757" spans="1:8" x14ac:dyDescent="0.25">
      <c r="A1757" t="str">
        <f t="shared" si="27"/>
        <v>199965-74</v>
      </c>
      <c r="B1757">
        <v>1999</v>
      </c>
      <c r="C1757" t="s">
        <v>1</v>
      </c>
      <c r="D1757" t="s">
        <v>26</v>
      </c>
      <c r="E1757" t="s">
        <v>44</v>
      </c>
      <c r="F1757" t="s">
        <v>8</v>
      </c>
      <c r="G1757" s="7">
        <v>13</v>
      </c>
      <c r="H1757" s="2">
        <v>390568.93408333702</v>
      </c>
    </row>
    <row r="1758" spans="1:8" x14ac:dyDescent="0.25">
      <c r="A1758" t="str">
        <f t="shared" si="27"/>
        <v>199975+</v>
      </c>
      <c r="B1758">
        <v>1999</v>
      </c>
      <c r="C1758" t="s">
        <v>0</v>
      </c>
      <c r="D1758" t="s">
        <v>26</v>
      </c>
      <c r="E1758" t="s">
        <v>44</v>
      </c>
      <c r="F1758" t="s">
        <v>8</v>
      </c>
      <c r="G1758" s="7">
        <v>9</v>
      </c>
      <c r="H1758" s="2">
        <v>225043.25852318</v>
      </c>
    </row>
    <row r="1759" spans="1:8" x14ac:dyDescent="0.25">
      <c r="A1759" t="str">
        <f t="shared" si="27"/>
        <v>20000-4</v>
      </c>
      <c r="B1759">
        <v>2000</v>
      </c>
      <c r="C1759" t="s">
        <v>6</v>
      </c>
      <c r="D1759" t="s">
        <v>26</v>
      </c>
      <c r="E1759" t="s">
        <v>44</v>
      </c>
      <c r="F1759" t="s">
        <v>8</v>
      </c>
      <c r="G1759" s="7">
        <v>13</v>
      </c>
      <c r="H1759" s="2">
        <v>1338309</v>
      </c>
    </row>
    <row r="1760" spans="1:8" x14ac:dyDescent="0.25">
      <c r="A1760" t="str">
        <f t="shared" si="27"/>
        <v>200015-24</v>
      </c>
      <c r="B1760">
        <v>2000</v>
      </c>
      <c r="C1760" t="s">
        <v>4</v>
      </c>
      <c r="D1760" t="s">
        <v>26</v>
      </c>
      <c r="E1760" t="s">
        <v>44</v>
      </c>
      <c r="F1760" t="s">
        <v>8</v>
      </c>
      <c r="G1760" s="7">
        <v>197</v>
      </c>
      <c r="H1760" s="2">
        <v>2341775</v>
      </c>
    </row>
    <row r="1761" spans="1:8" x14ac:dyDescent="0.25">
      <c r="A1761" t="str">
        <f t="shared" si="27"/>
        <v>200025-44</v>
      </c>
      <c r="B1761">
        <v>2000</v>
      </c>
      <c r="C1761" t="s">
        <v>3</v>
      </c>
      <c r="D1761" t="s">
        <v>26</v>
      </c>
      <c r="E1761" t="s">
        <v>44</v>
      </c>
      <c r="F1761" t="s">
        <v>8</v>
      </c>
      <c r="G1761" s="7">
        <v>232</v>
      </c>
      <c r="H1761" s="2">
        <v>3535732</v>
      </c>
    </row>
    <row r="1762" spans="1:8" x14ac:dyDescent="0.25">
      <c r="A1762" t="str">
        <f t="shared" si="27"/>
        <v>200045-64</v>
      </c>
      <c r="B1762">
        <v>2000</v>
      </c>
      <c r="C1762" t="s">
        <v>2</v>
      </c>
      <c r="D1762" t="s">
        <v>26</v>
      </c>
      <c r="E1762" t="s">
        <v>44</v>
      </c>
      <c r="F1762" t="s">
        <v>8</v>
      </c>
      <c r="G1762" s="7">
        <v>85</v>
      </c>
      <c r="H1762" s="2">
        <v>1658630</v>
      </c>
    </row>
    <row r="1763" spans="1:8" x14ac:dyDescent="0.25">
      <c r="A1763" t="str">
        <f t="shared" si="27"/>
        <v>20005-14</v>
      </c>
      <c r="B1763">
        <v>2000</v>
      </c>
      <c r="C1763" t="s">
        <v>5</v>
      </c>
      <c r="D1763" t="s">
        <v>26</v>
      </c>
      <c r="E1763" t="s">
        <v>44</v>
      </c>
      <c r="F1763" t="s">
        <v>8</v>
      </c>
      <c r="G1763" s="7">
        <v>37</v>
      </c>
      <c r="H1763" s="2">
        <v>2626661</v>
      </c>
    </row>
    <row r="1764" spans="1:8" x14ac:dyDescent="0.25">
      <c r="A1764" t="str">
        <f t="shared" si="27"/>
        <v>200065-74</v>
      </c>
      <c r="B1764">
        <v>2000</v>
      </c>
      <c r="C1764" t="s">
        <v>1</v>
      </c>
      <c r="D1764" t="s">
        <v>26</v>
      </c>
      <c r="E1764" t="s">
        <v>44</v>
      </c>
      <c r="F1764" t="s">
        <v>8</v>
      </c>
      <c r="G1764" s="7">
        <v>22</v>
      </c>
      <c r="H1764" s="2">
        <v>398642</v>
      </c>
    </row>
    <row r="1765" spans="1:8" x14ac:dyDescent="0.25">
      <c r="A1765" t="str">
        <f t="shared" si="27"/>
        <v>200075+</v>
      </c>
      <c r="B1765">
        <v>2000</v>
      </c>
      <c r="C1765" t="s">
        <v>0</v>
      </c>
      <c r="D1765" t="s">
        <v>26</v>
      </c>
      <c r="E1765" t="s">
        <v>44</v>
      </c>
      <c r="F1765" t="s">
        <v>8</v>
      </c>
      <c r="G1765" s="7">
        <v>13</v>
      </c>
      <c r="H1765" s="2">
        <v>240016</v>
      </c>
    </row>
    <row r="1766" spans="1:8" x14ac:dyDescent="0.25">
      <c r="A1766" t="str">
        <f t="shared" si="27"/>
        <v>20010-4</v>
      </c>
      <c r="B1766">
        <v>2001</v>
      </c>
      <c r="C1766" t="s">
        <v>6</v>
      </c>
      <c r="D1766" t="s">
        <v>26</v>
      </c>
      <c r="E1766" t="s">
        <v>44</v>
      </c>
      <c r="F1766" t="s">
        <v>8</v>
      </c>
      <c r="G1766" s="7">
        <v>28</v>
      </c>
      <c r="H1766" s="2">
        <v>1343121</v>
      </c>
    </row>
    <row r="1767" spans="1:8" x14ac:dyDescent="0.25">
      <c r="A1767" t="str">
        <f t="shared" si="27"/>
        <v>200115-24</v>
      </c>
      <c r="B1767">
        <v>2001</v>
      </c>
      <c r="C1767" t="s">
        <v>4</v>
      </c>
      <c r="D1767" t="s">
        <v>26</v>
      </c>
      <c r="E1767" t="s">
        <v>44</v>
      </c>
      <c r="F1767" t="s">
        <v>8</v>
      </c>
      <c r="G1767" s="7">
        <v>182</v>
      </c>
      <c r="H1767" s="2">
        <v>2387015</v>
      </c>
    </row>
    <row r="1768" spans="1:8" x14ac:dyDescent="0.25">
      <c r="A1768" t="str">
        <f t="shared" si="27"/>
        <v>200125-44</v>
      </c>
      <c r="B1768">
        <v>2001</v>
      </c>
      <c r="C1768" t="s">
        <v>3</v>
      </c>
      <c r="D1768" t="s">
        <v>26</v>
      </c>
      <c r="E1768" t="s">
        <v>44</v>
      </c>
      <c r="F1768" t="s">
        <v>8</v>
      </c>
      <c r="G1768" s="7">
        <v>257</v>
      </c>
      <c r="H1768" s="2">
        <v>3605957</v>
      </c>
    </row>
    <row r="1769" spans="1:8" x14ac:dyDescent="0.25">
      <c r="A1769" t="str">
        <f t="shared" si="27"/>
        <v>200145-64</v>
      </c>
      <c r="B1769">
        <v>2001</v>
      </c>
      <c r="C1769" t="s">
        <v>2</v>
      </c>
      <c r="D1769" t="s">
        <v>26</v>
      </c>
      <c r="E1769" t="s">
        <v>44</v>
      </c>
      <c r="F1769" t="s">
        <v>8</v>
      </c>
      <c r="G1769" s="7">
        <v>91</v>
      </c>
      <c r="H1769" s="2">
        <v>1721965</v>
      </c>
    </row>
    <row r="1770" spans="1:8" x14ac:dyDescent="0.25">
      <c r="A1770" t="str">
        <f t="shared" si="27"/>
        <v>20015-14</v>
      </c>
      <c r="B1770">
        <v>2001</v>
      </c>
      <c r="C1770" t="s">
        <v>5</v>
      </c>
      <c r="D1770" t="s">
        <v>26</v>
      </c>
      <c r="E1770" t="s">
        <v>44</v>
      </c>
      <c r="F1770" t="s">
        <v>8</v>
      </c>
      <c r="G1770" s="7">
        <v>37</v>
      </c>
      <c r="H1770" s="2">
        <v>2624275</v>
      </c>
    </row>
    <row r="1771" spans="1:8" x14ac:dyDescent="0.25">
      <c r="A1771" t="str">
        <f t="shared" si="27"/>
        <v>200165-74</v>
      </c>
      <c r="B1771">
        <v>2001</v>
      </c>
      <c r="C1771" t="s">
        <v>1</v>
      </c>
      <c r="D1771" t="s">
        <v>26</v>
      </c>
      <c r="E1771" t="s">
        <v>44</v>
      </c>
      <c r="F1771" t="s">
        <v>8</v>
      </c>
      <c r="G1771" s="7">
        <v>13</v>
      </c>
      <c r="H1771" s="2">
        <v>407783</v>
      </c>
    </row>
    <row r="1772" spans="1:8" x14ac:dyDescent="0.25">
      <c r="A1772" t="str">
        <f t="shared" si="27"/>
        <v>200175+</v>
      </c>
      <c r="B1772">
        <v>2001</v>
      </c>
      <c r="C1772" t="s">
        <v>0</v>
      </c>
      <c r="D1772" t="s">
        <v>26</v>
      </c>
      <c r="E1772" t="s">
        <v>44</v>
      </c>
      <c r="F1772" t="s">
        <v>8</v>
      </c>
      <c r="G1772" s="7">
        <v>16</v>
      </c>
      <c r="H1772" s="2">
        <v>255331</v>
      </c>
    </row>
    <row r="1773" spans="1:8" x14ac:dyDescent="0.25">
      <c r="A1773" t="str">
        <f t="shared" si="27"/>
        <v>20020-4</v>
      </c>
      <c r="B1773">
        <v>2002</v>
      </c>
      <c r="C1773" t="s">
        <v>6</v>
      </c>
      <c r="D1773" t="s">
        <v>26</v>
      </c>
      <c r="E1773" t="s">
        <v>44</v>
      </c>
      <c r="F1773" t="s">
        <v>8</v>
      </c>
      <c r="G1773" s="7">
        <v>13</v>
      </c>
      <c r="H1773" s="2">
        <v>1347045</v>
      </c>
    </row>
    <row r="1774" spans="1:8" x14ac:dyDescent="0.25">
      <c r="A1774" t="str">
        <f t="shared" si="27"/>
        <v>200215-24</v>
      </c>
      <c r="B1774">
        <v>2002</v>
      </c>
      <c r="C1774" t="s">
        <v>4</v>
      </c>
      <c r="D1774" t="s">
        <v>26</v>
      </c>
      <c r="E1774" t="s">
        <v>44</v>
      </c>
      <c r="F1774" t="s">
        <v>8</v>
      </c>
      <c r="G1774" s="7">
        <v>312</v>
      </c>
      <c r="H1774" s="2">
        <v>2428415</v>
      </c>
    </row>
    <row r="1775" spans="1:8" x14ac:dyDescent="0.25">
      <c r="A1775" t="str">
        <f t="shared" si="27"/>
        <v>200225-44</v>
      </c>
      <c r="B1775">
        <v>2002</v>
      </c>
      <c r="C1775" t="s">
        <v>3</v>
      </c>
      <c r="D1775" t="s">
        <v>26</v>
      </c>
      <c r="E1775" t="s">
        <v>44</v>
      </c>
      <c r="F1775" t="s">
        <v>8</v>
      </c>
      <c r="G1775" s="7">
        <v>343</v>
      </c>
      <c r="H1775" s="2">
        <v>3675559</v>
      </c>
    </row>
    <row r="1776" spans="1:8" x14ac:dyDescent="0.25">
      <c r="A1776" t="str">
        <f t="shared" si="27"/>
        <v>200245-64</v>
      </c>
      <c r="B1776">
        <v>2002</v>
      </c>
      <c r="C1776" t="s">
        <v>2</v>
      </c>
      <c r="D1776" t="s">
        <v>26</v>
      </c>
      <c r="E1776" t="s">
        <v>44</v>
      </c>
      <c r="F1776" t="s">
        <v>8</v>
      </c>
      <c r="G1776" s="7">
        <v>119</v>
      </c>
      <c r="H1776" s="2">
        <v>1789361</v>
      </c>
    </row>
    <row r="1777" spans="1:8" x14ac:dyDescent="0.25">
      <c r="A1777" t="str">
        <f t="shared" si="27"/>
        <v>20025-14</v>
      </c>
      <c r="B1777">
        <v>2002</v>
      </c>
      <c r="C1777" t="s">
        <v>5</v>
      </c>
      <c r="D1777" t="s">
        <v>26</v>
      </c>
      <c r="E1777" t="s">
        <v>44</v>
      </c>
      <c r="F1777" t="s">
        <v>8</v>
      </c>
      <c r="G1777" s="7">
        <v>50</v>
      </c>
      <c r="H1777" s="2">
        <v>2622422</v>
      </c>
    </row>
    <row r="1778" spans="1:8" x14ac:dyDescent="0.25">
      <c r="A1778" t="str">
        <f t="shared" si="27"/>
        <v>200265-74</v>
      </c>
      <c r="B1778">
        <v>2002</v>
      </c>
      <c r="C1778" t="s">
        <v>1</v>
      </c>
      <c r="D1778" t="s">
        <v>26</v>
      </c>
      <c r="E1778" t="s">
        <v>44</v>
      </c>
      <c r="F1778" t="s">
        <v>8</v>
      </c>
      <c r="G1778" s="7">
        <v>28</v>
      </c>
      <c r="H1778" s="2">
        <v>417907</v>
      </c>
    </row>
    <row r="1779" spans="1:8" x14ac:dyDescent="0.25">
      <c r="A1779" t="str">
        <f t="shared" si="27"/>
        <v>200275+</v>
      </c>
      <c r="B1779">
        <v>2002</v>
      </c>
      <c r="C1779" t="s">
        <v>0</v>
      </c>
      <c r="D1779" t="s">
        <v>26</v>
      </c>
      <c r="E1779" t="s">
        <v>44</v>
      </c>
      <c r="F1779" t="s">
        <v>8</v>
      </c>
      <c r="G1779" s="7">
        <v>17</v>
      </c>
      <c r="H1779" s="2">
        <v>270538</v>
      </c>
    </row>
    <row r="1780" spans="1:8" x14ac:dyDescent="0.25">
      <c r="A1780" t="str">
        <f t="shared" si="27"/>
        <v>20030-4</v>
      </c>
      <c r="B1780">
        <v>2003</v>
      </c>
      <c r="C1780" t="s">
        <v>6</v>
      </c>
      <c r="D1780" t="s">
        <v>26</v>
      </c>
      <c r="E1780" t="s">
        <v>44</v>
      </c>
      <c r="F1780" t="s">
        <v>8</v>
      </c>
      <c r="G1780" s="7">
        <v>15</v>
      </c>
      <c r="H1780" s="2">
        <v>1350164</v>
      </c>
    </row>
    <row r="1781" spans="1:8" x14ac:dyDescent="0.25">
      <c r="A1781" t="str">
        <f t="shared" si="27"/>
        <v>200315-24</v>
      </c>
      <c r="B1781">
        <v>2003</v>
      </c>
      <c r="C1781" t="s">
        <v>4</v>
      </c>
      <c r="D1781" t="s">
        <v>26</v>
      </c>
      <c r="E1781" t="s">
        <v>44</v>
      </c>
      <c r="F1781" t="s">
        <v>8</v>
      </c>
      <c r="G1781" s="7">
        <v>252</v>
      </c>
      <c r="H1781" s="2">
        <v>2465273</v>
      </c>
    </row>
    <row r="1782" spans="1:8" x14ac:dyDescent="0.25">
      <c r="A1782" t="str">
        <f t="shared" si="27"/>
        <v>200325-44</v>
      </c>
      <c r="B1782">
        <v>2003</v>
      </c>
      <c r="C1782" t="s">
        <v>3</v>
      </c>
      <c r="D1782" t="s">
        <v>26</v>
      </c>
      <c r="E1782" t="s">
        <v>44</v>
      </c>
      <c r="F1782" t="s">
        <v>8</v>
      </c>
      <c r="G1782" s="7">
        <v>294</v>
      </c>
      <c r="H1782" s="2">
        <v>3744690</v>
      </c>
    </row>
    <row r="1783" spans="1:8" x14ac:dyDescent="0.25">
      <c r="A1783" t="str">
        <f t="shared" si="27"/>
        <v>200345-64</v>
      </c>
      <c r="B1783">
        <v>2003</v>
      </c>
      <c r="C1783" t="s">
        <v>2</v>
      </c>
      <c r="D1783" t="s">
        <v>26</v>
      </c>
      <c r="E1783" t="s">
        <v>44</v>
      </c>
      <c r="F1783" t="s">
        <v>8</v>
      </c>
      <c r="G1783" s="7">
        <v>100</v>
      </c>
      <c r="H1783" s="2">
        <v>1860678</v>
      </c>
    </row>
    <row r="1784" spans="1:8" x14ac:dyDescent="0.25">
      <c r="A1784" t="str">
        <f t="shared" si="27"/>
        <v>20035-14</v>
      </c>
      <c r="B1784">
        <v>2003</v>
      </c>
      <c r="C1784" t="s">
        <v>5</v>
      </c>
      <c r="D1784" t="s">
        <v>26</v>
      </c>
      <c r="E1784" t="s">
        <v>44</v>
      </c>
      <c r="F1784" t="s">
        <v>8</v>
      </c>
      <c r="G1784" s="7">
        <v>45</v>
      </c>
      <c r="H1784" s="2">
        <v>2622279</v>
      </c>
    </row>
    <row r="1785" spans="1:8" x14ac:dyDescent="0.25">
      <c r="A1785" t="str">
        <f t="shared" si="27"/>
        <v>200365-74</v>
      </c>
      <c r="B1785">
        <v>2003</v>
      </c>
      <c r="C1785" t="s">
        <v>1</v>
      </c>
      <c r="D1785" t="s">
        <v>26</v>
      </c>
      <c r="E1785" t="s">
        <v>44</v>
      </c>
      <c r="F1785" t="s">
        <v>8</v>
      </c>
      <c r="G1785" s="7">
        <v>20</v>
      </c>
      <c r="H1785" s="2">
        <v>428941</v>
      </c>
    </row>
    <row r="1786" spans="1:8" x14ac:dyDescent="0.25">
      <c r="A1786" t="str">
        <f t="shared" si="27"/>
        <v>200375+</v>
      </c>
      <c r="B1786">
        <v>2003</v>
      </c>
      <c r="C1786" t="s">
        <v>0</v>
      </c>
      <c r="D1786" t="s">
        <v>26</v>
      </c>
      <c r="E1786" t="s">
        <v>44</v>
      </c>
      <c r="F1786" t="s">
        <v>8</v>
      </c>
      <c r="G1786" s="7">
        <v>26</v>
      </c>
      <c r="H1786" s="2">
        <v>285209</v>
      </c>
    </row>
    <row r="1787" spans="1:8" x14ac:dyDescent="0.25">
      <c r="A1787" t="str">
        <f t="shared" si="27"/>
        <v>20040-4</v>
      </c>
      <c r="B1787">
        <v>2004</v>
      </c>
      <c r="C1787" t="s">
        <v>6</v>
      </c>
      <c r="D1787" t="s">
        <v>26</v>
      </c>
      <c r="E1787" t="s">
        <v>44</v>
      </c>
      <c r="F1787" t="s">
        <v>8</v>
      </c>
      <c r="G1787" s="7">
        <v>16</v>
      </c>
      <c r="H1787" s="2">
        <v>1352508</v>
      </c>
    </row>
    <row r="1788" spans="1:8" x14ac:dyDescent="0.25">
      <c r="A1788" t="str">
        <f t="shared" si="27"/>
        <v>200415-24</v>
      </c>
      <c r="B1788">
        <v>2004</v>
      </c>
      <c r="C1788" t="s">
        <v>4</v>
      </c>
      <c r="D1788" t="s">
        <v>26</v>
      </c>
      <c r="E1788" t="s">
        <v>44</v>
      </c>
      <c r="F1788" t="s">
        <v>8</v>
      </c>
      <c r="G1788" s="7">
        <v>225</v>
      </c>
      <c r="H1788" s="2">
        <v>2497409</v>
      </c>
    </row>
    <row r="1789" spans="1:8" x14ac:dyDescent="0.25">
      <c r="A1789" t="str">
        <f t="shared" si="27"/>
        <v>200425-44</v>
      </c>
      <c r="B1789">
        <v>2004</v>
      </c>
      <c r="C1789" t="s">
        <v>3</v>
      </c>
      <c r="D1789" t="s">
        <v>26</v>
      </c>
      <c r="E1789" t="s">
        <v>44</v>
      </c>
      <c r="F1789" t="s">
        <v>8</v>
      </c>
      <c r="G1789" s="7">
        <v>259</v>
      </c>
      <c r="H1789" s="2">
        <v>3813358</v>
      </c>
    </row>
    <row r="1790" spans="1:8" x14ac:dyDescent="0.25">
      <c r="A1790" t="str">
        <f t="shared" si="27"/>
        <v>200445-64</v>
      </c>
      <c r="B1790">
        <v>2004</v>
      </c>
      <c r="C1790" t="s">
        <v>2</v>
      </c>
      <c r="D1790" t="s">
        <v>26</v>
      </c>
      <c r="E1790" t="s">
        <v>44</v>
      </c>
      <c r="F1790" t="s">
        <v>8</v>
      </c>
      <c r="G1790" s="7">
        <v>70</v>
      </c>
      <c r="H1790" s="2">
        <v>1936129</v>
      </c>
    </row>
    <row r="1791" spans="1:8" x14ac:dyDescent="0.25">
      <c r="A1791" t="str">
        <f t="shared" si="27"/>
        <v>20045-14</v>
      </c>
      <c r="B1791">
        <v>2004</v>
      </c>
      <c r="C1791" t="s">
        <v>5</v>
      </c>
      <c r="D1791" t="s">
        <v>26</v>
      </c>
      <c r="E1791" t="s">
        <v>44</v>
      </c>
      <c r="F1791" t="s">
        <v>8</v>
      </c>
      <c r="G1791" s="7">
        <v>58</v>
      </c>
      <c r="H1791" s="2">
        <v>2624530</v>
      </c>
    </row>
    <row r="1792" spans="1:8" x14ac:dyDescent="0.25">
      <c r="A1792" t="str">
        <f t="shared" si="27"/>
        <v>200465-74</v>
      </c>
      <c r="B1792">
        <v>2004</v>
      </c>
      <c r="C1792" t="s">
        <v>1</v>
      </c>
      <c r="D1792" t="s">
        <v>26</v>
      </c>
      <c r="E1792" t="s">
        <v>44</v>
      </c>
      <c r="F1792" t="s">
        <v>8</v>
      </c>
      <c r="G1792" s="7">
        <v>16</v>
      </c>
      <c r="H1792" s="2">
        <v>441018</v>
      </c>
    </row>
    <row r="1793" spans="1:8" x14ac:dyDescent="0.25">
      <c r="A1793" t="str">
        <f t="shared" si="27"/>
        <v>200475+</v>
      </c>
      <c r="B1793">
        <v>2004</v>
      </c>
      <c r="C1793" t="s">
        <v>0</v>
      </c>
      <c r="D1793" t="s">
        <v>26</v>
      </c>
      <c r="E1793" t="s">
        <v>44</v>
      </c>
      <c r="F1793" t="s">
        <v>8</v>
      </c>
      <c r="G1793" s="7">
        <v>10</v>
      </c>
      <c r="H1793" s="2">
        <v>299301</v>
      </c>
    </row>
    <row r="1794" spans="1:8" x14ac:dyDescent="0.25">
      <c r="A1794" t="str">
        <f t="shared" ref="A1794:A1857" si="28">+CONCATENATE(B1794,C1794)</f>
        <v>20050-4</v>
      </c>
      <c r="B1794">
        <v>2005</v>
      </c>
      <c r="C1794" t="s">
        <v>6</v>
      </c>
      <c r="D1794" t="s">
        <v>26</v>
      </c>
      <c r="E1794" t="s">
        <v>44</v>
      </c>
      <c r="F1794" t="s">
        <v>8</v>
      </c>
      <c r="G1794" s="7">
        <v>6</v>
      </c>
      <c r="H1794" s="2">
        <v>1353852</v>
      </c>
    </row>
    <row r="1795" spans="1:8" x14ac:dyDescent="0.25">
      <c r="A1795" t="str">
        <f t="shared" si="28"/>
        <v>200515-24</v>
      </c>
      <c r="B1795">
        <v>2005</v>
      </c>
      <c r="C1795" t="s">
        <v>4</v>
      </c>
      <c r="D1795" t="s">
        <v>26</v>
      </c>
      <c r="E1795" t="s">
        <v>44</v>
      </c>
      <c r="F1795" t="s">
        <v>8</v>
      </c>
      <c r="G1795" s="7">
        <v>227</v>
      </c>
      <c r="H1795" s="2">
        <v>2524017</v>
      </c>
    </row>
    <row r="1796" spans="1:8" x14ac:dyDescent="0.25">
      <c r="A1796" t="str">
        <f t="shared" si="28"/>
        <v>200525-44</v>
      </c>
      <c r="B1796">
        <v>2005</v>
      </c>
      <c r="C1796" t="s">
        <v>3</v>
      </c>
      <c r="D1796" t="s">
        <v>26</v>
      </c>
      <c r="E1796" t="s">
        <v>44</v>
      </c>
      <c r="F1796" t="s">
        <v>8</v>
      </c>
      <c r="G1796" s="7">
        <v>227</v>
      </c>
      <c r="H1796" s="2">
        <v>3881062</v>
      </c>
    </row>
    <row r="1797" spans="1:8" x14ac:dyDescent="0.25">
      <c r="A1797" t="str">
        <f t="shared" si="28"/>
        <v>200545-64</v>
      </c>
      <c r="B1797">
        <v>2005</v>
      </c>
      <c r="C1797" t="s">
        <v>2</v>
      </c>
      <c r="D1797" t="s">
        <v>26</v>
      </c>
      <c r="E1797" t="s">
        <v>44</v>
      </c>
      <c r="F1797" t="s">
        <v>8</v>
      </c>
      <c r="G1797" s="7">
        <v>93</v>
      </c>
      <c r="H1797" s="2">
        <v>2016148</v>
      </c>
    </row>
    <row r="1798" spans="1:8" x14ac:dyDescent="0.25">
      <c r="A1798" t="str">
        <f t="shared" si="28"/>
        <v>20055-14</v>
      </c>
      <c r="B1798">
        <v>2005</v>
      </c>
      <c r="C1798" t="s">
        <v>5</v>
      </c>
      <c r="D1798" t="s">
        <v>26</v>
      </c>
      <c r="E1798" t="s">
        <v>44</v>
      </c>
      <c r="F1798" t="s">
        <v>8</v>
      </c>
      <c r="G1798" s="7">
        <v>33</v>
      </c>
      <c r="H1798" s="2">
        <v>2629864</v>
      </c>
    </row>
    <row r="1799" spans="1:8" x14ac:dyDescent="0.25">
      <c r="A1799" t="str">
        <f t="shared" si="28"/>
        <v>200565-74</v>
      </c>
      <c r="B1799">
        <v>2005</v>
      </c>
      <c r="C1799" t="s">
        <v>1</v>
      </c>
      <c r="D1799" t="s">
        <v>26</v>
      </c>
      <c r="E1799" t="s">
        <v>44</v>
      </c>
      <c r="F1799" t="s">
        <v>8</v>
      </c>
      <c r="G1799" s="7">
        <v>15</v>
      </c>
      <c r="H1799" s="2">
        <v>454245</v>
      </c>
    </row>
    <row r="1800" spans="1:8" x14ac:dyDescent="0.25">
      <c r="A1800" t="str">
        <f t="shared" si="28"/>
        <v>200575+</v>
      </c>
      <c r="B1800">
        <v>2005</v>
      </c>
      <c r="C1800" t="s">
        <v>0</v>
      </c>
      <c r="D1800" t="s">
        <v>26</v>
      </c>
      <c r="E1800" t="s">
        <v>44</v>
      </c>
      <c r="F1800" t="s">
        <v>8</v>
      </c>
      <c r="G1800" s="7">
        <v>10</v>
      </c>
      <c r="H1800" s="2">
        <v>312767</v>
      </c>
    </row>
    <row r="1801" spans="1:8" x14ac:dyDescent="0.25">
      <c r="A1801" t="str">
        <f t="shared" si="28"/>
        <v>20060-4</v>
      </c>
      <c r="B1801">
        <v>2006</v>
      </c>
      <c r="C1801" t="s">
        <v>6</v>
      </c>
      <c r="D1801" t="s">
        <v>26</v>
      </c>
      <c r="E1801" t="s">
        <v>44</v>
      </c>
      <c r="F1801" t="s">
        <v>8</v>
      </c>
      <c r="G1801" s="7">
        <v>7</v>
      </c>
      <c r="H1801" s="2">
        <v>1354432</v>
      </c>
    </row>
    <row r="1802" spans="1:8" x14ac:dyDescent="0.25">
      <c r="A1802" t="str">
        <f t="shared" si="28"/>
        <v>200615-24</v>
      </c>
      <c r="B1802">
        <v>2006</v>
      </c>
      <c r="C1802" t="s">
        <v>4</v>
      </c>
      <c r="D1802" t="s">
        <v>26</v>
      </c>
      <c r="E1802" t="s">
        <v>44</v>
      </c>
      <c r="F1802" t="s">
        <v>8</v>
      </c>
      <c r="G1802" s="7">
        <v>214</v>
      </c>
      <c r="H1802" s="2">
        <v>2544731</v>
      </c>
    </row>
    <row r="1803" spans="1:8" x14ac:dyDescent="0.25">
      <c r="A1803" t="str">
        <f t="shared" si="28"/>
        <v>200625-44</v>
      </c>
      <c r="B1803">
        <v>2006</v>
      </c>
      <c r="C1803" t="s">
        <v>3</v>
      </c>
      <c r="D1803" t="s">
        <v>26</v>
      </c>
      <c r="E1803" t="s">
        <v>44</v>
      </c>
      <c r="F1803" t="s">
        <v>8</v>
      </c>
      <c r="G1803" s="7">
        <v>266</v>
      </c>
      <c r="H1803" s="2">
        <v>3947836</v>
      </c>
    </row>
    <row r="1804" spans="1:8" x14ac:dyDescent="0.25">
      <c r="A1804" t="str">
        <f t="shared" si="28"/>
        <v>200645-64</v>
      </c>
      <c r="B1804">
        <v>2006</v>
      </c>
      <c r="C1804" t="s">
        <v>2</v>
      </c>
      <c r="D1804" t="s">
        <v>26</v>
      </c>
      <c r="E1804" t="s">
        <v>44</v>
      </c>
      <c r="F1804" t="s">
        <v>8</v>
      </c>
      <c r="G1804" s="7">
        <v>84</v>
      </c>
      <c r="H1804" s="2">
        <v>2100791</v>
      </c>
    </row>
    <row r="1805" spans="1:8" x14ac:dyDescent="0.25">
      <c r="A1805" t="str">
        <f t="shared" si="28"/>
        <v>20065-14</v>
      </c>
      <c r="B1805">
        <v>2006</v>
      </c>
      <c r="C1805" t="s">
        <v>5</v>
      </c>
      <c r="D1805" t="s">
        <v>26</v>
      </c>
      <c r="E1805" t="s">
        <v>44</v>
      </c>
      <c r="F1805" t="s">
        <v>8</v>
      </c>
      <c r="G1805" s="7">
        <v>37</v>
      </c>
      <c r="H1805" s="2">
        <v>2638747</v>
      </c>
    </row>
    <row r="1806" spans="1:8" x14ac:dyDescent="0.25">
      <c r="A1806" t="str">
        <f t="shared" si="28"/>
        <v>200665-74</v>
      </c>
      <c r="B1806">
        <v>2006</v>
      </c>
      <c r="C1806" t="s">
        <v>1</v>
      </c>
      <c r="D1806" t="s">
        <v>26</v>
      </c>
      <c r="E1806" t="s">
        <v>44</v>
      </c>
      <c r="F1806" t="s">
        <v>8</v>
      </c>
      <c r="G1806" s="7">
        <v>21</v>
      </c>
      <c r="H1806" s="2">
        <v>468680</v>
      </c>
    </row>
    <row r="1807" spans="1:8" x14ac:dyDescent="0.25">
      <c r="A1807" t="str">
        <f t="shared" si="28"/>
        <v>200675+</v>
      </c>
      <c r="B1807">
        <v>2006</v>
      </c>
      <c r="C1807" t="s">
        <v>0</v>
      </c>
      <c r="D1807" t="s">
        <v>26</v>
      </c>
      <c r="E1807" t="s">
        <v>44</v>
      </c>
      <c r="F1807" t="s">
        <v>8</v>
      </c>
      <c r="G1807" s="7">
        <v>15</v>
      </c>
      <c r="H1807" s="2">
        <v>325672</v>
      </c>
    </row>
    <row r="1808" spans="1:8" x14ac:dyDescent="0.25">
      <c r="A1808" t="str">
        <f t="shared" si="28"/>
        <v>20070-4</v>
      </c>
      <c r="B1808">
        <v>2007</v>
      </c>
      <c r="C1808" t="s">
        <v>6</v>
      </c>
      <c r="D1808" t="s">
        <v>26</v>
      </c>
      <c r="E1808" t="s">
        <v>44</v>
      </c>
      <c r="F1808" t="s">
        <v>8</v>
      </c>
      <c r="G1808" s="7">
        <v>12</v>
      </c>
      <c r="H1808" s="2">
        <v>1354234</v>
      </c>
    </row>
    <row r="1809" spans="1:8" x14ac:dyDescent="0.25">
      <c r="A1809" t="str">
        <f t="shared" si="28"/>
        <v>200715-24</v>
      </c>
      <c r="B1809">
        <v>2007</v>
      </c>
      <c r="C1809" t="s">
        <v>4</v>
      </c>
      <c r="D1809" t="s">
        <v>26</v>
      </c>
      <c r="E1809" t="s">
        <v>44</v>
      </c>
      <c r="F1809" t="s">
        <v>8</v>
      </c>
      <c r="G1809" s="7">
        <v>199</v>
      </c>
      <c r="H1809" s="2">
        <v>2561885</v>
      </c>
    </row>
    <row r="1810" spans="1:8" x14ac:dyDescent="0.25">
      <c r="A1810" t="str">
        <f t="shared" si="28"/>
        <v>200725-44</v>
      </c>
      <c r="B1810">
        <v>2007</v>
      </c>
      <c r="C1810" t="s">
        <v>3</v>
      </c>
      <c r="D1810" t="s">
        <v>26</v>
      </c>
      <c r="E1810" t="s">
        <v>44</v>
      </c>
      <c r="F1810" t="s">
        <v>8</v>
      </c>
      <c r="G1810" s="7">
        <v>264</v>
      </c>
      <c r="H1810" s="2">
        <v>4016163</v>
      </c>
    </row>
    <row r="1811" spans="1:8" x14ac:dyDescent="0.25">
      <c r="A1811" t="str">
        <f t="shared" si="28"/>
        <v>200745-64</v>
      </c>
      <c r="B1811">
        <v>2007</v>
      </c>
      <c r="C1811" t="s">
        <v>2</v>
      </c>
      <c r="D1811" t="s">
        <v>26</v>
      </c>
      <c r="E1811" t="s">
        <v>44</v>
      </c>
      <c r="F1811" t="s">
        <v>8</v>
      </c>
      <c r="G1811" s="7">
        <v>102</v>
      </c>
      <c r="H1811" s="2">
        <v>2188071</v>
      </c>
    </row>
    <row r="1812" spans="1:8" x14ac:dyDescent="0.25">
      <c r="A1812" t="str">
        <f t="shared" si="28"/>
        <v>20075-14</v>
      </c>
      <c r="B1812">
        <v>2007</v>
      </c>
      <c r="C1812" t="s">
        <v>5</v>
      </c>
      <c r="D1812" t="s">
        <v>26</v>
      </c>
      <c r="E1812" t="s">
        <v>44</v>
      </c>
      <c r="F1812" t="s">
        <v>8</v>
      </c>
      <c r="G1812" s="7">
        <v>43</v>
      </c>
      <c r="H1812" s="2">
        <v>2647233</v>
      </c>
    </row>
    <row r="1813" spans="1:8" x14ac:dyDescent="0.25">
      <c r="A1813" t="str">
        <f t="shared" si="28"/>
        <v>200765-74</v>
      </c>
      <c r="B1813">
        <v>2007</v>
      </c>
      <c r="C1813" t="s">
        <v>1</v>
      </c>
      <c r="D1813" t="s">
        <v>26</v>
      </c>
      <c r="E1813" t="s">
        <v>44</v>
      </c>
      <c r="F1813" t="s">
        <v>8</v>
      </c>
      <c r="G1813" s="7">
        <v>13</v>
      </c>
      <c r="H1813" s="2">
        <v>484321</v>
      </c>
    </row>
    <row r="1814" spans="1:8" x14ac:dyDescent="0.25">
      <c r="A1814" t="str">
        <f t="shared" si="28"/>
        <v>200775+</v>
      </c>
      <c r="B1814">
        <v>2007</v>
      </c>
      <c r="C1814" t="s">
        <v>0</v>
      </c>
      <c r="D1814" t="s">
        <v>26</v>
      </c>
      <c r="E1814" t="s">
        <v>44</v>
      </c>
      <c r="F1814" t="s">
        <v>8</v>
      </c>
      <c r="G1814" s="7">
        <v>16</v>
      </c>
      <c r="H1814" s="2">
        <v>338128</v>
      </c>
    </row>
    <row r="1815" spans="1:8" x14ac:dyDescent="0.25">
      <c r="A1815" t="str">
        <f t="shared" si="28"/>
        <v>20080-4</v>
      </c>
      <c r="B1815">
        <v>2008</v>
      </c>
      <c r="C1815" t="s">
        <v>6</v>
      </c>
      <c r="D1815" t="s">
        <v>26</v>
      </c>
      <c r="E1815" t="s">
        <v>44</v>
      </c>
      <c r="F1815" t="s">
        <v>8</v>
      </c>
      <c r="G1815" s="7">
        <v>16</v>
      </c>
      <c r="H1815" s="2">
        <v>1353145</v>
      </c>
    </row>
    <row r="1816" spans="1:8" x14ac:dyDescent="0.25">
      <c r="A1816" t="str">
        <f t="shared" si="28"/>
        <v>200815-24</v>
      </c>
      <c r="B1816">
        <v>2008</v>
      </c>
      <c r="C1816" t="s">
        <v>4</v>
      </c>
      <c r="D1816" t="s">
        <v>26</v>
      </c>
      <c r="E1816" t="s">
        <v>44</v>
      </c>
      <c r="F1816" t="s">
        <v>8</v>
      </c>
      <c r="G1816" s="7">
        <v>233</v>
      </c>
      <c r="H1816" s="2">
        <v>2575138</v>
      </c>
    </row>
    <row r="1817" spans="1:8" x14ac:dyDescent="0.25">
      <c r="A1817" t="str">
        <f t="shared" si="28"/>
        <v>200825-44</v>
      </c>
      <c r="B1817">
        <v>2008</v>
      </c>
      <c r="C1817" t="s">
        <v>3</v>
      </c>
      <c r="D1817" t="s">
        <v>26</v>
      </c>
      <c r="E1817" t="s">
        <v>44</v>
      </c>
      <c r="F1817" t="s">
        <v>8</v>
      </c>
      <c r="G1817" s="7">
        <v>294</v>
      </c>
      <c r="H1817" s="2">
        <v>4085944</v>
      </c>
    </row>
    <row r="1818" spans="1:8" x14ac:dyDescent="0.25">
      <c r="A1818" t="str">
        <f t="shared" si="28"/>
        <v>200845-64</v>
      </c>
      <c r="B1818">
        <v>2008</v>
      </c>
      <c r="C1818" t="s">
        <v>2</v>
      </c>
      <c r="D1818" t="s">
        <v>26</v>
      </c>
      <c r="E1818" t="s">
        <v>44</v>
      </c>
      <c r="F1818" t="s">
        <v>8</v>
      </c>
      <c r="G1818" s="7">
        <v>111</v>
      </c>
      <c r="H1818" s="2">
        <v>2277674</v>
      </c>
    </row>
    <row r="1819" spans="1:8" x14ac:dyDescent="0.25">
      <c r="A1819" t="str">
        <f t="shared" si="28"/>
        <v>20085-14</v>
      </c>
      <c r="B1819">
        <v>2008</v>
      </c>
      <c r="C1819" t="s">
        <v>5</v>
      </c>
      <c r="D1819" t="s">
        <v>26</v>
      </c>
      <c r="E1819" t="s">
        <v>44</v>
      </c>
      <c r="F1819" t="s">
        <v>8</v>
      </c>
      <c r="G1819" s="7">
        <v>44</v>
      </c>
      <c r="H1819" s="2">
        <v>2655740</v>
      </c>
    </row>
    <row r="1820" spans="1:8" x14ac:dyDescent="0.25">
      <c r="A1820" t="str">
        <f t="shared" si="28"/>
        <v>200865-74</v>
      </c>
      <c r="B1820">
        <v>2008</v>
      </c>
      <c r="C1820" t="s">
        <v>1</v>
      </c>
      <c r="D1820" t="s">
        <v>26</v>
      </c>
      <c r="E1820" t="s">
        <v>44</v>
      </c>
      <c r="F1820" t="s">
        <v>8</v>
      </c>
      <c r="G1820" s="7">
        <v>23</v>
      </c>
      <c r="H1820" s="2">
        <v>501201</v>
      </c>
    </row>
    <row r="1821" spans="1:8" x14ac:dyDescent="0.25">
      <c r="A1821" t="str">
        <f t="shared" si="28"/>
        <v>200875+</v>
      </c>
      <c r="B1821">
        <v>2008</v>
      </c>
      <c r="C1821" t="s">
        <v>0</v>
      </c>
      <c r="D1821" t="s">
        <v>26</v>
      </c>
      <c r="E1821" t="s">
        <v>44</v>
      </c>
      <c r="F1821" t="s">
        <v>8</v>
      </c>
      <c r="G1821" s="7">
        <v>9</v>
      </c>
      <c r="H1821" s="2">
        <v>350235</v>
      </c>
    </row>
    <row r="1822" spans="1:8" x14ac:dyDescent="0.25">
      <c r="A1822" t="str">
        <f t="shared" si="28"/>
        <v>20090-4</v>
      </c>
      <c r="B1822">
        <v>2009</v>
      </c>
      <c r="C1822" t="s">
        <v>6</v>
      </c>
      <c r="D1822" t="s">
        <v>26</v>
      </c>
      <c r="E1822" t="s">
        <v>44</v>
      </c>
      <c r="F1822" t="s">
        <v>8</v>
      </c>
      <c r="G1822" s="7">
        <v>15</v>
      </c>
      <c r="H1822" s="2">
        <v>1351158</v>
      </c>
    </row>
    <row r="1823" spans="1:8" x14ac:dyDescent="0.25">
      <c r="A1823" t="str">
        <f t="shared" si="28"/>
        <v>200915-24</v>
      </c>
      <c r="B1823">
        <v>2009</v>
      </c>
      <c r="C1823" t="s">
        <v>4</v>
      </c>
      <c r="D1823" t="s">
        <v>26</v>
      </c>
      <c r="E1823" t="s">
        <v>44</v>
      </c>
      <c r="F1823" t="s">
        <v>8</v>
      </c>
      <c r="G1823" s="7">
        <v>200</v>
      </c>
      <c r="H1823" s="2">
        <v>2584791</v>
      </c>
    </row>
    <row r="1824" spans="1:8" x14ac:dyDescent="0.25">
      <c r="A1824" t="str">
        <f t="shared" si="28"/>
        <v>200925-44</v>
      </c>
      <c r="B1824">
        <v>2009</v>
      </c>
      <c r="C1824" t="s">
        <v>3</v>
      </c>
      <c r="D1824" t="s">
        <v>26</v>
      </c>
      <c r="E1824" t="s">
        <v>44</v>
      </c>
      <c r="F1824" t="s">
        <v>8</v>
      </c>
      <c r="G1824" s="7">
        <v>300</v>
      </c>
      <c r="H1824" s="2">
        <v>4156891</v>
      </c>
    </row>
    <row r="1825" spans="1:8" x14ac:dyDescent="0.25">
      <c r="A1825" t="str">
        <f t="shared" si="28"/>
        <v>200945-64</v>
      </c>
      <c r="B1825">
        <v>2009</v>
      </c>
      <c r="C1825" t="s">
        <v>2</v>
      </c>
      <c r="D1825" t="s">
        <v>26</v>
      </c>
      <c r="E1825" t="s">
        <v>44</v>
      </c>
      <c r="F1825" t="s">
        <v>8</v>
      </c>
      <c r="G1825" s="7">
        <v>91</v>
      </c>
      <c r="H1825" s="2">
        <v>2369589</v>
      </c>
    </row>
    <row r="1826" spans="1:8" x14ac:dyDescent="0.25">
      <c r="A1826" t="str">
        <f t="shared" si="28"/>
        <v>20095-14</v>
      </c>
      <c r="B1826">
        <v>2009</v>
      </c>
      <c r="C1826" t="s">
        <v>5</v>
      </c>
      <c r="D1826" t="s">
        <v>26</v>
      </c>
      <c r="E1826" t="s">
        <v>44</v>
      </c>
      <c r="F1826" t="s">
        <v>8</v>
      </c>
      <c r="G1826" s="7">
        <v>35</v>
      </c>
      <c r="H1826" s="2">
        <v>2664671</v>
      </c>
    </row>
    <row r="1827" spans="1:8" x14ac:dyDescent="0.25">
      <c r="A1827" t="str">
        <f t="shared" si="28"/>
        <v>200965-74</v>
      </c>
      <c r="B1827">
        <v>2009</v>
      </c>
      <c r="C1827" t="s">
        <v>1</v>
      </c>
      <c r="D1827" t="s">
        <v>26</v>
      </c>
      <c r="E1827" t="s">
        <v>44</v>
      </c>
      <c r="F1827" t="s">
        <v>8</v>
      </c>
      <c r="G1827" s="7">
        <v>15</v>
      </c>
      <c r="H1827" s="2">
        <v>519377</v>
      </c>
    </row>
    <row r="1828" spans="1:8" x14ac:dyDescent="0.25">
      <c r="A1828" t="str">
        <f t="shared" si="28"/>
        <v>200975+</v>
      </c>
      <c r="B1828">
        <v>2009</v>
      </c>
      <c r="C1828" t="s">
        <v>0</v>
      </c>
      <c r="D1828" t="s">
        <v>26</v>
      </c>
      <c r="E1828" t="s">
        <v>44</v>
      </c>
      <c r="F1828" t="s">
        <v>8</v>
      </c>
      <c r="G1828" s="7">
        <v>12</v>
      </c>
      <c r="H1828" s="2">
        <v>362131</v>
      </c>
    </row>
    <row r="1829" spans="1:8" x14ac:dyDescent="0.25">
      <c r="A1829" t="str">
        <f t="shared" si="28"/>
        <v>20100-4</v>
      </c>
      <c r="B1829">
        <v>2010</v>
      </c>
      <c r="C1829" t="s">
        <v>6</v>
      </c>
      <c r="D1829" t="s">
        <v>26</v>
      </c>
      <c r="E1829" t="s">
        <v>44</v>
      </c>
      <c r="F1829" t="s">
        <v>8</v>
      </c>
      <c r="G1829" s="7">
        <v>10</v>
      </c>
      <c r="H1829" s="2">
        <v>1348289</v>
      </c>
    </row>
    <row r="1830" spans="1:8" x14ac:dyDescent="0.25">
      <c r="A1830" t="str">
        <f t="shared" si="28"/>
        <v>201015-24</v>
      </c>
      <c r="B1830">
        <v>2010</v>
      </c>
      <c r="C1830" t="s">
        <v>4</v>
      </c>
      <c r="D1830" t="s">
        <v>26</v>
      </c>
      <c r="E1830" t="s">
        <v>44</v>
      </c>
      <c r="F1830" t="s">
        <v>8</v>
      </c>
      <c r="G1830" s="7">
        <v>229</v>
      </c>
      <c r="H1830" s="2">
        <v>2590746</v>
      </c>
    </row>
    <row r="1831" spans="1:8" x14ac:dyDescent="0.25">
      <c r="A1831" t="str">
        <f t="shared" si="28"/>
        <v>201025-44</v>
      </c>
      <c r="B1831">
        <v>2010</v>
      </c>
      <c r="C1831" t="s">
        <v>3</v>
      </c>
      <c r="D1831" t="s">
        <v>26</v>
      </c>
      <c r="E1831" t="s">
        <v>44</v>
      </c>
      <c r="F1831" t="s">
        <v>8</v>
      </c>
      <c r="G1831" s="7">
        <v>289</v>
      </c>
      <c r="H1831" s="2">
        <v>4228246</v>
      </c>
    </row>
    <row r="1832" spans="1:8" x14ac:dyDescent="0.25">
      <c r="A1832" t="str">
        <f t="shared" si="28"/>
        <v>201045-64</v>
      </c>
      <c r="B1832">
        <v>2010</v>
      </c>
      <c r="C1832" t="s">
        <v>2</v>
      </c>
      <c r="D1832" t="s">
        <v>26</v>
      </c>
      <c r="E1832" t="s">
        <v>44</v>
      </c>
      <c r="F1832" t="s">
        <v>8</v>
      </c>
      <c r="G1832" s="7">
        <v>100</v>
      </c>
      <c r="H1832" s="2">
        <v>2464321</v>
      </c>
    </row>
    <row r="1833" spans="1:8" x14ac:dyDescent="0.25">
      <c r="A1833" t="str">
        <f t="shared" si="28"/>
        <v>20105-14</v>
      </c>
      <c r="B1833">
        <v>2010</v>
      </c>
      <c r="C1833" t="s">
        <v>5</v>
      </c>
      <c r="D1833" t="s">
        <v>26</v>
      </c>
      <c r="E1833" t="s">
        <v>44</v>
      </c>
      <c r="F1833" t="s">
        <v>8</v>
      </c>
      <c r="G1833" s="7">
        <v>41</v>
      </c>
      <c r="H1833" s="2">
        <v>2674173</v>
      </c>
    </row>
    <row r="1834" spans="1:8" x14ac:dyDescent="0.25">
      <c r="A1834" t="str">
        <f t="shared" si="28"/>
        <v>201065-74</v>
      </c>
      <c r="B1834">
        <v>2010</v>
      </c>
      <c r="C1834" t="s">
        <v>1</v>
      </c>
      <c r="D1834" t="s">
        <v>26</v>
      </c>
      <c r="E1834" t="s">
        <v>44</v>
      </c>
      <c r="F1834" t="s">
        <v>8</v>
      </c>
      <c r="G1834" s="7">
        <v>15</v>
      </c>
      <c r="H1834" s="2">
        <v>538921</v>
      </c>
    </row>
    <row r="1835" spans="1:8" x14ac:dyDescent="0.25">
      <c r="A1835" t="str">
        <f t="shared" si="28"/>
        <v>201075+</v>
      </c>
      <c r="B1835">
        <v>2010</v>
      </c>
      <c r="C1835" t="s">
        <v>0</v>
      </c>
      <c r="D1835" t="s">
        <v>26</v>
      </c>
      <c r="E1835" t="s">
        <v>44</v>
      </c>
      <c r="F1835" t="s">
        <v>8</v>
      </c>
      <c r="G1835" s="7">
        <v>7</v>
      </c>
      <c r="H1835" s="2">
        <v>373918</v>
      </c>
    </row>
    <row r="1836" spans="1:8" x14ac:dyDescent="0.25">
      <c r="A1836" t="str">
        <f t="shared" si="28"/>
        <v>20110-4</v>
      </c>
      <c r="B1836">
        <v>2011</v>
      </c>
      <c r="C1836" t="s">
        <v>6</v>
      </c>
      <c r="D1836" t="s">
        <v>26</v>
      </c>
      <c r="E1836" t="s">
        <v>44</v>
      </c>
      <c r="F1836" t="s">
        <v>8</v>
      </c>
      <c r="G1836" s="7">
        <v>16</v>
      </c>
      <c r="H1836" s="2">
        <v>1344595</v>
      </c>
    </row>
    <row r="1837" spans="1:8" x14ac:dyDescent="0.25">
      <c r="A1837" t="str">
        <f t="shared" si="28"/>
        <v>201115-24</v>
      </c>
      <c r="B1837">
        <v>2011</v>
      </c>
      <c r="C1837" t="s">
        <v>4</v>
      </c>
      <c r="D1837" t="s">
        <v>26</v>
      </c>
      <c r="E1837" t="s">
        <v>44</v>
      </c>
      <c r="F1837" t="s">
        <v>8</v>
      </c>
      <c r="G1837" s="7">
        <v>205</v>
      </c>
      <c r="H1837" s="2">
        <v>2593350</v>
      </c>
    </row>
    <row r="1838" spans="1:8" x14ac:dyDescent="0.25">
      <c r="A1838" t="str">
        <f t="shared" si="28"/>
        <v>201125-44</v>
      </c>
      <c r="B1838">
        <v>2011</v>
      </c>
      <c r="C1838" t="s">
        <v>3</v>
      </c>
      <c r="D1838" t="s">
        <v>26</v>
      </c>
      <c r="E1838" t="s">
        <v>44</v>
      </c>
      <c r="F1838" t="s">
        <v>8</v>
      </c>
      <c r="G1838" s="7">
        <v>251</v>
      </c>
      <c r="H1838" s="2">
        <v>4299392</v>
      </c>
    </row>
    <row r="1839" spans="1:8" x14ac:dyDescent="0.25">
      <c r="A1839" t="str">
        <f t="shared" si="28"/>
        <v>201145-64</v>
      </c>
      <c r="B1839">
        <v>2011</v>
      </c>
      <c r="C1839" t="s">
        <v>2</v>
      </c>
      <c r="D1839" t="s">
        <v>26</v>
      </c>
      <c r="E1839" t="s">
        <v>44</v>
      </c>
      <c r="F1839" t="s">
        <v>8</v>
      </c>
      <c r="G1839" s="7">
        <v>89</v>
      </c>
      <c r="H1839" s="2">
        <v>2561836</v>
      </c>
    </row>
    <row r="1840" spans="1:8" x14ac:dyDescent="0.25">
      <c r="A1840" t="str">
        <f t="shared" si="28"/>
        <v>20115-14</v>
      </c>
      <c r="B1840">
        <v>2011</v>
      </c>
      <c r="C1840" t="s">
        <v>5</v>
      </c>
      <c r="D1840" t="s">
        <v>26</v>
      </c>
      <c r="E1840" t="s">
        <v>44</v>
      </c>
      <c r="F1840" t="s">
        <v>8</v>
      </c>
      <c r="G1840" s="7">
        <v>37</v>
      </c>
      <c r="H1840" s="2">
        <v>2684312</v>
      </c>
    </row>
    <row r="1841" spans="1:8" x14ac:dyDescent="0.25">
      <c r="A1841" t="str">
        <f t="shared" si="28"/>
        <v>201165-74</v>
      </c>
      <c r="B1841">
        <v>2011</v>
      </c>
      <c r="C1841" t="s">
        <v>1</v>
      </c>
      <c r="D1841" t="s">
        <v>26</v>
      </c>
      <c r="E1841" t="s">
        <v>44</v>
      </c>
      <c r="F1841" t="s">
        <v>8</v>
      </c>
      <c r="G1841" s="7">
        <v>14</v>
      </c>
      <c r="H1841" s="2">
        <v>559899</v>
      </c>
    </row>
    <row r="1842" spans="1:8" x14ac:dyDescent="0.25">
      <c r="A1842" t="str">
        <f t="shared" si="28"/>
        <v>201175+</v>
      </c>
      <c r="B1842">
        <v>2011</v>
      </c>
      <c r="C1842" t="s">
        <v>0</v>
      </c>
      <c r="D1842" t="s">
        <v>26</v>
      </c>
      <c r="E1842" t="s">
        <v>44</v>
      </c>
      <c r="F1842" t="s">
        <v>8</v>
      </c>
      <c r="G1842" s="7">
        <v>15</v>
      </c>
      <c r="H1842" s="2">
        <v>385721</v>
      </c>
    </row>
    <row r="1843" spans="1:8" x14ac:dyDescent="0.25">
      <c r="A1843" t="str">
        <f t="shared" si="28"/>
        <v>20120-4</v>
      </c>
      <c r="B1843">
        <v>2012</v>
      </c>
      <c r="C1843" t="s">
        <v>6</v>
      </c>
      <c r="D1843" t="s">
        <v>26</v>
      </c>
      <c r="E1843" t="s">
        <v>44</v>
      </c>
      <c r="F1843" t="s">
        <v>8</v>
      </c>
      <c r="G1843" s="7">
        <v>13</v>
      </c>
      <c r="H1843" s="2">
        <v>1340586.3214094499</v>
      </c>
    </row>
    <row r="1844" spans="1:8" x14ac:dyDescent="0.25">
      <c r="A1844" t="str">
        <f t="shared" si="28"/>
        <v>201215-24</v>
      </c>
      <c r="B1844">
        <v>2012</v>
      </c>
      <c r="C1844" t="s">
        <v>4</v>
      </c>
      <c r="D1844" t="s">
        <v>26</v>
      </c>
      <c r="E1844" t="s">
        <v>44</v>
      </c>
      <c r="F1844" t="s">
        <v>8</v>
      </c>
      <c r="G1844" s="7">
        <v>201</v>
      </c>
      <c r="H1844" s="2">
        <v>2596932.5593387499</v>
      </c>
    </row>
    <row r="1845" spans="1:8" x14ac:dyDescent="0.25">
      <c r="A1845" t="str">
        <f t="shared" si="28"/>
        <v>201225-44</v>
      </c>
      <c r="B1845">
        <v>2012</v>
      </c>
      <c r="C1845" t="s">
        <v>3</v>
      </c>
      <c r="D1845" t="s">
        <v>26</v>
      </c>
      <c r="E1845" t="s">
        <v>44</v>
      </c>
      <c r="F1845" t="s">
        <v>8</v>
      </c>
      <c r="G1845" s="7">
        <v>301</v>
      </c>
      <c r="H1845" s="2">
        <v>4370928.8062696801</v>
      </c>
    </row>
    <row r="1846" spans="1:8" x14ac:dyDescent="0.25">
      <c r="A1846" t="str">
        <f t="shared" si="28"/>
        <v>201245-64</v>
      </c>
      <c r="B1846">
        <v>2012</v>
      </c>
      <c r="C1846" t="s">
        <v>2</v>
      </c>
      <c r="D1846" t="s">
        <v>26</v>
      </c>
      <c r="E1846" t="s">
        <v>44</v>
      </c>
      <c r="F1846" t="s">
        <v>8</v>
      </c>
      <c r="G1846" s="7">
        <v>117</v>
      </c>
      <c r="H1846" s="2">
        <v>2658291.2681631502</v>
      </c>
    </row>
    <row r="1847" spans="1:8" x14ac:dyDescent="0.25">
      <c r="A1847" t="str">
        <f t="shared" si="28"/>
        <v>20125-14</v>
      </c>
      <c r="B1847">
        <v>2012</v>
      </c>
      <c r="C1847" t="s">
        <v>5</v>
      </c>
      <c r="D1847" t="s">
        <v>26</v>
      </c>
      <c r="E1847" t="s">
        <v>44</v>
      </c>
      <c r="F1847" t="s">
        <v>8</v>
      </c>
      <c r="G1847" s="7">
        <v>41</v>
      </c>
      <c r="H1847" s="2">
        <v>2693165.8826794801</v>
      </c>
    </row>
    <row r="1848" spans="1:8" x14ac:dyDescent="0.25">
      <c r="A1848" t="str">
        <f t="shared" si="28"/>
        <v>201265-74</v>
      </c>
      <c r="B1848">
        <v>2012</v>
      </c>
      <c r="C1848" t="s">
        <v>1</v>
      </c>
      <c r="D1848" t="s">
        <v>26</v>
      </c>
      <c r="E1848" t="s">
        <v>44</v>
      </c>
      <c r="F1848" t="s">
        <v>8</v>
      </c>
      <c r="G1848" s="7">
        <v>24</v>
      </c>
      <c r="H1848" s="2">
        <v>582433.94467592705</v>
      </c>
    </row>
    <row r="1849" spans="1:8" x14ac:dyDescent="0.25">
      <c r="A1849" t="str">
        <f t="shared" si="28"/>
        <v>201275+</v>
      </c>
      <c r="B1849">
        <v>2012</v>
      </c>
      <c r="C1849" t="s">
        <v>0</v>
      </c>
      <c r="D1849" t="s">
        <v>26</v>
      </c>
      <c r="E1849" t="s">
        <v>44</v>
      </c>
      <c r="F1849" t="s">
        <v>8</v>
      </c>
      <c r="G1849" s="7">
        <v>15</v>
      </c>
      <c r="H1849" s="2">
        <v>398069.84835797001</v>
      </c>
    </row>
    <row r="1850" spans="1:8" x14ac:dyDescent="0.25">
      <c r="A1850" t="str">
        <f t="shared" si="28"/>
        <v>20130-4</v>
      </c>
      <c r="B1850">
        <v>2013</v>
      </c>
      <c r="C1850" t="s">
        <v>6</v>
      </c>
      <c r="D1850" t="s">
        <v>26</v>
      </c>
      <c r="E1850" t="s">
        <v>44</v>
      </c>
      <c r="F1850" t="s">
        <v>8</v>
      </c>
      <c r="G1850" s="7">
        <v>16</v>
      </c>
      <c r="H1850" s="2">
        <v>1336364.77993838</v>
      </c>
    </row>
    <row r="1851" spans="1:8" x14ac:dyDescent="0.25">
      <c r="A1851" t="str">
        <f t="shared" si="28"/>
        <v>201315-24</v>
      </c>
      <c r="B1851">
        <v>2013</v>
      </c>
      <c r="C1851" t="s">
        <v>4</v>
      </c>
      <c r="D1851" t="s">
        <v>26</v>
      </c>
      <c r="E1851" t="s">
        <v>44</v>
      </c>
      <c r="F1851" t="s">
        <v>8</v>
      </c>
      <c r="G1851" s="7">
        <v>198</v>
      </c>
      <c r="H1851" s="2">
        <v>2602650.6589393602</v>
      </c>
    </row>
    <row r="1852" spans="1:8" x14ac:dyDescent="0.25">
      <c r="A1852" t="str">
        <f t="shared" si="28"/>
        <v>201325-44</v>
      </c>
      <c r="B1852">
        <v>2013</v>
      </c>
      <c r="C1852" t="s">
        <v>3</v>
      </c>
      <c r="D1852" t="s">
        <v>26</v>
      </c>
      <c r="E1852" t="s">
        <v>44</v>
      </c>
      <c r="F1852" t="s">
        <v>8</v>
      </c>
      <c r="G1852" s="7">
        <v>254</v>
      </c>
      <c r="H1852" s="2">
        <v>4442157.0636299504</v>
      </c>
    </row>
    <row r="1853" spans="1:8" x14ac:dyDescent="0.25">
      <c r="A1853" t="str">
        <f t="shared" si="28"/>
        <v>201345-64</v>
      </c>
      <c r="B1853">
        <v>2013</v>
      </c>
      <c r="C1853" t="s">
        <v>2</v>
      </c>
      <c r="D1853" t="s">
        <v>26</v>
      </c>
      <c r="E1853" t="s">
        <v>44</v>
      </c>
      <c r="F1853" t="s">
        <v>8</v>
      </c>
      <c r="G1853" s="7">
        <v>72</v>
      </c>
      <c r="H1853" s="2">
        <v>2752738.9724179399</v>
      </c>
    </row>
    <row r="1854" spans="1:8" x14ac:dyDescent="0.25">
      <c r="A1854" t="str">
        <f t="shared" si="28"/>
        <v>20135-14</v>
      </c>
      <c r="B1854">
        <v>2013</v>
      </c>
      <c r="C1854" t="s">
        <v>5</v>
      </c>
      <c r="D1854" t="s">
        <v>26</v>
      </c>
      <c r="E1854" t="s">
        <v>44</v>
      </c>
      <c r="F1854" t="s">
        <v>8</v>
      </c>
      <c r="G1854" s="7">
        <v>40</v>
      </c>
      <c r="H1854" s="2">
        <v>2699988.6782491799</v>
      </c>
    </row>
    <row r="1855" spans="1:8" x14ac:dyDescent="0.25">
      <c r="A1855" t="str">
        <f t="shared" si="28"/>
        <v>201365-74</v>
      </c>
      <c r="B1855">
        <v>2013</v>
      </c>
      <c r="C1855" t="s">
        <v>1</v>
      </c>
      <c r="D1855" t="s">
        <v>26</v>
      </c>
      <c r="E1855" t="s">
        <v>44</v>
      </c>
      <c r="F1855" t="s">
        <v>8</v>
      </c>
      <c r="G1855" s="7">
        <v>19</v>
      </c>
      <c r="H1855" s="2">
        <v>606480.27141564596</v>
      </c>
    </row>
    <row r="1856" spans="1:8" x14ac:dyDescent="0.25">
      <c r="A1856" t="str">
        <f t="shared" si="28"/>
        <v>201375+</v>
      </c>
      <c r="B1856">
        <v>2013</v>
      </c>
      <c r="C1856" t="s">
        <v>0</v>
      </c>
      <c r="D1856" t="s">
        <v>26</v>
      </c>
      <c r="E1856" t="s">
        <v>44</v>
      </c>
      <c r="F1856" t="s">
        <v>8</v>
      </c>
      <c r="G1856" s="7">
        <v>10</v>
      </c>
      <c r="H1856" s="2">
        <v>411257.72175729403</v>
      </c>
    </row>
    <row r="1857" spans="1:8" x14ac:dyDescent="0.25">
      <c r="A1857" t="str">
        <f t="shared" si="28"/>
        <v>20140-4</v>
      </c>
      <c r="B1857">
        <v>2014</v>
      </c>
      <c r="C1857" t="s">
        <v>6</v>
      </c>
      <c r="D1857" t="s">
        <v>26</v>
      </c>
      <c r="E1857" t="s">
        <v>44</v>
      </c>
      <c r="F1857" t="s">
        <v>8</v>
      </c>
      <c r="G1857" s="7">
        <v>10</v>
      </c>
      <c r="H1857" s="2">
        <v>1331891</v>
      </c>
    </row>
    <row r="1858" spans="1:8" x14ac:dyDescent="0.25">
      <c r="A1858" t="str">
        <f t="shared" ref="A1858:A1921" si="29">+CONCATENATE(B1858,C1858)</f>
        <v>201415-24</v>
      </c>
      <c r="B1858">
        <v>2014</v>
      </c>
      <c r="C1858" t="s">
        <v>4</v>
      </c>
      <c r="D1858" t="s">
        <v>26</v>
      </c>
      <c r="E1858" t="s">
        <v>44</v>
      </c>
      <c r="F1858" t="s">
        <v>8</v>
      </c>
      <c r="G1858" s="7">
        <v>192</v>
      </c>
      <c r="H1858" s="2">
        <v>2610538</v>
      </c>
    </row>
    <row r="1859" spans="1:8" x14ac:dyDescent="0.25">
      <c r="A1859" t="str">
        <f t="shared" si="29"/>
        <v>201425-44</v>
      </c>
      <c r="B1859">
        <v>2014</v>
      </c>
      <c r="C1859" t="s">
        <v>3</v>
      </c>
      <c r="D1859" t="s">
        <v>26</v>
      </c>
      <c r="E1859" t="s">
        <v>44</v>
      </c>
      <c r="F1859" t="s">
        <v>8</v>
      </c>
      <c r="G1859" s="7">
        <v>261</v>
      </c>
      <c r="H1859" s="2">
        <v>4511948</v>
      </c>
    </row>
    <row r="1860" spans="1:8" x14ac:dyDescent="0.25">
      <c r="A1860" t="str">
        <f t="shared" si="29"/>
        <v>201445-64</v>
      </c>
      <c r="B1860">
        <v>2014</v>
      </c>
      <c r="C1860" t="s">
        <v>2</v>
      </c>
      <c r="D1860" t="s">
        <v>26</v>
      </c>
      <c r="E1860" t="s">
        <v>44</v>
      </c>
      <c r="F1860" t="s">
        <v>8</v>
      </c>
      <c r="G1860" s="7">
        <v>93</v>
      </c>
      <c r="H1860" s="2">
        <v>2845267</v>
      </c>
    </row>
    <row r="1861" spans="1:8" x14ac:dyDescent="0.25">
      <c r="A1861" t="str">
        <f t="shared" si="29"/>
        <v>20145-14</v>
      </c>
      <c r="B1861">
        <v>2014</v>
      </c>
      <c r="C1861" t="s">
        <v>5</v>
      </c>
      <c r="D1861" t="s">
        <v>26</v>
      </c>
      <c r="E1861" t="s">
        <v>44</v>
      </c>
      <c r="F1861" t="s">
        <v>8</v>
      </c>
      <c r="G1861" s="7">
        <v>47</v>
      </c>
      <c r="H1861" s="2">
        <v>2704490</v>
      </c>
    </row>
    <row r="1862" spans="1:8" x14ac:dyDescent="0.25">
      <c r="A1862" t="str">
        <f t="shared" si="29"/>
        <v>201465-74</v>
      </c>
      <c r="B1862">
        <v>2014</v>
      </c>
      <c r="C1862" t="s">
        <v>1</v>
      </c>
      <c r="D1862" t="s">
        <v>26</v>
      </c>
      <c r="E1862" t="s">
        <v>44</v>
      </c>
      <c r="F1862" t="s">
        <v>8</v>
      </c>
      <c r="G1862" s="7">
        <v>12</v>
      </c>
      <c r="H1862" s="2">
        <v>631943</v>
      </c>
    </row>
    <row r="1863" spans="1:8" x14ac:dyDescent="0.25">
      <c r="A1863" t="str">
        <f t="shared" si="29"/>
        <v>201475+</v>
      </c>
      <c r="B1863">
        <v>2014</v>
      </c>
      <c r="C1863" t="s">
        <v>0</v>
      </c>
      <c r="D1863" t="s">
        <v>26</v>
      </c>
      <c r="E1863" t="s">
        <v>44</v>
      </c>
      <c r="F1863" t="s">
        <v>8</v>
      </c>
      <c r="G1863" s="7">
        <v>6</v>
      </c>
      <c r="H1863" s="2">
        <v>425486</v>
      </c>
    </row>
    <row r="1864" spans="1:8" x14ac:dyDescent="0.25">
      <c r="A1864" t="str">
        <f t="shared" si="29"/>
        <v>19960-4</v>
      </c>
      <c r="B1864">
        <v>1996</v>
      </c>
      <c r="C1864" t="s">
        <v>6</v>
      </c>
      <c r="D1864" t="s">
        <v>26</v>
      </c>
      <c r="E1864" t="s">
        <v>45</v>
      </c>
      <c r="F1864" t="s">
        <v>7</v>
      </c>
      <c r="G1864" s="7">
        <v>23</v>
      </c>
      <c r="H1864" s="2">
        <v>1308550.7828250399</v>
      </c>
    </row>
    <row r="1865" spans="1:8" x14ac:dyDescent="0.25">
      <c r="A1865" t="str">
        <f t="shared" si="29"/>
        <v>199615-24</v>
      </c>
      <c r="B1865">
        <v>1996</v>
      </c>
      <c r="C1865" t="s">
        <v>4</v>
      </c>
      <c r="D1865" t="s">
        <v>26</v>
      </c>
      <c r="E1865" t="s">
        <v>45</v>
      </c>
      <c r="F1865" t="s">
        <v>7</v>
      </c>
      <c r="G1865" s="7">
        <v>16</v>
      </c>
      <c r="H1865" s="2">
        <v>2136825.68729656</v>
      </c>
    </row>
    <row r="1866" spans="1:8" x14ac:dyDescent="0.25">
      <c r="A1866" t="str">
        <f t="shared" si="29"/>
        <v>199625-44</v>
      </c>
      <c r="B1866">
        <v>1996</v>
      </c>
      <c r="C1866" t="s">
        <v>3</v>
      </c>
      <c r="D1866" t="s">
        <v>26</v>
      </c>
      <c r="E1866" t="s">
        <v>45</v>
      </c>
      <c r="F1866" t="s">
        <v>7</v>
      </c>
      <c r="G1866" s="7">
        <v>54</v>
      </c>
      <c r="H1866" s="2">
        <v>3245545.2890741802</v>
      </c>
    </row>
    <row r="1867" spans="1:8" x14ac:dyDescent="0.25">
      <c r="A1867" t="str">
        <f t="shared" si="29"/>
        <v>199645-64</v>
      </c>
      <c r="B1867">
        <v>1996</v>
      </c>
      <c r="C1867" t="s">
        <v>2</v>
      </c>
      <c r="D1867" t="s">
        <v>26</v>
      </c>
      <c r="E1867" t="s">
        <v>45</v>
      </c>
      <c r="F1867" t="s">
        <v>7</v>
      </c>
      <c r="G1867" s="7">
        <v>142</v>
      </c>
      <c r="H1867" s="2">
        <v>1448877.9572723201</v>
      </c>
    </row>
    <row r="1868" spans="1:8" x14ac:dyDescent="0.25">
      <c r="A1868" t="str">
        <f t="shared" si="29"/>
        <v>19965-14</v>
      </c>
      <c r="B1868">
        <v>1996</v>
      </c>
      <c r="C1868" t="s">
        <v>5</v>
      </c>
      <c r="D1868" t="s">
        <v>26</v>
      </c>
      <c r="E1868" t="s">
        <v>45</v>
      </c>
      <c r="F1868" t="s">
        <v>7</v>
      </c>
      <c r="G1868" s="7">
        <v>11</v>
      </c>
      <c r="H1868" s="2">
        <v>2617766.7452121698</v>
      </c>
    </row>
    <row r="1869" spans="1:8" x14ac:dyDescent="0.25">
      <c r="A1869" t="str">
        <f t="shared" si="29"/>
        <v>199665-74</v>
      </c>
      <c r="B1869">
        <v>1996</v>
      </c>
      <c r="C1869" t="s">
        <v>1</v>
      </c>
      <c r="D1869" t="s">
        <v>26</v>
      </c>
      <c r="E1869" t="s">
        <v>45</v>
      </c>
      <c r="F1869" t="s">
        <v>7</v>
      </c>
      <c r="G1869" s="7">
        <v>124</v>
      </c>
      <c r="H1869" s="2">
        <v>373487.34083337098</v>
      </c>
    </row>
    <row r="1870" spans="1:8" x14ac:dyDescent="0.25">
      <c r="A1870" t="str">
        <f t="shared" si="29"/>
        <v>199675+</v>
      </c>
      <c r="B1870">
        <v>1996</v>
      </c>
      <c r="C1870" t="s">
        <v>0</v>
      </c>
      <c r="D1870" t="s">
        <v>26</v>
      </c>
      <c r="E1870" t="s">
        <v>45</v>
      </c>
      <c r="F1870" t="s">
        <v>7</v>
      </c>
      <c r="G1870" s="7">
        <v>112</v>
      </c>
      <c r="H1870" s="2">
        <v>186458.585231801</v>
      </c>
    </row>
    <row r="1871" spans="1:8" x14ac:dyDescent="0.25">
      <c r="A1871" t="str">
        <f t="shared" si="29"/>
        <v>19970-4</v>
      </c>
      <c r="B1871">
        <v>1997</v>
      </c>
      <c r="C1871" t="s">
        <v>6</v>
      </c>
      <c r="D1871" t="s">
        <v>26</v>
      </c>
      <c r="E1871" t="s">
        <v>45</v>
      </c>
      <c r="F1871" t="s">
        <v>7</v>
      </c>
      <c r="G1871" s="7">
        <v>16</v>
      </c>
      <c r="H1871" s="2">
        <v>1317732.8696950199</v>
      </c>
    </row>
    <row r="1872" spans="1:8" x14ac:dyDescent="0.25">
      <c r="A1872" t="str">
        <f t="shared" si="29"/>
        <v>199715-24</v>
      </c>
      <c r="B1872">
        <v>1997</v>
      </c>
      <c r="C1872" t="s">
        <v>4</v>
      </c>
      <c r="D1872" t="s">
        <v>26</v>
      </c>
      <c r="E1872" t="s">
        <v>45</v>
      </c>
      <c r="F1872" t="s">
        <v>7</v>
      </c>
      <c r="G1872" s="7">
        <v>13</v>
      </c>
      <c r="H1872" s="2">
        <v>2190257.4123779298</v>
      </c>
    </row>
    <row r="1873" spans="1:8" x14ac:dyDescent="0.25">
      <c r="A1873" t="str">
        <f t="shared" si="29"/>
        <v>199725-44</v>
      </c>
      <c r="B1873">
        <v>1997</v>
      </c>
      <c r="C1873" t="s">
        <v>3</v>
      </c>
      <c r="D1873" t="s">
        <v>26</v>
      </c>
      <c r="E1873" t="s">
        <v>45</v>
      </c>
      <c r="F1873" t="s">
        <v>7</v>
      </c>
      <c r="G1873" s="7">
        <v>45</v>
      </c>
      <c r="H1873" s="2">
        <v>3319788.9734445098</v>
      </c>
    </row>
    <row r="1874" spans="1:8" x14ac:dyDescent="0.25">
      <c r="A1874" t="str">
        <f t="shared" si="29"/>
        <v>199745-64</v>
      </c>
      <c r="B1874">
        <v>1997</v>
      </c>
      <c r="C1874" t="s">
        <v>2</v>
      </c>
      <c r="D1874" t="s">
        <v>26</v>
      </c>
      <c r="E1874" t="s">
        <v>45</v>
      </c>
      <c r="F1874" t="s">
        <v>7</v>
      </c>
      <c r="G1874" s="7">
        <v>142</v>
      </c>
      <c r="H1874" s="2">
        <v>1494497.7743633899</v>
      </c>
    </row>
    <row r="1875" spans="1:8" x14ac:dyDescent="0.25">
      <c r="A1875" t="str">
        <f t="shared" si="29"/>
        <v>19975-14</v>
      </c>
      <c r="B1875">
        <v>1997</v>
      </c>
      <c r="C1875" t="s">
        <v>5</v>
      </c>
      <c r="D1875" t="s">
        <v>26</v>
      </c>
      <c r="E1875" t="s">
        <v>45</v>
      </c>
      <c r="F1875" t="s">
        <v>7</v>
      </c>
      <c r="G1875" s="7">
        <v>11</v>
      </c>
      <c r="H1875" s="2">
        <v>2625110.0471272999</v>
      </c>
    </row>
    <row r="1876" spans="1:8" x14ac:dyDescent="0.25">
      <c r="A1876" t="str">
        <f t="shared" si="29"/>
        <v>199765-74</v>
      </c>
      <c r="B1876">
        <v>1997</v>
      </c>
      <c r="C1876" t="s">
        <v>1</v>
      </c>
      <c r="D1876" t="s">
        <v>26</v>
      </c>
      <c r="E1876" t="s">
        <v>45</v>
      </c>
      <c r="F1876" t="s">
        <v>7</v>
      </c>
      <c r="G1876" s="7">
        <v>105</v>
      </c>
      <c r="H1876" s="2">
        <v>377918.60450002301</v>
      </c>
    </row>
    <row r="1877" spans="1:8" x14ac:dyDescent="0.25">
      <c r="A1877" t="str">
        <f t="shared" si="29"/>
        <v>199775+</v>
      </c>
      <c r="B1877">
        <v>1997</v>
      </c>
      <c r="C1877" t="s">
        <v>0</v>
      </c>
      <c r="D1877" t="s">
        <v>26</v>
      </c>
      <c r="E1877" t="s">
        <v>45</v>
      </c>
      <c r="F1877" t="s">
        <v>7</v>
      </c>
      <c r="G1877" s="7">
        <v>104</v>
      </c>
      <c r="H1877" s="2">
        <v>197836.55113907999</v>
      </c>
    </row>
    <row r="1878" spans="1:8" x14ac:dyDescent="0.25">
      <c r="A1878" t="str">
        <f t="shared" si="29"/>
        <v>19980-4</v>
      </c>
      <c r="B1878">
        <v>1998</v>
      </c>
      <c r="C1878" t="s">
        <v>6</v>
      </c>
      <c r="D1878" t="s">
        <v>26</v>
      </c>
      <c r="E1878" t="s">
        <v>45</v>
      </c>
      <c r="F1878" t="s">
        <v>7</v>
      </c>
      <c r="G1878" s="7">
        <v>13</v>
      </c>
      <c r="H1878" s="2">
        <v>1325697.93484751</v>
      </c>
    </row>
    <row r="1879" spans="1:8" x14ac:dyDescent="0.25">
      <c r="A1879" t="str">
        <f t="shared" si="29"/>
        <v>199815-24</v>
      </c>
      <c r="B1879">
        <v>1998</v>
      </c>
      <c r="C1879" t="s">
        <v>4</v>
      </c>
      <c r="D1879" t="s">
        <v>26</v>
      </c>
      <c r="E1879" t="s">
        <v>45</v>
      </c>
      <c r="F1879" t="s">
        <v>7</v>
      </c>
      <c r="G1879" s="7">
        <v>10</v>
      </c>
      <c r="H1879" s="2">
        <v>2242694.2061889698</v>
      </c>
    </row>
    <row r="1880" spans="1:8" x14ac:dyDescent="0.25">
      <c r="A1880" t="str">
        <f t="shared" si="29"/>
        <v>199825-44</v>
      </c>
      <c r="B1880">
        <v>1998</v>
      </c>
      <c r="C1880" t="s">
        <v>3</v>
      </c>
      <c r="D1880" t="s">
        <v>26</v>
      </c>
      <c r="E1880" t="s">
        <v>45</v>
      </c>
      <c r="F1880" t="s">
        <v>7</v>
      </c>
      <c r="G1880" s="7">
        <v>57</v>
      </c>
      <c r="H1880" s="2">
        <v>3392799.98672225</v>
      </c>
    </row>
    <row r="1881" spans="1:8" x14ac:dyDescent="0.25">
      <c r="A1881" t="str">
        <f t="shared" si="29"/>
        <v>199845-64</v>
      </c>
      <c r="B1881">
        <v>1998</v>
      </c>
      <c r="C1881" t="s">
        <v>2</v>
      </c>
      <c r="D1881" t="s">
        <v>26</v>
      </c>
      <c r="E1881" t="s">
        <v>45</v>
      </c>
      <c r="F1881" t="s">
        <v>7</v>
      </c>
      <c r="G1881" s="7">
        <v>140</v>
      </c>
      <c r="H1881" s="2">
        <v>1544756.3871817</v>
      </c>
    </row>
    <row r="1882" spans="1:8" x14ac:dyDescent="0.25">
      <c r="A1882" t="str">
        <f t="shared" si="29"/>
        <v>19985-14</v>
      </c>
      <c r="B1882">
        <v>1998</v>
      </c>
      <c r="C1882" t="s">
        <v>5</v>
      </c>
      <c r="D1882" t="s">
        <v>26</v>
      </c>
      <c r="E1882" t="s">
        <v>45</v>
      </c>
      <c r="F1882" t="s">
        <v>7</v>
      </c>
      <c r="G1882" s="7">
        <v>9</v>
      </c>
      <c r="H1882" s="2">
        <v>2628255.52356365</v>
      </c>
    </row>
    <row r="1883" spans="1:8" x14ac:dyDescent="0.25">
      <c r="A1883" t="str">
        <f t="shared" si="29"/>
        <v>199865-74</v>
      </c>
      <c r="B1883">
        <v>1998</v>
      </c>
      <c r="C1883" t="s">
        <v>1</v>
      </c>
      <c r="D1883" t="s">
        <v>26</v>
      </c>
      <c r="E1883" t="s">
        <v>45</v>
      </c>
      <c r="F1883" t="s">
        <v>7</v>
      </c>
      <c r="G1883" s="7">
        <v>96</v>
      </c>
      <c r="H1883" s="2">
        <v>383636.80225001101</v>
      </c>
    </row>
    <row r="1884" spans="1:8" x14ac:dyDescent="0.25">
      <c r="A1884" t="str">
        <f t="shared" si="29"/>
        <v>199875+</v>
      </c>
      <c r="B1884">
        <v>1998</v>
      </c>
      <c r="C1884" t="s">
        <v>0</v>
      </c>
      <c r="D1884" t="s">
        <v>26</v>
      </c>
      <c r="E1884" t="s">
        <v>45</v>
      </c>
      <c r="F1884" t="s">
        <v>7</v>
      </c>
      <c r="G1884" s="7">
        <v>102</v>
      </c>
      <c r="H1884" s="2">
        <v>210840.77556954001</v>
      </c>
    </row>
    <row r="1885" spans="1:8" x14ac:dyDescent="0.25">
      <c r="A1885" t="str">
        <f t="shared" si="29"/>
        <v>19990-4</v>
      </c>
      <c r="B1885">
        <v>1999</v>
      </c>
      <c r="C1885" t="s">
        <v>6</v>
      </c>
      <c r="D1885" t="s">
        <v>26</v>
      </c>
      <c r="E1885" t="s">
        <v>45</v>
      </c>
      <c r="F1885" t="s">
        <v>7</v>
      </c>
      <c r="G1885" s="7">
        <v>10</v>
      </c>
      <c r="H1885" s="2">
        <v>1332528.9782825001</v>
      </c>
    </row>
    <row r="1886" spans="1:8" x14ac:dyDescent="0.25">
      <c r="A1886" t="str">
        <f t="shared" si="29"/>
        <v>199915-24</v>
      </c>
      <c r="B1886">
        <v>1999</v>
      </c>
      <c r="C1886" t="s">
        <v>4</v>
      </c>
      <c r="D1886" t="s">
        <v>26</v>
      </c>
      <c r="E1886" t="s">
        <v>45</v>
      </c>
      <c r="F1886" t="s">
        <v>7</v>
      </c>
      <c r="G1886" s="7">
        <v>18</v>
      </c>
      <c r="H1886" s="2">
        <v>2293434.06872966</v>
      </c>
    </row>
    <row r="1887" spans="1:8" x14ac:dyDescent="0.25">
      <c r="A1887" t="str">
        <f t="shared" si="29"/>
        <v>199925-44</v>
      </c>
      <c r="B1887">
        <v>1999</v>
      </c>
      <c r="C1887" t="s">
        <v>3</v>
      </c>
      <c r="D1887" t="s">
        <v>26</v>
      </c>
      <c r="E1887" t="s">
        <v>45</v>
      </c>
      <c r="F1887" t="s">
        <v>7</v>
      </c>
      <c r="G1887" s="7">
        <v>65</v>
      </c>
      <c r="H1887" s="2">
        <v>3464730.3289074199</v>
      </c>
    </row>
    <row r="1888" spans="1:8" x14ac:dyDescent="0.25">
      <c r="A1888" t="str">
        <f t="shared" si="29"/>
        <v>199945-64</v>
      </c>
      <c r="B1888">
        <v>1999</v>
      </c>
      <c r="C1888" t="s">
        <v>2</v>
      </c>
      <c r="D1888" t="s">
        <v>26</v>
      </c>
      <c r="E1888" t="s">
        <v>45</v>
      </c>
      <c r="F1888" t="s">
        <v>7</v>
      </c>
      <c r="G1888" s="7">
        <v>156</v>
      </c>
      <c r="H1888" s="2">
        <v>1599513.7957272299</v>
      </c>
    </row>
    <row r="1889" spans="1:8" x14ac:dyDescent="0.25">
      <c r="A1889" t="str">
        <f t="shared" si="29"/>
        <v>19995-14</v>
      </c>
      <c r="B1889">
        <v>1999</v>
      </c>
      <c r="C1889" t="s">
        <v>5</v>
      </c>
      <c r="D1889" t="s">
        <v>26</v>
      </c>
      <c r="E1889" t="s">
        <v>45</v>
      </c>
      <c r="F1889" t="s">
        <v>7</v>
      </c>
      <c r="G1889" s="7">
        <v>3</v>
      </c>
      <c r="H1889" s="2">
        <v>2628380.1745212199</v>
      </c>
    </row>
    <row r="1890" spans="1:8" x14ac:dyDescent="0.25">
      <c r="A1890" t="str">
        <f t="shared" si="29"/>
        <v>199965-74</v>
      </c>
      <c r="B1890">
        <v>1999</v>
      </c>
      <c r="C1890" t="s">
        <v>1</v>
      </c>
      <c r="D1890" t="s">
        <v>26</v>
      </c>
      <c r="E1890" t="s">
        <v>45</v>
      </c>
      <c r="F1890" t="s">
        <v>7</v>
      </c>
      <c r="G1890" s="7">
        <v>107</v>
      </c>
      <c r="H1890" s="2">
        <v>390568.93408333702</v>
      </c>
    </row>
    <row r="1891" spans="1:8" x14ac:dyDescent="0.25">
      <c r="A1891" t="str">
        <f t="shared" si="29"/>
        <v>199975+</v>
      </c>
      <c r="B1891">
        <v>1999</v>
      </c>
      <c r="C1891" t="s">
        <v>0</v>
      </c>
      <c r="D1891" t="s">
        <v>26</v>
      </c>
      <c r="E1891" t="s">
        <v>45</v>
      </c>
      <c r="F1891" t="s">
        <v>7</v>
      </c>
      <c r="G1891" s="7">
        <v>107</v>
      </c>
      <c r="H1891" s="2">
        <v>225043.25852318</v>
      </c>
    </row>
    <row r="1892" spans="1:8" x14ac:dyDescent="0.25">
      <c r="A1892" t="str">
        <f t="shared" si="29"/>
        <v>20000-4</v>
      </c>
      <c r="B1892">
        <v>2000</v>
      </c>
      <c r="C1892" t="s">
        <v>6</v>
      </c>
      <c r="D1892" t="s">
        <v>26</v>
      </c>
      <c r="E1892" t="s">
        <v>45</v>
      </c>
      <c r="F1892" t="s">
        <v>7</v>
      </c>
      <c r="G1892" s="7">
        <v>18</v>
      </c>
      <c r="H1892" s="2">
        <v>1338309</v>
      </c>
    </row>
    <row r="1893" spans="1:8" x14ac:dyDescent="0.25">
      <c r="A1893" t="str">
        <f t="shared" si="29"/>
        <v>200015-24</v>
      </c>
      <c r="B1893">
        <v>2000</v>
      </c>
      <c r="C1893" t="s">
        <v>4</v>
      </c>
      <c r="D1893" t="s">
        <v>26</v>
      </c>
      <c r="E1893" t="s">
        <v>45</v>
      </c>
      <c r="F1893" t="s">
        <v>7</v>
      </c>
      <c r="G1893" s="7">
        <v>10</v>
      </c>
      <c r="H1893" s="2">
        <v>2341775</v>
      </c>
    </row>
    <row r="1894" spans="1:8" x14ac:dyDescent="0.25">
      <c r="A1894" t="str">
        <f t="shared" si="29"/>
        <v>200025-44</v>
      </c>
      <c r="B1894">
        <v>2000</v>
      </c>
      <c r="C1894" t="s">
        <v>3</v>
      </c>
      <c r="D1894" t="s">
        <v>26</v>
      </c>
      <c r="E1894" t="s">
        <v>45</v>
      </c>
      <c r="F1894" t="s">
        <v>7</v>
      </c>
      <c r="G1894" s="7">
        <v>45</v>
      </c>
      <c r="H1894" s="2">
        <v>3535732</v>
      </c>
    </row>
    <row r="1895" spans="1:8" x14ac:dyDescent="0.25">
      <c r="A1895" t="str">
        <f t="shared" si="29"/>
        <v>200045-64</v>
      </c>
      <c r="B1895">
        <v>2000</v>
      </c>
      <c r="C1895" t="s">
        <v>2</v>
      </c>
      <c r="D1895" t="s">
        <v>26</v>
      </c>
      <c r="E1895" t="s">
        <v>45</v>
      </c>
      <c r="F1895" t="s">
        <v>7</v>
      </c>
      <c r="G1895" s="7">
        <v>169</v>
      </c>
      <c r="H1895" s="2">
        <v>1658630</v>
      </c>
    </row>
    <row r="1896" spans="1:8" x14ac:dyDescent="0.25">
      <c r="A1896" t="str">
        <f t="shared" si="29"/>
        <v>20005-14</v>
      </c>
      <c r="B1896">
        <v>2000</v>
      </c>
      <c r="C1896" t="s">
        <v>5</v>
      </c>
      <c r="D1896" t="s">
        <v>26</v>
      </c>
      <c r="E1896" t="s">
        <v>45</v>
      </c>
      <c r="F1896" t="s">
        <v>7</v>
      </c>
      <c r="G1896" s="7">
        <v>6</v>
      </c>
      <c r="H1896" s="2">
        <v>2626661</v>
      </c>
    </row>
    <row r="1897" spans="1:8" x14ac:dyDescent="0.25">
      <c r="A1897" t="str">
        <f t="shared" si="29"/>
        <v>200065-74</v>
      </c>
      <c r="B1897">
        <v>2000</v>
      </c>
      <c r="C1897" t="s">
        <v>1</v>
      </c>
      <c r="D1897" t="s">
        <v>26</v>
      </c>
      <c r="E1897" t="s">
        <v>45</v>
      </c>
      <c r="F1897" t="s">
        <v>7</v>
      </c>
      <c r="G1897" s="7">
        <v>103</v>
      </c>
      <c r="H1897" s="2">
        <v>398642</v>
      </c>
    </row>
    <row r="1898" spans="1:8" x14ac:dyDescent="0.25">
      <c r="A1898" t="str">
        <f t="shared" si="29"/>
        <v>200075+</v>
      </c>
      <c r="B1898">
        <v>2000</v>
      </c>
      <c r="C1898" t="s">
        <v>0</v>
      </c>
      <c r="D1898" t="s">
        <v>26</v>
      </c>
      <c r="E1898" t="s">
        <v>45</v>
      </c>
      <c r="F1898" t="s">
        <v>7</v>
      </c>
      <c r="G1898" s="7">
        <v>109</v>
      </c>
      <c r="H1898" s="2">
        <v>240016</v>
      </c>
    </row>
    <row r="1899" spans="1:8" x14ac:dyDescent="0.25">
      <c r="A1899" t="str">
        <f t="shared" si="29"/>
        <v>20010-4</v>
      </c>
      <c r="B1899">
        <v>2001</v>
      </c>
      <c r="C1899" t="s">
        <v>6</v>
      </c>
      <c r="D1899" t="s">
        <v>26</v>
      </c>
      <c r="E1899" t="s">
        <v>45</v>
      </c>
      <c r="F1899" t="s">
        <v>7</v>
      </c>
      <c r="G1899" s="7">
        <v>18</v>
      </c>
      <c r="H1899" s="2">
        <v>1343121</v>
      </c>
    </row>
    <row r="1900" spans="1:8" x14ac:dyDescent="0.25">
      <c r="A1900" t="str">
        <f t="shared" si="29"/>
        <v>200115-24</v>
      </c>
      <c r="B1900">
        <v>2001</v>
      </c>
      <c r="C1900" t="s">
        <v>4</v>
      </c>
      <c r="D1900" t="s">
        <v>26</v>
      </c>
      <c r="E1900" t="s">
        <v>45</v>
      </c>
      <c r="F1900" t="s">
        <v>7</v>
      </c>
      <c r="G1900" s="7">
        <v>12</v>
      </c>
      <c r="H1900" s="2">
        <v>2387015</v>
      </c>
    </row>
    <row r="1901" spans="1:8" x14ac:dyDescent="0.25">
      <c r="A1901" t="str">
        <f t="shared" si="29"/>
        <v>200125-44</v>
      </c>
      <c r="B1901">
        <v>2001</v>
      </c>
      <c r="C1901" t="s">
        <v>3</v>
      </c>
      <c r="D1901" t="s">
        <v>26</v>
      </c>
      <c r="E1901" t="s">
        <v>45</v>
      </c>
      <c r="F1901" t="s">
        <v>7</v>
      </c>
      <c r="G1901" s="7">
        <v>54</v>
      </c>
      <c r="H1901" s="2">
        <v>3605957</v>
      </c>
    </row>
    <row r="1902" spans="1:8" x14ac:dyDescent="0.25">
      <c r="A1902" t="str">
        <f t="shared" si="29"/>
        <v>200145-64</v>
      </c>
      <c r="B1902">
        <v>2001</v>
      </c>
      <c r="C1902" t="s">
        <v>2</v>
      </c>
      <c r="D1902" t="s">
        <v>26</v>
      </c>
      <c r="E1902" t="s">
        <v>45</v>
      </c>
      <c r="F1902" t="s">
        <v>7</v>
      </c>
      <c r="G1902" s="7">
        <v>175</v>
      </c>
      <c r="H1902" s="2">
        <v>1721965</v>
      </c>
    </row>
    <row r="1903" spans="1:8" x14ac:dyDescent="0.25">
      <c r="A1903" t="str">
        <f t="shared" si="29"/>
        <v>20015-14</v>
      </c>
      <c r="B1903">
        <v>2001</v>
      </c>
      <c r="C1903" t="s">
        <v>5</v>
      </c>
      <c r="D1903" t="s">
        <v>26</v>
      </c>
      <c r="E1903" t="s">
        <v>45</v>
      </c>
      <c r="F1903" t="s">
        <v>7</v>
      </c>
      <c r="G1903" s="7">
        <v>12</v>
      </c>
      <c r="H1903" s="2">
        <v>2624275</v>
      </c>
    </row>
    <row r="1904" spans="1:8" x14ac:dyDescent="0.25">
      <c r="A1904" t="str">
        <f t="shared" si="29"/>
        <v>200165-74</v>
      </c>
      <c r="B1904">
        <v>2001</v>
      </c>
      <c r="C1904" t="s">
        <v>1</v>
      </c>
      <c r="D1904" t="s">
        <v>26</v>
      </c>
      <c r="E1904" t="s">
        <v>45</v>
      </c>
      <c r="F1904" t="s">
        <v>7</v>
      </c>
      <c r="G1904" s="7">
        <v>119</v>
      </c>
      <c r="H1904" s="2">
        <v>407783</v>
      </c>
    </row>
    <row r="1905" spans="1:8" x14ac:dyDescent="0.25">
      <c r="A1905" t="str">
        <f t="shared" si="29"/>
        <v>200175+</v>
      </c>
      <c r="B1905">
        <v>2001</v>
      </c>
      <c r="C1905" t="s">
        <v>0</v>
      </c>
      <c r="D1905" t="s">
        <v>26</v>
      </c>
      <c r="E1905" t="s">
        <v>45</v>
      </c>
      <c r="F1905" t="s">
        <v>7</v>
      </c>
      <c r="G1905" s="7">
        <v>89</v>
      </c>
      <c r="H1905" s="2">
        <v>255331</v>
      </c>
    </row>
    <row r="1906" spans="1:8" x14ac:dyDescent="0.25">
      <c r="A1906" t="str">
        <f t="shared" si="29"/>
        <v>20020-4</v>
      </c>
      <c r="B1906">
        <v>2002</v>
      </c>
      <c r="C1906" t="s">
        <v>6</v>
      </c>
      <c r="D1906" t="s">
        <v>26</v>
      </c>
      <c r="E1906" t="s">
        <v>45</v>
      </c>
      <c r="F1906" t="s">
        <v>7</v>
      </c>
      <c r="G1906" s="7">
        <v>11</v>
      </c>
      <c r="H1906" s="2">
        <v>1347045</v>
      </c>
    </row>
    <row r="1907" spans="1:8" x14ac:dyDescent="0.25">
      <c r="A1907" t="str">
        <f t="shared" si="29"/>
        <v>200215-24</v>
      </c>
      <c r="B1907">
        <v>2002</v>
      </c>
      <c r="C1907" t="s">
        <v>4</v>
      </c>
      <c r="D1907" t="s">
        <v>26</v>
      </c>
      <c r="E1907" t="s">
        <v>45</v>
      </c>
      <c r="F1907" t="s">
        <v>7</v>
      </c>
      <c r="G1907" s="7">
        <v>12</v>
      </c>
      <c r="H1907" s="2">
        <v>2428415</v>
      </c>
    </row>
    <row r="1908" spans="1:8" x14ac:dyDescent="0.25">
      <c r="A1908" t="str">
        <f t="shared" si="29"/>
        <v>200225-44</v>
      </c>
      <c r="B1908">
        <v>2002</v>
      </c>
      <c r="C1908" t="s">
        <v>3</v>
      </c>
      <c r="D1908" t="s">
        <v>26</v>
      </c>
      <c r="E1908" t="s">
        <v>45</v>
      </c>
      <c r="F1908" t="s">
        <v>7</v>
      </c>
      <c r="G1908" s="7">
        <v>49</v>
      </c>
      <c r="H1908" s="2">
        <v>3675559</v>
      </c>
    </row>
    <row r="1909" spans="1:8" x14ac:dyDescent="0.25">
      <c r="A1909" t="str">
        <f t="shared" si="29"/>
        <v>200245-64</v>
      </c>
      <c r="B1909">
        <v>2002</v>
      </c>
      <c r="C1909" t="s">
        <v>2</v>
      </c>
      <c r="D1909" t="s">
        <v>26</v>
      </c>
      <c r="E1909" t="s">
        <v>45</v>
      </c>
      <c r="F1909" t="s">
        <v>7</v>
      </c>
      <c r="G1909" s="7">
        <v>198</v>
      </c>
      <c r="H1909" s="2">
        <v>1789361</v>
      </c>
    </row>
    <row r="1910" spans="1:8" x14ac:dyDescent="0.25">
      <c r="A1910" t="str">
        <f t="shared" si="29"/>
        <v>20025-14</v>
      </c>
      <c r="B1910">
        <v>2002</v>
      </c>
      <c r="C1910" t="s">
        <v>5</v>
      </c>
      <c r="D1910" t="s">
        <v>26</v>
      </c>
      <c r="E1910" t="s">
        <v>45</v>
      </c>
      <c r="F1910" t="s">
        <v>7</v>
      </c>
      <c r="G1910" s="7">
        <v>4</v>
      </c>
      <c r="H1910" s="2">
        <v>2622422</v>
      </c>
    </row>
    <row r="1911" spans="1:8" x14ac:dyDescent="0.25">
      <c r="A1911" t="str">
        <f t="shared" si="29"/>
        <v>200265-74</v>
      </c>
      <c r="B1911">
        <v>2002</v>
      </c>
      <c r="C1911" t="s">
        <v>1</v>
      </c>
      <c r="D1911" t="s">
        <v>26</v>
      </c>
      <c r="E1911" t="s">
        <v>45</v>
      </c>
      <c r="F1911" t="s">
        <v>7</v>
      </c>
      <c r="G1911" s="7">
        <v>135</v>
      </c>
      <c r="H1911" s="2">
        <v>417907</v>
      </c>
    </row>
    <row r="1912" spans="1:8" x14ac:dyDescent="0.25">
      <c r="A1912" t="str">
        <f t="shared" si="29"/>
        <v>200275+</v>
      </c>
      <c r="B1912">
        <v>2002</v>
      </c>
      <c r="C1912" t="s">
        <v>0</v>
      </c>
      <c r="D1912" t="s">
        <v>26</v>
      </c>
      <c r="E1912" t="s">
        <v>45</v>
      </c>
      <c r="F1912" t="s">
        <v>7</v>
      </c>
      <c r="G1912" s="7">
        <v>111</v>
      </c>
      <c r="H1912" s="2">
        <v>270538</v>
      </c>
    </row>
    <row r="1913" spans="1:8" x14ac:dyDescent="0.25">
      <c r="A1913" t="str">
        <f t="shared" si="29"/>
        <v>20030-4</v>
      </c>
      <c r="B1913">
        <v>2003</v>
      </c>
      <c r="C1913" t="s">
        <v>6</v>
      </c>
      <c r="D1913" t="s">
        <v>26</v>
      </c>
      <c r="E1913" t="s">
        <v>45</v>
      </c>
      <c r="F1913" t="s">
        <v>7</v>
      </c>
      <c r="G1913" s="7">
        <v>14</v>
      </c>
      <c r="H1913" s="2">
        <v>1350164</v>
      </c>
    </row>
    <row r="1914" spans="1:8" x14ac:dyDescent="0.25">
      <c r="A1914" t="str">
        <f t="shared" si="29"/>
        <v>200315-24</v>
      </c>
      <c r="B1914">
        <v>2003</v>
      </c>
      <c r="C1914" t="s">
        <v>4</v>
      </c>
      <c r="D1914" t="s">
        <v>26</v>
      </c>
      <c r="E1914" t="s">
        <v>45</v>
      </c>
      <c r="F1914" t="s">
        <v>7</v>
      </c>
      <c r="G1914" s="7">
        <v>16</v>
      </c>
      <c r="H1914" s="2">
        <v>2465273</v>
      </c>
    </row>
    <row r="1915" spans="1:8" x14ac:dyDescent="0.25">
      <c r="A1915" t="str">
        <f t="shared" si="29"/>
        <v>200325-44</v>
      </c>
      <c r="B1915">
        <v>2003</v>
      </c>
      <c r="C1915" t="s">
        <v>3</v>
      </c>
      <c r="D1915" t="s">
        <v>26</v>
      </c>
      <c r="E1915" t="s">
        <v>45</v>
      </c>
      <c r="F1915" t="s">
        <v>7</v>
      </c>
      <c r="G1915" s="7">
        <v>48</v>
      </c>
      <c r="H1915" s="2">
        <v>3744690</v>
      </c>
    </row>
    <row r="1916" spans="1:8" x14ac:dyDescent="0.25">
      <c r="A1916" t="str">
        <f t="shared" si="29"/>
        <v>200345-64</v>
      </c>
      <c r="B1916">
        <v>2003</v>
      </c>
      <c r="C1916" t="s">
        <v>2</v>
      </c>
      <c r="D1916" t="s">
        <v>26</v>
      </c>
      <c r="E1916" t="s">
        <v>45</v>
      </c>
      <c r="F1916" t="s">
        <v>7</v>
      </c>
      <c r="G1916" s="7">
        <v>190</v>
      </c>
      <c r="H1916" s="2">
        <v>1860678</v>
      </c>
    </row>
    <row r="1917" spans="1:8" x14ac:dyDescent="0.25">
      <c r="A1917" t="str">
        <f t="shared" si="29"/>
        <v>20035-14</v>
      </c>
      <c r="B1917">
        <v>2003</v>
      </c>
      <c r="C1917" t="s">
        <v>5</v>
      </c>
      <c r="D1917" t="s">
        <v>26</v>
      </c>
      <c r="E1917" t="s">
        <v>45</v>
      </c>
      <c r="F1917" t="s">
        <v>7</v>
      </c>
      <c r="G1917" s="7">
        <v>12</v>
      </c>
      <c r="H1917" s="2">
        <v>2622279</v>
      </c>
    </row>
    <row r="1918" spans="1:8" x14ac:dyDescent="0.25">
      <c r="A1918" t="str">
        <f t="shared" si="29"/>
        <v>200365-74</v>
      </c>
      <c r="B1918">
        <v>2003</v>
      </c>
      <c r="C1918" t="s">
        <v>1</v>
      </c>
      <c r="D1918" t="s">
        <v>26</v>
      </c>
      <c r="E1918" t="s">
        <v>45</v>
      </c>
      <c r="F1918" t="s">
        <v>7</v>
      </c>
      <c r="G1918" s="7">
        <v>135</v>
      </c>
      <c r="H1918" s="2">
        <v>428941</v>
      </c>
    </row>
    <row r="1919" spans="1:8" x14ac:dyDescent="0.25">
      <c r="A1919" t="str">
        <f t="shared" si="29"/>
        <v>200375+</v>
      </c>
      <c r="B1919">
        <v>2003</v>
      </c>
      <c r="C1919" t="s">
        <v>0</v>
      </c>
      <c r="D1919" t="s">
        <v>26</v>
      </c>
      <c r="E1919" t="s">
        <v>45</v>
      </c>
      <c r="F1919" t="s">
        <v>7</v>
      </c>
      <c r="G1919" s="7">
        <v>135</v>
      </c>
      <c r="H1919" s="2">
        <v>285209</v>
      </c>
    </row>
    <row r="1920" spans="1:8" x14ac:dyDescent="0.25">
      <c r="A1920" t="str">
        <f t="shared" si="29"/>
        <v>20040-4</v>
      </c>
      <c r="B1920">
        <v>2004</v>
      </c>
      <c r="C1920" t="s">
        <v>6</v>
      </c>
      <c r="D1920" t="s">
        <v>26</v>
      </c>
      <c r="E1920" t="s">
        <v>45</v>
      </c>
      <c r="F1920" t="s">
        <v>7</v>
      </c>
      <c r="G1920" s="7">
        <v>6</v>
      </c>
      <c r="H1920" s="2">
        <v>1352508</v>
      </c>
    </row>
    <row r="1921" spans="1:8" x14ac:dyDescent="0.25">
      <c r="A1921" t="str">
        <f t="shared" si="29"/>
        <v>200415-24</v>
      </c>
      <c r="B1921">
        <v>2004</v>
      </c>
      <c r="C1921" t="s">
        <v>4</v>
      </c>
      <c r="D1921" t="s">
        <v>26</v>
      </c>
      <c r="E1921" t="s">
        <v>45</v>
      </c>
      <c r="F1921" t="s">
        <v>7</v>
      </c>
      <c r="G1921" s="7">
        <v>10</v>
      </c>
      <c r="H1921" s="2">
        <v>2497409</v>
      </c>
    </row>
    <row r="1922" spans="1:8" x14ac:dyDescent="0.25">
      <c r="A1922" t="str">
        <f t="shared" ref="A1922:A1985" si="30">+CONCATENATE(B1922,C1922)</f>
        <v>200425-44</v>
      </c>
      <c r="B1922">
        <v>2004</v>
      </c>
      <c r="C1922" t="s">
        <v>3</v>
      </c>
      <c r="D1922" t="s">
        <v>26</v>
      </c>
      <c r="E1922" t="s">
        <v>45</v>
      </c>
      <c r="F1922" t="s">
        <v>7</v>
      </c>
      <c r="G1922" s="7">
        <v>49</v>
      </c>
      <c r="H1922" s="2">
        <v>3813358</v>
      </c>
    </row>
    <row r="1923" spans="1:8" x14ac:dyDescent="0.25">
      <c r="A1923" t="str">
        <f t="shared" si="30"/>
        <v>200445-64</v>
      </c>
      <c r="B1923">
        <v>2004</v>
      </c>
      <c r="C1923" t="s">
        <v>2</v>
      </c>
      <c r="D1923" t="s">
        <v>26</v>
      </c>
      <c r="E1923" t="s">
        <v>45</v>
      </c>
      <c r="F1923" t="s">
        <v>7</v>
      </c>
      <c r="G1923" s="7">
        <v>205</v>
      </c>
      <c r="H1923" s="2">
        <v>1936129</v>
      </c>
    </row>
    <row r="1924" spans="1:8" x14ac:dyDescent="0.25">
      <c r="A1924" t="str">
        <f t="shared" si="30"/>
        <v>20045-14</v>
      </c>
      <c r="B1924">
        <v>2004</v>
      </c>
      <c r="C1924" t="s">
        <v>5</v>
      </c>
      <c r="D1924" t="s">
        <v>26</v>
      </c>
      <c r="E1924" t="s">
        <v>45</v>
      </c>
      <c r="F1924" t="s">
        <v>7</v>
      </c>
      <c r="G1924" s="7">
        <v>8</v>
      </c>
      <c r="H1924" s="2">
        <v>2624530</v>
      </c>
    </row>
    <row r="1925" spans="1:8" x14ac:dyDescent="0.25">
      <c r="A1925" t="str">
        <f t="shared" si="30"/>
        <v>200465-74</v>
      </c>
      <c r="B1925">
        <v>2004</v>
      </c>
      <c r="C1925" t="s">
        <v>1</v>
      </c>
      <c r="D1925" t="s">
        <v>26</v>
      </c>
      <c r="E1925" t="s">
        <v>45</v>
      </c>
      <c r="F1925" t="s">
        <v>7</v>
      </c>
      <c r="G1925" s="7">
        <v>122</v>
      </c>
      <c r="H1925" s="2">
        <v>441018</v>
      </c>
    </row>
    <row r="1926" spans="1:8" x14ac:dyDescent="0.25">
      <c r="A1926" t="str">
        <f t="shared" si="30"/>
        <v>200475+</v>
      </c>
      <c r="B1926">
        <v>2004</v>
      </c>
      <c r="C1926" t="s">
        <v>0</v>
      </c>
      <c r="D1926" t="s">
        <v>26</v>
      </c>
      <c r="E1926" t="s">
        <v>45</v>
      </c>
      <c r="F1926" t="s">
        <v>7</v>
      </c>
      <c r="G1926" s="7">
        <v>132</v>
      </c>
      <c r="H1926" s="2">
        <v>299301</v>
      </c>
    </row>
    <row r="1927" spans="1:8" x14ac:dyDescent="0.25">
      <c r="A1927" t="str">
        <f t="shared" si="30"/>
        <v>20050-4</v>
      </c>
      <c r="B1927">
        <v>2005</v>
      </c>
      <c r="C1927" t="s">
        <v>6</v>
      </c>
      <c r="D1927" t="s">
        <v>26</v>
      </c>
      <c r="E1927" t="s">
        <v>45</v>
      </c>
      <c r="F1927" t="s">
        <v>7</v>
      </c>
      <c r="G1927" s="7">
        <v>7</v>
      </c>
      <c r="H1927" s="2">
        <v>1353852</v>
      </c>
    </row>
    <row r="1928" spans="1:8" x14ac:dyDescent="0.25">
      <c r="A1928" t="str">
        <f t="shared" si="30"/>
        <v>200515-24</v>
      </c>
      <c r="B1928">
        <v>2005</v>
      </c>
      <c r="C1928" t="s">
        <v>4</v>
      </c>
      <c r="D1928" t="s">
        <v>26</v>
      </c>
      <c r="E1928" t="s">
        <v>45</v>
      </c>
      <c r="F1928" t="s">
        <v>7</v>
      </c>
      <c r="G1928" s="7">
        <v>12</v>
      </c>
      <c r="H1928" s="2">
        <v>2524017</v>
      </c>
    </row>
    <row r="1929" spans="1:8" x14ac:dyDescent="0.25">
      <c r="A1929" t="str">
        <f t="shared" si="30"/>
        <v>200525-44</v>
      </c>
      <c r="B1929">
        <v>2005</v>
      </c>
      <c r="C1929" t="s">
        <v>3</v>
      </c>
      <c r="D1929" t="s">
        <v>26</v>
      </c>
      <c r="E1929" t="s">
        <v>45</v>
      </c>
      <c r="F1929" t="s">
        <v>7</v>
      </c>
      <c r="G1929" s="7">
        <v>45</v>
      </c>
      <c r="H1929" s="2">
        <v>3881062</v>
      </c>
    </row>
    <row r="1930" spans="1:8" x14ac:dyDescent="0.25">
      <c r="A1930" t="str">
        <f t="shared" si="30"/>
        <v>200545-64</v>
      </c>
      <c r="B1930">
        <v>2005</v>
      </c>
      <c r="C1930" t="s">
        <v>2</v>
      </c>
      <c r="D1930" t="s">
        <v>26</v>
      </c>
      <c r="E1930" t="s">
        <v>45</v>
      </c>
      <c r="F1930" t="s">
        <v>7</v>
      </c>
      <c r="G1930" s="7">
        <v>211</v>
      </c>
      <c r="H1930" s="2">
        <v>2016148</v>
      </c>
    </row>
    <row r="1931" spans="1:8" x14ac:dyDescent="0.25">
      <c r="A1931" t="str">
        <f t="shared" si="30"/>
        <v>20055-14</v>
      </c>
      <c r="B1931">
        <v>2005</v>
      </c>
      <c r="C1931" t="s">
        <v>5</v>
      </c>
      <c r="D1931" t="s">
        <v>26</v>
      </c>
      <c r="E1931" t="s">
        <v>45</v>
      </c>
      <c r="F1931" t="s">
        <v>7</v>
      </c>
      <c r="G1931" s="7">
        <v>8</v>
      </c>
      <c r="H1931" s="2">
        <v>2629864</v>
      </c>
    </row>
    <row r="1932" spans="1:8" x14ac:dyDescent="0.25">
      <c r="A1932" t="str">
        <f t="shared" si="30"/>
        <v>200565-74</v>
      </c>
      <c r="B1932">
        <v>2005</v>
      </c>
      <c r="C1932" t="s">
        <v>1</v>
      </c>
      <c r="D1932" t="s">
        <v>26</v>
      </c>
      <c r="E1932" t="s">
        <v>45</v>
      </c>
      <c r="F1932" t="s">
        <v>7</v>
      </c>
      <c r="G1932" s="7">
        <v>139</v>
      </c>
      <c r="H1932" s="2">
        <v>454245</v>
      </c>
    </row>
    <row r="1933" spans="1:8" x14ac:dyDescent="0.25">
      <c r="A1933" t="str">
        <f t="shared" si="30"/>
        <v>200575+</v>
      </c>
      <c r="B1933">
        <v>2005</v>
      </c>
      <c r="C1933" t="s">
        <v>0</v>
      </c>
      <c r="D1933" t="s">
        <v>26</v>
      </c>
      <c r="E1933" t="s">
        <v>45</v>
      </c>
      <c r="F1933" t="s">
        <v>7</v>
      </c>
      <c r="G1933" s="7">
        <v>143</v>
      </c>
      <c r="H1933" s="2">
        <v>312767</v>
      </c>
    </row>
    <row r="1934" spans="1:8" x14ac:dyDescent="0.25">
      <c r="A1934" t="str">
        <f t="shared" si="30"/>
        <v>20060-4</v>
      </c>
      <c r="B1934">
        <v>2006</v>
      </c>
      <c r="C1934" t="s">
        <v>6</v>
      </c>
      <c r="D1934" t="s">
        <v>26</v>
      </c>
      <c r="E1934" t="s">
        <v>45</v>
      </c>
      <c r="F1934" t="s">
        <v>7</v>
      </c>
      <c r="G1934" s="7">
        <v>7</v>
      </c>
      <c r="H1934" s="2">
        <v>1354432</v>
      </c>
    </row>
    <row r="1935" spans="1:8" x14ac:dyDescent="0.25">
      <c r="A1935" t="str">
        <f t="shared" si="30"/>
        <v>200615-24</v>
      </c>
      <c r="B1935">
        <v>2006</v>
      </c>
      <c r="C1935" t="s">
        <v>4</v>
      </c>
      <c r="D1935" t="s">
        <v>26</v>
      </c>
      <c r="E1935" t="s">
        <v>45</v>
      </c>
      <c r="F1935" t="s">
        <v>7</v>
      </c>
      <c r="G1935" s="7">
        <v>15</v>
      </c>
      <c r="H1935" s="2">
        <v>2544731</v>
      </c>
    </row>
    <row r="1936" spans="1:8" x14ac:dyDescent="0.25">
      <c r="A1936" t="str">
        <f t="shared" si="30"/>
        <v>200625-44</v>
      </c>
      <c r="B1936">
        <v>2006</v>
      </c>
      <c r="C1936" t="s">
        <v>3</v>
      </c>
      <c r="D1936" t="s">
        <v>26</v>
      </c>
      <c r="E1936" t="s">
        <v>45</v>
      </c>
      <c r="F1936" t="s">
        <v>7</v>
      </c>
      <c r="G1936" s="7">
        <v>48</v>
      </c>
      <c r="H1936" s="2">
        <v>3947836</v>
      </c>
    </row>
    <row r="1937" spans="1:8" x14ac:dyDescent="0.25">
      <c r="A1937" t="str">
        <f t="shared" si="30"/>
        <v>200645-64</v>
      </c>
      <c r="B1937">
        <v>2006</v>
      </c>
      <c r="C1937" t="s">
        <v>2</v>
      </c>
      <c r="D1937" t="s">
        <v>26</v>
      </c>
      <c r="E1937" t="s">
        <v>45</v>
      </c>
      <c r="F1937" t="s">
        <v>7</v>
      </c>
      <c r="G1937" s="7">
        <v>182</v>
      </c>
      <c r="H1937" s="2">
        <v>2100791</v>
      </c>
    </row>
    <row r="1938" spans="1:8" x14ac:dyDescent="0.25">
      <c r="A1938" t="str">
        <f t="shared" si="30"/>
        <v>20065-14</v>
      </c>
      <c r="B1938">
        <v>2006</v>
      </c>
      <c r="C1938" t="s">
        <v>5</v>
      </c>
      <c r="D1938" t="s">
        <v>26</v>
      </c>
      <c r="E1938" t="s">
        <v>45</v>
      </c>
      <c r="F1938" t="s">
        <v>7</v>
      </c>
      <c r="G1938" s="7">
        <v>9</v>
      </c>
      <c r="H1938" s="2">
        <v>2638747</v>
      </c>
    </row>
    <row r="1939" spans="1:8" x14ac:dyDescent="0.25">
      <c r="A1939" t="str">
        <f t="shared" si="30"/>
        <v>200665-74</v>
      </c>
      <c r="B1939">
        <v>2006</v>
      </c>
      <c r="C1939" t="s">
        <v>1</v>
      </c>
      <c r="D1939" t="s">
        <v>26</v>
      </c>
      <c r="E1939" t="s">
        <v>45</v>
      </c>
      <c r="F1939" t="s">
        <v>7</v>
      </c>
      <c r="G1939" s="7">
        <v>123</v>
      </c>
      <c r="H1939" s="2">
        <v>468680</v>
      </c>
    </row>
    <row r="1940" spans="1:8" x14ac:dyDescent="0.25">
      <c r="A1940" t="str">
        <f t="shared" si="30"/>
        <v>200675+</v>
      </c>
      <c r="B1940">
        <v>2006</v>
      </c>
      <c r="C1940" t="s">
        <v>0</v>
      </c>
      <c r="D1940" t="s">
        <v>26</v>
      </c>
      <c r="E1940" t="s">
        <v>45</v>
      </c>
      <c r="F1940" t="s">
        <v>7</v>
      </c>
      <c r="G1940" s="7">
        <v>142</v>
      </c>
      <c r="H1940" s="2">
        <v>325672</v>
      </c>
    </row>
    <row r="1941" spans="1:8" x14ac:dyDescent="0.25">
      <c r="A1941" t="str">
        <f t="shared" si="30"/>
        <v>20070-4</v>
      </c>
      <c r="B1941">
        <v>2007</v>
      </c>
      <c r="C1941" t="s">
        <v>6</v>
      </c>
      <c r="D1941" t="s">
        <v>26</v>
      </c>
      <c r="E1941" t="s">
        <v>45</v>
      </c>
      <c r="F1941" t="s">
        <v>7</v>
      </c>
      <c r="G1941" s="7">
        <v>4</v>
      </c>
      <c r="H1941" s="2">
        <v>1354234</v>
      </c>
    </row>
    <row r="1942" spans="1:8" x14ac:dyDescent="0.25">
      <c r="A1942" t="str">
        <f t="shared" si="30"/>
        <v>200715-24</v>
      </c>
      <c r="B1942">
        <v>2007</v>
      </c>
      <c r="C1942" t="s">
        <v>4</v>
      </c>
      <c r="D1942" t="s">
        <v>26</v>
      </c>
      <c r="E1942" t="s">
        <v>45</v>
      </c>
      <c r="F1942" t="s">
        <v>7</v>
      </c>
      <c r="G1942" s="7">
        <v>8</v>
      </c>
      <c r="H1942" s="2">
        <v>2561885</v>
      </c>
    </row>
    <row r="1943" spans="1:8" x14ac:dyDescent="0.25">
      <c r="A1943" t="str">
        <f t="shared" si="30"/>
        <v>200725-44</v>
      </c>
      <c r="B1943">
        <v>2007</v>
      </c>
      <c r="C1943" t="s">
        <v>3</v>
      </c>
      <c r="D1943" t="s">
        <v>26</v>
      </c>
      <c r="E1943" t="s">
        <v>45</v>
      </c>
      <c r="F1943" t="s">
        <v>7</v>
      </c>
      <c r="G1943" s="7">
        <v>58</v>
      </c>
      <c r="H1943" s="2">
        <v>4016163</v>
      </c>
    </row>
    <row r="1944" spans="1:8" x14ac:dyDescent="0.25">
      <c r="A1944" t="str">
        <f t="shared" si="30"/>
        <v>200745-64</v>
      </c>
      <c r="B1944">
        <v>2007</v>
      </c>
      <c r="C1944" t="s">
        <v>2</v>
      </c>
      <c r="D1944" t="s">
        <v>26</v>
      </c>
      <c r="E1944" t="s">
        <v>45</v>
      </c>
      <c r="F1944" t="s">
        <v>7</v>
      </c>
      <c r="G1944" s="7">
        <v>192</v>
      </c>
      <c r="H1944" s="2">
        <v>2188071</v>
      </c>
    </row>
    <row r="1945" spans="1:8" x14ac:dyDescent="0.25">
      <c r="A1945" t="str">
        <f t="shared" si="30"/>
        <v>20075-14</v>
      </c>
      <c r="B1945">
        <v>2007</v>
      </c>
      <c r="C1945" t="s">
        <v>5</v>
      </c>
      <c r="D1945" t="s">
        <v>26</v>
      </c>
      <c r="E1945" t="s">
        <v>45</v>
      </c>
      <c r="F1945" t="s">
        <v>7</v>
      </c>
      <c r="G1945" s="7">
        <v>7</v>
      </c>
      <c r="H1945" s="2">
        <v>2647233</v>
      </c>
    </row>
    <row r="1946" spans="1:8" x14ac:dyDescent="0.25">
      <c r="A1946" t="str">
        <f t="shared" si="30"/>
        <v>200765-74</v>
      </c>
      <c r="B1946">
        <v>2007</v>
      </c>
      <c r="C1946" t="s">
        <v>1</v>
      </c>
      <c r="D1946" t="s">
        <v>26</v>
      </c>
      <c r="E1946" t="s">
        <v>45</v>
      </c>
      <c r="F1946" t="s">
        <v>7</v>
      </c>
      <c r="G1946" s="7">
        <v>115</v>
      </c>
      <c r="H1946" s="2">
        <v>484321</v>
      </c>
    </row>
    <row r="1947" spans="1:8" x14ac:dyDescent="0.25">
      <c r="A1947" t="str">
        <f t="shared" si="30"/>
        <v>200775+</v>
      </c>
      <c r="B1947">
        <v>2007</v>
      </c>
      <c r="C1947" t="s">
        <v>0</v>
      </c>
      <c r="D1947" t="s">
        <v>26</v>
      </c>
      <c r="E1947" t="s">
        <v>45</v>
      </c>
      <c r="F1947" t="s">
        <v>7</v>
      </c>
      <c r="G1947" s="7">
        <v>133</v>
      </c>
      <c r="H1947" s="2">
        <v>338128</v>
      </c>
    </row>
    <row r="1948" spans="1:8" x14ac:dyDescent="0.25">
      <c r="A1948" t="str">
        <f t="shared" si="30"/>
        <v>20080-4</v>
      </c>
      <c r="B1948">
        <v>2008</v>
      </c>
      <c r="C1948" t="s">
        <v>6</v>
      </c>
      <c r="D1948" t="s">
        <v>26</v>
      </c>
      <c r="E1948" t="s">
        <v>45</v>
      </c>
      <c r="F1948" t="s">
        <v>7</v>
      </c>
      <c r="G1948" s="7">
        <v>3</v>
      </c>
      <c r="H1948" s="2">
        <v>1353145</v>
      </c>
    </row>
    <row r="1949" spans="1:8" x14ac:dyDescent="0.25">
      <c r="A1949" t="str">
        <f t="shared" si="30"/>
        <v>200815-24</v>
      </c>
      <c r="B1949">
        <v>2008</v>
      </c>
      <c r="C1949" t="s">
        <v>4</v>
      </c>
      <c r="D1949" t="s">
        <v>26</v>
      </c>
      <c r="E1949" t="s">
        <v>45</v>
      </c>
      <c r="F1949" t="s">
        <v>7</v>
      </c>
      <c r="G1949" s="7">
        <v>12</v>
      </c>
      <c r="H1949" s="2">
        <v>2575138</v>
      </c>
    </row>
    <row r="1950" spans="1:8" x14ac:dyDescent="0.25">
      <c r="A1950" t="str">
        <f t="shared" si="30"/>
        <v>200825-44</v>
      </c>
      <c r="B1950">
        <v>2008</v>
      </c>
      <c r="C1950" t="s">
        <v>3</v>
      </c>
      <c r="D1950" t="s">
        <v>26</v>
      </c>
      <c r="E1950" t="s">
        <v>45</v>
      </c>
      <c r="F1950" t="s">
        <v>7</v>
      </c>
      <c r="G1950" s="7">
        <v>49</v>
      </c>
      <c r="H1950" s="2">
        <v>4085944</v>
      </c>
    </row>
    <row r="1951" spans="1:8" x14ac:dyDescent="0.25">
      <c r="A1951" t="str">
        <f t="shared" si="30"/>
        <v>200845-64</v>
      </c>
      <c r="B1951">
        <v>2008</v>
      </c>
      <c r="C1951" t="s">
        <v>2</v>
      </c>
      <c r="D1951" t="s">
        <v>26</v>
      </c>
      <c r="E1951" t="s">
        <v>45</v>
      </c>
      <c r="F1951" t="s">
        <v>7</v>
      </c>
      <c r="G1951" s="7">
        <v>174</v>
      </c>
      <c r="H1951" s="2">
        <v>2277674</v>
      </c>
    </row>
    <row r="1952" spans="1:8" x14ac:dyDescent="0.25">
      <c r="A1952" t="str">
        <f t="shared" si="30"/>
        <v>20085-14</v>
      </c>
      <c r="B1952">
        <v>2008</v>
      </c>
      <c r="C1952" t="s">
        <v>5</v>
      </c>
      <c r="D1952" t="s">
        <v>26</v>
      </c>
      <c r="E1952" t="s">
        <v>45</v>
      </c>
      <c r="F1952" t="s">
        <v>7</v>
      </c>
      <c r="G1952" s="7">
        <v>5</v>
      </c>
      <c r="H1952" s="2">
        <v>2655740</v>
      </c>
    </row>
    <row r="1953" spans="1:8" x14ac:dyDescent="0.25">
      <c r="A1953" t="str">
        <f t="shared" si="30"/>
        <v>200865-74</v>
      </c>
      <c r="B1953">
        <v>2008</v>
      </c>
      <c r="C1953" t="s">
        <v>1</v>
      </c>
      <c r="D1953" t="s">
        <v>26</v>
      </c>
      <c r="E1953" t="s">
        <v>45</v>
      </c>
      <c r="F1953" t="s">
        <v>7</v>
      </c>
      <c r="G1953" s="7">
        <v>114</v>
      </c>
      <c r="H1953" s="2">
        <v>501201</v>
      </c>
    </row>
    <row r="1954" spans="1:8" x14ac:dyDescent="0.25">
      <c r="A1954" t="str">
        <f t="shared" si="30"/>
        <v>200875+</v>
      </c>
      <c r="B1954">
        <v>2008</v>
      </c>
      <c r="C1954" t="s">
        <v>0</v>
      </c>
      <c r="D1954" t="s">
        <v>26</v>
      </c>
      <c r="E1954" t="s">
        <v>45</v>
      </c>
      <c r="F1954" t="s">
        <v>7</v>
      </c>
      <c r="G1954" s="7">
        <v>135</v>
      </c>
      <c r="H1954" s="2">
        <v>350235</v>
      </c>
    </row>
    <row r="1955" spans="1:8" x14ac:dyDescent="0.25">
      <c r="A1955" t="str">
        <f t="shared" si="30"/>
        <v>20090-4</v>
      </c>
      <c r="B1955">
        <v>2009</v>
      </c>
      <c r="C1955" t="s">
        <v>6</v>
      </c>
      <c r="D1955" t="s">
        <v>26</v>
      </c>
      <c r="E1955" t="s">
        <v>45</v>
      </c>
      <c r="F1955" t="s">
        <v>7</v>
      </c>
      <c r="G1955" s="7">
        <v>6</v>
      </c>
      <c r="H1955" s="2">
        <v>1351158</v>
      </c>
    </row>
    <row r="1956" spans="1:8" x14ac:dyDescent="0.25">
      <c r="A1956" t="str">
        <f t="shared" si="30"/>
        <v>200915-24</v>
      </c>
      <c r="B1956">
        <v>2009</v>
      </c>
      <c r="C1956" t="s">
        <v>4</v>
      </c>
      <c r="D1956" t="s">
        <v>26</v>
      </c>
      <c r="E1956" t="s">
        <v>45</v>
      </c>
      <c r="F1956" t="s">
        <v>7</v>
      </c>
      <c r="G1956" s="7">
        <v>10</v>
      </c>
      <c r="H1956" s="2">
        <v>2584791</v>
      </c>
    </row>
    <row r="1957" spans="1:8" x14ac:dyDescent="0.25">
      <c r="A1957" t="str">
        <f t="shared" si="30"/>
        <v>200925-44</v>
      </c>
      <c r="B1957">
        <v>2009</v>
      </c>
      <c r="C1957" t="s">
        <v>3</v>
      </c>
      <c r="D1957" t="s">
        <v>26</v>
      </c>
      <c r="E1957" t="s">
        <v>45</v>
      </c>
      <c r="F1957" t="s">
        <v>7</v>
      </c>
      <c r="G1957" s="7">
        <v>46</v>
      </c>
      <c r="H1957" s="2">
        <v>4156891</v>
      </c>
    </row>
    <row r="1958" spans="1:8" x14ac:dyDescent="0.25">
      <c r="A1958" t="str">
        <f t="shared" si="30"/>
        <v>200945-64</v>
      </c>
      <c r="B1958">
        <v>2009</v>
      </c>
      <c r="C1958" t="s">
        <v>2</v>
      </c>
      <c r="D1958" t="s">
        <v>26</v>
      </c>
      <c r="E1958" t="s">
        <v>45</v>
      </c>
      <c r="F1958" t="s">
        <v>7</v>
      </c>
      <c r="G1958" s="7">
        <v>220</v>
      </c>
      <c r="H1958" s="2">
        <v>2369589</v>
      </c>
    </row>
    <row r="1959" spans="1:8" x14ac:dyDescent="0.25">
      <c r="A1959" t="str">
        <f t="shared" si="30"/>
        <v>20095-14</v>
      </c>
      <c r="B1959">
        <v>2009</v>
      </c>
      <c r="C1959" t="s">
        <v>5</v>
      </c>
      <c r="D1959" t="s">
        <v>26</v>
      </c>
      <c r="E1959" t="s">
        <v>45</v>
      </c>
      <c r="F1959" t="s">
        <v>7</v>
      </c>
      <c r="G1959" s="7">
        <v>5</v>
      </c>
      <c r="H1959" s="2">
        <v>2664671</v>
      </c>
    </row>
    <row r="1960" spans="1:8" x14ac:dyDescent="0.25">
      <c r="A1960" t="str">
        <f t="shared" si="30"/>
        <v>200965-74</v>
      </c>
      <c r="B1960">
        <v>2009</v>
      </c>
      <c r="C1960" t="s">
        <v>1</v>
      </c>
      <c r="D1960" t="s">
        <v>26</v>
      </c>
      <c r="E1960" t="s">
        <v>45</v>
      </c>
      <c r="F1960" t="s">
        <v>7</v>
      </c>
      <c r="G1960" s="7">
        <v>107</v>
      </c>
      <c r="H1960" s="2">
        <v>519377</v>
      </c>
    </row>
    <row r="1961" spans="1:8" x14ac:dyDescent="0.25">
      <c r="A1961" t="str">
        <f t="shared" si="30"/>
        <v>200975+</v>
      </c>
      <c r="B1961">
        <v>2009</v>
      </c>
      <c r="C1961" t="s">
        <v>0</v>
      </c>
      <c r="D1961" t="s">
        <v>26</v>
      </c>
      <c r="E1961" t="s">
        <v>45</v>
      </c>
      <c r="F1961" t="s">
        <v>7</v>
      </c>
      <c r="G1961" s="7">
        <v>157</v>
      </c>
      <c r="H1961" s="2">
        <v>362131</v>
      </c>
    </row>
    <row r="1962" spans="1:8" x14ac:dyDescent="0.25">
      <c r="A1962" t="str">
        <f t="shared" si="30"/>
        <v>20100-4</v>
      </c>
      <c r="B1962">
        <v>2010</v>
      </c>
      <c r="C1962" t="s">
        <v>6</v>
      </c>
      <c r="D1962" t="s">
        <v>26</v>
      </c>
      <c r="E1962" t="s">
        <v>45</v>
      </c>
      <c r="F1962" t="s">
        <v>7</v>
      </c>
      <c r="G1962" s="7">
        <v>5</v>
      </c>
      <c r="H1962" s="2">
        <v>1348289</v>
      </c>
    </row>
    <row r="1963" spans="1:8" x14ac:dyDescent="0.25">
      <c r="A1963" t="str">
        <f t="shared" si="30"/>
        <v>201015-24</v>
      </c>
      <c r="B1963">
        <v>2010</v>
      </c>
      <c r="C1963" t="s">
        <v>4</v>
      </c>
      <c r="D1963" t="s">
        <v>26</v>
      </c>
      <c r="E1963" t="s">
        <v>45</v>
      </c>
      <c r="F1963" t="s">
        <v>7</v>
      </c>
      <c r="G1963" s="7">
        <v>14</v>
      </c>
      <c r="H1963" s="2">
        <v>2590746</v>
      </c>
    </row>
    <row r="1964" spans="1:8" x14ac:dyDescent="0.25">
      <c r="A1964" t="str">
        <f t="shared" si="30"/>
        <v>201025-44</v>
      </c>
      <c r="B1964">
        <v>2010</v>
      </c>
      <c r="C1964" t="s">
        <v>3</v>
      </c>
      <c r="D1964" t="s">
        <v>26</v>
      </c>
      <c r="E1964" t="s">
        <v>45</v>
      </c>
      <c r="F1964" t="s">
        <v>7</v>
      </c>
      <c r="G1964" s="7">
        <v>61</v>
      </c>
      <c r="H1964" s="2">
        <v>4228246</v>
      </c>
    </row>
    <row r="1965" spans="1:8" x14ac:dyDescent="0.25">
      <c r="A1965" t="str">
        <f t="shared" si="30"/>
        <v>201045-64</v>
      </c>
      <c r="B1965">
        <v>2010</v>
      </c>
      <c r="C1965" t="s">
        <v>2</v>
      </c>
      <c r="D1965" t="s">
        <v>26</v>
      </c>
      <c r="E1965" t="s">
        <v>45</v>
      </c>
      <c r="F1965" t="s">
        <v>7</v>
      </c>
      <c r="G1965" s="7">
        <v>190</v>
      </c>
      <c r="H1965" s="2">
        <v>2464321</v>
      </c>
    </row>
    <row r="1966" spans="1:8" x14ac:dyDescent="0.25">
      <c r="A1966" t="str">
        <f t="shared" si="30"/>
        <v>20105-14</v>
      </c>
      <c r="B1966">
        <v>2010</v>
      </c>
      <c r="C1966" t="s">
        <v>5</v>
      </c>
      <c r="D1966" t="s">
        <v>26</v>
      </c>
      <c r="E1966" t="s">
        <v>45</v>
      </c>
      <c r="F1966" t="s">
        <v>7</v>
      </c>
      <c r="G1966" s="7">
        <v>7</v>
      </c>
      <c r="H1966" s="2">
        <v>2674173</v>
      </c>
    </row>
    <row r="1967" spans="1:8" x14ac:dyDescent="0.25">
      <c r="A1967" t="str">
        <f t="shared" si="30"/>
        <v>201065-74</v>
      </c>
      <c r="B1967">
        <v>2010</v>
      </c>
      <c r="C1967" t="s">
        <v>1</v>
      </c>
      <c r="D1967" t="s">
        <v>26</v>
      </c>
      <c r="E1967" t="s">
        <v>45</v>
      </c>
      <c r="F1967" t="s">
        <v>7</v>
      </c>
      <c r="G1967" s="7">
        <v>140</v>
      </c>
      <c r="H1967" s="2">
        <v>538921</v>
      </c>
    </row>
    <row r="1968" spans="1:8" x14ac:dyDescent="0.25">
      <c r="A1968" t="str">
        <f t="shared" si="30"/>
        <v>201075+</v>
      </c>
      <c r="B1968">
        <v>2010</v>
      </c>
      <c r="C1968" t="s">
        <v>0</v>
      </c>
      <c r="D1968" t="s">
        <v>26</v>
      </c>
      <c r="E1968" t="s">
        <v>45</v>
      </c>
      <c r="F1968" t="s">
        <v>7</v>
      </c>
      <c r="G1968" s="7">
        <v>160</v>
      </c>
      <c r="H1968" s="2">
        <v>373918</v>
      </c>
    </row>
    <row r="1969" spans="1:8" x14ac:dyDescent="0.25">
      <c r="A1969" t="str">
        <f t="shared" si="30"/>
        <v>20110-4</v>
      </c>
      <c r="B1969">
        <v>2011</v>
      </c>
      <c r="C1969" t="s">
        <v>6</v>
      </c>
      <c r="D1969" t="s">
        <v>26</v>
      </c>
      <c r="E1969" t="s">
        <v>45</v>
      </c>
      <c r="F1969" t="s">
        <v>7</v>
      </c>
      <c r="G1969" s="7">
        <v>8</v>
      </c>
      <c r="H1969" s="2">
        <v>1344595</v>
      </c>
    </row>
    <row r="1970" spans="1:8" x14ac:dyDescent="0.25">
      <c r="A1970" t="str">
        <f t="shared" si="30"/>
        <v>201115-24</v>
      </c>
      <c r="B1970">
        <v>2011</v>
      </c>
      <c r="C1970" t="s">
        <v>4</v>
      </c>
      <c r="D1970" t="s">
        <v>26</v>
      </c>
      <c r="E1970" t="s">
        <v>45</v>
      </c>
      <c r="F1970" t="s">
        <v>7</v>
      </c>
      <c r="G1970" s="7">
        <v>9</v>
      </c>
      <c r="H1970" s="2">
        <v>2593350</v>
      </c>
    </row>
    <row r="1971" spans="1:8" x14ac:dyDescent="0.25">
      <c r="A1971" t="str">
        <f t="shared" si="30"/>
        <v>201125-44</v>
      </c>
      <c r="B1971">
        <v>2011</v>
      </c>
      <c r="C1971" t="s">
        <v>3</v>
      </c>
      <c r="D1971" t="s">
        <v>26</v>
      </c>
      <c r="E1971" t="s">
        <v>45</v>
      </c>
      <c r="F1971" t="s">
        <v>7</v>
      </c>
      <c r="G1971" s="7">
        <v>54</v>
      </c>
      <c r="H1971" s="2">
        <v>4299392</v>
      </c>
    </row>
    <row r="1972" spans="1:8" x14ac:dyDescent="0.25">
      <c r="A1972" t="str">
        <f t="shared" si="30"/>
        <v>201145-64</v>
      </c>
      <c r="B1972">
        <v>2011</v>
      </c>
      <c r="C1972" t="s">
        <v>2</v>
      </c>
      <c r="D1972" t="s">
        <v>26</v>
      </c>
      <c r="E1972" t="s">
        <v>45</v>
      </c>
      <c r="F1972" t="s">
        <v>7</v>
      </c>
      <c r="G1972" s="7">
        <v>213</v>
      </c>
      <c r="H1972" s="2">
        <v>2561836</v>
      </c>
    </row>
    <row r="1973" spans="1:8" x14ac:dyDescent="0.25">
      <c r="A1973" t="str">
        <f t="shared" si="30"/>
        <v>20115-14</v>
      </c>
      <c r="B1973">
        <v>2011</v>
      </c>
      <c r="C1973" t="s">
        <v>5</v>
      </c>
      <c r="D1973" t="s">
        <v>26</v>
      </c>
      <c r="E1973" t="s">
        <v>45</v>
      </c>
      <c r="F1973" t="s">
        <v>7</v>
      </c>
      <c r="G1973" s="7">
        <v>1</v>
      </c>
      <c r="H1973" s="2">
        <v>2684312</v>
      </c>
    </row>
    <row r="1974" spans="1:8" x14ac:dyDescent="0.25">
      <c r="A1974" t="str">
        <f t="shared" si="30"/>
        <v>201165-74</v>
      </c>
      <c r="B1974">
        <v>2011</v>
      </c>
      <c r="C1974" t="s">
        <v>1</v>
      </c>
      <c r="D1974" t="s">
        <v>26</v>
      </c>
      <c r="E1974" t="s">
        <v>45</v>
      </c>
      <c r="F1974" t="s">
        <v>7</v>
      </c>
      <c r="G1974" s="7">
        <v>126</v>
      </c>
      <c r="H1974" s="2">
        <v>559899</v>
      </c>
    </row>
    <row r="1975" spans="1:8" x14ac:dyDescent="0.25">
      <c r="A1975" t="str">
        <f t="shared" si="30"/>
        <v>201175+</v>
      </c>
      <c r="B1975">
        <v>2011</v>
      </c>
      <c r="C1975" t="s">
        <v>0</v>
      </c>
      <c r="D1975" t="s">
        <v>26</v>
      </c>
      <c r="E1975" t="s">
        <v>45</v>
      </c>
      <c r="F1975" t="s">
        <v>7</v>
      </c>
      <c r="G1975" s="7">
        <v>161</v>
      </c>
      <c r="H1975" s="2">
        <v>385721</v>
      </c>
    </row>
    <row r="1976" spans="1:8" x14ac:dyDescent="0.25">
      <c r="A1976" t="str">
        <f t="shared" si="30"/>
        <v>20120-4</v>
      </c>
      <c r="B1976">
        <v>2012</v>
      </c>
      <c r="C1976" t="s">
        <v>6</v>
      </c>
      <c r="D1976" t="s">
        <v>26</v>
      </c>
      <c r="E1976" t="s">
        <v>45</v>
      </c>
      <c r="F1976" t="s">
        <v>7</v>
      </c>
      <c r="G1976" s="7">
        <v>2</v>
      </c>
      <c r="H1976" s="2">
        <v>1340586.3214094499</v>
      </c>
    </row>
    <row r="1977" spans="1:8" x14ac:dyDescent="0.25">
      <c r="A1977" t="str">
        <f t="shared" si="30"/>
        <v>201215-24</v>
      </c>
      <c r="B1977">
        <v>2012</v>
      </c>
      <c r="C1977" t="s">
        <v>4</v>
      </c>
      <c r="D1977" t="s">
        <v>26</v>
      </c>
      <c r="E1977" t="s">
        <v>45</v>
      </c>
      <c r="F1977" t="s">
        <v>7</v>
      </c>
      <c r="G1977" s="7">
        <v>13</v>
      </c>
      <c r="H1977" s="2">
        <v>2596932.5593387499</v>
      </c>
    </row>
    <row r="1978" spans="1:8" x14ac:dyDescent="0.25">
      <c r="A1978" t="str">
        <f t="shared" si="30"/>
        <v>201225-44</v>
      </c>
      <c r="B1978">
        <v>2012</v>
      </c>
      <c r="C1978" t="s">
        <v>3</v>
      </c>
      <c r="D1978" t="s">
        <v>26</v>
      </c>
      <c r="E1978" t="s">
        <v>45</v>
      </c>
      <c r="F1978" t="s">
        <v>7</v>
      </c>
      <c r="G1978" s="7">
        <v>51</v>
      </c>
      <c r="H1978" s="2">
        <v>4370928.8062696801</v>
      </c>
    </row>
    <row r="1979" spans="1:8" x14ac:dyDescent="0.25">
      <c r="A1979" t="str">
        <f t="shared" si="30"/>
        <v>201245-64</v>
      </c>
      <c r="B1979">
        <v>2012</v>
      </c>
      <c r="C1979" t="s">
        <v>2</v>
      </c>
      <c r="D1979" t="s">
        <v>26</v>
      </c>
      <c r="E1979" t="s">
        <v>45</v>
      </c>
      <c r="F1979" t="s">
        <v>7</v>
      </c>
      <c r="G1979" s="7">
        <v>209</v>
      </c>
      <c r="H1979" s="2">
        <v>2658291.2681631502</v>
      </c>
    </row>
    <row r="1980" spans="1:8" x14ac:dyDescent="0.25">
      <c r="A1980" t="str">
        <f t="shared" si="30"/>
        <v>20125-14</v>
      </c>
      <c r="B1980">
        <v>2012</v>
      </c>
      <c r="C1980" t="s">
        <v>5</v>
      </c>
      <c r="D1980" t="s">
        <v>26</v>
      </c>
      <c r="E1980" t="s">
        <v>45</v>
      </c>
      <c r="F1980" t="s">
        <v>7</v>
      </c>
      <c r="G1980" s="7">
        <v>5</v>
      </c>
      <c r="H1980" s="2">
        <v>2693165.8826794801</v>
      </c>
    </row>
    <row r="1981" spans="1:8" x14ac:dyDescent="0.25">
      <c r="A1981" t="str">
        <f t="shared" si="30"/>
        <v>201265-74</v>
      </c>
      <c r="B1981">
        <v>2012</v>
      </c>
      <c r="C1981" t="s">
        <v>1</v>
      </c>
      <c r="D1981" t="s">
        <v>26</v>
      </c>
      <c r="E1981" t="s">
        <v>45</v>
      </c>
      <c r="F1981" t="s">
        <v>7</v>
      </c>
      <c r="G1981" s="7">
        <v>135</v>
      </c>
      <c r="H1981" s="2">
        <v>582433.94467592705</v>
      </c>
    </row>
    <row r="1982" spans="1:8" x14ac:dyDescent="0.25">
      <c r="A1982" t="str">
        <f t="shared" si="30"/>
        <v>201275+</v>
      </c>
      <c r="B1982">
        <v>2012</v>
      </c>
      <c r="C1982" t="s">
        <v>0</v>
      </c>
      <c r="D1982" t="s">
        <v>26</v>
      </c>
      <c r="E1982" t="s">
        <v>45</v>
      </c>
      <c r="F1982" t="s">
        <v>7</v>
      </c>
      <c r="G1982" s="7">
        <v>156</v>
      </c>
      <c r="H1982" s="2">
        <v>398069.84835797001</v>
      </c>
    </row>
    <row r="1983" spans="1:8" x14ac:dyDescent="0.25">
      <c r="A1983" t="str">
        <f t="shared" si="30"/>
        <v>20130-4</v>
      </c>
      <c r="B1983">
        <v>2013</v>
      </c>
      <c r="C1983" t="s">
        <v>6</v>
      </c>
      <c r="D1983" t="s">
        <v>26</v>
      </c>
      <c r="E1983" t="s">
        <v>45</v>
      </c>
      <c r="F1983" t="s">
        <v>7</v>
      </c>
      <c r="G1983" s="7">
        <v>5</v>
      </c>
      <c r="H1983" s="2">
        <v>1336364.77993838</v>
      </c>
    </row>
    <row r="1984" spans="1:8" x14ac:dyDescent="0.25">
      <c r="A1984" t="str">
        <f t="shared" si="30"/>
        <v>201315-24</v>
      </c>
      <c r="B1984">
        <v>2013</v>
      </c>
      <c r="C1984" t="s">
        <v>4</v>
      </c>
      <c r="D1984" t="s">
        <v>26</v>
      </c>
      <c r="E1984" t="s">
        <v>45</v>
      </c>
      <c r="F1984" t="s">
        <v>7</v>
      </c>
      <c r="G1984" s="7">
        <v>12</v>
      </c>
      <c r="H1984" s="2">
        <v>2602650.6589393602</v>
      </c>
    </row>
    <row r="1985" spans="1:8" x14ac:dyDescent="0.25">
      <c r="A1985" t="str">
        <f t="shared" si="30"/>
        <v>201325-44</v>
      </c>
      <c r="B1985">
        <v>2013</v>
      </c>
      <c r="C1985" t="s">
        <v>3</v>
      </c>
      <c r="D1985" t="s">
        <v>26</v>
      </c>
      <c r="E1985" t="s">
        <v>45</v>
      </c>
      <c r="F1985" t="s">
        <v>7</v>
      </c>
      <c r="G1985" s="7">
        <v>57</v>
      </c>
      <c r="H1985" s="2">
        <v>4442157.0636299504</v>
      </c>
    </row>
    <row r="1986" spans="1:8" x14ac:dyDescent="0.25">
      <c r="A1986" t="str">
        <f t="shared" ref="A1986:A1996" si="31">+CONCATENATE(B1986,C1986)</f>
        <v>201345-64</v>
      </c>
      <c r="B1986">
        <v>2013</v>
      </c>
      <c r="C1986" t="s">
        <v>2</v>
      </c>
      <c r="D1986" t="s">
        <v>26</v>
      </c>
      <c r="E1986" t="s">
        <v>45</v>
      </c>
      <c r="F1986" t="s">
        <v>7</v>
      </c>
      <c r="G1986" s="7">
        <v>235</v>
      </c>
      <c r="H1986" s="2">
        <v>2752738.9724179399</v>
      </c>
    </row>
    <row r="1987" spans="1:8" x14ac:dyDescent="0.25">
      <c r="A1987" t="str">
        <f t="shared" si="31"/>
        <v>20135-14</v>
      </c>
      <c r="B1987">
        <v>2013</v>
      </c>
      <c r="C1987" t="s">
        <v>5</v>
      </c>
      <c r="D1987" t="s">
        <v>26</v>
      </c>
      <c r="E1987" t="s">
        <v>45</v>
      </c>
      <c r="F1987" t="s">
        <v>7</v>
      </c>
      <c r="G1987" s="7">
        <v>6</v>
      </c>
      <c r="H1987" s="2">
        <v>2699988.6782491799</v>
      </c>
    </row>
    <row r="1988" spans="1:8" x14ac:dyDescent="0.25">
      <c r="A1988" t="str">
        <f t="shared" si="31"/>
        <v>201365-74</v>
      </c>
      <c r="B1988">
        <v>2013</v>
      </c>
      <c r="C1988" t="s">
        <v>1</v>
      </c>
      <c r="D1988" t="s">
        <v>26</v>
      </c>
      <c r="E1988" t="s">
        <v>45</v>
      </c>
      <c r="F1988" t="s">
        <v>7</v>
      </c>
      <c r="G1988" s="7">
        <v>134</v>
      </c>
      <c r="H1988" s="2">
        <v>606480.27141564596</v>
      </c>
    </row>
    <row r="1989" spans="1:8" x14ac:dyDescent="0.25">
      <c r="A1989" t="str">
        <f t="shared" si="31"/>
        <v>201375+</v>
      </c>
      <c r="B1989">
        <v>2013</v>
      </c>
      <c r="C1989" t="s">
        <v>0</v>
      </c>
      <c r="D1989" t="s">
        <v>26</v>
      </c>
      <c r="E1989" t="s">
        <v>45</v>
      </c>
      <c r="F1989" t="s">
        <v>7</v>
      </c>
      <c r="G1989" s="7">
        <v>170</v>
      </c>
      <c r="H1989" s="2">
        <v>411257.72175729403</v>
      </c>
    </row>
    <row r="1990" spans="1:8" x14ac:dyDescent="0.25">
      <c r="A1990" t="str">
        <f t="shared" si="31"/>
        <v>20140-4</v>
      </c>
      <c r="B1990">
        <v>2014</v>
      </c>
      <c r="C1990" t="s">
        <v>6</v>
      </c>
      <c r="D1990" t="s">
        <v>26</v>
      </c>
      <c r="E1990" t="s">
        <v>45</v>
      </c>
      <c r="F1990" t="s">
        <v>7</v>
      </c>
      <c r="G1990" s="7">
        <v>4</v>
      </c>
      <c r="H1990" s="2">
        <v>1331891</v>
      </c>
    </row>
    <row r="1991" spans="1:8" x14ac:dyDescent="0.25">
      <c r="A1991" t="str">
        <f t="shared" si="31"/>
        <v>201415-24</v>
      </c>
      <c r="B1991">
        <v>2014</v>
      </c>
      <c r="C1991" t="s">
        <v>4</v>
      </c>
      <c r="D1991" t="s">
        <v>26</v>
      </c>
      <c r="E1991" t="s">
        <v>45</v>
      </c>
      <c r="F1991" t="s">
        <v>7</v>
      </c>
      <c r="G1991" s="7">
        <v>10</v>
      </c>
      <c r="H1991" s="2">
        <v>2610538</v>
      </c>
    </row>
    <row r="1992" spans="1:8" x14ac:dyDescent="0.25">
      <c r="A1992" t="str">
        <f t="shared" si="31"/>
        <v>201425-44</v>
      </c>
      <c r="B1992">
        <v>2014</v>
      </c>
      <c r="C1992" t="s">
        <v>3</v>
      </c>
      <c r="D1992" t="s">
        <v>26</v>
      </c>
      <c r="E1992" t="s">
        <v>45</v>
      </c>
      <c r="F1992" t="s">
        <v>7</v>
      </c>
      <c r="G1992" s="7">
        <v>64</v>
      </c>
      <c r="H1992" s="2">
        <v>4511948</v>
      </c>
    </row>
    <row r="1993" spans="1:8" x14ac:dyDescent="0.25">
      <c r="A1993" t="str">
        <f t="shared" si="31"/>
        <v>201445-64</v>
      </c>
      <c r="B1993">
        <v>2014</v>
      </c>
      <c r="C1993" t="s">
        <v>2</v>
      </c>
      <c r="D1993" t="s">
        <v>26</v>
      </c>
      <c r="E1993" t="s">
        <v>45</v>
      </c>
      <c r="F1993" t="s">
        <v>7</v>
      </c>
      <c r="G1993" s="7">
        <v>286</v>
      </c>
      <c r="H1993" s="2">
        <v>2845267</v>
      </c>
    </row>
    <row r="1994" spans="1:8" x14ac:dyDescent="0.25">
      <c r="A1994" t="str">
        <f t="shared" si="31"/>
        <v>20145-14</v>
      </c>
      <c r="B1994">
        <v>2014</v>
      </c>
      <c r="C1994" t="s">
        <v>5</v>
      </c>
      <c r="D1994" t="s">
        <v>26</v>
      </c>
      <c r="E1994" t="s">
        <v>45</v>
      </c>
      <c r="F1994" t="s">
        <v>7</v>
      </c>
      <c r="G1994" s="7">
        <v>7</v>
      </c>
      <c r="H1994" s="2">
        <v>2704490</v>
      </c>
    </row>
    <row r="1995" spans="1:8" x14ac:dyDescent="0.25">
      <c r="A1995" t="str">
        <f t="shared" si="31"/>
        <v>201465-74</v>
      </c>
      <c r="B1995">
        <v>2014</v>
      </c>
      <c r="C1995" t="s">
        <v>1</v>
      </c>
      <c r="D1995" t="s">
        <v>26</v>
      </c>
      <c r="E1995" t="s">
        <v>45</v>
      </c>
      <c r="F1995" t="s">
        <v>7</v>
      </c>
      <c r="G1995" s="7">
        <v>184</v>
      </c>
      <c r="H1995" s="2">
        <v>631943</v>
      </c>
    </row>
    <row r="1996" spans="1:8" x14ac:dyDescent="0.25">
      <c r="A1996" t="str">
        <f t="shared" si="31"/>
        <v>201475+</v>
      </c>
      <c r="B1996">
        <v>2014</v>
      </c>
      <c r="C1996" t="s">
        <v>0</v>
      </c>
      <c r="D1996" t="s">
        <v>26</v>
      </c>
      <c r="E1996" t="s">
        <v>45</v>
      </c>
      <c r="F1996" t="s">
        <v>7</v>
      </c>
      <c r="G1996" s="7">
        <v>197</v>
      </c>
      <c r="H1996" s="2">
        <v>425486</v>
      </c>
    </row>
  </sheetData>
  <autoFilter ref="A1:H1996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6"/>
  <sheetViews>
    <sheetView topLeftCell="B1" workbookViewId="0">
      <selection activeCell="C141" sqref="C141"/>
    </sheetView>
  </sheetViews>
  <sheetFormatPr baseColWidth="10" defaultRowHeight="15" x14ac:dyDescent="0.25"/>
  <sheetData>
    <row r="1" spans="1:8" x14ac:dyDescent="0.25">
      <c r="A1" s="16" t="s">
        <v>29</v>
      </c>
      <c r="B1" s="16" t="s">
        <v>23</v>
      </c>
      <c r="C1" s="16" t="s">
        <v>22</v>
      </c>
      <c r="D1" s="16" t="s">
        <v>25</v>
      </c>
      <c r="E1" s="16" t="s">
        <v>35</v>
      </c>
      <c r="F1" s="16" t="s">
        <v>34</v>
      </c>
      <c r="G1" s="16" t="s">
        <v>33</v>
      </c>
      <c r="H1" s="17" t="s">
        <v>24</v>
      </c>
    </row>
    <row r="2" spans="1:8" x14ac:dyDescent="0.25">
      <c r="A2" t="s">
        <v>48</v>
      </c>
      <c r="B2">
        <v>1996</v>
      </c>
      <c r="C2" t="s">
        <v>6</v>
      </c>
      <c r="D2" t="s">
        <v>27</v>
      </c>
      <c r="E2">
        <v>1</v>
      </c>
      <c r="F2" t="s">
        <v>21</v>
      </c>
      <c r="G2">
        <v>82</v>
      </c>
      <c r="H2" s="2">
        <v>2669011.0638103201</v>
      </c>
    </row>
    <row r="3" spans="1:8" x14ac:dyDescent="0.25">
      <c r="A3" t="s">
        <v>49</v>
      </c>
      <c r="B3">
        <v>1996</v>
      </c>
      <c r="C3" t="s">
        <v>5</v>
      </c>
      <c r="D3" t="s">
        <v>27</v>
      </c>
      <c r="E3">
        <v>1</v>
      </c>
      <c r="F3" t="s">
        <v>21</v>
      </c>
      <c r="G3">
        <v>50</v>
      </c>
      <c r="H3" s="2">
        <v>5336689.2615659405</v>
      </c>
    </row>
    <row r="4" spans="1:8" x14ac:dyDescent="0.25">
      <c r="A4" t="s">
        <v>50</v>
      </c>
      <c r="B4">
        <v>1996</v>
      </c>
      <c r="C4" t="s">
        <v>4</v>
      </c>
      <c r="D4" t="s">
        <v>27</v>
      </c>
      <c r="E4">
        <v>1</v>
      </c>
      <c r="F4" t="s">
        <v>21</v>
      </c>
      <c r="G4">
        <v>101</v>
      </c>
      <c r="H4" s="2">
        <v>4328734.7335640304</v>
      </c>
    </row>
    <row r="5" spans="1:8" x14ac:dyDescent="0.25">
      <c r="A5" t="s">
        <v>51</v>
      </c>
      <c r="B5">
        <v>1996</v>
      </c>
      <c r="C5" t="s">
        <v>3</v>
      </c>
      <c r="D5" t="s">
        <v>27</v>
      </c>
      <c r="E5">
        <v>1</v>
      </c>
      <c r="F5" t="s">
        <v>21</v>
      </c>
      <c r="G5">
        <v>1265</v>
      </c>
      <c r="H5" s="2">
        <v>6500086.9398599695</v>
      </c>
    </row>
    <row r="6" spans="1:8" x14ac:dyDescent="0.25">
      <c r="A6" t="s">
        <v>52</v>
      </c>
      <c r="B6">
        <v>1996</v>
      </c>
      <c r="C6" t="s">
        <v>2</v>
      </c>
      <c r="D6" t="s">
        <v>27</v>
      </c>
      <c r="E6">
        <v>1</v>
      </c>
      <c r="F6" t="s">
        <v>21</v>
      </c>
      <c r="G6">
        <v>5170</v>
      </c>
      <c r="H6" s="2">
        <v>2862216.4853526298</v>
      </c>
    </row>
    <row r="7" spans="1:8" x14ac:dyDescent="0.25">
      <c r="A7" t="s">
        <v>53</v>
      </c>
      <c r="B7">
        <v>1996</v>
      </c>
      <c r="C7" t="s">
        <v>1</v>
      </c>
      <c r="D7" t="s">
        <v>27</v>
      </c>
      <c r="E7">
        <v>1</v>
      </c>
      <c r="F7" t="s">
        <v>21</v>
      </c>
      <c r="G7">
        <v>5212</v>
      </c>
      <c r="H7" s="2">
        <v>710343.28776711202</v>
      </c>
    </row>
    <row r="8" spans="1:8" x14ac:dyDescent="0.25">
      <c r="A8" t="s">
        <v>54</v>
      </c>
      <c r="B8">
        <v>1996</v>
      </c>
      <c r="C8" t="s">
        <v>0</v>
      </c>
      <c r="D8" t="s">
        <v>27</v>
      </c>
      <c r="E8">
        <v>1</v>
      </c>
      <c r="F8" t="s">
        <v>21</v>
      </c>
      <c r="G8">
        <v>9429</v>
      </c>
      <c r="H8" s="2">
        <v>710343.28776711202</v>
      </c>
    </row>
    <row r="9" spans="1:8" x14ac:dyDescent="0.25">
      <c r="A9" t="s">
        <v>55</v>
      </c>
      <c r="B9">
        <v>1997</v>
      </c>
      <c r="C9" t="s">
        <v>6</v>
      </c>
      <c r="D9" t="s">
        <v>27</v>
      </c>
      <c r="E9">
        <v>1</v>
      </c>
      <c r="F9" t="s">
        <v>21</v>
      </c>
      <c r="G9">
        <v>61</v>
      </c>
      <c r="H9" s="2">
        <v>2689637.03828619</v>
      </c>
    </row>
    <row r="10" spans="1:8" x14ac:dyDescent="0.25">
      <c r="A10" t="s">
        <v>56</v>
      </c>
      <c r="B10">
        <v>1997</v>
      </c>
      <c r="C10" t="s">
        <v>5</v>
      </c>
      <c r="D10" t="s">
        <v>27</v>
      </c>
      <c r="E10">
        <v>1</v>
      </c>
      <c r="F10" t="s">
        <v>21</v>
      </c>
      <c r="G10">
        <v>52</v>
      </c>
      <c r="H10" s="2">
        <v>5352218.1569395596</v>
      </c>
    </row>
    <row r="11" spans="1:8" x14ac:dyDescent="0.25">
      <c r="A11" t="s">
        <v>57</v>
      </c>
      <c r="B11">
        <v>1997</v>
      </c>
      <c r="C11" t="s">
        <v>4</v>
      </c>
      <c r="D11" t="s">
        <v>27</v>
      </c>
      <c r="E11">
        <v>1</v>
      </c>
      <c r="F11" t="s">
        <v>21</v>
      </c>
      <c r="G11">
        <v>170</v>
      </c>
      <c r="H11" s="2">
        <v>4441903.2401384199</v>
      </c>
    </row>
    <row r="12" spans="1:8" x14ac:dyDescent="0.25">
      <c r="A12" t="s">
        <v>58</v>
      </c>
      <c r="B12">
        <v>1997</v>
      </c>
      <c r="C12" t="s">
        <v>3</v>
      </c>
      <c r="D12" t="s">
        <v>27</v>
      </c>
      <c r="E12">
        <v>1</v>
      </c>
      <c r="F12" t="s">
        <v>21</v>
      </c>
      <c r="G12">
        <v>1242</v>
      </c>
      <c r="H12" s="2">
        <v>6652916.9639159804</v>
      </c>
    </row>
    <row r="13" spans="1:8" x14ac:dyDescent="0.25">
      <c r="A13" t="s">
        <v>59</v>
      </c>
      <c r="B13">
        <v>1997</v>
      </c>
      <c r="C13" t="s">
        <v>2</v>
      </c>
      <c r="D13" t="s">
        <v>27</v>
      </c>
      <c r="E13">
        <v>1</v>
      </c>
      <c r="F13" t="s">
        <v>21</v>
      </c>
      <c r="G13">
        <v>5061</v>
      </c>
      <c r="H13" s="2">
        <v>2950439.89121158</v>
      </c>
    </row>
    <row r="14" spans="1:8" x14ac:dyDescent="0.25">
      <c r="A14" t="s">
        <v>60</v>
      </c>
      <c r="B14">
        <v>1997</v>
      </c>
      <c r="C14" t="s">
        <v>1</v>
      </c>
      <c r="D14" t="s">
        <v>27</v>
      </c>
      <c r="E14">
        <v>1</v>
      </c>
      <c r="F14" t="s">
        <v>21</v>
      </c>
      <c r="G14">
        <v>5052</v>
      </c>
      <c r="H14" s="2">
        <v>717390.37266026705</v>
      </c>
    </row>
    <row r="15" spans="1:8" x14ac:dyDescent="0.25">
      <c r="A15" t="s">
        <v>61</v>
      </c>
      <c r="B15">
        <v>1997</v>
      </c>
      <c r="C15" t="s">
        <v>0</v>
      </c>
      <c r="D15" t="s">
        <v>27</v>
      </c>
      <c r="E15">
        <v>1</v>
      </c>
      <c r="F15" t="s">
        <v>21</v>
      </c>
      <c r="G15">
        <v>9193</v>
      </c>
      <c r="H15" s="2">
        <v>717390.37266026705</v>
      </c>
    </row>
    <row r="16" spans="1:8" x14ac:dyDescent="0.25">
      <c r="A16" t="s">
        <v>62</v>
      </c>
      <c r="B16">
        <v>1998</v>
      </c>
      <c r="C16" t="s">
        <v>6</v>
      </c>
      <c r="D16" t="s">
        <v>27</v>
      </c>
      <c r="E16">
        <v>1</v>
      </c>
      <c r="F16" t="s">
        <v>21</v>
      </c>
      <c r="G16">
        <v>85</v>
      </c>
      <c r="H16" s="2">
        <v>2707580.5191430999</v>
      </c>
    </row>
    <row r="17" spans="1:8" x14ac:dyDescent="0.25">
      <c r="A17" t="s">
        <v>63</v>
      </c>
      <c r="B17">
        <v>1998</v>
      </c>
      <c r="C17" t="s">
        <v>5</v>
      </c>
      <c r="D17" t="s">
        <v>27</v>
      </c>
      <c r="E17">
        <v>1</v>
      </c>
      <c r="F17" t="s">
        <v>21</v>
      </c>
      <c r="G17">
        <v>46</v>
      </c>
      <c r="H17" s="2">
        <v>5360232.5784697803</v>
      </c>
    </row>
    <row r="18" spans="1:8" x14ac:dyDescent="0.25">
      <c r="A18" t="s">
        <v>64</v>
      </c>
      <c r="B18">
        <v>1998</v>
      </c>
      <c r="C18" t="s">
        <v>4</v>
      </c>
      <c r="D18" t="s">
        <v>27</v>
      </c>
      <c r="E18">
        <v>1</v>
      </c>
      <c r="F18" t="s">
        <v>21</v>
      </c>
      <c r="G18">
        <v>142</v>
      </c>
      <c r="H18" s="2">
        <v>4551586.6200692104</v>
      </c>
    </row>
    <row r="19" spans="1:8" x14ac:dyDescent="0.25">
      <c r="A19" t="s">
        <v>65</v>
      </c>
      <c r="B19">
        <v>1998</v>
      </c>
      <c r="C19" t="s">
        <v>3</v>
      </c>
      <c r="D19" t="s">
        <v>27</v>
      </c>
      <c r="E19">
        <v>1</v>
      </c>
      <c r="F19" t="s">
        <v>21</v>
      </c>
      <c r="G19">
        <v>1325</v>
      </c>
      <c r="H19" s="2">
        <v>6800752.4819579897</v>
      </c>
    </row>
    <row r="20" spans="1:8" x14ac:dyDescent="0.25">
      <c r="A20" t="s">
        <v>66</v>
      </c>
      <c r="B20">
        <v>1998</v>
      </c>
      <c r="C20" t="s">
        <v>2</v>
      </c>
      <c r="D20" t="s">
        <v>27</v>
      </c>
      <c r="E20">
        <v>1</v>
      </c>
      <c r="F20" t="s">
        <v>21</v>
      </c>
      <c r="G20">
        <v>5378</v>
      </c>
      <c r="H20" s="2">
        <v>3048176.4456057898</v>
      </c>
    </row>
    <row r="21" spans="1:8" x14ac:dyDescent="0.25">
      <c r="A21" t="s">
        <v>67</v>
      </c>
      <c r="B21">
        <v>1998</v>
      </c>
      <c r="C21" t="s">
        <v>1</v>
      </c>
      <c r="D21" t="s">
        <v>27</v>
      </c>
      <c r="E21">
        <v>1</v>
      </c>
      <c r="F21" t="s">
        <v>21</v>
      </c>
      <c r="G21">
        <v>5403</v>
      </c>
      <c r="H21" s="2">
        <v>727932.186330133</v>
      </c>
    </row>
    <row r="22" spans="1:8" x14ac:dyDescent="0.25">
      <c r="A22" t="s">
        <v>68</v>
      </c>
      <c r="B22">
        <v>1998</v>
      </c>
      <c r="C22" t="s">
        <v>0</v>
      </c>
      <c r="D22" t="s">
        <v>27</v>
      </c>
      <c r="E22">
        <v>1</v>
      </c>
      <c r="F22" t="s">
        <v>21</v>
      </c>
      <c r="G22">
        <v>9227</v>
      </c>
      <c r="H22" s="2">
        <v>727932.186330133</v>
      </c>
    </row>
    <row r="23" spans="1:8" x14ac:dyDescent="0.25">
      <c r="A23" t="s">
        <v>69</v>
      </c>
      <c r="B23">
        <v>1999</v>
      </c>
      <c r="C23" t="s">
        <v>6</v>
      </c>
      <c r="D23" t="s">
        <v>27</v>
      </c>
      <c r="E23">
        <v>1</v>
      </c>
      <c r="F23" t="s">
        <v>21</v>
      </c>
      <c r="G23">
        <v>72</v>
      </c>
      <c r="H23" s="2">
        <v>2723058.5063810302</v>
      </c>
    </row>
    <row r="24" spans="1:8" x14ac:dyDescent="0.25">
      <c r="A24" t="s">
        <v>70</v>
      </c>
      <c r="B24">
        <v>1999</v>
      </c>
      <c r="C24" t="s">
        <v>5</v>
      </c>
      <c r="D24" t="s">
        <v>27</v>
      </c>
      <c r="E24">
        <v>1</v>
      </c>
      <c r="F24" t="s">
        <v>21</v>
      </c>
      <c r="G24">
        <v>63</v>
      </c>
      <c r="H24" s="2">
        <v>5362927.5261565903</v>
      </c>
    </row>
    <row r="25" spans="1:8" x14ac:dyDescent="0.25">
      <c r="A25" t="s">
        <v>71</v>
      </c>
      <c r="B25">
        <v>1999</v>
      </c>
      <c r="C25" t="s">
        <v>4</v>
      </c>
      <c r="D25" t="s">
        <v>27</v>
      </c>
      <c r="E25">
        <v>1</v>
      </c>
      <c r="F25" t="s">
        <v>21</v>
      </c>
      <c r="G25">
        <v>139</v>
      </c>
      <c r="H25" s="2">
        <v>4656740.8733564001</v>
      </c>
    </row>
    <row r="26" spans="1:8" x14ac:dyDescent="0.25">
      <c r="A26" t="s">
        <v>72</v>
      </c>
      <c r="B26">
        <v>1999</v>
      </c>
      <c r="C26" t="s">
        <v>3</v>
      </c>
      <c r="D26" t="s">
        <v>27</v>
      </c>
      <c r="E26">
        <v>1</v>
      </c>
      <c r="F26" t="s">
        <v>21</v>
      </c>
      <c r="G26">
        <v>1237</v>
      </c>
      <c r="H26" s="2">
        <v>6944474.4939860003</v>
      </c>
    </row>
    <row r="27" spans="1:8" x14ac:dyDescent="0.25">
      <c r="A27" t="s">
        <v>73</v>
      </c>
      <c r="B27">
        <v>1999</v>
      </c>
      <c r="C27" t="s">
        <v>2</v>
      </c>
      <c r="D27" t="s">
        <v>27</v>
      </c>
      <c r="E27">
        <v>1</v>
      </c>
      <c r="F27" t="s">
        <v>21</v>
      </c>
      <c r="G27">
        <v>5499</v>
      </c>
      <c r="H27" s="2">
        <v>3155060.14853526</v>
      </c>
    </row>
    <row r="28" spans="1:8" x14ac:dyDescent="0.25">
      <c r="A28" t="s">
        <v>74</v>
      </c>
      <c r="B28">
        <v>1999</v>
      </c>
      <c r="C28" t="s">
        <v>1</v>
      </c>
      <c r="D28" t="s">
        <v>27</v>
      </c>
      <c r="E28">
        <v>1</v>
      </c>
      <c r="F28" t="s">
        <v>21</v>
      </c>
      <c r="G28">
        <v>5263</v>
      </c>
      <c r="H28" s="2">
        <v>741553.72877671104</v>
      </c>
    </row>
    <row r="29" spans="1:8" x14ac:dyDescent="0.25">
      <c r="A29" t="s">
        <v>75</v>
      </c>
      <c r="B29">
        <v>1999</v>
      </c>
      <c r="C29" t="s">
        <v>0</v>
      </c>
      <c r="D29" t="s">
        <v>27</v>
      </c>
      <c r="E29">
        <v>1</v>
      </c>
      <c r="F29" t="s">
        <v>21</v>
      </c>
      <c r="G29">
        <v>9504</v>
      </c>
      <c r="H29" s="2">
        <v>741553.72877671104</v>
      </c>
    </row>
    <row r="30" spans="1:8" x14ac:dyDescent="0.25">
      <c r="A30" t="s">
        <v>76</v>
      </c>
      <c r="B30">
        <v>2000</v>
      </c>
      <c r="C30" t="s">
        <v>6</v>
      </c>
      <c r="D30" t="s">
        <v>27</v>
      </c>
      <c r="E30">
        <v>1</v>
      </c>
      <c r="F30" t="s">
        <v>21</v>
      </c>
      <c r="G30">
        <v>34</v>
      </c>
      <c r="H30" s="2">
        <v>2736288</v>
      </c>
    </row>
    <row r="31" spans="1:8" x14ac:dyDescent="0.25">
      <c r="A31" t="s">
        <v>77</v>
      </c>
      <c r="B31">
        <v>2000</v>
      </c>
      <c r="C31" t="s">
        <v>5</v>
      </c>
      <c r="D31" t="s">
        <v>27</v>
      </c>
      <c r="E31">
        <v>1</v>
      </c>
      <c r="F31" t="s">
        <v>21</v>
      </c>
      <c r="G31">
        <v>33</v>
      </c>
      <c r="H31" s="2">
        <v>5362498</v>
      </c>
    </row>
    <row r="32" spans="1:8" x14ac:dyDescent="0.25">
      <c r="A32" t="s">
        <v>78</v>
      </c>
      <c r="B32">
        <v>2000</v>
      </c>
      <c r="C32" t="s">
        <v>4</v>
      </c>
      <c r="D32" t="s">
        <v>27</v>
      </c>
      <c r="E32">
        <v>1</v>
      </c>
      <c r="F32" t="s">
        <v>21</v>
      </c>
      <c r="G32">
        <v>155</v>
      </c>
      <c r="H32" s="2">
        <v>4756322</v>
      </c>
    </row>
    <row r="33" spans="1:8" x14ac:dyDescent="0.25">
      <c r="A33" t="s">
        <v>79</v>
      </c>
      <c r="B33">
        <v>2000</v>
      </c>
      <c r="C33" t="s">
        <v>3</v>
      </c>
      <c r="D33" t="s">
        <v>27</v>
      </c>
      <c r="E33">
        <v>1</v>
      </c>
      <c r="F33" t="s">
        <v>21</v>
      </c>
      <c r="G33">
        <v>1405</v>
      </c>
      <c r="H33" s="2">
        <v>7084964</v>
      </c>
    </row>
    <row r="34" spans="1:8" x14ac:dyDescent="0.25">
      <c r="A34" t="s">
        <v>80</v>
      </c>
      <c r="B34">
        <v>2000</v>
      </c>
      <c r="C34" t="s">
        <v>2</v>
      </c>
      <c r="D34" t="s">
        <v>27</v>
      </c>
      <c r="E34">
        <v>1</v>
      </c>
      <c r="F34" t="s">
        <v>21</v>
      </c>
      <c r="G34">
        <v>5710</v>
      </c>
      <c r="H34" s="2">
        <v>3270725</v>
      </c>
    </row>
    <row r="35" spans="1:8" x14ac:dyDescent="0.25">
      <c r="A35" t="s">
        <v>81</v>
      </c>
      <c r="B35">
        <v>2000</v>
      </c>
      <c r="C35" t="s">
        <v>1</v>
      </c>
      <c r="D35" t="s">
        <v>27</v>
      </c>
      <c r="E35">
        <v>1</v>
      </c>
      <c r="F35" t="s">
        <v>21</v>
      </c>
      <c r="G35">
        <v>5269</v>
      </c>
      <c r="H35" s="2">
        <v>757840</v>
      </c>
    </row>
    <row r="36" spans="1:8" x14ac:dyDescent="0.25">
      <c r="A36" t="s">
        <v>82</v>
      </c>
      <c r="B36">
        <v>2000</v>
      </c>
      <c r="C36" t="s">
        <v>0</v>
      </c>
      <c r="D36" t="s">
        <v>27</v>
      </c>
      <c r="E36">
        <v>1</v>
      </c>
      <c r="F36" t="s">
        <v>21</v>
      </c>
      <c r="G36">
        <v>9485</v>
      </c>
      <c r="H36" s="2">
        <v>757840</v>
      </c>
    </row>
    <row r="37" spans="1:8" x14ac:dyDescent="0.25">
      <c r="A37" t="s">
        <v>83</v>
      </c>
      <c r="B37">
        <v>2001</v>
      </c>
      <c r="C37" t="s">
        <v>6</v>
      </c>
      <c r="D37" t="s">
        <v>27</v>
      </c>
      <c r="E37">
        <v>1</v>
      </c>
      <c r="F37" t="s">
        <v>21</v>
      </c>
      <c r="G37">
        <v>48</v>
      </c>
      <c r="H37" s="2">
        <v>2747486</v>
      </c>
    </row>
    <row r="38" spans="1:8" x14ac:dyDescent="0.25">
      <c r="A38" t="s">
        <v>84</v>
      </c>
      <c r="B38">
        <v>2001</v>
      </c>
      <c r="C38" t="s">
        <v>5</v>
      </c>
      <c r="D38" t="s">
        <v>27</v>
      </c>
      <c r="E38">
        <v>1</v>
      </c>
      <c r="F38" t="s">
        <v>21</v>
      </c>
      <c r="G38">
        <v>51</v>
      </c>
      <c r="H38" s="2">
        <v>5361139</v>
      </c>
    </row>
    <row r="39" spans="1:8" x14ac:dyDescent="0.25">
      <c r="A39" t="s">
        <v>85</v>
      </c>
      <c r="B39">
        <v>2001</v>
      </c>
      <c r="C39" t="s">
        <v>4</v>
      </c>
      <c r="D39" t="s">
        <v>27</v>
      </c>
      <c r="E39">
        <v>1</v>
      </c>
      <c r="F39" t="s">
        <v>21</v>
      </c>
      <c r="G39">
        <v>137</v>
      </c>
      <c r="H39" s="2">
        <v>4849286</v>
      </c>
    </row>
    <row r="40" spans="1:8" x14ac:dyDescent="0.25">
      <c r="A40" t="s">
        <v>86</v>
      </c>
      <c r="B40">
        <v>2001</v>
      </c>
      <c r="C40" t="s">
        <v>3</v>
      </c>
      <c r="D40" t="s">
        <v>27</v>
      </c>
      <c r="E40">
        <v>1</v>
      </c>
      <c r="F40" t="s">
        <v>21</v>
      </c>
      <c r="G40">
        <v>1451</v>
      </c>
      <c r="H40" s="2">
        <v>7223102</v>
      </c>
    </row>
    <row r="41" spans="1:8" x14ac:dyDescent="0.25">
      <c r="A41" t="s">
        <v>87</v>
      </c>
      <c r="B41">
        <v>2001</v>
      </c>
      <c r="C41" t="s">
        <v>2</v>
      </c>
      <c r="D41" t="s">
        <v>27</v>
      </c>
      <c r="E41">
        <v>1</v>
      </c>
      <c r="F41" t="s">
        <v>21</v>
      </c>
      <c r="G41">
        <v>5765</v>
      </c>
      <c r="H41" s="2">
        <v>3394805</v>
      </c>
    </row>
    <row r="42" spans="1:8" x14ac:dyDescent="0.25">
      <c r="A42" t="s">
        <v>88</v>
      </c>
      <c r="B42">
        <v>2001</v>
      </c>
      <c r="C42" t="s">
        <v>1</v>
      </c>
      <c r="D42" t="s">
        <v>27</v>
      </c>
      <c r="E42">
        <v>1</v>
      </c>
      <c r="F42" t="s">
        <v>21</v>
      </c>
      <c r="G42">
        <v>5463</v>
      </c>
      <c r="H42" s="2">
        <v>776376</v>
      </c>
    </row>
    <row r="43" spans="1:8" x14ac:dyDescent="0.25">
      <c r="A43" t="s">
        <v>89</v>
      </c>
      <c r="B43">
        <v>2001</v>
      </c>
      <c r="C43" t="s">
        <v>0</v>
      </c>
      <c r="D43" t="s">
        <v>27</v>
      </c>
      <c r="E43">
        <v>1</v>
      </c>
      <c r="F43" t="s">
        <v>21</v>
      </c>
      <c r="G43">
        <v>10336</v>
      </c>
      <c r="H43" s="2">
        <v>776376</v>
      </c>
    </row>
    <row r="44" spans="1:8" x14ac:dyDescent="0.25">
      <c r="A44" t="s">
        <v>90</v>
      </c>
      <c r="B44">
        <v>2002</v>
      </c>
      <c r="C44" t="s">
        <v>6</v>
      </c>
      <c r="D44" t="s">
        <v>27</v>
      </c>
      <c r="E44">
        <v>1</v>
      </c>
      <c r="F44" t="s">
        <v>21</v>
      </c>
      <c r="G44">
        <v>16</v>
      </c>
      <c r="H44" s="2">
        <v>2756879</v>
      </c>
    </row>
    <row r="45" spans="1:8" x14ac:dyDescent="0.25">
      <c r="A45" t="s">
        <v>91</v>
      </c>
      <c r="B45">
        <v>2002</v>
      </c>
      <c r="C45" t="s">
        <v>5</v>
      </c>
      <c r="D45" t="s">
        <v>27</v>
      </c>
      <c r="E45">
        <v>1</v>
      </c>
      <c r="F45" t="s">
        <v>21</v>
      </c>
      <c r="G45">
        <v>35</v>
      </c>
      <c r="H45" s="2">
        <v>5361107</v>
      </c>
    </row>
    <row r="46" spans="1:8" x14ac:dyDescent="0.25">
      <c r="A46" t="s">
        <v>92</v>
      </c>
      <c r="B46">
        <v>2002</v>
      </c>
      <c r="C46" t="s">
        <v>4</v>
      </c>
      <c r="D46" t="s">
        <v>27</v>
      </c>
      <c r="E46">
        <v>1</v>
      </c>
      <c r="F46" t="s">
        <v>21</v>
      </c>
      <c r="G46">
        <v>146</v>
      </c>
      <c r="H46" s="2">
        <v>4934568</v>
      </c>
    </row>
    <row r="47" spans="1:8" x14ac:dyDescent="0.25">
      <c r="A47" t="s">
        <v>93</v>
      </c>
      <c r="B47">
        <v>2002</v>
      </c>
      <c r="C47" t="s">
        <v>3</v>
      </c>
      <c r="D47" t="s">
        <v>27</v>
      </c>
      <c r="E47">
        <v>1</v>
      </c>
      <c r="F47" t="s">
        <v>21</v>
      </c>
      <c r="G47">
        <v>1315</v>
      </c>
      <c r="H47" s="2">
        <v>7359839</v>
      </c>
    </row>
    <row r="48" spans="1:8" x14ac:dyDescent="0.25">
      <c r="A48" t="s">
        <v>94</v>
      </c>
      <c r="B48">
        <v>2002</v>
      </c>
      <c r="C48" t="s">
        <v>2</v>
      </c>
      <c r="D48" t="s">
        <v>27</v>
      </c>
      <c r="E48">
        <v>1</v>
      </c>
      <c r="F48" t="s">
        <v>21</v>
      </c>
      <c r="G48">
        <v>5659</v>
      </c>
      <c r="H48" s="2">
        <v>3526909</v>
      </c>
    </row>
    <row r="49" spans="1:8" x14ac:dyDescent="0.25">
      <c r="A49" t="s">
        <v>95</v>
      </c>
      <c r="B49">
        <v>2002</v>
      </c>
      <c r="C49" t="s">
        <v>1</v>
      </c>
      <c r="D49" t="s">
        <v>27</v>
      </c>
      <c r="E49">
        <v>1</v>
      </c>
      <c r="F49" t="s">
        <v>21</v>
      </c>
      <c r="G49">
        <v>5165</v>
      </c>
      <c r="H49" s="2">
        <v>796712</v>
      </c>
    </row>
    <row r="50" spans="1:8" x14ac:dyDescent="0.25">
      <c r="A50" t="s">
        <v>96</v>
      </c>
      <c r="B50">
        <v>2002</v>
      </c>
      <c r="C50" t="s">
        <v>0</v>
      </c>
      <c r="D50" t="s">
        <v>27</v>
      </c>
      <c r="E50">
        <v>1</v>
      </c>
      <c r="F50" t="s">
        <v>21</v>
      </c>
      <c r="G50">
        <v>10013</v>
      </c>
      <c r="H50" s="2">
        <v>796712</v>
      </c>
    </row>
    <row r="51" spans="1:8" x14ac:dyDescent="0.25">
      <c r="A51" t="s">
        <v>97</v>
      </c>
      <c r="B51">
        <v>2003</v>
      </c>
      <c r="C51" t="s">
        <v>6</v>
      </c>
      <c r="D51" t="s">
        <v>27</v>
      </c>
      <c r="E51">
        <v>1</v>
      </c>
      <c r="F51" t="s">
        <v>21</v>
      </c>
      <c r="G51">
        <v>46</v>
      </c>
      <c r="H51" s="2">
        <v>2764684</v>
      </c>
    </row>
    <row r="52" spans="1:8" x14ac:dyDescent="0.25">
      <c r="A52" t="s">
        <v>98</v>
      </c>
      <c r="B52">
        <v>2003</v>
      </c>
      <c r="C52" t="s">
        <v>5</v>
      </c>
      <c r="D52" t="s">
        <v>27</v>
      </c>
      <c r="E52">
        <v>1</v>
      </c>
      <c r="F52" t="s">
        <v>21</v>
      </c>
      <c r="G52">
        <v>34</v>
      </c>
      <c r="H52" s="2">
        <v>5364597</v>
      </c>
    </row>
    <row r="53" spans="1:8" x14ac:dyDescent="0.25">
      <c r="A53" t="s">
        <v>99</v>
      </c>
      <c r="B53">
        <v>2003</v>
      </c>
      <c r="C53" t="s">
        <v>4</v>
      </c>
      <c r="D53" t="s">
        <v>27</v>
      </c>
      <c r="E53">
        <v>1</v>
      </c>
      <c r="F53" t="s">
        <v>21</v>
      </c>
      <c r="G53">
        <v>148</v>
      </c>
      <c r="H53" s="2">
        <v>5011124</v>
      </c>
    </row>
    <row r="54" spans="1:8" x14ac:dyDescent="0.25">
      <c r="A54" t="s">
        <v>100</v>
      </c>
      <c r="B54">
        <v>2003</v>
      </c>
      <c r="C54" t="s">
        <v>3</v>
      </c>
      <c r="D54" t="s">
        <v>27</v>
      </c>
      <c r="E54">
        <v>1</v>
      </c>
      <c r="F54" t="s">
        <v>21</v>
      </c>
      <c r="G54">
        <v>1302</v>
      </c>
      <c r="H54" s="2">
        <v>7496056</v>
      </c>
    </row>
    <row r="55" spans="1:8" x14ac:dyDescent="0.25">
      <c r="A55" t="s">
        <v>101</v>
      </c>
      <c r="B55">
        <v>2003</v>
      </c>
      <c r="C55" t="s">
        <v>2</v>
      </c>
      <c r="D55" t="s">
        <v>27</v>
      </c>
      <c r="E55">
        <v>1</v>
      </c>
      <c r="F55" t="s">
        <v>21</v>
      </c>
      <c r="G55">
        <v>5920</v>
      </c>
      <c r="H55" s="2">
        <v>3666671</v>
      </c>
    </row>
    <row r="56" spans="1:8" x14ac:dyDescent="0.25">
      <c r="A56" t="s">
        <v>102</v>
      </c>
      <c r="B56">
        <v>2003</v>
      </c>
      <c r="C56" t="s">
        <v>1</v>
      </c>
      <c r="D56" t="s">
        <v>27</v>
      </c>
      <c r="E56">
        <v>1</v>
      </c>
      <c r="F56" t="s">
        <v>21</v>
      </c>
      <c r="G56">
        <v>5686</v>
      </c>
      <c r="H56" s="2">
        <v>818433</v>
      </c>
    </row>
    <row r="57" spans="1:8" x14ac:dyDescent="0.25">
      <c r="A57" t="s">
        <v>103</v>
      </c>
      <c r="B57">
        <v>2003</v>
      </c>
      <c r="C57" t="s">
        <v>0</v>
      </c>
      <c r="D57" t="s">
        <v>27</v>
      </c>
      <c r="E57">
        <v>1</v>
      </c>
      <c r="F57" t="s">
        <v>21</v>
      </c>
      <c r="G57">
        <v>11428</v>
      </c>
      <c r="H57" s="2">
        <v>818433</v>
      </c>
    </row>
    <row r="58" spans="1:8" x14ac:dyDescent="0.25">
      <c r="A58" t="s">
        <v>104</v>
      </c>
      <c r="B58">
        <v>2004</v>
      </c>
      <c r="C58" t="s">
        <v>6</v>
      </c>
      <c r="D58" t="s">
        <v>27</v>
      </c>
      <c r="E58">
        <v>1</v>
      </c>
      <c r="F58" t="s">
        <v>21</v>
      </c>
      <c r="G58">
        <v>10</v>
      </c>
      <c r="H58" s="2">
        <v>2770821</v>
      </c>
    </row>
    <row r="59" spans="1:8" x14ac:dyDescent="0.25">
      <c r="A59" t="s">
        <v>105</v>
      </c>
      <c r="B59">
        <v>2004</v>
      </c>
      <c r="C59" t="s">
        <v>5</v>
      </c>
      <c r="D59" t="s">
        <v>27</v>
      </c>
      <c r="E59">
        <v>1</v>
      </c>
      <c r="F59" t="s">
        <v>21</v>
      </c>
      <c r="G59">
        <v>18</v>
      </c>
      <c r="H59" s="2">
        <v>5372677</v>
      </c>
    </row>
    <row r="60" spans="1:8" x14ac:dyDescent="0.25">
      <c r="A60" t="s">
        <v>106</v>
      </c>
      <c r="B60">
        <v>2004</v>
      </c>
      <c r="C60" t="s">
        <v>4</v>
      </c>
      <c r="D60" t="s">
        <v>27</v>
      </c>
      <c r="E60">
        <v>1</v>
      </c>
      <c r="F60" t="s">
        <v>21</v>
      </c>
      <c r="G60">
        <v>136</v>
      </c>
      <c r="H60" s="2">
        <v>5078223</v>
      </c>
    </row>
    <row r="61" spans="1:8" x14ac:dyDescent="0.25">
      <c r="A61" t="s">
        <v>107</v>
      </c>
      <c r="B61">
        <v>2004</v>
      </c>
      <c r="C61" t="s">
        <v>3</v>
      </c>
      <c r="D61" t="s">
        <v>27</v>
      </c>
      <c r="E61">
        <v>1</v>
      </c>
      <c r="F61" t="s">
        <v>21</v>
      </c>
      <c r="G61">
        <v>1187</v>
      </c>
      <c r="H61" s="2">
        <v>7631406</v>
      </c>
    </row>
    <row r="62" spans="1:8" x14ac:dyDescent="0.25">
      <c r="A62" t="s">
        <v>108</v>
      </c>
      <c r="B62">
        <v>2004</v>
      </c>
      <c r="C62" t="s">
        <v>2</v>
      </c>
      <c r="D62" t="s">
        <v>27</v>
      </c>
      <c r="E62">
        <v>1</v>
      </c>
      <c r="F62" t="s">
        <v>21</v>
      </c>
      <c r="G62">
        <v>6015</v>
      </c>
      <c r="H62" s="2">
        <v>3814359</v>
      </c>
    </row>
    <row r="63" spans="1:8" x14ac:dyDescent="0.25">
      <c r="A63" t="s">
        <v>109</v>
      </c>
      <c r="B63">
        <v>2004</v>
      </c>
      <c r="C63" t="s">
        <v>1</v>
      </c>
      <c r="D63" t="s">
        <v>27</v>
      </c>
      <c r="E63">
        <v>1</v>
      </c>
      <c r="F63" t="s">
        <v>21</v>
      </c>
      <c r="G63">
        <v>5472</v>
      </c>
      <c r="H63" s="2">
        <v>841739</v>
      </c>
    </row>
    <row r="64" spans="1:8" x14ac:dyDescent="0.25">
      <c r="A64" t="s">
        <v>110</v>
      </c>
      <c r="B64">
        <v>2004</v>
      </c>
      <c r="C64" t="s">
        <v>0</v>
      </c>
      <c r="D64" t="s">
        <v>27</v>
      </c>
      <c r="E64">
        <v>1</v>
      </c>
      <c r="F64" t="s">
        <v>21</v>
      </c>
      <c r="G64">
        <v>11443</v>
      </c>
      <c r="H64" s="2">
        <v>841739</v>
      </c>
    </row>
    <row r="65" spans="1:8" x14ac:dyDescent="0.25">
      <c r="A65" t="s">
        <v>111</v>
      </c>
      <c r="B65">
        <v>2005</v>
      </c>
      <c r="C65" t="s">
        <v>6</v>
      </c>
      <c r="D65" t="s">
        <v>27</v>
      </c>
      <c r="E65">
        <v>1</v>
      </c>
      <c r="F65" t="s">
        <v>21</v>
      </c>
      <c r="G65">
        <v>11</v>
      </c>
      <c r="H65" s="2">
        <v>2774961</v>
      </c>
    </row>
    <row r="66" spans="1:8" x14ac:dyDescent="0.25">
      <c r="A66" t="s">
        <v>112</v>
      </c>
      <c r="B66">
        <v>2005</v>
      </c>
      <c r="C66" t="s">
        <v>5</v>
      </c>
      <c r="D66" t="s">
        <v>27</v>
      </c>
      <c r="E66">
        <v>1</v>
      </c>
      <c r="F66" t="s">
        <v>21</v>
      </c>
      <c r="G66">
        <v>10</v>
      </c>
      <c r="H66" s="2">
        <v>5386812</v>
      </c>
    </row>
    <row r="67" spans="1:8" x14ac:dyDescent="0.25">
      <c r="A67" t="s">
        <v>113</v>
      </c>
      <c r="B67">
        <v>2005</v>
      </c>
      <c r="C67" t="s">
        <v>4</v>
      </c>
      <c r="D67" t="s">
        <v>27</v>
      </c>
      <c r="E67">
        <v>1</v>
      </c>
      <c r="F67" t="s">
        <v>21</v>
      </c>
      <c r="G67">
        <v>141</v>
      </c>
      <c r="H67" s="2">
        <v>5134473</v>
      </c>
    </row>
    <row r="68" spans="1:8" x14ac:dyDescent="0.25">
      <c r="A68" t="s">
        <v>114</v>
      </c>
      <c r="B68">
        <v>2005</v>
      </c>
      <c r="C68" t="s">
        <v>3</v>
      </c>
      <c r="D68" t="s">
        <v>27</v>
      </c>
      <c r="E68">
        <v>1</v>
      </c>
      <c r="F68" t="s">
        <v>21</v>
      </c>
      <c r="G68">
        <v>1303</v>
      </c>
      <c r="H68" s="2">
        <v>7765159</v>
      </c>
    </row>
    <row r="69" spans="1:8" x14ac:dyDescent="0.25">
      <c r="A69" t="s">
        <v>115</v>
      </c>
      <c r="B69">
        <v>2005</v>
      </c>
      <c r="C69" t="s">
        <v>2</v>
      </c>
      <c r="D69" t="s">
        <v>27</v>
      </c>
      <c r="E69">
        <v>1</v>
      </c>
      <c r="F69" t="s">
        <v>21</v>
      </c>
      <c r="G69">
        <v>6096</v>
      </c>
      <c r="H69" s="2">
        <v>3970997</v>
      </c>
    </row>
    <row r="70" spans="1:8" x14ac:dyDescent="0.25">
      <c r="A70" t="s">
        <v>116</v>
      </c>
      <c r="B70">
        <v>2005</v>
      </c>
      <c r="C70" t="s">
        <v>1</v>
      </c>
      <c r="D70" t="s">
        <v>27</v>
      </c>
      <c r="E70">
        <v>1</v>
      </c>
      <c r="F70" t="s">
        <v>21</v>
      </c>
      <c r="G70">
        <v>5307</v>
      </c>
      <c r="H70" s="2">
        <v>866819</v>
      </c>
    </row>
    <row r="71" spans="1:8" x14ac:dyDescent="0.25">
      <c r="A71" t="s">
        <v>117</v>
      </c>
      <c r="B71">
        <v>2005</v>
      </c>
      <c r="C71" t="s">
        <v>0</v>
      </c>
      <c r="D71" t="s">
        <v>27</v>
      </c>
      <c r="E71">
        <v>1</v>
      </c>
      <c r="F71" t="s">
        <v>21</v>
      </c>
      <c r="G71">
        <v>11485</v>
      </c>
      <c r="H71" s="2">
        <v>866819</v>
      </c>
    </row>
    <row r="72" spans="1:8" x14ac:dyDescent="0.25">
      <c r="A72" t="s">
        <v>118</v>
      </c>
      <c r="B72">
        <v>2006</v>
      </c>
      <c r="C72" t="s">
        <v>6</v>
      </c>
      <c r="D72" t="s">
        <v>27</v>
      </c>
      <c r="E72">
        <v>1</v>
      </c>
      <c r="F72" t="s">
        <v>21</v>
      </c>
      <c r="G72">
        <v>2</v>
      </c>
      <c r="H72" s="2">
        <v>2777568</v>
      </c>
    </row>
    <row r="73" spans="1:8" x14ac:dyDescent="0.25">
      <c r="A73" t="s">
        <v>119</v>
      </c>
      <c r="B73">
        <v>2006</v>
      </c>
      <c r="C73" t="s">
        <v>5</v>
      </c>
      <c r="D73" t="s">
        <v>27</v>
      </c>
      <c r="E73">
        <v>1</v>
      </c>
      <c r="F73" t="s">
        <v>21</v>
      </c>
      <c r="G73">
        <v>15</v>
      </c>
      <c r="H73" s="2">
        <v>5407717</v>
      </c>
    </row>
    <row r="74" spans="1:8" x14ac:dyDescent="0.25">
      <c r="A74" t="s">
        <v>120</v>
      </c>
      <c r="B74">
        <v>2006</v>
      </c>
      <c r="C74" t="s">
        <v>4</v>
      </c>
      <c r="D74" t="s">
        <v>27</v>
      </c>
      <c r="E74">
        <v>1</v>
      </c>
      <c r="F74" t="s">
        <v>21</v>
      </c>
      <c r="G74">
        <v>146</v>
      </c>
      <c r="H74" s="2">
        <v>5178861</v>
      </c>
    </row>
    <row r="75" spans="1:8" x14ac:dyDescent="0.25">
      <c r="A75" t="s">
        <v>121</v>
      </c>
      <c r="B75">
        <v>2006</v>
      </c>
      <c r="C75" t="s">
        <v>3</v>
      </c>
      <c r="D75" t="s">
        <v>27</v>
      </c>
      <c r="E75">
        <v>1</v>
      </c>
      <c r="F75" t="s">
        <v>21</v>
      </c>
      <c r="G75">
        <v>1265</v>
      </c>
      <c r="H75" s="2">
        <v>7897108</v>
      </c>
    </row>
    <row r="76" spans="1:8" x14ac:dyDescent="0.25">
      <c r="A76" t="s">
        <v>122</v>
      </c>
      <c r="B76">
        <v>2006</v>
      </c>
      <c r="C76" t="s">
        <v>2</v>
      </c>
      <c r="D76" t="s">
        <v>27</v>
      </c>
      <c r="E76">
        <v>1</v>
      </c>
      <c r="F76" t="s">
        <v>21</v>
      </c>
      <c r="G76">
        <v>6338</v>
      </c>
      <c r="H76" s="2">
        <v>4136588</v>
      </c>
    </row>
    <row r="77" spans="1:8" x14ac:dyDescent="0.25">
      <c r="A77" t="s">
        <v>123</v>
      </c>
      <c r="B77">
        <v>2006</v>
      </c>
      <c r="C77" t="s">
        <v>1</v>
      </c>
      <c r="D77" t="s">
        <v>27</v>
      </c>
      <c r="E77">
        <v>1</v>
      </c>
      <c r="F77" t="s">
        <v>21</v>
      </c>
      <c r="G77">
        <v>5585</v>
      </c>
      <c r="H77" s="2">
        <v>893794</v>
      </c>
    </row>
    <row r="78" spans="1:8" x14ac:dyDescent="0.25">
      <c r="A78" t="s">
        <v>124</v>
      </c>
      <c r="B78">
        <v>2006</v>
      </c>
      <c r="C78" t="s">
        <v>0</v>
      </c>
      <c r="D78" t="s">
        <v>27</v>
      </c>
      <c r="E78">
        <v>1</v>
      </c>
      <c r="F78" t="s">
        <v>21</v>
      </c>
      <c r="G78">
        <v>11626</v>
      </c>
      <c r="H78" s="2">
        <v>893794</v>
      </c>
    </row>
    <row r="79" spans="1:8" x14ac:dyDescent="0.25">
      <c r="A79" t="s">
        <v>125</v>
      </c>
      <c r="B79">
        <v>2007</v>
      </c>
      <c r="C79" t="s">
        <v>6</v>
      </c>
      <c r="D79" t="s">
        <v>27</v>
      </c>
      <c r="E79">
        <v>1</v>
      </c>
      <c r="F79" t="s">
        <v>21</v>
      </c>
      <c r="G79">
        <v>1</v>
      </c>
      <c r="H79" s="2">
        <v>2778731</v>
      </c>
    </row>
    <row r="80" spans="1:8" x14ac:dyDescent="0.25">
      <c r="A80" t="s">
        <v>126</v>
      </c>
      <c r="B80">
        <v>2007</v>
      </c>
      <c r="C80" t="s">
        <v>5</v>
      </c>
      <c r="D80" t="s">
        <v>27</v>
      </c>
      <c r="E80">
        <v>1</v>
      </c>
      <c r="F80" t="s">
        <v>21</v>
      </c>
      <c r="G80">
        <v>14</v>
      </c>
      <c r="H80" s="2">
        <v>5427910</v>
      </c>
    </row>
    <row r="81" spans="1:8" x14ac:dyDescent="0.25">
      <c r="A81" t="s">
        <v>127</v>
      </c>
      <c r="B81">
        <v>2007</v>
      </c>
      <c r="C81" t="s">
        <v>4</v>
      </c>
      <c r="D81" t="s">
        <v>27</v>
      </c>
      <c r="E81">
        <v>1</v>
      </c>
      <c r="F81" t="s">
        <v>21</v>
      </c>
      <c r="G81">
        <v>119</v>
      </c>
      <c r="H81" s="2">
        <v>5216537</v>
      </c>
    </row>
    <row r="82" spans="1:8" x14ac:dyDescent="0.25">
      <c r="A82" t="s">
        <v>128</v>
      </c>
      <c r="B82">
        <v>2007</v>
      </c>
      <c r="C82" t="s">
        <v>3</v>
      </c>
      <c r="D82" t="s">
        <v>27</v>
      </c>
      <c r="E82">
        <v>1</v>
      </c>
      <c r="F82" t="s">
        <v>21</v>
      </c>
      <c r="G82">
        <v>1359</v>
      </c>
      <c r="H82" s="2">
        <v>8032843</v>
      </c>
    </row>
    <row r="83" spans="1:8" x14ac:dyDescent="0.25">
      <c r="A83" t="s">
        <v>129</v>
      </c>
      <c r="B83">
        <v>2007</v>
      </c>
      <c r="C83" t="s">
        <v>2</v>
      </c>
      <c r="D83" t="s">
        <v>27</v>
      </c>
      <c r="E83">
        <v>1</v>
      </c>
      <c r="F83" t="s">
        <v>21</v>
      </c>
      <c r="G83">
        <v>6578</v>
      </c>
      <c r="H83" s="2">
        <v>4307510</v>
      </c>
    </row>
    <row r="84" spans="1:8" x14ac:dyDescent="0.25">
      <c r="A84" t="s">
        <v>130</v>
      </c>
      <c r="B84">
        <v>2007</v>
      </c>
      <c r="C84" t="s">
        <v>1</v>
      </c>
      <c r="D84" t="s">
        <v>27</v>
      </c>
      <c r="E84">
        <v>1</v>
      </c>
      <c r="F84" t="s">
        <v>21</v>
      </c>
      <c r="G84">
        <v>5606</v>
      </c>
      <c r="H84" s="2">
        <v>922773</v>
      </c>
    </row>
    <row r="85" spans="1:8" x14ac:dyDescent="0.25">
      <c r="A85" t="s">
        <v>131</v>
      </c>
      <c r="B85">
        <v>2007</v>
      </c>
      <c r="C85" t="s">
        <v>0</v>
      </c>
      <c r="D85" t="s">
        <v>27</v>
      </c>
      <c r="E85">
        <v>1</v>
      </c>
      <c r="F85" t="s">
        <v>21</v>
      </c>
      <c r="G85">
        <v>11923</v>
      </c>
      <c r="H85" s="2">
        <v>922773</v>
      </c>
    </row>
    <row r="86" spans="1:8" x14ac:dyDescent="0.25">
      <c r="A86" t="s">
        <v>132</v>
      </c>
      <c r="B86">
        <v>2008</v>
      </c>
      <c r="C86" t="s">
        <v>6</v>
      </c>
      <c r="D86" t="s">
        <v>27</v>
      </c>
      <c r="E86">
        <v>1</v>
      </c>
      <c r="F86" t="s">
        <v>21</v>
      </c>
      <c r="G86">
        <v>4</v>
      </c>
      <c r="H86" s="2">
        <v>2778239</v>
      </c>
    </row>
    <row r="87" spans="1:8" x14ac:dyDescent="0.25">
      <c r="A87" t="s">
        <v>133</v>
      </c>
      <c r="B87">
        <v>2008</v>
      </c>
      <c r="C87" t="s">
        <v>5</v>
      </c>
      <c r="D87" t="s">
        <v>27</v>
      </c>
      <c r="E87">
        <v>1</v>
      </c>
      <c r="F87" t="s">
        <v>21</v>
      </c>
      <c r="G87">
        <v>7</v>
      </c>
      <c r="H87" s="2">
        <v>5448390</v>
      </c>
    </row>
    <row r="88" spans="1:8" x14ac:dyDescent="0.25">
      <c r="A88" t="s">
        <v>134</v>
      </c>
      <c r="B88">
        <v>2008</v>
      </c>
      <c r="C88" t="s">
        <v>4</v>
      </c>
      <c r="D88" t="s">
        <v>27</v>
      </c>
      <c r="E88">
        <v>1</v>
      </c>
      <c r="F88" t="s">
        <v>21</v>
      </c>
      <c r="G88">
        <v>154</v>
      </c>
      <c r="H88" s="2">
        <v>5246997</v>
      </c>
    </row>
    <row r="89" spans="1:8" x14ac:dyDescent="0.25">
      <c r="A89" t="s">
        <v>135</v>
      </c>
      <c r="B89">
        <v>2008</v>
      </c>
      <c r="C89" t="s">
        <v>3</v>
      </c>
      <c r="D89" t="s">
        <v>27</v>
      </c>
      <c r="E89">
        <v>1</v>
      </c>
      <c r="F89" t="s">
        <v>21</v>
      </c>
      <c r="G89">
        <v>1387</v>
      </c>
      <c r="H89" s="2">
        <v>8172306</v>
      </c>
    </row>
    <row r="90" spans="1:8" x14ac:dyDescent="0.25">
      <c r="A90" t="s">
        <v>136</v>
      </c>
      <c r="B90">
        <v>2008</v>
      </c>
      <c r="C90" t="s">
        <v>2</v>
      </c>
      <c r="D90" t="s">
        <v>27</v>
      </c>
      <c r="E90">
        <v>1</v>
      </c>
      <c r="F90" t="s">
        <v>21</v>
      </c>
      <c r="G90">
        <v>7062</v>
      </c>
      <c r="H90" s="2">
        <v>4483302</v>
      </c>
    </row>
    <row r="91" spans="1:8" x14ac:dyDescent="0.25">
      <c r="A91" t="s">
        <v>137</v>
      </c>
      <c r="B91">
        <v>2008</v>
      </c>
      <c r="C91" t="s">
        <v>1</v>
      </c>
      <c r="D91" t="s">
        <v>27</v>
      </c>
      <c r="E91">
        <v>1</v>
      </c>
      <c r="F91" t="s">
        <v>21</v>
      </c>
      <c r="G91">
        <v>5687</v>
      </c>
      <c r="H91" s="2">
        <v>953869</v>
      </c>
    </row>
    <row r="92" spans="1:8" x14ac:dyDescent="0.25">
      <c r="A92" t="s">
        <v>138</v>
      </c>
      <c r="B92">
        <v>2008</v>
      </c>
      <c r="C92" t="s">
        <v>0</v>
      </c>
      <c r="D92" t="s">
        <v>27</v>
      </c>
      <c r="E92">
        <v>1</v>
      </c>
      <c r="F92" t="s">
        <v>21</v>
      </c>
      <c r="G92">
        <v>13241</v>
      </c>
      <c r="H92" s="2">
        <v>953869</v>
      </c>
    </row>
    <row r="93" spans="1:8" x14ac:dyDescent="0.25">
      <c r="A93" t="s">
        <v>139</v>
      </c>
      <c r="B93">
        <v>2009</v>
      </c>
      <c r="C93" t="s">
        <v>6</v>
      </c>
      <c r="D93" t="s">
        <v>27</v>
      </c>
      <c r="E93">
        <v>1</v>
      </c>
      <c r="F93" t="s">
        <v>21</v>
      </c>
      <c r="G93">
        <v>2</v>
      </c>
      <c r="H93" s="2">
        <v>2775920</v>
      </c>
    </row>
    <row r="94" spans="1:8" x14ac:dyDescent="0.25">
      <c r="A94" t="s">
        <v>140</v>
      </c>
      <c r="B94">
        <v>2009</v>
      </c>
      <c r="C94" t="s">
        <v>5</v>
      </c>
      <c r="D94" t="s">
        <v>27</v>
      </c>
      <c r="E94">
        <v>1</v>
      </c>
      <c r="F94" t="s">
        <v>21</v>
      </c>
      <c r="G94">
        <v>9</v>
      </c>
      <c r="H94" s="2">
        <v>5469822</v>
      </c>
    </row>
    <row r="95" spans="1:8" x14ac:dyDescent="0.25">
      <c r="A95" t="s">
        <v>141</v>
      </c>
      <c r="B95">
        <v>2009</v>
      </c>
      <c r="C95" t="s">
        <v>4</v>
      </c>
      <c r="D95" t="s">
        <v>27</v>
      </c>
      <c r="E95">
        <v>1</v>
      </c>
      <c r="F95" t="s">
        <v>21</v>
      </c>
      <c r="G95">
        <v>139</v>
      </c>
      <c r="H95" s="2">
        <v>5270463</v>
      </c>
    </row>
    <row r="96" spans="1:8" x14ac:dyDescent="0.25">
      <c r="A96" t="s">
        <v>142</v>
      </c>
      <c r="B96">
        <v>2009</v>
      </c>
      <c r="C96" t="s">
        <v>3</v>
      </c>
      <c r="D96" t="s">
        <v>27</v>
      </c>
      <c r="E96">
        <v>1</v>
      </c>
      <c r="F96" t="s">
        <v>21</v>
      </c>
      <c r="G96">
        <v>1442</v>
      </c>
      <c r="H96" s="2">
        <v>8314639</v>
      </c>
    </row>
    <row r="97" spans="1:8" x14ac:dyDescent="0.25">
      <c r="A97" t="s">
        <v>143</v>
      </c>
      <c r="B97">
        <v>2009</v>
      </c>
      <c r="C97" t="s">
        <v>2</v>
      </c>
      <c r="D97" t="s">
        <v>27</v>
      </c>
      <c r="E97">
        <v>1</v>
      </c>
      <c r="F97" t="s">
        <v>21</v>
      </c>
      <c r="G97">
        <v>7200</v>
      </c>
      <c r="H97" s="2">
        <v>4663733</v>
      </c>
    </row>
    <row r="98" spans="1:8" x14ac:dyDescent="0.25">
      <c r="A98" t="s">
        <v>144</v>
      </c>
      <c r="B98">
        <v>2009</v>
      </c>
      <c r="C98" t="s">
        <v>1</v>
      </c>
      <c r="D98" t="s">
        <v>27</v>
      </c>
      <c r="E98">
        <v>1</v>
      </c>
      <c r="F98" t="s">
        <v>21</v>
      </c>
      <c r="G98">
        <v>5657</v>
      </c>
      <c r="H98" s="2">
        <v>987212</v>
      </c>
    </row>
    <row r="99" spans="1:8" x14ac:dyDescent="0.25">
      <c r="A99" t="s">
        <v>145</v>
      </c>
      <c r="B99">
        <v>2009</v>
      </c>
      <c r="C99" t="s">
        <v>0</v>
      </c>
      <c r="D99" t="s">
        <v>27</v>
      </c>
      <c r="E99">
        <v>1</v>
      </c>
      <c r="F99" t="s">
        <v>21</v>
      </c>
      <c r="G99">
        <v>12904</v>
      </c>
      <c r="H99" s="2">
        <v>987212</v>
      </c>
    </row>
    <row r="100" spans="1:8" x14ac:dyDescent="0.25">
      <c r="A100" t="s">
        <v>146</v>
      </c>
      <c r="B100">
        <v>2010</v>
      </c>
      <c r="C100" t="s">
        <v>6</v>
      </c>
      <c r="D100" t="s">
        <v>27</v>
      </c>
      <c r="E100">
        <v>1</v>
      </c>
      <c r="F100" t="s">
        <v>21</v>
      </c>
      <c r="G100">
        <v>5</v>
      </c>
      <c r="H100" s="2">
        <v>2771760</v>
      </c>
    </row>
    <row r="101" spans="1:8" x14ac:dyDescent="0.25">
      <c r="A101" t="s">
        <v>147</v>
      </c>
      <c r="B101">
        <v>2010</v>
      </c>
      <c r="C101" t="s">
        <v>5</v>
      </c>
      <c r="D101" t="s">
        <v>27</v>
      </c>
      <c r="E101">
        <v>1</v>
      </c>
      <c r="F101" t="s">
        <v>21</v>
      </c>
      <c r="G101">
        <v>10</v>
      </c>
      <c r="H101" s="2">
        <v>5492408</v>
      </c>
    </row>
    <row r="102" spans="1:8" x14ac:dyDescent="0.25">
      <c r="A102" t="s">
        <v>148</v>
      </c>
      <c r="B102">
        <v>2010</v>
      </c>
      <c r="C102" t="s">
        <v>4</v>
      </c>
      <c r="D102" t="s">
        <v>27</v>
      </c>
      <c r="E102">
        <v>1</v>
      </c>
      <c r="F102" t="s">
        <v>21</v>
      </c>
      <c r="G102">
        <v>153</v>
      </c>
      <c r="H102" s="2">
        <v>5286720</v>
      </c>
    </row>
    <row r="103" spans="1:8" x14ac:dyDescent="0.25">
      <c r="A103" t="s">
        <v>149</v>
      </c>
      <c r="B103">
        <v>2010</v>
      </c>
      <c r="C103" t="s">
        <v>3</v>
      </c>
      <c r="D103" t="s">
        <v>27</v>
      </c>
      <c r="E103">
        <v>1</v>
      </c>
      <c r="F103" t="s">
        <v>21</v>
      </c>
      <c r="G103">
        <v>1461</v>
      </c>
      <c r="H103" s="2">
        <v>8458444</v>
      </c>
    </row>
    <row r="104" spans="1:8" x14ac:dyDescent="0.25">
      <c r="A104" t="s">
        <v>150</v>
      </c>
      <c r="B104">
        <v>2010</v>
      </c>
      <c r="C104" t="s">
        <v>2</v>
      </c>
      <c r="D104" t="s">
        <v>27</v>
      </c>
      <c r="E104">
        <v>1</v>
      </c>
      <c r="F104" t="s">
        <v>21</v>
      </c>
      <c r="G104">
        <v>7511</v>
      </c>
      <c r="H104" s="2">
        <v>4849717</v>
      </c>
    </row>
    <row r="105" spans="1:8" x14ac:dyDescent="0.25">
      <c r="A105" t="s">
        <v>151</v>
      </c>
      <c r="B105">
        <v>2010</v>
      </c>
      <c r="C105" t="s">
        <v>1</v>
      </c>
      <c r="D105" t="s">
        <v>27</v>
      </c>
      <c r="E105">
        <v>1</v>
      </c>
      <c r="F105" t="s">
        <v>21</v>
      </c>
      <c r="G105">
        <v>6015</v>
      </c>
      <c r="H105" s="2">
        <v>1022974</v>
      </c>
    </row>
    <row r="106" spans="1:8" x14ac:dyDescent="0.25">
      <c r="A106" t="s">
        <v>152</v>
      </c>
      <c r="B106">
        <v>2010</v>
      </c>
      <c r="C106" t="s">
        <v>0</v>
      </c>
      <c r="D106" t="s">
        <v>27</v>
      </c>
      <c r="E106">
        <v>1</v>
      </c>
      <c r="F106" t="s">
        <v>21</v>
      </c>
      <c r="G106">
        <v>13923</v>
      </c>
      <c r="H106" s="2">
        <v>1022974</v>
      </c>
    </row>
    <row r="107" spans="1:8" x14ac:dyDescent="0.25">
      <c r="A107" t="s">
        <v>153</v>
      </c>
      <c r="B107">
        <v>2011</v>
      </c>
      <c r="C107" t="s">
        <v>6</v>
      </c>
      <c r="D107" t="s">
        <v>27</v>
      </c>
      <c r="E107">
        <v>1</v>
      </c>
      <c r="F107" t="s">
        <v>21</v>
      </c>
      <c r="G107">
        <v>8</v>
      </c>
      <c r="H107" s="2">
        <v>2765898</v>
      </c>
    </row>
    <row r="108" spans="1:8" x14ac:dyDescent="0.25">
      <c r="A108" t="s">
        <v>154</v>
      </c>
      <c r="B108">
        <v>2011</v>
      </c>
      <c r="C108" t="s">
        <v>5</v>
      </c>
      <c r="D108" t="s">
        <v>27</v>
      </c>
      <c r="E108">
        <v>1</v>
      </c>
      <c r="F108" t="s">
        <v>21</v>
      </c>
      <c r="G108">
        <v>24</v>
      </c>
      <c r="H108" s="2">
        <v>5516288</v>
      </c>
    </row>
    <row r="109" spans="1:8" x14ac:dyDescent="0.25">
      <c r="A109" t="s">
        <v>155</v>
      </c>
      <c r="B109">
        <v>2011</v>
      </c>
      <c r="C109" t="s">
        <v>4</v>
      </c>
      <c r="D109" t="s">
        <v>27</v>
      </c>
      <c r="E109">
        <v>1</v>
      </c>
      <c r="F109" t="s">
        <v>21</v>
      </c>
      <c r="G109">
        <v>154</v>
      </c>
      <c r="H109" s="2">
        <v>5296319</v>
      </c>
    </row>
    <row r="110" spans="1:8" x14ac:dyDescent="0.25">
      <c r="A110" t="s">
        <v>156</v>
      </c>
      <c r="B110">
        <v>2011</v>
      </c>
      <c r="C110" t="s">
        <v>3</v>
      </c>
      <c r="D110" t="s">
        <v>27</v>
      </c>
      <c r="E110">
        <v>1</v>
      </c>
      <c r="F110" t="s">
        <v>21</v>
      </c>
      <c r="G110">
        <v>1430</v>
      </c>
      <c r="H110" s="2">
        <v>8602515</v>
      </c>
    </row>
    <row r="111" spans="1:8" x14ac:dyDescent="0.25">
      <c r="A111" t="s">
        <v>157</v>
      </c>
      <c r="B111">
        <v>2011</v>
      </c>
      <c r="C111" t="s">
        <v>2</v>
      </c>
      <c r="D111" t="s">
        <v>27</v>
      </c>
      <c r="E111">
        <v>1</v>
      </c>
      <c r="F111" t="s">
        <v>21</v>
      </c>
      <c r="G111">
        <v>7764</v>
      </c>
      <c r="H111" s="2">
        <v>5041154</v>
      </c>
    </row>
    <row r="112" spans="1:8" x14ac:dyDescent="0.25">
      <c r="A112" t="s">
        <v>158</v>
      </c>
      <c r="B112">
        <v>2011</v>
      </c>
      <c r="C112" t="s">
        <v>1</v>
      </c>
      <c r="D112" t="s">
        <v>27</v>
      </c>
      <c r="E112">
        <v>1</v>
      </c>
      <c r="F112" t="s">
        <v>21</v>
      </c>
      <c r="G112">
        <v>6295</v>
      </c>
      <c r="H112" s="2">
        <v>1061340</v>
      </c>
    </row>
    <row r="113" spans="1:8" x14ac:dyDescent="0.25">
      <c r="A113" t="s">
        <v>159</v>
      </c>
      <c r="B113">
        <v>2011</v>
      </c>
      <c r="C113" t="s">
        <v>0</v>
      </c>
      <c r="D113" t="s">
        <v>27</v>
      </c>
      <c r="E113">
        <v>1</v>
      </c>
      <c r="F113" t="s">
        <v>21</v>
      </c>
      <c r="G113">
        <v>14873</v>
      </c>
      <c r="H113" s="2">
        <v>1061340</v>
      </c>
    </row>
    <row r="114" spans="1:8" x14ac:dyDescent="0.25">
      <c r="A114" t="s">
        <v>160</v>
      </c>
      <c r="B114">
        <v>2012</v>
      </c>
      <c r="C114" t="s">
        <v>6</v>
      </c>
      <c r="D114" t="s">
        <v>27</v>
      </c>
      <c r="E114">
        <v>1</v>
      </c>
      <c r="F114" t="s">
        <v>21</v>
      </c>
      <c r="G114">
        <v>8</v>
      </c>
      <c r="H114" s="2">
        <v>2759356.4495101599</v>
      </c>
    </row>
    <row r="115" spans="1:8" x14ac:dyDescent="0.25">
      <c r="A115" t="s">
        <v>161</v>
      </c>
      <c r="B115">
        <v>2012</v>
      </c>
      <c r="C115" t="s">
        <v>5</v>
      </c>
      <c r="D115" t="s">
        <v>27</v>
      </c>
      <c r="E115">
        <v>1</v>
      </c>
      <c r="F115" t="s">
        <v>21</v>
      </c>
      <c r="G115">
        <v>13</v>
      </c>
      <c r="H115" s="2">
        <v>5537428.7927720398</v>
      </c>
    </row>
    <row r="116" spans="1:8" x14ac:dyDescent="0.25">
      <c r="A116" t="s">
        <v>162</v>
      </c>
      <c r="B116">
        <v>2012</v>
      </c>
      <c r="C116" t="s">
        <v>4</v>
      </c>
      <c r="D116" t="s">
        <v>27</v>
      </c>
      <c r="E116">
        <v>1</v>
      </c>
      <c r="F116" t="s">
        <v>21</v>
      </c>
      <c r="G116">
        <v>155</v>
      </c>
      <c r="H116" s="2">
        <v>5307779.7280284902</v>
      </c>
    </row>
    <row r="117" spans="1:8" x14ac:dyDescent="0.25">
      <c r="A117" t="s">
        <v>163</v>
      </c>
      <c r="B117">
        <v>2012</v>
      </c>
      <c r="C117" t="s">
        <v>3</v>
      </c>
      <c r="D117" t="s">
        <v>27</v>
      </c>
      <c r="E117">
        <v>1</v>
      </c>
      <c r="F117" t="s">
        <v>21</v>
      </c>
      <c r="G117">
        <v>1346</v>
      </c>
      <c r="H117" s="2">
        <v>8748082.6996606905</v>
      </c>
    </row>
    <row r="118" spans="1:8" x14ac:dyDescent="0.25">
      <c r="A118" t="s">
        <v>164</v>
      </c>
      <c r="B118">
        <v>2012</v>
      </c>
      <c r="C118" t="s">
        <v>2</v>
      </c>
      <c r="D118" t="s">
        <v>27</v>
      </c>
      <c r="E118">
        <v>1</v>
      </c>
      <c r="F118" t="s">
        <v>21</v>
      </c>
      <c r="G118">
        <v>7771</v>
      </c>
      <c r="H118" s="2">
        <v>5230482.0778962998</v>
      </c>
    </row>
    <row r="119" spans="1:8" x14ac:dyDescent="0.25">
      <c r="A119" t="s">
        <v>165</v>
      </c>
      <c r="B119">
        <v>2012</v>
      </c>
      <c r="C119" t="s">
        <v>1</v>
      </c>
      <c r="D119" t="s">
        <v>27</v>
      </c>
      <c r="E119">
        <v>1</v>
      </c>
      <c r="F119" t="s">
        <v>21</v>
      </c>
      <c r="G119">
        <v>6235</v>
      </c>
      <c r="H119" s="2">
        <v>1102796.7939262099</v>
      </c>
    </row>
    <row r="120" spans="1:8" x14ac:dyDescent="0.25">
      <c r="A120" t="s">
        <v>166</v>
      </c>
      <c r="B120">
        <v>2012</v>
      </c>
      <c r="C120" t="s">
        <v>0</v>
      </c>
      <c r="D120" t="s">
        <v>27</v>
      </c>
      <c r="E120">
        <v>1</v>
      </c>
      <c r="F120" t="s">
        <v>21</v>
      </c>
      <c r="G120">
        <v>14939</v>
      </c>
      <c r="H120" s="2">
        <v>1102796.7939262099</v>
      </c>
    </row>
    <row r="121" spans="1:8" x14ac:dyDescent="0.25">
      <c r="A121" t="s">
        <v>167</v>
      </c>
      <c r="B121">
        <v>2013</v>
      </c>
      <c r="C121" t="s">
        <v>6</v>
      </c>
      <c r="D121" t="s">
        <v>27</v>
      </c>
      <c r="E121">
        <v>1</v>
      </c>
      <c r="F121" t="s">
        <v>21</v>
      </c>
      <c r="G121">
        <v>33</v>
      </c>
      <c r="H121" s="2">
        <v>2752322.19750119</v>
      </c>
    </row>
    <row r="122" spans="1:8" x14ac:dyDescent="0.25">
      <c r="A122" t="s">
        <v>168</v>
      </c>
      <c r="B122">
        <v>2013</v>
      </c>
      <c r="C122" t="s">
        <v>5</v>
      </c>
      <c r="D122" t="s">
        <v>27</v>
      </c>
      <c r="E122">
        <v>1</v>
      </c>
      <c r="F122" t="s">
        <v>21</v>
      </c>
      <c r="G122">
        <v>9</v>
      </c>
      <c r="H122" s="2">
        <v>5554323.1251711203</v>
      </c>
    </row>
    <row r="123" spans="1:8" x14ac:dyDescent="0.25">
      <c r="A123" t="s">
        <v>169</v>
      </c>
      <c r="B123">
        <v>2013</v>
      </c>
      <c r="C123" t="s">
        <v>4</v>
      </c>
      <c r="D123" t="s">
        <v>27</v>
      </c>
      <c r="E123">
        <v>1</v>
      </c>
      <c r="F123" t="s">
        <v>21</v>
      </c>
      <c r="G123">
        <v>134</v>
      </c>
      <c r="H123" s="2">
        <v>5323364.8480997998</v>
      </c>
    </row>
    <row r="124" spans="1:8" x14ac:dyDescent="0.25">
      <c r="A124" t="s">
        <v>170</v>
      </c>
      <c r="B124">
        <v>2013</v>
      </c>
      <c r="C124" t="s">
        <v>3</v>
      </c>
      <c r="D124" t="s">
        <v>27</v>
      </c>
      <c r="E124">
        <v>1</v>
      </c>
      <c r="F124" t="s">
        <v>21</v>
      </c>
      <c r="G124">
        <v>1416</v>
      </c>
      <c r="H124" s="2">
        <v>8893718.1904660594</v>
      </c>
    </row>
    <row r="125" spans="1:8" x14ac:dyDescent="0.25">
      <c r="A125" t="s">
        <v>171</v>
      </c>
      <c r="B125">
        <v>2013</v>
      </c>
      <c r="C125" t="s">
        <v>2</v>
      </c>
      <c r="D125" t="s">
        <v>27</v>
      </c>
      <c r="E125">
        <v>1</v>
      </c>
      <c r="F125" t="s">
        <v>21</v>
      </c>
      <c r="G125">
        <v>7918</v>
      </c>
      <c r="H125" s="2">
        <v>5415783.9591287402</v>
      </c>
    </row>
    <row r="126" spans="1:8" x14ac:dyDescent="0.25">
      <c r="A126" t="s">
        <v>172</v>
      </c>
      <c r="B126">
        <v>2013</v>
      </c>
      <c r="C126" t="s">
        <v>1</v>
      </c>
      <c r="D126" t="s">
        <v>27</v>
      </c>
      <c r="E126">
        <v>1</v>
      </c>
      <c r="F126" t="s">
        <v>21</v>
      </c>
      <c r="G126">
        <v>6459</v>
      </c>
      <c r="H126" s="2">
        <v>1147296.6505007599</v>
      </c>
    </row>
    <row r="127" spans="1:8" x14ac:dyDescent="0.25">
      <c r="A127" t="s">
        <v>173</v>
      </c>
      <c r="B127">
        <v>2013</v>
      </c>
      <c r="C127" t="s">
        <v>0</v>
      </c>
      <c r="D127" t="s">
        <v>27</v>
      </c>
      <c r="E127">
        <v>1</v>
      </c>
      <c r="F127" t="s">
        <v>21</v>
      </c>
      <c r="G127">
        <v>14930</v>
      </c>
      <c r="H127" s="2">
        <v>1147296.6505007599</v>
      </c>
    </row>
    <row r="128" spans="1:8" x14ac:dyDescent="0.25">
      <c r="A128" t="s">
        <v>174</v>
      </c>
      <c r="B128">
        <v>2014</v>
      </c>
      <c r="C128" t="s">
        <v>6</v>
      </c>
      <c r="D128" t="s">
        <v>27</v>
      </c>
      <c r="E128">
        <v>1</v>
      </c>
      <c r="F128" t="s">
        <v>21</v>
      </c>
      <c r="G128">
        <v>11</v>
      </c>
      <c r="H128" s="2">
        <v>2744697</v>
      </c>
    </row>
    <row r="129" spans="1:8" x14ac:dyDescent="0.25">
      <c r="A129" t="s">
        <v>175</v>
      </c>
      <c r="B129">
        <v>2014</v>
      </c>
      <c r="C129" t="s">
        <v>5</v>
      </c>
      <c r="D129" t="s">
        <v>27</v>
      </c>
      <c r="E129">
        <v>1</v>
      </c>
      <c r="F129" t="s">
        <v>21</v>
      </c>
      <c r="G129">
        <v>18</v>
      </c>
      <c r="H129" s="2">
        <v>5566437</v>
      </c>
    </row>
    <row r="130" spans="1:8" x14ac:dyDescent="0.25">
      <c r="A130" t="s">
        <v>176</v>
      </c>
      <c r="B130">
        <v>2014</v>
      </c>
      <c r="C130" t="s">
        <v>4</v>
      </c>
      <c r="D130" t="s">
        <v>27</v>
      </c>
      <c r="E130">
        <v>1</v>
      </c>
      <c r="F130" t="s">
        <v>21</v>
      </c>
      <c r="G130">
        <v>147</v>
      </c>
      <c r="H130" s="2">
        <v>5343109</v>
      </c>
    </row>
    <row r="131" spans="1:8" x14ac:dyDescent="0.25">
      <c r="A131" t="s">
        <v>177</v>
      </c>
      <c r="B131">
        <v>2014</v>
      </c>
      <c r="C131" t="s">
        <v>3</v>
      </c>
      <c r="D131" t="s">
        <v>27</v>
      </c>
      <c r="E131">
        <v>1</v>
      </c>
      <c r="F131" t="s">
        <v>21</v>
      </c>
      <c r="G131">
        <v>1494</v>
      </c>
      <c r="H131" s="2">
        <v>9037113</v>
      </c>
    </row>
    <row r="132" spans="1:8" x14ac:dyDescent="0.25">
      <c r="A132" t="s">
        <v>178</v>
      </c>
      <c r="B132">
        <v>2014</v>
      </c>
      <c r="C132" t="s">
        <v>2</v>
      </c>
      <c r="D132" t="s">
        <v>27</v>
      </c>
      <c r="E132">
        <v>1</v>
      </c>
      <c r="F132" t="s">
        <v>21</v>
      </c>
      <c r="G132">
        <v>8477</v>
      </c>
      <c r="H132" s="2">
        <v>5597164</v>
      </c>
    </row>
    <row r="133" spans="1:8" x14ac:dyDescent="0.25">
      <c r="A133" t="s">
        <v>179</v>
      </c>
      <c r="B133">
        <v>2014</v>
      </c>
      <c r="C133" t="s">
        <v>1</v>
      </c>
      <c r="D133" t="s">
        <v>27</v>
      </c>
      <c r="E133">
        <v>1</v>
      </c>
      <c r="F133" t="s">
        <v>21</v>
      </c>
      <c r="G133">
        <v>7077</v>
      </c>
      <c r="H133" s="2">
        <v>1194627</v>
      </c>
    </row>
    <row r="134" spans="1:8" x14ac:dyDescent="0.25">
      <c r="A134" t="s">
        <v>180</v>
      </c>
      <c r="B134">
        <v>2014</v>
      </c>
      <c r="C134" t="s">
        <v>0</v>
      </c>
      <c r="D134" t="s">
        <v>27</v>
      </c>
      <c r="E134">
        <v>1</v>
      </c>
      <c r="F134" t="s">
        <v>21</v>
      </c>
      <c r="G134">
        <v>17448</v>
      </c>
      <c r="H134" s="2">
        <v>1194627</v>
      </c>
    </row>
    <row r="135" spans="1:8" x14ac:dyDescent="0.25">
      <c r="A135" t="s">
        <v>48</v>
      </c>
      <c r="B135">
        <v>1996</v>
      </c>
      <c r="C135" t="s">
        <v>6</v>
      </c>
      <c r="D135" t="s">
        <v>27</v>
      </c>
      <c r="E135">
        <v>2</v>
      </c>
      <c r="F135" t="s">
        <v>20</v>
      </c>
      <c r="G135">
        <v>159</v>
      </c>
      <c r="H135" s="2">
        <v>2669011.0638103201</v>
      </c>
    </row>
    <row r="136" spans="1:8" x14ac:dyDescent="0.25">
      <c r="A136" t="s">
        <v>49</v>
      </c>
      <c r="B136">
        <v>1996</v>
      </c>
      <c r="C136" t="s">
        <v>5</v>
      </c>
      <c r="D136" t="s">
        <v>27</v>
      </c>
      <c r="E136">
        <v>2</v>
      </c>
      <c r="F136" t="s">
        <v>20</v>
      </c>
      <c r="G136">
        <v>266</v>
      </c>
      <c r="H136" s="2">
        <v>5336689.2615659405</v>
      </c>
    </row>
    <row r="137" spans="1:8" x14ac:dyDescent="0.25">
      <c r="A137" t="s">
        <v>50</v>
      </c>
      <c r="B137">
        <v>1996</v>
      </c>
      <c r="C137" t="s">
        <v>4</v>
      </c>
      <c r="D137" t="s">
        <v>27</v>
      </c>
      <c r="E137">
        <v>2</v>
      </c>
      <c r="F137" t="s">
        <v>20</v>
      </c>
      <c r="G137">
        <v>301</v>
      </c>
      <c r="H137" s="2">
        <v>4328734.7335640304</v>
      </c>
    </row>
    <row r="138" spans="1:8" x14ac:dyDescent="0.25">
      <c r="A138" t="s">
        <v>51</v>
      </c>
      <c r="B138">
        <v>1996</v>
      </c>
      <c r="C138" t="s">
        <v>3</v>
      </c>
      <c r="D138" t="s">
        <v>27</v>
      </c>
      <c r="E138">
        <v>2</v>
      </c>
      <c r="F138" t="s">
        <v>20</v>
      </c>
      <c r="G138">
        <v>1734</v>
      </c>
      <c r="H138" s="2">
        <v>6500086.9398599695</v>
      </c>
    </row>
    <row r="139" spans="1:8" x14ac:dyDescent="0.25">
      <c r="A139" t="s">
        <v>52</v>
      </c>
      <c r="B139">
        <v>1996</v>
      </c>
      <c r="C139" t="s">
        <v>2</v>
      </c>
      <c r="D139" t="s">
        <v>27</v>
      </c>
      <c r="E139">
        <v>2</v>
      </c>
      <c r="F139" t="s">
        <v>20</v>
      </c>
      <c r="G139">
        <v>4424</v>
      </c>
      <c r="H139" s="2">
        <v>2862216.4853526298</v>
      </c>
    </row>
    <row r="140" spans="1:8" x14ac:dyDescent="0.25">
      <c r="A140" t="s">
        <v>53</v>
      </c>
      <c r="B140">
        <v>1996</v>
      </c>
      <c r="C140" t="s">
        <v>1</v>
      </c>
      <c r="D140" t="s">
        <v>27</v>
      </c>
      <c r="E140">
        <v>2</v>
      </c>
      <c r="F140" t="s">
        <v>20</v>
      </c>
      <c r="G140">
        <v>3335</v>
      </c>
      <c r="H140" s="2">
        <v>710343.28776711202</v>
      </c>
    </row>
    <row r="141" spans="1:8" x14ac:dyDescent="0.25">
      <c r="A141" t="s">
        <v>54</v>
      </c>
      <c r="B141">
        <v>1996</v>
      </c>
      <c r="C141" t="s">
        <v>0</v>
      </c>
      <c r="D141" t="s">
        <v>27</v>
      </c>
      <c r="E141">
        <v>2</v>
      </c>
      <c r="F141" t="s">
        <v>20</v>
      </c>
      <c r="G141">
        <v>3401</v>
      </c>
      <c r="H141" s="2">
        <v>710343.28776711202</v>
      </c>
    </row>
    <row r="142" spans="1:8" x14ac:dyDescent="0.25">
      <c r="A142" t="s">
        <v>55</v>
      </c>
      <c r="B142">
        <v>1997</v>
      </c>
      <c r="C142" t="s">
        <v>6</v>
      </c>
      <c r="D142" t="s">
        <v>27</v>
      </c>
      <c r="E142">
        <v>2</v>
      </c>
      <c r="F142" t="s">
        <v>20</v>
      </c>
      <c r="G142">
        <v>130</v>
      </c>
      <c r="H142" s="2">
        <v>2689637.03828619</v>
      </c>
    </row>
    <row r="143" spans="1:8" x14ac:dyDescent="0.25">
      <c r="A143" t="s">
        <v>56</v>
      </c>
      <c r="B143">
        <v>1997</v>
      </c>
      <c r="C143" t="s">
        <v>5</v>
      </c>
      <c r="D143" t="s">
        <v>27</v>
      </c>
      <c r="E143">
        <v>2</v>
      </c>
      <c r="F143" t="s">
        <v>20</v>
      </c>
      <c r="G143">
        <v>242</v>
      </c>
      <c r="H143" s="2">
        <v>5352218.1569395596</v>
      </c>
    </row>
    <row r="144" spans="1:8" x14ac:dyDescent="0.25">
      <c r="A144" t="s">
        <v>57</v>
      </c>
      <c r="B144">
        <v>1997</v>
      </c>
      <c r="C144" t="s">
        <v>4</v>
      </c>
      <c r="D144" t="s">
        <v>27</v>
      </c>
      <c r="E144">
        <v>2</v>
      </c>
      <c r="F144" t="s">
        <v>20</v>
      </c>
      <c r="G144">
        <v>276</v>
      </c>
      <c r="H144" s="2">
        <v>4441903.2401384199</v>
      </c>
    </row>
    <row r="145" spans="1:8" x14ac:dyDescent="0.25">
      <c r="A145" t="s">
        <v>58</v>
      </c>
      <c r="B145">
        <v>1997</v>
      </c>
      <c r="C145" t="s">
        <v>3</v>
      </c>
      <c r="D145" t="s">
        <v>27</v>
      </c>
      <c r="E145">
        <v>2</v>
      </c>
      <c r="F145" t="s">
        <v>20</v>
      </c>
      <c r="G145">
        <v>1792</v>
      </c>
      <c r="H145" s="2">
        <v>6652916.9639159804</v>
      </c>
    </row>
    <row r="146" spans="1:8" x14ac:dyDescent="0.25">
      <c r="A146" t="s">
        <v>59</v>
      </c>
      <c r="B146">
        <v>1997</v>
      </c>
      <c r="C146" t="s">
        <v>2</v>
      </c>
      <c r="D146" t="s">
        <v>27</v>
      </c>
      <c r="E146">
        <v>2</v>
      </c>
      <c r="F146" t="s">
        <v>20</v>
      </c>
      <c r="G146">
        <v>4686</v>
      </c>
      <c r="H146" s="2">
        <v>2950439.89121158</v>
      </c>
    </row>
    <row r="147" spans="1:8" x14ac:dyDescent="0.25">
      <c r="A147" t="s">
        <v>60</v>
      </c>
      <c r="B147">
        <v>1997</v>
      </c>
      <c r="C147" t="s">
        <v>1</v>
      </c>
      <c r="D147" t="s">
        <v>27</v>
      </c>
      <c r="E147">
        <v>2</v>
      </c>
      <c r="F147" t="s">
        <v>20</v>
      </c>
      <c r="G147">
        <v>3420</v>
      </c>
      <c r="H147" s="2">
        <v>717390.37266026705</v>
      </c>
    </row>
    <row r="148" spans="1:8" x14ac:dyDescent="0.25">
      <c r="A148" t="s">
        <v>61</v>
      </c>
      <c r="B148">
        <v>1997</v>
      </c>
      <c r="C148" t="s">
        <v>0</v>
      </c>
      <c r="D148" t="s">
        <v>27</v>
      </c>
      <c r="E148">
        <v>2</v>
      </c>
      <c r="F148" t="s">
        <v>20</v>
      </c>
      <c r="G148">
        <v>3478</v>
      </c>
      <c r="H148" s="2">
        <v>717390.37266026705</v>
      </c>
    </row>
    <row r="149" spans="1:8" x14ac:dyDescent="0.25">
      <c r="A149" t="s">
        <v>62</v>
      </c>
      <c r="B149">
        <v>1998</v>
      </c>
      <c r="C149" t="s">
        <v>6</v>
      </c>
      <c r="D149" t="s">
        <v>27</v>
      </c>
      <c r="E149">
        <v>2</v>
      </c>
      <c r="F149" t="s">
        <v>20</v>
      </c>
      <c r="G149">
        <v>119</v>
      </c>
      <c r="H149" s="2">
        <v>2707580.5191430999</v>
      </c>
    </row>
    <row r="150" spans="1:8" x14ac:dyDescent="0.25">
      <c r="A150" t="s">
        <v>63</v>
      </c>
      <c r="B150">
        <v>1998</v>
      </c>
      <c r="C150" t="s">
        <v>5</v>
      </c>
      <c r="D150" t="s">
        <v>27</v>
      </c>
      <c r="E150">
        <v>2</v>
      </c>
      <c r="F150" t="s">
        <v>20</v>
      </c>
      <c r="G150">
        <v>215</v>
      </c>
      <c r="H150" s="2">
        <v>5360232.5784697803</v>
      </c>
    </row>
    <row r="151" spans="1:8" x14ac:dyDescent="0.25">
      <c r="A151" t="s">
        <v>64</v>
      </c>
      <c r="B151">
        <v>1998</v>
      </c>
      <c r="C151" t="s">
        <v>4</v>
      </c>
      <c r="D151" t="s">
        <v>27</v>
      </c>
      <c r="E151">
        <v>2</v>
      </c>
      <c r="F151" t="s">
        <v>20</v>
      </c>
      <c r="G151">
        <v>252</v>
      </c>
      <c r="H151" s="2">
        <v>4551586.6200692104</v>
      </c>
    </row>
    <row r="152" spans="1:8" x14ac:dyDescent="0.25">
      <c r="A152" t="s">
        <v>65</v>
      </c>
      <c r="B152">
        <v>1998</v>
      </c>
      <c r="C152" t="s">
        <v>3</v>
      </c>
      <c r="D152" t="s">
        <v>27</v>
      </c>
      <c r="E152">
        <v>2</v>
      </c>
      <c r="F152" t="s">
        <v>20</v>
      </c>
      <c r="G152">
        <v>1694</v>
      </c>
      <c r="H152" s="2">
        <v>6800752.4819579897</v>
      </c>
    </row>
    <row r="153" spans="1:8" x14ac:dyDescent="0.25">
      <c r="A153" t="s">
        <v>66</v>
      </c>
      <c r="B153">
        <v>1998</v>
      </c>
      <c r="C153" t="s">
        <v>2</v>
      </c>
      <c r="D153" t="s">
        <v>27</v>
      </c>
      <c r="E153">
        <v>2</v>
      </c>
      <c r="F153" t="s">
        <v>20</v>
      </c>
      <c r="G153">
        <v>4797</v>
      </c>
      <c r="H153" s="2">
        <v>3048176.4456057898</v>
      </c>
    </row>
    <row r="154" spans="1:8" x14ac:dyDescent="0.25">
      <c r="A154" t="s">
        <v>67</v>
      </c>
      <c r="B154">
        <v>1998</v>
      </c>
      <c r="C154" t="s">
        <v>1</v>
      </c>
      <c r="D154" t="s">
        <v>27</v>
      </c>
      <c r="E154">
        <v>2</v>
      </c>
      <c r="F154" t="s">
        <v>20</v>
      </c>
      <c r="G154">
        <v>3477</v>
      </c>
      <c r="H154" s="2">
        <v>727932.186330133</v>
      </c>
    </row>
    <row r="155" spans="1:8" x14ac:dyDescent="0.25">
      <c r="A155" t="s">
        <v>68</v>
      </c>
      <c r="B155">
        <v>1998</v>
      </c>
      <c r="C155" t="s">
        <v>0</v>
      </c>
      <c r="D155" t="s">
        <v>27</v>
      </c>
      <c r="E155">
        <v>2</v>
      </c>
      <c r="F155" t="s">
        <v>20</v>
      </c>
      <c r="G155">
        <v>3607</v>
      </c>
      <c r="H155" s="2">
        <v>727932.186330133</v>
      </c>
    </row>
    <row r="156" spans="1:8" x14ac:dyDescent="0.25">
      <c r="A156" t="s">
        <v>69</v>
      </c>
      <c r="B156">
        <v>1999</v>
      </c>
      <c r="C156" t="s">
        <v>6</v>
      </c>
      <c r="D156" t="s">
        <v>27</v>
      </c>
      <c r="E156">
        <v>2</v>
      </c>
      <c r="F156" t="s">
        <v>20</v>
      </c>
      <c r="G156">
        <v>113</v>
      </c>
      <c r="H156" s="2">
        <v>2723058.5063810302</v>
      </c>
    </row>
    <row r="157" spans="1:8" x14ac:dyDescent="0.25">
      <c r="A157" t="s">
        <v>70</v>
      </c>
      <c r="B157">
        <v>1999</v>
      </c>
      <c r="C157" t="s">
        <v>5</v>
      </c>
      <c r="D157" t="s">
        <v>27</v>
      </c>
      <c r="E157">
        <v>2</v>
      </c>
      <c r="F157" t="s">
        <v>20</v>
      </c>
      <c r="G157">
        <v>252</v>
      </c>
      <c r="H157" s="2">
        <v>5362927.5261565903</v>
      </c>
    </row>
    <row r="158" spans="1:8" x14ac:dyDescent="0.25">
      <c r="A158" t="s">
        <v>71</v>
      </c>
      <c r="B158">
        <v>1999</v>
      </c>
      <c r="C158" t="s">
        <v>4</v>
      </c>
      <c r="D158" t="s">
        <v>27</v>
      </c>
      <c r="E158">
        <v>2</v>
      </c>
      <c r="F158" t="s">
        <v>20</v>
      </c>
      <c r="G158">
        <v>336</v>
      </c>
      <c r="H158" s="2">
        <v>4656740.8733564001</v>
      </c>
    </row>
    <row r="159" spans="1:8" x14ac:dyDescent="0.25">
      <c r="A159" t="s">
        <v>72</v>
      </c>
      <c r="B159">
        <v>1999</v>
      </c>
      <c r="C159" t="s">
        <v>3</v>
      </c>
      <c r="D159" t="s">
        <v>27</v>
      </c>
      <c r="E159">
        <v>2</v>
      </c>
      <c r="F159" t="s">
        <v>20</v>
      </c>
      <c r="G159">
        <v>1734</v>
      </c>
      <c r="H159" s="2">
        <v>6944474.4939860003</v>
      </c>
    </row>
    <row r="160" spans="1:8" x14ac:dyDescent="0.25">
      <c r="A160" t="s">
        <v>73</v>
      </c>
      <c r="B160">
        <v>1999</v>
      </c>
      <c r="C160" t="s">
        <v>2</v>
      </c>
      <c r="D160" t="s">
        <v>27</v>
      </c>
      <c r="E160">
        <v>2</v>
      </c>
      <c r="F160" t="s">
        <v>20</v>
      </c>
      <c r="G160">
        <v>4963</v>
      </c>
      <c r="H160" s="2">
        <v>3155060.14853526</v>
      </c>
    </row>
    <row r="161" spans="1:8" x14ac:dyDescent="0.25">
      <c r="A161" t="s">
        <v>74</v>
      </c>
      <c r="B161">
        <v>1999</v>
      </c>
      <c r="C161" t="s">
        <v>1</v>
      </c>
      <c r="D161" t="s">
        <v>27</v>
      </c>
      <c r="E161">
        <v>2</v>
      </c>
      <c r="F161" t="s">
        <v>20</v>
      </c>
      <c r="G161">
        <v>3645</v>
      </c>
      <c r="H161" s="2">
        <v>741553.72877671104</v>
      </c>
    </row>
    <row r="162" spans="1:8" x14ac:dyDescent="0.25">
      <c r="A162" t="s">
        <v>75</v>
      </c>
      <c r="B162">
        <v>1999</v>
      </c>
      <c r="C162" t="s">
        <v>0</v>
      </c>
      <c r="D162" t="s">
        <v>27</v>
      </c>
      <c r="E162">
        <v>2</v>
      </c>
      <c r="F162" t="s">
        <v>20</v>
      </c>
      <c r="G162">
        <v>3849</v>
      </c>
      <c r="H162" s="2">
        <v>741553.72877671104</v>
      </c>
    </row>
    <row r="163" spans="1:8" x14ac:dyDescent="0.25">
      <c r="A163" t="s">
        <v>76</v>
      </c>
      <c r="B163">
        <v>2000</v>
      </c>
      <c r="C163" t="s">
        <v>6</v>
      </c>
      <c r="D163" t="s">
        <v>27</v>
      </c>
      <c r="E163">
        <v>2</v>
      </c>
      <c r="F163" t="s">
        <v>20</v>
      </c>
      <c r="G163">
        <v>131</v>
      </c>
      <c r="H163" s="2">
        <v>2736288</v>
      </c>
    </row>
    <row r="164" spans="1:8" x14ac:dyDescent="0.25">
      <c r="A164" t="s">
        <v>77</v>
      </c>
      <c r="B164">
        <v>2000</v>
      </c>
      <c r="C164" t="s">
        <v>5</v>
      </c>
      <c r="D164" t="s">
        <v>27</v>
      </c>
      <c r="E164">
        <v>2</v>
      </c>
      <c r="F164" t="s">
        <v>20</v>
      </c>
      <c r="G164">
        <v>244</v>
      </c>
      <c r="H164" s="2">
        <v>5362498</v>
      </c>
    </row>
    <row r="165" spans="1:8" x14ac:dyDescent="0.25">
      <c r="A165" t="s">
        <v>78</v>
      </c>
      <c r="B165">
        <v>2000</v>
      </c>
      <c r="C165" t="s">
        <v>4</v>
      </c>
      <c r="D165" t="s">
        <v>27</v>
      </c>
      <c r="E165">
        <v>2</v>
      </c>
      <c r="F165" t="s">
        <v>20</v>
      </c>
      <c r="G165">
        <v>326</v>
      </c>
      <c r="H165" s="2">
        <v>4756322</v>
      </c>
    </row>
    <row r="166" spans="1:8" x14ac:dyDescent="0.25">
      <c r="A166" t="s">
        <v>79</v>
      </c>
      <c r="B166">
        <v>2000</v>
      </c>
      <c r="C166" t="s">
        <v>3</v>
      </c>
      <c r="D166" t="s">
        <v>27</v>
      </c>
      <c r="E166">
        <v>2</v>
      </c>
      <c r="F166" t="s">
        <v>20</v>
      </c>
      <c r="G166">
        <v>1746</v>
      </c>
      <c r="H166" s="2">
        <v>7084964</v>
      </c>
    </row>
    <row r="167" spans="1:8" x14ac:dyDescent="0.25">
      <c r="A167" t="s">
        <v>80</v>
      </c>
      <c r="B167">
        <v>2000</v>
      </c>
      <c r="C167" t="s">
        <v>2</v>
      </c>
      <c r="D167" t="s">
        <v>27</v>
      </c>
      <c r="E167">
        <v>2</v>
      </c>
      <c r="F167" t="s">
        <v>20</v>
      </c>
      <c r="G167">
        <v>4986</v>
      </c>
      <c r="H167" s="2">
        <v>3270725</v>
      </c>
    </row>
    <row r="168" spans="1:8" x14ac:dyDescent="0.25">
      <c r="A168" t="s">
        <v>81</v>
      </c>
      <c r="B168">
        <v>2000</v>
      </c>
      <c r="C168" t="s">
        <v>1</v>
      </c>
      <c r="D168" t="s">
        <v>27</v>
      </c>
      <c r="E168">
        <v>2</v>
      </c>
      <c r="F168" t="s">
        <v>20</v>
      </c>
      <c r="G168">
        <v>3739</v>
      </c>
      <c r="H168" s="2">
        <v>757840</v>
      </c>
    </row>
    <row r="169" spans="1:8" x14ac:dyDescent="0.25">
      <c r="A169" t="s">
        <v>82</v>
      </c>
      <c r="B169">
        <v>2000</v>
      </c>
      <c r="C169" t="s">
        <v>0</v>
      </c>
      <c r="D169" t="s">
        <v>27</v>
      </c>
      <c r="E169">
        <v>2</v>
      </c>
      <c r="F169" t="s">
        <v>20</v>
      </c>
      <c r="G169">
        <v>4039</v>
      </c>
      <c r="H169" s="2">
        <v>757840</v>
      </c>
    </row>
    <row r="170" spans="1:8" x14ac:dyDescent="0.25">
      <c r="A170" t="s">
        <v>83</v>
      </c>
      <c r="B170">
        <v>2001</v>
      </c>
      <c r="C170" t="s">
        <v>6</v>
      </c>
      <c r="D170" t="s">
        <v>27</v>
      </c>
      <c r="E170">
        <v>2</v>
      </c>
      <c r="F170" t="s">
        <v>20</v>
      </c>
      <c r="G170">
        <v>155</v>
      </c>
      <c r="H170" s="2">
        <v>2747486</v>
      </c>
    </row>
    <row r="171" spans="1:8" x14ac:dyDescent="0.25">
      <c r="A171" t="s">
        <v>84</v>
      </c>
      <c r="B171">
        <v>2001</v>
      </c>
      <c r="C171" t="s">
        <v>5</v>
      </c>
      <c r="D171" t="s">
        <v>27</v>
      </c>
      <c r="E171">
        <v>2</v>
      </c>
      <c r="F171" t="s">
        <v>20</v>
      </c>
      <c r="G171">
        <v>235</v>
      </c>
      <c r="H171" s="2">
        <v>5361139</v>
      </c>
    </row>
    <row r="172" spans="1:8" x14ac:dyDescent="0.25">
      <c r="A172" t="s">
        <v>85</v>
      </c>
      <c r="B172">
        <v>2001</v>
      </c>
      <c r="C172" t="s">
        <v>4</v>
      </c>
      <c r="D172" t="s">
        <v>27</v>
      </c>
      <c r="E172">
        <v>2</v>
      </c>
      <c r="F172" t="s">
        <v>20</v>
      </c>
      <c r="G172">
        <v>298</v>
      </c>
      <c r="H172" s="2">
        <v>4849286</v>
      </c>
    </row>
    <row r="173" spans="1:8" x14ac:dyDescent="0.25">
      <c r="A173" t="s">
        <v>86</v>
      </c>
      <c r="B173">
        <v>2001</v>
      </c>
      <c r="C173" t="s">
        <v>3</v>
      </c>
      <c r="D173" t="s">
        <v>27</v>
      </c>
      <c r="E173">
        <v>2</v>
      </c>
      <c r="F173" t="s">
        <v>20</v>
      </c>
      <c r="G173">
        <v>1780</v>
      </c>
      <c r="H173" s="2">
        <v>7223102</v>
      </c>
    </row>
    <row r="174" spans="1:8" x14ac:dyDescent="0.25">
      <c r="A174" t="s">
        <v>87</v>
      </c>
      <c r="B174">
        <v>2001</v>
      </c>
      <c r="C174" t="s">
        <v>2</v>
      </c>
      <c r="D174" t="s">
        <v>27</v>
      </c>
      <c r="E174">
        <v>2</v>
      </c>
      <c r="F174" t="s">
        <v>20</v>
      </c>
      <c r="G174">
        <v>5260</v>
      </c>
      <c r="H174" s="2">
        <v>3394805</v>
      </c>
    </row>
    <row r="175" spans="1:8" x14ac:dyDescent="0.25">
      <c r="A175" t="s">
        <v>88</v>
      </c>
      <c r="B175">
        <v>2001</v>
      </c>
      <c r="C175" t="s">
        <v>1</v>
      </c>
      <c r="D175" t="s">
        <v>27</v>
      </c>
      <c r="E175">
        <v>2</v>
      </c>
      <c r="F175" t="s">
        <v>20</v>
      </c>
      <c r="G175">
        <v>3908</v>
      </c>
      <c r="H175" s="2">
        <v>776376</v>
      </c>
    </row>
    <row r="176" spans="1:8" x14ac:dyDescent="0.25">
      <c r="A176" t="s">
        <v>89</v>
      </c>
      <c r="B176">
        <v>2001</v>
      </c>
      <c r="C176" t="s">
        <v>0</v>
      </c>
      <c r="D176" t="s">
        <v>27</v>
      </c>
      <c r="E176">
        <v>2</v>
      </c>
      <c r="F176" t="s">
        <v>20</v>
      </c>
      <c r="G176">
        <v>4093</v>
      </c>
      <c r="H176" s="2">
        <v>776376</v>
      </c>
    </row>
    <row r="177" spans="1:8" x14ac:dyDescent="0.25">
      <c r="A177" t="s">
        <v>90</v>
      </c>
      <c r="B177">
        <v>2002</v>
      </c>
      <c r="C177" t="s">
        <v>6</v>
      </c>
      <c r="D177" t="s">
        <v>27</v>
      </c>
      <c r="E177">
        <v>2</v>
      </c>
      <c r="F177" t="s">
        <v>20</v>
      </c>
      <c r="G177">
        <v>122</v>
      </c>
      <c r="H177" s="2">
        <v>2756879</v>
      </c>
    </row>
    <row r="178" spans="1:8" x14ac:dyDescent="0.25">
      <c r="A178" t="s">
        <v>91</v>
      </c>
      <c r="B178">
        <v>2002</v>
      </c>
      <c r="C178" t="s">
        <v>5</v>
      </c>
      <c r="D178" t="s">
        <v>27</v>
      </c>
      <c r="E178">
        <v>2</v>
      </c>
      <c r="F178" t="s">
        <v>20</v>
      </c>
      <c r="G178">
        <v>240</v>
      </c>
      <c r="H178" s="2">
        <v>5361107</v>
      </c>
    </row>
    <row r="179" spans="1:8" x14ac:dyDescent="0.25">
      <c r="A179" t="s">
        <v>92</v>
      </c>
      <c r="B179">
        <v>2002</v>
      </c>
      <c r="C179" t="s">
        <v>4</v>
      </c>
      <c r="D179" t="s">
        <v>27</v>
      </c>
      <c r="E179">
        <v>2</v>
      </c>
      <c r="F179" t="s">
        <v>20</v>
      </c>
      <c r="G179">
        <v>325</v>
      </c>
      <c r="H179" s="2">
        <v>4934568</v>
      </c>
    </row>
    <row r="180" spans="1:8" x14ac:dyDescent="0.25">
      <c r="A180" t="s">
        <v>93</v>
      </c>
      <c r="B180">
        <v>2002</v>
      </c>
      <c r="C180" t="s">
        <v>3</v>
      </c>
      <c r="D180" t="s">
        <v>27</v>
      </c>
      <c r="E180">
        <v>2</v>
      </c>
      <c r="F180" t="s">
        <v>20</v>
      </c>
      <c r="G180">
        <v>1848</v>
      </c>
      <c r="H180" s="2">
        <v>7359839</v>
      </c>
    </row>
    <row r="181" spans="1:8" x14ac:dyDescent="0.25">
      <c r="A181" t="s">
        <v>94</v>
      </c>
      <c r="B181">
        <v>2002</v>
      </c>
      <c r="C181" t="s">
        <v>2</v>
      </c>
      <c r="D181" t="s">
        <v>27</v>
      </c>
      <c r="E181">
        <v>2</v>
      </c>
      <c r="F181" t="s">
        <v>20</v>
      </c>
      <c r="G181">
        <v>5597</v>
      </c>
      <c r="H181" s="2">
        <v>3526909</v>
      </c>
    </row>
    <row r="182" spans="1:8" x14ac:dyDescent="0.25">
      <c r="A182" t="s">
        <v>95</v>
      </c>
      <c r="B182">
        <v>2002</v>
      </c>
      <c r="C182" t="s">
        <v>1</v>
      </c>
      <c r="D182" t="s">
        <v>27</v>
      </c>
      <c r="E182">
        <v>2</v>
      </c>
      <c r="F182" t="s">
        <v>20</v>
      </c>
      <c r="G182">
        <v>3962</v>
      </c>
      <c r="H182" s="2">
        <v>796712</v>
      </c>
    </row>
    <row r="183" spans="1:8" x14ac:dyDescent="0.25">
      <c r="A183" t="s">
        <v>96</v>
      </c>
      <c r="B183">
        <v>2002</v>
      </c>
      <c r="C183" t="s">
        <v>0</v>
      </c>
      <c r="D183" t="s">
        <v>27</v>
      </c>
      <c r="E183">
        <v>2</v>
      </c>
      <c r="F183" t="s">
        <v>20</v>
      </c>
      <c r="G183">
        <v>4297</v>
      </c>
      <c r="H183" s="2">
        <v>796712</v>
      </c>
    </row>
    <row r="184" spans="1:8" x14ac:dyDescent="0.25">
      <c r="A184" t="s">
        <v>97</v>
      </c>
      <c r="B184">
        <v>2003</v>
      </c>
      <c r="C184" t="s">
        <v>6</v>
      </c>
      <c r="D184" t="s">
        <v>27</v>
      </c>
      <c r="E184">
        <v>2</v>
      </c>
      <c r="F184" t="s">
        <v>20</v>
      </c>
      <c r="G184">
        <v>134</v>
      </c>
      <c r="H184" s="2">
        <v>2764684</v>
      </c>
    </row>
    <row r="185" spans="1:8" x14ac:dyDescent="0.25">
      <c r="A185" t="s">
        <v>98</v>
      </c>
      <c r="B185">
        <v>2003</v>
      </c>
      <c r="C185" t="s">
        <v>5</v>
      </c>
      <c r="D185" t="s">
        <v>27</v>
      </c>
      <c r="E185">
        <v>2</v>
      </c>
      <c r="F185" t="s">
        <v>20</v>
      </c>
      <c r="G185">
        <v>209</v>
      </c>
      <c r="H185" s="2">
        <v>5364597</v>
      </c>
    </row>
    <row r="186" spans="1:8" x14ac:dyDescent="0.25">
      <c r="A186" t="s">
        <v>99</v>
      </c>
      <c r="B186">
        <v>2003</v>
      </c>
      <c r="C186" t="s">
        <v>4</v>
      </c>
      <c r="D186" t="s">
        <v>27</v>
      </c>
      <c r="E186">
        <v>2</v>
      </c>
      <c r="F186" t="s">
        <v>20</v>
      </c>
      <c r="G186">
        <v>344</v>
      </c>
      <c r="H186" s="2">
        <v>5011124</v>
      </c>
    </row>
    <row r="187" spans="1:8" x14ac:dyDescent="0.25">
      <c r="A187" t="s">
        <v>100</v>
      </c>
      <c r="B187">
        <v>2003</v>
      </c>
      <c r="C187" t="s">
        <v>3</v>
      </c>
      <c r="D187" t="s">
        <v>27</v>
      </c>
      <c r="E187">
        <v>2</v>
      </c>
      <c r="F187" t="s">
        <v>20</v>
      </c>
      <c r="G187">
        <v>1885</v>
      </c>
      <c r="H187" s="2">
        <v>7496056</v>
      </c>
    </row>
    <row r="188" spans="1:8" x14ac:dyDescent="0.25">
      <c r="A188" t="s">
        <v>101</v>
      </c>
      <c r="B188">
        <v>2003</v>
      </c>
      <c r="C188" t="s">
        <v>2</v>
      </c>
      <c r="D188" t="s">
        <v>27</v>
      </c>
      <c r="E188">
        <v>2</v>
      </c>
      <c r="F188" t="s">
        <v>20</v>
      </c>
      <c r="G188">
        <v>5904</v>
      </c>
      <c r="H188" s="2">
        <v>3666671</v>
      </c>
    </row>
    <row r="189" spans="1:8" x14ac:dyDescent="0.25">
      <c r="A189" t="s">
        <v>102</v>
      </c>
      <c r="B189">
        <v>2003</v>
      </c>
      <c r="C189" t="s">
        <v>1</v>
      </c>
      <c r="D189" t="s">
        <v>27</v>
      </c>
      <c r="E189">
        <v>2</v>
      </c>
      <c r="F189" t="s">
        <v>20</v>
      </c>
      <c r="G189">
        <v>4147</v>
      </c>
      <c r="H189" s="2">
        <v>818433</v>
      </c>
    </row>
    <row r="190" spans="1:8" x14ac:dyDescent="0.25">
      <c r="A190" t="s">
        <v>103</v>
      </c>
      <c r="B190">
        <v>2003</v>
      </c>
      <c r="C190" t="s">
        <v>0</v>
      </c>
      <c r="D190" t="s">
        <v>27</v>
      </c>
      <c r="E190">
        <v>2</v>
      </c>
      <c r="F190" t="s">
        <v>20</v>
      </c>
      <c r="G190">
        <v>4611</v>
      </c>
      <c r="H190" s="2">
        <v>818433</v>
      </c>
    </row>
    <row r="191" spans="1:8" x14ac:dyDescent="0.25">
      <c r="A191" t="s">
        <v>104</v>
      </c>
      <c r="B191">
        <v>2004</v>
      </c>
      <c r="C191" t="s">
        <v>6</v>
      </c>
      <c r="D191" t="s">
        <v>27</v>
      </c>
      <c r="E191">
        <v>2</v>
      </c>
      <c r="F191" t="s">
        <v>20</v>
      </c>
      <c r="G191">
        <v>123</v>
      </c>
      <c r="H191" s="2">
        <v>2770821</v>
      </c>
    </row>
    <row r="192" spans="1:8" x14ac:dyDescent="0.25">
      <c r="A192" t="s">
        <v>105</v>
      </c>
      <c r="B192">
        <v>2004</v>
      </c>
      <c r="C192" t="s">
        <v>5</v>
      </c>
      <c r="D192" t="s">
        <v>27</v>
      </c>
      <c r="E192">
        <v>2</v>
      </c>
      <c r="F192" t="s">
        <v>20</v>
      </c>
      <c r="G192">
        <v>246</v>
      </c>
      <c r="H192" s="2">
        <v>5372677</v>
      </c>
    </row>
    <row r="193" spans="1:8" x14ac:dyDescent="0.25">
      <c r="A193" t="s">
        <v>106</v>
      </c>
      <c r="B193">
        <v>2004</v>
      </c>
      <c r="C193" t="s">
        <v>4</v>
      </c>
      <c r="D193" t="s">
        <v>27</v>
      </c>
      <c r="E193">
        <v>2</v>
      </c>
      <c r="F193" t="s">
        <v>20</v>
      </c>
      <c r="G193">
        <v>348</v>
      </c>
      <c r="H193" s="2">
        <v>5078223</v>
      </c>
    </row>
    <row r="194" spans="1:8" x14ac:dyDescent="0.25">
      <c r="A194" t="s">
        <v>107</v>
      </c>
      <c r="B194">
        <v>2004</v>
      </c>
      <c r="C194" t="s">
        <v>3</v>
      </c>
      <c r="D194" t="s">
        <v>27</v>
      </c>
      <c r="E194">
        <v>2</v>
      </c>
      <c r="F194" t="s">
        <v>20</v>
      </c>
      <c r="G194">
        <v>1819</v>
      </c>
      <c r="H194" s="2">
        <v>7631406</v>
      </c>
    </row>
    <row r="195" spans="1:8" x14ac:dyDescent="0.25">
      <c r="A195" t="s">
        <v>108</v>
      </c>
      <c r="B195">
        <v>2004</v>
      </c>
      <c r="C195" t="s">
        <v>2</v>
      </c>
      <c r="D195" t="s">
        <v>27</v>
      </c>
      <c r="E195">
        <v>2</v>
      </c>
      <c r="F195" t="s">
        <v>20</v>
      </c>
      <c r="G195">
        <v>6051</v>
      </c>
      <c r="H195" s="2">
        <v>3814359</v>
      </c>
    </row>
    <row r="196" spans="1:8" x14ac:dyDescent="0.25">
      <c r="A196" t="s">
        <v>109</v>
      </c>
      <c r="B196">
        <v>2004</v>
      </c>
      <c r="C196" t="s">
        <v>1</v>
      </c>
      <c r="D196" t="s">
        <v>27</v>
      </c>
      <c r="E196">
        <v>2</v>
      </c>
      <c r="F196" t="s">
        <v>20</v>
      </c>
      <c r="G196">
        <v>4153</v>
      </c>
      <c r="H196" s="2">
        <v>841739</v>
      </c>
    </row>
    <row r="197" spans="1:8" x14ac:dyDescent="0.25">
      <c r="A197" t="s">
        <v>110</v>
      </c>
      <c r="B197">
        <v>2004</v>
      </c>
      <c r="C197" t="s">
        <v>0</v>
      </c>
      <c r="D197" t="s">
        <v>27</v>
      </c>
      <c r="E197">
        <v>2</v>
      </c>
      <c r="F197" t="s">
        <v>20</v>
      </c>
      <c r="G197">
        <v>4767</v>
      </c>
      <c r="H197" s="2">
        <v>841739</v>
      </c>
    </row>
    <row r="198" spans="1:8" x14ac:dyDescent="0.25">
      <c r="A198" t="s">
        <v>111</v>
      </c>
      <c r="B198">
        <v>2005</v>
      </c>
      <c r="C198" t="s">
        <v>6</v>
      </c>
      <c r="D198" t="s">
        <v>27</v>
      </c>
      <c r="E198">
        <v>2</v>
      </c>
      <c r="F198" t="s">
        <v>20</v>
      </c>
      <c r="G198">
        <v>112</v>
      </c>
      <c r="H198" s="2">
        <v>2774961</v>
      </c>
    </row>
    <row r="199" spans="1:8" x14ac:dyDescent="0.25">
      <c r="A199" t="s">
        <v>112</v>
      </c>
      <c r="B199">
        <v>2005</v>
      </c>
      <c r="C199" t="s">
        <v>5</v>
      </c>
      <c r="D199" t="s">
        <v>27</v>
      </c>
      <c r="E199">
        <v>2</v>
      </c>
      <c r="F199" t="s">
        <v>20</v>
      </c>
      <c r="G199">
        <v>210</v>
      </c>
      <c r="H199" s="2">
        <v>5386812</v>
      </c>
    </row>
    <row r="200" spans="1:8" x14ac:dyDescent="0.25">
      <c r="A200" t="s">
        <v>113</v>
      </c>
      <c r="B200">
        <v>2005</v>
      </c>
      <c r="C200" t="s">
        <v>4</v>
      </c>
      <c r="D200" t="s">
        <v>27</v>
      </c>
      <c r="E200">
        <v>2</v>
      </c>
      <c r="F200" t="s">
        <v>20</v>
      </c>
      <c r="G200">
        <v>351</v>
      </c>
      <c r="H200" s="2">
        <v>5134473</v>
      </c>
    </row>
    <row r="201" spans="1:8" x14ac:dyDescent="0.25">
      <c r="A201" t="s">
        <v>114</v>
      </c>
      <c r="B201">
        <v>2005</v>
      </c>
      <c r="C201" t="s">
        <v>3</v>
      </c>
      <c r="D201" t="s">
        <v>27</v>
      </c>
      <c r="E201">
        <v>2</v>
      </c>
      <c r="F201" t="s">
        <v>20</v>
      </c>
      <c r="G201">
        <v>1877</v>
      </c>
      <c r="H201" s="2">
        <v>7765159</v>
      </c>
    </row>
    <row r="202" spans="1:8" x14ac:dyDescent="0.25">
      <c r="A202" t="s">
        <v>115</v>
      </c>
      <c r="B202">
        <v>2005</v>
      </c>
      <c r="C202" t="s">
        <v>2</v>
      </c>
      <c r="D202" t="s">
        <v>27</v>
      </c>
      <c r="E202">
        <v>2</v>
      </c>
      <c r="F202" t="s">
        <v>20</v>
      </c>
      <c r="G202">
        <v>6340</v>
      </c>
      <c r="H202" s="2">
        <v>3970997</v>
      </c>
    </row>
    <row r="203" spans="1:8" x14ac:dyDescent="0.25">
      <c r="A203" t="s">
        <v>116</v>
      </c>
      <c r="B203">
        <v>2005</v>
      </c>
      <c r="C203" t="s">
        <v>1</v>
      </c>
      <c r="D203" t="s">
        <v>27</v>
      </c>
      <c r="E203">
        <v>2</v>
      </c>
      <c r="F203" t="s">
        <v>20</v>
      </c>
      <c r="G203">
        <v>4173</v>
      </c>
      <c r="H203" s="2">
        <v>866819</v>
      </c>
    </row>
    <row r="204" spans="1:8" x14ac:dyDescent="0.25">
      <c r="A204" t="s">
        <v>117</v>
      </c>
      <c r="B204">
        <v>2005</v>
      </c>
      <c r="C204" t="s">
        <v>0</v>
      </c>
      <c r="D204" t="s">
        <v>27</v>
      </c>
      <c r="E204">
        <v>2</v>
      </c>
      <c r="F204" t="s">
        <v>20</v>
      </c>
      <c r="G204">
        <v>5092</v>
      </c>
      <c r="H204" s="2">
        <v>866819</v>
      </c>
    </row>
    <row r="205" spans="1:8" x14ac:dyDescent="0.25">
      <c r="A205" t="s">
        <v>118</v>
      </c>
      <c r="B205">
        <v>2006</v>
      </c>
      <c r="C205" t="s">
        <v>6</v>
      </c>
      <c r="D205" t="s">
        <v>27</v>
      </c>
      <c r="E205">
        <v>2</v>
      </c>
      <c r="F205" t="s">
        <v>20</v>
      </c>
      <c r="G205">
        <v>132</v>
      </c>
      <c r="H205" s="2">
        <v>2777568</v>
      </c>
    </row>
    <row r="206" spans="1:8" x14ac:dyDescent="0.25">
      <c r="A206" t="s">
        <v>119</v>
      </c>
      <c r="B206">
        <v>2006</v>
      </c>
      <c r="C206" t="s">
        <v>5</v>
      </c>
      <c r="D206" t="s">
        <v>27</v>
      </c>
      <c r="E206">
        <v>2</v>
      </c>
      <c r="F206" t="s">
        <v>20</v>
      </c>
      <c r="G206">
        <v>239</v>
      </c>
      <c r="H206" s="2">
        <v>5407717</v>
      </c>
    </row>
    <row r="207" spans="1:8" x14ac:dyDescent="0.25">
      <c r="A207" t="s">
        <v>120</v>
      </c>
      <c r="B207">
        <v>2006</v>
      </c>
      <c r="C207" t="s">
        <v>4</v>
      </c>
      <c r="D207" t="s">
        <v>27</v>
      </c>
      <c r="E207">
        <v>2</v>
      </c>
      <c r="F207" t="s">
        <v>20</v>
      </c>
      <c r="G207">
        <v>332</v>
      </c>
      <c r="H207" s="2">
        <v>5178861</v>
      </c>
    </row>
    <row r="208" spans="1:8" x14ac:dyDescent="0.25">
      <c r="A208" t="s">
        <v>121</v>
      </c>
      <c r="B208">
        <v>2006</v>
      </c>
      <c r="C208" t="s">
        <v>3</v>
      </c>
      <c r="D208" t="s">
        <v>27</v>
      </c>
      <c r="E208">
        <v>2</v>
      </c>
      <c r="F208" t="s">
        <v>20</v>
      </c>
      <c r="G208">
        <v>1896</v>
      </c>
      <c r="H208" s="2">
        <v>7897108</v>
      </c>
    </row>
    <row r="209" spans="1:8" x14ac:dyDescent="0.25">
      <c r="A209" t="s">
        <v>122</v>
      </c>
      <c r="B209">
        <v>2006</v>
      </c>
      <c r="C209" t="s">
        <v>2</v>
      </c>
      <c r="D209" t="s">
        <v>27</v>
      </c>
      <c r="E209">
        <v>2</v>
      </c>
      <c r="F209" t="s">
        <v>20</v>
      </c>
      <c r="G209">
        <v>6587</v>
      </c>
      <c r="H209" s="2">
        <v>4136588</v>
      </c>
    </row>
    <row r="210" spans="1:8" x14ac:dyDescent="0.25">
      <c r="A210" t="s">
        <v>123</v>
      </c>
      <c r="B210">
        <v>2006</v>
      </c>
      <c r="C210" t="s">
        <v>1</v>
      </c>
      <c r="D210" t="s">
        <v>27</v>
      </c>
      <c r="E210">
        <v>2</v>
      </c>
      <c r="F210" t="s">
        <v>20</v>
      </c>
      <c r="G210">
        <v>4107</v>
      </c>
      <c r="H210" s="2">
        <v>893794</v>
      </c>
    </row>
    <row r="211" spans="1:8" x14ac:dyDescent="0.25">
      <c r="A211" t="s">
        <v>124</v>
      </c>
      <c r="B211">
        <v>2006</v>
      </c>
      <c r="C211" t="s">
        <v>0</v>
      </c>
      <c r="D211" t="s">
        <v>27</v>
      </c>
      <c r="E211">
        <v>2</v>
      </c>
      <c r="F211" t="s">
        <v>20</v>
      </c>
      <c r="G211">
        <v>5250</v>
      </c>
      <c r="H211" s="2">
        <v>893794</v>
      </c>
    </row>
    <row r="212" spans="1:8" x14ac:dyDescent="0.25">
      <c r="A212" t="s">
        <v>125</v>
      </c>
      <c r="B212">
        <v>2007</v>
      </c>
      <c r="C212" t="s">
        <v>6</v>
      </c>
      <c r="D212" t="s">
        <v>27</v>
      </c>
      <c r="E212">
        <v>2</v>
      </c>
      <c r="F212" t="s">
        <v>20</v>
      </c>
      <c r="G212">
        <v>110</v>
      </c>
      <c r="H212" s="2">
        <v>2778731</v>
      </c>
    </row>
    <row r="213" spans="1:8" x14ac:dyDescent="0.25">
      <c r="A213" t="s">
        <v>126</v>
      </c>
      <c r="B213">
        <v>2007</v>
      </c>
      <c r="C213" t="s">
        <v>5</v>
      </c>
      <c r="D213" t="s">
        <v>27</v>
      </c>
      <c r="E213">
        <v>2</v>
      </c>
      <c r="F213" t="s">
        <v>20</v>
      </c>
      <c r="G213">
        <v>225</v>
      </c>
      <c r="H213" s="2">
        <v>5427910</v>
      </c>
    </row>
    <row r="214" spans="1:8" x14ac:dyDescent="0.25">
      <c r="A214" t="s">
        <v>127</v>
      </c>
      <c r="B214">
        <v>2007</v>
      </c>
      <c r="C214" t="s">
        <v>4</v>
      </c>
      <c r="D214" t="s">
        <v>27</v>
      </c>
      <c r="E214">
        <v>2</v>
      </c>
      <c r="F214" t="s">
        <v>20</v>
      </c>
      <c r="G214">
        <v>338</v>
      </c>
      <c r="H214" s="2">
        <v>5216537</v>
      </c>
    </row>
    <row r="215" spans="1:8" x14ac:dyDescent="0.25">
      <c r="A215" t="s">
        <v>128</v>
      </c>
      <c r="B215">
        <v>2007</v>
      </c>
      <c r="C215" t="s">
        <v>3</v>
      </c>
      <c r="D215" t="s">
        <v>27</v>
      </c>
      <c r="E215">
        <v>2</v>
      </c>
      <c r="F215" t="s">
        <v>20</v>
      </c>
      <c r="G215">
        <v>1904</v>
      </c>
      <c r="H215" s="2">
        <v>8032843</v>
      </c>
    </row>
    <row r="216" spans="1:8" x14ac:dyDescent="0.25">
      <c r="A216" t="s">
        <v>129</v>
      </c>
      <c r="B216">
        <v>2007</v>
      </c>
      <c r="C216" t="s">
        <v>2</v>
      </c>
      <c r="D216" t="s">
        <v>27</v>
      </c>
      <c r="E216">
        <v>2</v>
      </c>
      <c r="F216" t="s">
        <v>20</v>
      </c>
      <c r="G216">
        <v>6649</v>
      </c>
      <c r="H216" s="2">
        <v>4307510</v>
      </c>
    </row>
    <row r="217" spans="1:8" x14ac:dyDescent="0.25">
      <c r="A217" t="s">
        <v>130</v>
      </c>
      <c r="B217">
        <v>2007</v>
      </c>
      <c r="C217" t="s">
        <v>1</v>
      </c>
      <c r="D217" t="s">
        <v>27</v>
      </c>
      <c r="E217">
        <v>2</v>
      </c>
      <c r="F217" t="s">
        <v>20</v>
      </c>
      <c r="G217">
        <v>4491</v>
      </c>
      <c r="H217" s="2">
        <v>922773</v>
      </c>
    </row>
    <row r="218" spans="1:8" x14ac:dyDescent="0.25">
      <c r="A218" t="s">
        <v>131</v>
      </c>
      <c r="B218">
        <v>2007</v>
      </c>
      <c r="C218" t="s">
        <v>0</v>
      </c>
      <c r="D218" t="s">
        <v>27</v>
      </c>
      <c r="E218">
        <v>2</v>
      </c>
      <c r="F218" t="s">
        <v>20</v>
      </c>
      <c r="G218">
        <v>5537</v>
      </c>
      <c r="H218" s="2">
        <v>922773</v>
      </c>
    </row>
    <row r="219" spans="1:8" x14ac:dyDescent="0.25">
      <c r="A219" t="s">
        <v>132</v>
      </c>
      <c r="B219">
        <v>2008</v>
      </c>
      <c r="C219" t="s">
        <v>6</v>
      </c>
      <c r="D219" t="s">
        <v>27</v>
      </c>
      <c r="E219">
        <v>2</v>
      </c>
      <c r="F219" t="s">
        <v>20</v>
      </c>
      <c r="G219">
        <v>112</v>
      </c>
      <c r="H219" s="2">
        <v>2778239</v>
      </c>
    </row>
    <row r="220" spans="1:8" x14ac:dyDescent="0.25">
      <c r="A220" t="s">
        <v>133</v>
      </c>
      <c r="B220">
        <v>2008</v>
      </c>
      <c r="C220" t="s">
        <v>5</v>
      </c>
      <c r="D220" t="s">
        <v>27</v>
      </c>
      <c r="E220">
        <v>2</v>
      </c>
      <c r="F220" t="s">
        <v>20</v>
      </c>
      <c r="G220">
        <v>226</v>
      </c>
      <c r="H220" s="2">
        <v>5448390</v>
      </c>
    </row>
    <row r="221" spans="1:8" x14ac:dyDescent="0.25">
      <c r="A221" t="s">
        <v>134</v>
      </c>
      <c r="B221">
        <v>2008</v>
      </c>
      <c r="C221" t="s">
        <v>4</v>
      </c>
      <c r="D221" t="s">
        <v>27</v>
      </c>
      <c r="E221">
        <v>2</v>
      </c>
      <c r="F221" t="s">
        <v>20</v>
      </c>
      <c r="G221">
        <v>367</v>
      </c>
      <c r="H221" s="2">
        <v>5246997</v>
      </c>
    </row>
    <row r="222" spans="1:8" x14ac:dyDescent="0.25">
      <c r="A222" t="s">
        <v>135</v>
      </c>
      <c r="B222">
        <v>2008</v>
      </c>
      <c r="C222" t="s">
        <v>3</v>
      </c>
      <c r="D222" t="s">
        <v>27</v>
      </c>
      <c r="E222">
        <v>2</v>
      </c>
      <c r="F222" t="s">
        <v>20</v>
      </c>
      <c r="G222">
        <v>1851</v>
      </c>
      <c r="H222" s="2">
        <v>8172306</v>
      </c>
    </row>
    <row r="223" spans="1:8" x14ac:dyDescent="0.25">
      <c r="A223" t="s">
        <v>136</v>
      </c>
      <c r="B223">
        <v>2008</v>
      </c>
      <c r="C223" t="s">
        <v>2</v>
      </c>
      <c r="D223" t="s">
        <v>27</v>
      </c>
      <c r="E223">
        <v>2</v>
      </c>
      <c r="F223" t="s">
        <v>20</v>
      </c>
      <c r="G223">
        <v>6920</v>
      </c>
      <c r="H223" s="2">
        <v>4483302</v>
      </c>
    </row>
    <row r="224" spans="1:8" x14ac:dyDescent="0.25">
      <c r="A224" t="s">
        <v>137</v>
      </c>
      <c r="B224">
        <v>2008</v>
      </c>
      <c r="C224" t="s">
        <v>1</v>
      </c>
      <c r="D224" t="s">
        <v>27</v>
      </c>
      <c r="E224">
        <v>2</v>
      </c>
      <c r="F224" t="s">
        <v>20</v>
      </c>
      <c r="G224">
        <v>4526</v>
      </c>
      <c r="H224" s="2">
        <v>953869</v>
      </c>
    </row>
    <row r="225" spans="1:8" x14ac:dyDescent="0.25">
      <c r="A225" t="s">
        <v>138</v>
      </c>
      <c r="B225">
        <v>2008</v>
      </c>
      <c r="C225" t="s">
        <v>0</v>
      </c>
      <c r="D225" t="s">
        <v>27</v>
      </c>
      <c r="E225">
        <v>2</v>
      </c>
      <c r="F225" t="s">
        <v>20</v>
      </c>
      <c r="G225">
        <v>5794</v>
      </c>
      <c r="H225" s="2">
        <v>953869</v>
      </c>
    </row>
    <row r="226" spans="1:8" x14ac:dyDescent="0.25">
      <c r="A226" t="s">
        <v>139</v>
      </c>
      <c r="B226">
        <v>2009</v>
      </c>
      <c r="C226" t="s">
        <v>6</v>
      </c>
      <c r="D226" t="s">
        <v>27</v>
      </c>
      <c r="E226">
        <v>2</v>
      </c>
      <c r="F226" t="s">
        <v>20</v>
      </c>
      <c r="G226">
        <v>134</v>
      </c>
      <c r="H226" s="2">
        <v>2775920</v>
      </c>
    </row>
    <row r="227" spans="1:8" x14ac:dyDescent="0.25">
      <c r="A227" t="s">
        <v>140</v>
      </c>
      <c r="B227">
        <v>2009</v>
      </c>
      <c r="C227" t="s">
        <v>5</v>
      </c>
      <c r="D227" t="s">
        <v>27</v>
      </c>
      <c r="E227">
        <v>2</v>
      </c>
      <c r="F227" t="s">
        <v>20</v>
      </c>
      <c r="G227">
        <v>213</v>
      </c>
      <c r="H227" s="2">
        <v>5469822</v>
      </c>
    </row>
    <row r="228" spans="1:8" x14ac:dyDescent="0.25">
      <c r="A228" t="s">
        <v>141</v>
      </c>
      <c r="B228">
        <v>2009</v>
      </c>
      <c r="C228" t="s">
        <v>4</v>
      </c>
      <c r="D228" t="s">
        <v>27</v>
      </c>
      <c r="E228">
        <v>2</v>
      </c>
      <c r="F228" t="s">
        <v>20</v>
      </c>
      <c r="G228">
        <v>316</v>
      </c>
      <c r="H228" s="2">
        <v>5270463</v>
      </c>
    </row>
    <row r="229" spans="1:8" x14ac:dyDescent="0.25">
      <c r="A229" t="s">
        <v>142</v>
      </c>
      <c r="B229">
        <v>2009</v>
      </c>
      <c r="C229" t="s">
        <v>3</v>
      </c>
      <c r="D229" t="s">
        <v>27</v>
      </c>
      <c r="E229">
        <v>2</v>
      </c>
      <c r="F229" t="s">
        <v>20</v>
      </c>
      <c r="G229">
        <v>1933</v>
      </c>
      <c r="H229" s="2">
        <v>8314639</v>
      </c>
    </row>
    <row r="230" spans="1:8" x14ac:dyDescent="0.25">
      <c r="A230" t="s">
        <v>143</v>
      </c>
      <c r="B230">
        <v>2009</v>
      </c>
      <c r="C230" t="s">
        <v>2</v>
      </c>
      <c r="D230" t="s">
        <v>27</v>
      </c>
      <c r="E230">
        <v>2</v>
      </c>
      <c r="F230" t="s">
        <v>20</v>
      </c>
      <c r="G230">
        <v>7281</v>
      </c>
      <c r="H230" s="2">
        <v>4663733</v>
      </c>
    </row>
    <row r="231" spans="1:8" x14ac:dyDescent="0.25">
      <c r="A231" t="s">
        <v>144</v>
      </c>
      <c r="B231">
        <v>2009</v>
      </c>
      <c r="C231" t="s">
        <v>1</v>
      </c>
      <c r="D231" t="s">
        <v>27</v>
      </c>
      <c r="E231">
        <v>2</v>
      </c>
      <c r="F231" t="s">
        <v>20</v>
      </c>
      <c r="G231">
        <v>4630</v>
      </c>
      <c r="H231" s="2">
        <v>987212</v>
      </c>
    </row>
    <row r="232" spans="1:8" x14ac:dyDescent="0.25">
      <c r="A232" t="s">
        <v>145</v>
      </c>
      <c r="B232">
        <v>2009</v>
      </c>
      <c r="C232" t="s">
        <v>0</v>
      </c>
      <c r="D232" t="s">
        <v>27</v>
      </c>
      <c r="E232">
        <v>2</v>
      </c>
      <c r="F232" t="s">
        <v>20</v>
      </c>
      <c r="G232">
        <v>5781</v>
      </c>
      <c r="H232" s="2">
        <v>987212</v>
      </c>
    </row>
    <row r="233" spans="1:8" x14ac:dyDescent="0.25">
      <c r="A233" t="s">
        <v>146</v>
      </c>
      <c r="B233">
        <v>2010</v>
      </c>
      <c r="C233" t="s">
        <v>6</v>
      </c>
      <c r="D233" t="s">
        <v>27</v>
      </c>
      <c r="E233">
        <v>2</v>
      </c>
      <c r="F233" t="s">
        <v>20</v>
      </c>
      <c r="G233">
        <v>130</v>
      </c>
      <c r="H233" s="2">
        <v>2771760</v>
      </c>
    </row>
    <row r="234" spans="1:8" x14ac:dyDescent="0.25">
      <c r="A234" t="s">
        <v>147</v>
      </c>
      <c r="B234">
        <v>2010</v>
      </c>
      <c r="C234" t="s">
        <v>5</v>
      </c>
      <c r="D234" t="s">
        <v>27</v>
      </c>
      <c r="E234">
        <v>2</v>
      </c>
      <c r="F234" t="s">
        <v>20</v>
      </c>
      <c r="G234">
        <v>212</v>
      </c>
      <c r="H234" s="2">
        <v>5492408</v>
      </c>
    </row>
    <row r="235" spans="1:8" x14ac:dyDescent="0.25">
      <c r="A235" t="s">
        <v>148</v>
      </c>
      <c r="B235">
        <v>2010</v>
      </c>
      <c r="C235" t="s">
        <v>4</v>
      </c>
      <c r="D235" t="s">
        <v>27</v>
      </c>
      <c r="E235">
        <v>2</v>
      </c>
      <c r="F235" t="s">
        <v>20</v>
      </c>
      <c r="G235">
        <v>322</v>
      </c>
      <c r="H235" s="2">
        <v>5286720</v>
      </c>
    </row>
    <row r="236" spans="1:8" x14ac:dyDescent="0.25">
      <c r="A236" t="s">
        <v>149</v>
      </c>
      <c r="B236">
        <v>2010</v>
      </c>
      <c r="C236" t="s">
        <v>3</v>
      </c>
      <c r="D236" t="s">
        <v>27</v>
      </c>
      <c r="E236">
        <v>2</v>
      </c>
      <c r="F236" t="s">
        <v>20</v>
      </c>
      <c r="G236">
        <v>2022</v>
      </c>
      <c r="H236" s="2">
        <v>8458444</v>
      </c>
    </row>
    <row r="237" spans="1:8" x14ac:dyDescent="0.25">
      <c r="A237" t="s">
        <v>150</v>
      </c>
      <c r="B237">
        <v>2010</v>
      </c>
      <c r="C237" t="s">
        <v>2</v>
      </c>
      <c r="D237" t="s">
        <v>27</v>
      </c>
      <c r="E237">
        <v>2</v>
      </c>
      <c r="F237" t="s">
        <v>20</v>
      </c>
      <c r="G237">
        <v>7472</v>
      </c>
      <c r="H237" s="2">
        <v>4849717</v>
      </c>
    </row>
    <row r="238" spans="1:8" x14ac:dyDescent="0.25">
      <c r="A238" t="s">
        <v>151</v>
      </c>
      <c r="B238">
        <v>2010</v>
      </c>
      <c r="C238" t="s">
        <v>1</v>
      </c>
      <c r="D238" t="s">
        <v>27</v>
      </c>
      <c r="E238">
        <v>2</v>
      </c>
      <c r="F238" t="s">
        <v>20</v>
      </c>
      <c r="G238">
        <v>4788</v>
      </c>
      <c r="H238" s="2">
        <v>1022974</v>
      </c>
    </row>
    <row r="239" spans="1:8" x14ac:dyDescent="0.25">
      <c r="A239" t="s">
        <v>152</v>
      </c>
      <c r="B239">
        <v>2010</v>
      </c>
      <c r="C239" t="s">
        <v>0</v>
      </c>
      <c r="D239" t="s">
        <v>27</v>
      </c>
      <c r="E239">
        <v>2</v>
      </c>
      <c r="F239" t="s">
        <v>20</v>
      </c>
      <c r="G239">
        <v>6239</v>
      </c>
      <c r="H239" s="2">
        <v>1022974</v>
      </c>
    </row>
    <row r="240" spans="1:8" x14ac:dyDescent="0.25">
      <c r="A240" t="s">
        <v>153</v>
      </c>
      <c r="B240">
        <v>2011</v>
      </c>
      <c r="C240" t="s">
        <v>6</v>
      </c>
      <c r="D240" t="s">
        <v>27</v>
      </c>
      <c r="E240">
        <v>2</v>
      </c>
      <c r="F240" t="s">
        <v>20</v>
      </c>
      <c r="G240">
        <v>138</v>
      </c>
      <c r="H240" s="2">
        <v>2765898</v>
      </c>
    </row>
    <row r="241" spans="1:8" x14ac:dyDescent="0.25">
      <c r="A241" t="s">
        <v>154</v>
      </c>
      <c r="B241">
        <v>2011</v>
      </c>
      <c r="C241" t="s">
        <v>5</v>
      </c>
      <c r="D241" t="s">
        <v>27</v>
      </c>
      <c r="E241">
        <v>2</v>
      </c>
      <c r="F241" t="s">
        <v>20</v>
      </c>
      <c r="G241">
        <v>265</v>
      </c>
      <c r="H241" s="2">
        <v>5516288</v>
      </c>
    </row>
    <row r="242" spans="1:8" x14ac:dyDescent="0.25">
      <c r="A242" t="s">
        <v>155</v>
      </c>
      <c r="B242">
        <v>2011</v>
      </c>
      <c r="C242" t="s">
        <v>4</v>
      </c>
      <c r="D242" t="s">
        <v>27</v>
      </c>
      <c r="E242">
        <v>2</v>
      </c>
      <c r="F242" t="s">
        <v>20</v>
      </c>
      <c r="G242">
        <v>338</v>
      </c>
      <c r="H242" s="2">
        <v>5296319</v>
      </c>
    </row>
    <row r="243" spans="1:8" x14ac:dyDescent="0.25">
      <c r="A243" t="s">
        <v>156</v>
      </c>
      <c r="B243">
        <v>2011</v>
      </c>
      <c r="C243" t="s">
        <v>3</v>
      </c>
      <c r="D243" t="s">
        <v>27</v>
      </c>
      <c r="E243">
        <v>2</v>
      </c>
      <c r="F243" t="s">
        <v>20</v>
      </c>
      <c r="G243">
        <v>2114</v>
      </c>
      <c r="H243" s="2">
        <v>8602515</v>
      </c>
    </row>
    <row r="244" spans="1:8" x14ac:dyDescent="0.25">
      <c r="A244" t="s">
        <v>157</v>
      </c>
      <c r="B244">
        <v>2011</v>
      </c>
      <c r="C244" t="s">
        <v>2</v>
      </c>
      <c r="D244" t="s">
        <v>27</v>
      </c>
      <c r="E244">
        <v>2</v>
      </c>
      <c r="F244" t="s">
        <v>20</v>
      </c>
      <c r="G244">
        <v>7995</v>
      </c>
      <c r="H244" s="2">
        <v>5041154</v>
      </c>
    </row>
    <row r="245" spans="1:8" x14ac:dyDescent="0.25">
      <c r="A245" t="s">
        <v>158</v>
      </c>
      <c r="B245">
        <v>2011</v>
      </c>
      <c r="C245" t="s">
        <v>1</v>
      </c>
      <c r="D245" t="s">
        <v>27</v>
      </c>
      <c r="E245">
        <v>2</v>
      </c>
      <c r="F245" t="s">
        <v>20</v>
      </c>
      <c r="G245">
        <v>5093</v>
      </c>
      <c r="H245" s="2">
        <v>1061340</v>
      </c>
    </row>
    <row r="246" spans="1:8" x14ac:dyDescent="0.25">
      <c r="A246" t="s">
        <v>159</v>
      </c>
      <c r="B246">
        <v>2011</v>
      </c>
      <c r="C246" t="s">
        <v>0</v>
      </c>
      <c r="D246" t="s">
        <v>27</v>
      </c>
      <c r="E246">
        <v>2</v>
      </c>
      <c r="F246" t="s">
        <v>20</v>
      </c>
      <c r="G246">
        <v>6384</v>
      </c>
      <c r="H246" s="2">
        <v>1061340</v>
      </c>
    </row>
    <row r="247" spans="1:8" x14ac:dyDescent="0.25">
      <c r="A247" t="s">
        <v>160</v>
      </c>
      <c r="B247">
        <v>2012</v>
      </c>
      <c r="C247" t="s">
        <v>6</v>
      </c>
      <c r="D247" t="s">
        <v>27</v>
      </c>
      <c r="E247">
        <v>2</v>
      </c>
      <c r="F247" t="s">
        <v>20</v>
      </c>
      <c r="G247">
        <v>165</v>
      </c>
      <c r="H247" s="2">
        <v>2759356.4495101599</v>
      </c>
    </row>
    <row r="248" spans="1:8" x14ac:dyDescent="0.25">
      <c r="A248" t="s">
        <v>161</v>
      </c>
      <c r="B248">
        <v>2012</v>
      </c>
      <c r="C248" t="s">
        <v>5</v>
      </c>
      <c r="D248" t="s">
        <v>27</v>
      </c>
      <c r="E248">
        <v>2</v>
      </c>
      <c r="F248" t="s">
        <v>20</v>
      </c>
      <c r="G248">
        <v>254</v>
      </c>
      <c r="H248" s="2">
        <v>5537428.7927720398</v>
      </c>
    </row>
    <row r="249" spans="1:8" x14ac:dyDescent="0.25">
      <c r="A249" t="s">
        <v>162</v>
      </c>
      <c r="B249">
        <v>2012</v>
      </c>
      <c r="C249" t="s">
        <v>4</v>
      </c>
      <c r="D249" t="s">
        <v>27</v>
      </c>
      <c r="E249">
        <v>2</v>
      </c>
      <c r="F249" t="s">
        <v>20</v>
      </c>
      <c r="G249">
        <v>355</v>
      </c>
      <c r="H249" s="2">
        <v>5307779.7280284902</v>
      </c>
    </row>
    <row r="250" spans="1:8" x14ac:dyDescent="0.25">
      <c r="A250" t="s">
        <v>163</v>
      </c>
      <c r="B250">
        <v>2012</v>
      </c>
      <c r="C250" t="s">
        <v>3</v>
      </c>
      <c r="D250" t="s">
        <v>27</v>
      </c>
      <c r="E250">
        <v>2</v>
      </c>
      <c r="F250" t="s">
        <v>20</v>
      </c>
      <c r="G250">
        <v>2012</v>
      </c>
      <c r="H250" s="2">
        <v>8748082.6996606905</v>
      </c>
    </row>
    <row r="251" spans="1:8" x14ac:dyDescent="0.25">
      <c r="A251" t="s">
        <v>164</v>
      </c>
      <c r="B251">
        <v>2012</v>
      </c>
      <c r="C251" t="s">
        <v>2</v>
      </c>
      <c r="D251" t="s">
        <v>27</v>
      </c>
      <c r="E251">
        <v>2</v>
      </c>
      <c r="F251" t="s">
        <v>20</v>
      </c>
      <c r="G251">
        <v>8430</v>
      </c>
      <c r="H251" s="2">
        <v>5230482.0778962998</v>
      </c>
    </row>
    <row r="252" spans="1:8" x14ac:dyDescent="0.25">
      <c r="A252" t="s">
        <v>165</v>
      </c>
      <c r="B252">
        <v>2012</v>
      </c>
      <c r="C252" t="s">
        <v>1</v>
      </c>
      <c r="D252" t="s">
        <v>27</v>
      </c>
      <c r="E252">
        <v>2</v>
      </c>
      <c r="F252" t="s">
        <v>20</v>
      </c>
      <c r="G252">
        <v>5022</v>
      </c>
      <c r="H252" s="2">
        <v>1102796.7939262099</v>
      </c>
    </row>
    <row r="253" spans="1:8" x14ac:dyDescent="0.25">
      <c r="A253" t="s">
        <v>166</v>
      </c>
      <c r="B253">
        <v>2012</v>
      </c>
      <c r="C253" t="s">
        <v>0</v>
      </c>
      <c r="D253" t="s">
        <v>27</v>
      </c>
      <c r="E253">
        <v>2</v>
      </c>
      <c r="F253" t="s">
        <v>20</v>
      </c>
      <c r="G253">
        <v>6576</v>
      </c>
      <c r="H253" s="2">
        <v>1102796.7939262099</v>
      </c>
    </row>
    <row r="254" spans="1:8" x14ac:dyDescent="0.25">
      <c r="A254" t="s">
        <v>167</v>
      </c>
      <c r="B254">
        <v>2013</v>
      </c>
      <c r="C254" t="s">
        <v>6</v>
      </c>
      <c r="D254" t="s">
        <v>27</v>
      </c>
      <c r="E254">
        <v>2</v>
      </c>
      <c r="F254" t="s">
        <v>20</v>
      </c>
      <c r="G254">
        <v>113</v>
      </c>
      <c r="H254" s="2">
        <v>2752322.19750119</v>
      </c>
    </row>
    <row r="255" spans="1:8" x14ac:dyDescent="0.25">
      <c r="A255" t="s">
        <v>168</v>
      </c>
      <c r="B255">
        <v>2013</v>
      </c>
      <c r="C255" t="s">
        <v>5</v>
      </c>
      <c r="D255" t="s">
        <v>27</v>
      </c>
      <c r="E255">
        <v>2</v>
      </c>
      <c r="F255" t="s">
        <v>20</v>
      </c>
      <c r="G255">
        <v>239</v>
      </c>
      <c r="H255" s="2">
        <v>5554323.1251711203</v>
      </c>
    </row>
    <row r="256" spans="1:8" x14ac:dyDescent="0.25">
      <c r="A256" t="s">
        <v>169</v>
      </c>
      <c r="B256">
        <v>2013</v>
      </c>
      <c r="C256" t="s">
        <v>4</v>
      </c>
      <c r="D256" t="s">
        <v>27</v>
      </c>
      <c r="E256">
        <v>2</v>
      </c>
      <c r="F256" t="s">
        <v>20</v>
      </c>
      <c r="G256">
        <v>375</v>
      </c>
      <c r="H256" s="2">
        <v>5323364.8480997998</v>
      </c>
    </row>
    <row r="257" spans="1:8" x14ac:dyDescent="0.25">
      <c r="A257" t="s">
        <v>170</v>
      </c>
      <c r="B257">
        <v>2013</v>
      </c>
      <c r="C257" t="s">
        <v>3</v>
      </c>
      <c r="D257" t="s">
        <v>27</v>
      </c>
      <c r="E257">
        <v>2</v>
      </c>
      <c r="F257" t="s">
        <v>20</v>
      </c>
      <c r="G257">
        <v>2058</v>
      </c>
      <c r="H257" s="2">
        <v>8893718.1904660594</v>
      </c>
    </row>
    <row r="258" spans="1:8" x14ac:dyDescent="0.25">
      <c r="A258" t="s">
        <v>171</v>
      </c>
      <c r="B258">
        <v>2013</v>
      </c>
      <c r="C258" t="s">
        <v>2</v>
      </c>
      <c r="D258" t="s">
        <v>27</v>
      </c>
      <c r="E258">
        <v>2</v>
      </c>
      <c r="F258" t="s">
        <v>20</v>
      </c>
      <c r="G258">
        <v>8302</v>
      </c>
      <c r="H258" s="2">
        <v>5415783.9591287402</v>
      </c>
    </row>
    <row r="259" spans="1:8" x14ac:dyDescent="0.25">
      <c r="A259" t="s">
        <v>172</v>
      </c>
      <c r="B259">
        <v>2013</v>
      </c>
      <c r="C259" t="s">
        <v>1</v>
      </c>
      <c r="D259" t="s">
        <v>27</v>
      </c>
      <c r="E259">
        <v>2</v>
      </c>
      <c r="F259" t="s">
        <v>20</v>
      </c>
      <c r="G259">
        <v>5389</v>
      </c>
      <c r="H259" s="2">
        <v>1147296.6505007599</v>
      </c>
    </row>
    <row r="260" spans="1:8" x14ac:dyDescent="0.25">
      <c r="A260" t="s">
        <v>173</v>
      </c>
      <c r="B260">
        <v>2013</v>
      </c>
      <c r="C260" t="s">
        <v>0</v>
      </c>
      <c r="D260" t="s">
        <v>27</v>
      </c>
      <c r="E260">
        <v>2</v>
      </c>
      <c r="F260" t="s">
        <v>20</v>
      </c>
      <c r="G260">
        <v>6643</v>
      </c>
      <c r="H260" s="2">
        <v>1147296.6505007599</v>
      </c>
    </row>
    <row r="261" spans="1:8" x14ac:dyDescent="0.25">
      <c r="A261" t="s">
        <v>174</v>
      </c>
      <c r="B261">
        <v>2014</v>
      </c>
      <c r="C261" t="s">
        <v>6</v>
      </c>
      <c r="D261" t="s">
        <v>27</v>
      </c>
      <c r="E261">
        <v>2</v>
      </c>
      <c r="F261" t="s">
        <v>20</v>
      </c>
      <c r="G261">
        <v>137</v>
      </c>
      <c r="H261" s="2">
        <v>2744697</v>
      </c>
    </row>
    <row r="262" spans="1:8" x14ac:dyDescent="0.25">
      <c r="A262" t="s">
        <v>175</v>
      </c>
      <c r="B262">
        <v>2014</v>
      </c>
      <c r="C262" t="s">
        <v>5</v>
      </c>
      <c r="D262" t="s">
        <v>27</v>
      </c>
      <c r="E262">
        <v>2</v>
      </c>
      <c r="F262" t="s">
        <v>20</v>
      </c>
      <c r="G262">
        <v>219</v>
      </c>
      <c r="H262" s="2">
        <v>5566437</v>
      </c>
    </row>
    <row r="263" spans="1:8" x14ac:dyDescent="0.25">
      <c r="A263" t="s">
        <v>176</v>
      </c>
      <c r="B263">
        <v>2014</v>
      </c>
      <c r="C263" t="s">
        <v>4</v>
      </c>
      <c r="D263" t="s">
        <v>27</v>
      </c>
      <c r="E263">
        <v>2</v>
      </c>
      <c r="F263" t="s">
        <v>20</v>
      </c>
      <c r="G263">
        <v>356</v>
      </c>
      <c r="H263" s="2">
        <v>5343109</v>
      </c>
    </row>
    <row r="264" spans="1:8" x14ac:dyDescent="0.25">
      <c r="A264" t="s">
        <v>177</v>
      </c>
      <c r="B264">
        <v>2014</v>
      </c>
      <c r="C264" t="s">
        <v>3</v>
      </c>
      <c r="D264" t="s">
        <v>27</v>
      </c>
      <c r="E264">
        <v>2</v>
      </c>
      <c r="F264" t="s">
        <v>20</v>
      </c>
      <c r="G264">
        <v>2117</v>
      </c>
      <c r="H264" s="2">
        <v>9037113</v>
      </c>
    </row>
    <row r="265" spans="1:8" x14ac:dyDescent="0.25">
      <c r="A265" t="s">
        <v>178</v>
      </c>
      <c r="B265">
        <v>2014</v>
      </c>
      <c r="C265" t="s">
        <v>2</v>
      </c>
      <c r="D265" t="s">
        <v>27</v>
      </c>
      <c r="E265">
        <v>2</v>
      </c>
      <c r="F265" t="s">
        <v>20</v>
      </c>
      <c r="G265">
        <v>8578</v>
      </c>
      <c r="H265" s="2">
        <v>5597164</v>
      </c>
    </row>
    <row r="266" spans="1:8" x14ac:dyDescent="0.25">
      <c r="A266" t="s">
        <v>179</v>
      </c>
      <c r="B266">
        <v>2014</v>
      </c>
      <c r="C266" t="s">
        <v>1</v>
      </c>
      <c r="D266" t="s">
        <v>27</v>
      </c>
      <c r="E266">
        <v>2</v>
      </c>
      <c r="F266" t="s">
        <v>20</v>
      </c>
      <c r="G266">
        <v>5608</v>
      </c>
      <c r="H266" s="2">
        <v>1194627</v>
      </c>
    </row>
    <row r="267" spans="1:8" x14ac:dyDescent="0.25">
      <c r="A267" t="s">
        <v>180</v>
      </c>
      <c r="B267">
        <v>2014</v>
      </c>
      <c r="C267" t="s">
        <v>0</v>
      </c>
      <c r="D267" t="s">
        <v>27</v>
      </c>
      <c r="E267">
        <v>2</v>
      </c>
      <c r="F267" t="s">
        <v>20</v>
      </c>
      <c r="G267">
        <v>7184</v>
      </c>
      <c r="H267" s="2">
        <v>1194627</v>
      </c>
    </row>
    <row r="268" spans="1:8" x14ac:dyDescent="0.25">
      <c r="A268" t="s">
        <v>48</v>
      </c>
      <c r="B268">
        <v>1996</v>
      </c>
      <c r="C268" t="s">
        <v>6</v>
      </c>
      <c r="D268" t="s">
        <v>27</v>
      </c>
      <c r="E268">
        <v>3</v>
      </c>
      <c r="F268" t="s">
        <v>19</v>
      </c>
      <c r="G268">
        <v>14</v>
      </c>
      <c r="H268" s="2">
        <v>2669011.0638103201</v>
      </c>
    </row>
    <row r="269" spans="1:8" x14ac:dyDescent="0.25">
      <c r="A269" t="s">
        <v>49</v>
      </c>
      <c r="B269">
        <v>1996</v>
      </c>
      <c r="C269" t="s">
        <v>5</v>
      </c>
      <c r="D269" t="s">
        <v>27</v>
      </c>
      <c r="E269">
        <v>3</v>
      </c>
      <c r="F269" t="s">
        <v>19</v>
      </c>
      <c r="G269">
        <v>18</v>
      </c>
      <c r="H269" s="2">
        <v>5336689.2615659405</v>
      </c>
    </row>
    <row r="270" spans="1:8" x14ac:dyDescent="0.25">
      <c r="A270" t="s">
        <v>50</v>
      </c>
      <c r="B270">
        <v>1996</v>
      </c>
      <c r="C270" t="s">
        <v>4</v>
      </c>
      <c r="D270" t="s">
        <v>27</v>
      </c>
      <c r="E270">
        <v>3</v>
      </c>
      <c r="F270" t="s">
        <v>19</v>
      </c>
      <c r="G270">
        <v>64</v>
      </c>
      <c r="H270" s="2">
        <v>4328734.7335640304</v>
      </c>
    </row>
    <row r="271" spans="1:8" x14ac:dyDescent="0.25">
      <c r="A271" t="s">
        <v>51</v>
      </c>
      <c r="B271">
        <v>1996</v>
      </c>
      <c r="C271" t="s">
        <v>3</v>
      </c>
      <c r="D271" t="s">
        <v>27</v>
      </c>
      <c r="E271">
        <v>3</v>
      </c>
      <c r="F271" t="s">
        <v>19</v>
      </c>
      <c r="G271">
        <v>517</v>
      </c>
      <c r="H271" s="2">
        <v>6500086.9398599695</v>
      </c>
    </row>
    <row r="272" spans="1:8" x14ac:dyDescent="0.25">
      <c r="A272" t="s">
        <v>52</v>
      </c>
      <c r="B272">
        <v>1996</v>
      </c>
      <c r="C272" t="s">
        <v>2</v>
      </c>
      <c r="D272" t="s">
        <v>27</v>
      </c>
      <c r="E272">
        <v>3</v>
      </c>
      <c r="F272" t="s">
        <v>19</v>
      </c>
      <c r="G272">
        <v>1783</v>
      </c>
      <c r="H272" s="2">
        <v>2862216.4853526298</v>
      </c>
    </row>
    <row r="273" spans="1:8" x14ac:dyDescent="0.25">
      <c r="A273" t="s">
        <v>53</v>
      </c>
      <c r="B273">
        <v>1996</v>
      </c>
      <c r="C273" t="s">
        <v>1</v>
      </c>
      <c r="D273" t="s">
        <v>27</v>
      </c>
      <c r="E273">
        <v>3</v>
      </c>
      <c r="F273" t="s">
        <v>19</v>
      </c>
      <c r="G273">
        <v>1780</v>
      </c>
      <c r="H273" s="2">
        <v>710343.28776711202</v>
      </c>
    </row>
    <row r="274" spans="1:8" x14ac:dyDescent="0.25">
      <c r="A274" t="s">
        <v>54</v>
      </c>
      <c r="B274">
        <v>1996</v>
      </c>
      <c r="C274" t="s">
        <v>0</v>
      </c>
      <c r="D274" t="s">
        <v>27</v>
      </c>
      <c r="E274">
        <v>3</v>
      </c>
      <c r="F274" t="s">
        <v>19</v>
      </c>
      <c r="G274">
        <v>3442</v>
      </c>
      <c r="H274" s="2">
        <v>710343.28776711202</v>
      </c>
    </row>
    <row r="275" spans="1:8" x14ac:dyDescent="0.25">
      <c r="A275" t="s">
        <v>55</v>
      </c>
      <c r="B275">
        <v>1997</v>
      </c>
      <c r="C275" t="s">
        <v>6</v>
      </c>
      <c r="D275" t="s">
        <v>27</v>
      </c>
      <c r="E275">
        <v>3</v>
      </c>
      <c r="F275" t="s">
        <v>19</v>
      </c>
      <c r="G275">
        <v>16</v>
      </c>
      <c r="H275" s="2">
        <v>2689637.03828619</v>
      </c>
    </row>
    <row r="276" spans="1:8" x14ac:dyDescent="0.25">
      <c r="A276" t="s">
        <v>56</v>
      </c>
      <c r="B276">
        <v>1997</v>
      </c>
      <c r="C276" t="s">
        <v>5</v>
      </c>
      <c r="D276" t="s">
        <v>27</v>
      </c>
      <c r="E276">
        <v>3</v>
      </c>
      <c r="F276" t="s">
        <v>19</v>
      </c>
      <c r="G276">
        <v>27</v>
      </c>
      <c r="H276" s="2">
        <v>5352218.1569395596</v>
      </c>
    </row>
    <row r="277" spans="1:8" x14ac:dyDescent="0.25">
      <c r="A277" t="s">
        <v>57</v>
      </c>
      <c r="B277">
        <v>1997</v>
      </c>
      <c r="C277" t="s">
        <v>4</v>
      </c>
      <c r="D277" t="s">
        <v>27</v>
      </c>
      <c r="E277">
        <v>3</v>
      </c>
      <c r="F277" t="s">
        <v>19</v>
      </c>
      <c r="G277">
        <v>63</v>
      </c>
      <c r="H277" s="2">
        <v>4441903.2401384199</v>
      </c>
    </row>
    <row r="278" spans="1:8" x14ac:dyDescent="0.25">
      <c r="A278" t="s">
        <v>58</v>
      </c>
      <c r="B278">
        <v>1997</v>
      </c>
      <c r="C278" t="s">
        <v>3</v>
      </c>
      <c r="D278" t="s">
        <v>27</v>
      </c>
      <c r="E278">
        <v>3</v>
      </c>
      <c r="F278" t="s">
        <v>19</v>
      </c>
      <c r="G278">
        <v>532</v>
      </c>
      <c r="H278" s="2">
        <v>6652916.9639159804</v>
      </c>
    </row>
    <row r="279" spans="1:8" x14ac:dyDescent="0.25">
      <c r="A279" t="s">
        <v>59</v>
      </c>
      <c r="B279">
        <v>1997</v>
      </c>
      <c r="C279" t="s">
        <v>2</v>
      </c>
      <c r="D279" t="s">
        <v>27</v>
      </c>
      <c r="E279">
        <v>3</v>
      </c>
      <c r="F279" t="s">
        <v>19</v>
      </c>
      <c r="G279">
        <v>1690</v>
      </c>
      <c r="H279" s="2">
        <v>2950439.89121158</v>
      </c>
    </row>
    <row r="280" spans="1:8" x14ac:dyDescent="0.25">
      <c r="A280" t="s">
        <v>60</v>
      </c>
      <c r="B280">
        <v>1997</v>
      </c>
      <c r="C280" t="s">
        <v>1</v>
      </c>
      <c r="D280" t="s">
        <v>27</v>
      </c>
      <c r="E280">
        <v>3</v>
      </c>
      <c r="F280" t="s">
        <v>19</v>
      </c>
      <c r="G280">
        <v>1779</v>
      </c>
      <c r="H280" s="2">
        <v>717390.37266026705</v>
      </c>
    </row>
    <row r="281" spans="1:8" x14ac:dyDescent="0.25">
      <c r="A281" t="s">
        <v>61</v>
      </c>
      <c r="B281">
        <v>1997</v>
      </c>
      <c r="C281" t="s">
        <v>0</v>
      </c>
      <c r="D281" t="s">
        <v>27</v>
      </c>
      <c r="E281">
        <v>3</v>
      </c>
      <c r="F281" t="s">
        <v>19</v>
      </c>
      <c r="G281">
        <v>3419</v>
      </c>
      <c r="H281" s="2">
        <v>717390.37266026705</v>
      </c>
    </row>
    <row r="282" spans="1:8" x14ac:dyDescent="0.25">
      <c r="A282" t="s">
        <v>62</v>
      </c>
      <c r="B282">
        <v>1998</v>
      </c>
      <c r="C282" t="s">
        <v>6</v>
      </c>
      <c r="D282" t="s">
        <v>27</v>
      </c>
      <c r="E282">
        <v>3</v>
      </c>
      <c r="F282" t="s">
        <v>19</v>
      </c>
      <c r="G282">
        <v>18</v>
      </c>
      <c r="H282" s="2">
        <v>2707580.5191430999</v>
      </c>
    </row>
    <row r="283" spans="1:8" x14ac:dyDescent="0.25">
      <c r="A283" t="s">
        <v>63</v>
      </c>
      <c r="B283">
        <v>1998</v>
      </c>
      <c r="C283" t="s">
        <v>5</v>
      </c>
      <c r="D283" t="s">
        <v>27</v>
      </c>
      <c r="E283">
        <v>3</v>
      </c>
      <c r="F283" t="s">
        <v>19</v>
      </c>
      <c r="G283">
        <v>35</v>
      </c>
      <c r="H283" s="2">
        <v>5360232.5784697803</v>
      </c>
    </row>
    <row r="284" spans="1:8" x14ac:dyDescent="0.25">
      <c r="A284" t="s">
        <v>64</v>
      </c>
      <c r="B284">
        <v>1998</v>
      </c>
      <c r="C284" t="s">
        <v>4</v>
      </c>
      <c r="D284" t="s">
        <v>27</v>
      </c>
      <c r="E284">
        <v>3</v>
      </c>
      <c r="F284" t="s">
        <v>19</v>
      </c>
      <c r="G284">
        <v>57</v>
      </c>
      <c r="H284" s="2">
        <v>4551586.6200692104</v>
      </c>
    </row>
    <row r="285" spans="1:8" x14ac:dyDescent="0.25">
      <c r="A285" t="s">
        <v>65</v>
      </c>
      <c r="B285">
        <v>1998</v>
      </c>
      <c r="C285" t="s">
        <v>3</v>
      </c>
      <c r="D285" t="s">
        <v>27</v>
      </c>
      <c r="E285">
        <v>3</v>
      </c>
      <c r="F285" t="s">
        <v>19</v>
      </c>
      <c r="G285">
        <v>513</v>
      </c>
      <c r="H285" s="2">
        <v>6800752.4819579897</v>
      </c>
    </row>
    <row r="286" spans="1:8" x14ac:dyDescent="0.25">
      <c r="A286" t="s">
        <v>66</v>
      </c>
      <c r="B286">
        <v>1998</v>
      </c>
      <c r="C286" t="s">
        <v>2</v>
      </c>
      <c r="D286" t="s">
        <v>27</v>
      </c>
      <c r="E286">
        <v>3</v>
      </c>
      <c r="F286" t="s">
        <v>19</v>
      </c>
      <c r="G286">
        <v>1787</v>
      </c>
      <c r="H286" s="2">
        <v>3048176.4456057898</v>
      </c>
    </row>
    <row r="287" spans="1:8" x14ac:dyDescent="0.25">
      <c r="A287" t="s">
        <v>67</v>
      </c>
      <c r="B287">
        <v>1998</v>
      </c>
      <c r="C287" t="s">
        <v>1</v>
      </c>
      <c r="D287" t="s">
        <v>27</v>
      </c>
      <c r="E287">
        <v>3</v>
      </c>
      <c r="F287" t="s">
        <v>19</v>
      </c>
      <c r="G287">
        <v>1817</v>
      </c>
      <c r="H287" s="2">
        <v>727932.186330133</v>
      </c>
    </row>
    <row r="288" spans="1:8" x14ac:dyDescent="0.25">
      <c r="A288" t="s">
        <v>68</v>
      </c>
      <c r="B288">
        <v>1998</v>
      </c>
      <c r="C288" t="s">
        <v>0</v>
      </c>
      <c r="D288" t="s">
        <v>27</v>
      </c>
      <c r="E288">
        <v>3</v>
      </c>
      <c r="F288" t="s">
        <v>19</v>
      </c>
      <c r="G288">
        <v>3380</v>
      </c>
      <c r="H288" s="2">
        <v>727932.186330133</v>
      </c>
    </row>
    <row r="289" spans="1:8" x14ac:dyDescent="0.25">
      <c r="A289" t="s">
        <v>69</v>
      </c>
      <c r="B289">
        <v>1999</v>
      </c>
      <c r="C289" t="s">
        <v>6</v>
      </c>
      <c r="D289" t="s">
        <v>27</v>
      </c>
      <c r="E289">
        <v>3</v>
      </c>
      <c r="F289" t="s">
        <v>19</v>
      </c>
      <c r="G289">
        <v>29</v>
      </c>
      <c r="H289" s="2">
        <v>2723058.5063810302</v>
      </c>
    </row>
    <row r="290" spans="1:8" x14ac:dyDescent="0.25">
      <c r="A290" t="s">
        <v>70</v>
      </c>
      <c r="B290">
        <v>1999</v>
      </c>
      <c r="C290" t="s">
        <v>5</v>
      </c>
      <c r="D290" t="s">
        <v>27</v>
      </c>
      <c r="E290">
        <v>3</v>
      </c>
      <c r="F290" t="s">
        <v>19</v>
      </c>
      <c r="G290">
        <v>22</v>
      </c>
      <c r="H290" s="2">
        <v>5362927.5261565903</v>
      </c>
    </row>
    <row r="291" spans="1:8" x14ac:dyDescent="0.25">
      <c r="A291" t="s">
        <v>71</v>
      </c>
      <c r="B291">
        <v>1999</v>
      </c>
      <c r="C291" t="s">
        <v>4</v>
      </c>
      <c r="D291" t="s">
        <v>27</v>
      </c>
      <c r="E291">
        <v>3</v>
      </c>
      <c r="F291" t="s">
        <v>19</v>
      </c>
      <c r="G291">
        <v>63</v>
      </c>
      <c r="H291" s="2">
        <v>4656740.8733564001</v>
      </c>
    </row>
    <row r="292" spans="1:8" x14ac:dyDescent="0.25">
      <c r="A292" t="s">
        <v>72</v>
      </c>
      <c r="B292">
        <v>1999</v>
      </c>
      <c r="C292" t="s">
        <v>3</v>
      </c>
      <c r="D292" t="s">
        <v>27</v>
      </c>
      <c r="E292">
        <v>3</v>
      </c>
      <c r="F292" t="s">
        <v>19</v>
      </c>
      <c r="G292">
        <v>542</v>
      </c>
      <c r="H292" s="2">
        <v>6944474.4939860003</v>
      </c>
    </row>
    <row r="293" spans="1:8" x14ac:dyDescent="0.25">
      <c r="A293" t="s">
        <v>73</v>
      </c>
      <c r="B293">
        <v>1999</v>
      </c>
      <c r="C293" t="s">
        <v>2</v>
      </c>
      <c r="D293" t="s">
        <v>27</v>
      </c>
      <c r="E293">
        <v>3</v>
      </c>
      <c r="F293" t="s">
        <v>19</v>
      </c>
      <c r="G293">
        <v>1938</v>
      </c>
      <c r="H293" s="2">
        <v>3155060.14853526</v>
      </c>
    </row>
    <row r="294" spans="1:8" x14ac:dyDescent="0.25">
      <c r="A294" t="s">
        <v>74</v>
      </c>
      <c r="B294">
        <v>1999</v>
      </c>
      <c r="C294" t="s">
        <v>1</v>
      </c>
      <c r="D294" t="s">
        <v>27</v>
      </c>
      <c r="E294">
        <v>3</v>
      </c>
      <c r="F294" t="s">
        <v>19</v>
      </c>
      <c r="G294">
        <v>1835</v>
      </c>
      <c r="H294" s="2">
        <v>741553.72877671104</v>
      </c>
    </row>
    <row r="295" spans="1:8" x14ac:dyDescent="0.25">
      <c r="A295" t="s">
        <v>75</v>
      </c>
      <c r="B295">
        <v>1999</v>
      </c>
      <c r="C295" t="s">
        <v>0</v>
      </c>
      <c r="D295" t="s">
        <v>27</v>
      </c>
      <c r="E295">
        <v>3</v>
      </c>
      <c r="F295" t="s">
        <v>19</v>
      </c>
      <c r="G295">
        <v>3736</v>
      </c>
      <c r="H295" s="2">
        <v>741553.72877671104</v>
      </c>
    </row>
    <row r="296" spans="1:8" x14ac:dyDescent="0.25">
      <c r="A296" t="s">
        <v>76</v>
      </c>
      <c r="B296">
        <v>2000</v>
      </c>
      <c r="C296" t="s">
        <v>6</v>
      </c>
      <c r="D296" t="s">
        <v>27</v>
      </c>
      <c r="E296">
        <v>3</v>
      </c>
      <c r="F296" t="s">
        <v>19</v>
      </c>
      <c r="G296">
        <v>13</v>
      </c>
      <c r="H296" s="2">
        <v>2736288</v>
      </c>
    </row>
    <row r="297" spans="1:8" x14ac:dyDescent="0.25">
      <c r="A297" t="s">
        <v>77</v>
      </c>
      <c r="B297">
        <v>2000</v>
      </c>
      <c r="C297" t="s">
        <v>5</v>
      </c>
      <c r="D297" t="s">
        <v>27</v>
      </c>
      <c r="E297">
        <v>3</v>
      </c>
      <c r="F297" t="s">
        <v>19</v>
      </c>
      <c r="G297">
        <v>22</v>
      </c>
      <c r="H297" s="2">
        <v>5362498</v>
      </c>
    </row>
    <row r="298" spans="1:8" x14ac:dyDescent="0.25">
      <c r="A298" t="s">
        <v>78</v>
      </c>
      <c r="B298">
        <v>2000</v>
      </c>
      <c r="C298" t="s">
        <v>4</v>
      </c>
      <c r="D298" t="s">
        <v>27</v>
      </c>
      <c r="E298">
        <v>3</v>
      </c>
      <c r="F298" t="s">
        <v>19</v>
      </c>
      <c r="G298">
        <v>60</v>
      </c>
      <c r="H298" s="2">
        <v>4756322</v>
      </c>
    </row>
    <row r="299" spans="1:8" x14ac:dyDescent="0.25">
      <c r="A299" t="s">
        <v>79</v>
      </c>
      <c r="B299">
        <v>2000</v>
      </c>
      <c r="C299" t="s">
        <v>3</v>
      </c>
      <c r="D299" t="s">
        <v>27</v>
      </c>
      <c r="E299">
        <v>3</v>
      </c>
      <c r="F299" t="s">
        <v>19</v>
      </c>
      <c r="G299">
        <v>571</v>
      </c>
      <c r="H299" s="2">
        <v>7084964</v>
      </c>
    </row>
    <row r="300" spans="1:8" x14ac:dyDescent="0.25">
      <c r="A300" t="s">
        <v>80</v>
      </c>
      <c r="B300">
        <v>2000</v>
      </c>
      <c r="C300" t="s">
        <v>2</v>
      </c>
      <c r="D300" t="s">
        <v>27</v>
      </c>
      <c r="E300">
        <v>3</v>
      </c>
      <c r="F300" t="s">
        <v>19</v>
      </c>
      <c r="G300">
        <v>1810</v>
      </c>
      <c r="H300" s="2">
        <v>3270725</v>
      </c>
    </row>
    <row r="301" spans="1:8" x14ac:dyDescent="0.25">
      <c r="A301" t="s">
        <v>81</v>
      </c>
      <c r="B301">
        <v>2000</v>
      </c>
      <c r="C301" t="s">
        <v>1</v>
      </c>
      <c r="D301" t="s">
        <v>27</v>
      </c>
      <c r="E301">
        <v>3</v>
      </c>
      <c r="F301" t="s">
        <v>19</v>
      </c>
      <c r="G301">
        <v>1798</v>
      </c>
      <c r="H301" s="2">
        <v>757840</v>
      </c>
    </row>
    <row r="302" spans="1:8" x14ac:dyDescent="0.25">
      <c r="A302" t="s">
        <v>82</v>
      </c>
      <c r="B302">
        <v>2000</v>
      </c>
      <c r="C302" t="s">
        <v>0</v>
      </c>
      <c r="D302" t="s">
        <v>27</v>
      </c>
      <c r="E302">
        <v>3</v>
      </c>
      <c r="F302" t="s">
        <v>19</v>
      </c>
      <c r="G302">
        <v>3726</v>
      </c>
      <c r="H302" s="2">
        <v>757840</v>
      </c>
    </row>
    <row r="303" spans="1:8" x14ac:dyDescent="0.25">
      <c r="A303" t="s">
        <v>83</v>
      </c>
      <c r="B303">
        <v>2001</v>
      </c>
      <c r="C303" t="s">
        <v>6</v>
      </c>
      <c r="D303" t="s">
        <v>27</v>
      </c>
      <c r="E303">
        <v>3</v>
      </c>
      <c r="F303" t="s">
        <v>19</v>
      </c>
      <c r="G303">
        <v>10</v>
      </c>
      <c r="H303" s="2">
        <v>2747486</v>
      </c>
    </row>
    <row r="304" spans="1:8" x14ac:dyDescent="0.25">
      <c r="A304" t="s">
        <v>84</v>
      </c>
      <c r="B304">
        <v>2001</v>
      </c>
      <c r="C304" t="s">
        <v>5</v>
      </c>
      <c r="D304" t="s">
        <v>27</v>
      </c>
      <c r="E304">
        <v>3</v>
      </c>
      <c r="F304" t="s">
        <v>19</v>
      </c>
      <c r="G304">
        <v>18</v>
      </c>
      <c r="H304" s="2">
        <v>5361139</v>
      </c>
    </row>
    <row r="305" spans="1:8" x14ac:dyDescent="0.25">
      <c r="A305" t="s">
        <v>85</v>
      </c>
      <c r="B305">
        <v>2001</v>
      </c>
      <c r="C305" t="s">
        <v>4</v>
      </c>
      <c r="D305" t="s">
        <v>27</v>
      </c>
      <c r="E305">
        <v>3</v>
      </c>
      <c r="F305" t="s">
        <v>19</v>
      </c>
      <c r="G305">
        <v>59</v>
      </c>
      <c r="H305" s="2">
        <v>4849286</v>
      </c>
    </row>
    <row r="306" spans="1:8" x14ac:dyDescent="0.25">
      <c r="A306" t="s">
        <v>86</v>
      </c>
      <c r="B306">
        <v>2001</v>
      </c>
      <c r="C306" t="s">
        <v>3</v>
      </c>
      <c r="D306" t="s">
        <v>27</v>
      </c>
      <c r="E306">
        <v>3</v>
      </c>
      <c r="F306" t="s">
        <v>19</v>
      </c>
      <c r="G306">
        <v>522</v>
      </c>
      <c r="H306" s="2">
        <v>7223102</v>
      </c>
    </row>
    <row r="307" spans="1:8" x14ac:dyDescent="0.25">
      <c r="A307" t="s">
        <v>87</v>
      </c>
      <c r="B307">
        <v>2001</v>
      </c>
      <c r="C307" t="s">
        <v>2</v>
      </c>
      <c r="D307" t="s">
        <v>27</v>
      </c>
      <c r="E307">
        <v>3</v>
      </c>
      <c r="F307" t="s">
        <v>19</v>
      </c>
      <c r="G307">
        <v>1861</v>
      </c>
      <c r="H307" s="2">
        <v>3394805</v>
      </c>
    </row>
    <row r="308" spans="1:8" x14ac:dyDescent="0.25">
      <c r="A308" t="s">
        <v>88</v>
      </c>
      <c r="B308">
        <v>2001</v>
      </c>
      <c r="C308" t="s">
        <v>1</v>
      </c>
      <c r="D308" t="s">
        <v>27</v>
      </c>
      <c r="E308">
        <v>3</v>
      </c>
      <c r="F308" t="s">
        <v>19</v>
      </c>
      <c r="G308">
        <v>1876</v>
      </c>
      <c r="H308" s="2">
        <v>776376</v>
      </c>
    </row>
    <row r="309" spans="1:8" x14ac:dyDescent="0.25">
      <c r="A309" t="s">
        <v>89</v>
      </c>
      <c r="B309">
        <v>2001</v>
      </c>
      <c r="C309" t="s">
        <v>0</v>
      </c>
      <c r="D309" t="s">
        <v>27</v>
      </c>
      <c r="E309">
        <v>3</v>
      </c>
      <c r="F309" t="s">
        <v>19</v>
      </c>
      <c r="G309">
        <v>3971</v>
      </c>
      <c r="H309" s="2">
        <v>776376</v>
      </c>
    </row>
    <row r="310" spans="1:8" x14ac:dyDescent="0.25">
      <c r="A310" t="s">
        <v>90</v>
      </c>
      <c r="B310">
        <v>2002</v>
      </c>
      <c r="C310" t="s">
        <v>6</v>
      </c>
      <c r="D310" t="s">
        <v>27</v>
      </c>
      <c r="E310">
        <v>3</v>
      </c>
      <c r="F310" t="s">
        <v>19</v>
      </c>
      <c r="G310">
        <v>10</v>
      </c>
      <c r="H310" s="2">
        <v>2756879</v>
      </c>
    </row>
    <row r="311" spans="1:8" x14ac:dyDescent="0.25">
      <c r="A311" t="s">
        <v>91</v>
      </c>
      <c r="B311">
        <v>2002</v>
      </c>
      <c r="C311" t="s">
        <v>5</v>
      </c>
      <c r="D311" t="s">
        <v>27</v>
      </c>
      <c r="E311">
        <v>3</v>
      </c>
      <c r="F311" t="s">
        <v>19</v>
      </c>
      <c r="G311">
        <v>30</v>
      </c>
      <c r="H311" s="2">
        <v>5361107</v>
      </c>
    </row>
    <row r="312" spans="1:8" x14ac:dyDescent="0.25">
      <c r="A312" t="s">
        <v>92</v>
      </c>
      <c r="B312">
        <v>2002</v>
      </c>
      <c r="C312" t="s">
        <v>4</v>
      </c>
      <c r="D312" t="s">
        <v>27</v>
      </c>
      <c r="E312">
        <v>3</v>
      </c>
      <c r="F312" t="s">
        <v>19</v>
      </c>
      <c r="G312">
        <v>51</v>
      </c>
      <c r="H312" s="2">
        <v>4934568</v>
      </c>
    </row>
    <row r="313" spans="1:8" x14ac:dyDescent="0.25">
      <c r="A313" t="s">
        <v>93</v>
      </c>
      <c r="B313">
        <v>2002</v>
      </c>
      <c r="C313" t="s">
        <v>3</v>
      </c>
      <c r="D313" t="s">
        <v>27</v>
      </c>
      <c r="E313">
        <v>3</v>
      </c>
      <c r="F313" t="s">
        <v>19</v>
      </c>
      <c r="G313">
        <v>486</v>
      </c>
      <c r="H313" s="2">
        <v>7359839</v>
      </c>
    </row>
    <row r="314" spans="1:8" x14ac:dyDescent="0.25">
      <c r="A314" t="s">
        <v>94</v>
      </c>
      <c r="B314">
        <v>2002</v>
      </c>
      <c r="C314" t="s">
        <v>2</v>
      </c>
      <c r="D314" t="s">
        <v>27</v>
      </c>
      <c r="E314">
        <v>3</v>
      </c>
      <c r="F314" t="s">
        <v>19</v>
      </c>
      <c r="G314">
        <v>1908</v>
      </c>
      <c r="H314" s="2">
        <v>3526909</v>
      </c>
    </row>
    <row r="315" spans="1:8" x14ac:dyDescent="0.25">
      <c r="A315" t="s">
        <v>95</v>
      </c>
      <c r="B315">
        <v>2002</v>
      </c>
      <c r="C315" t="s">
        <v>1</v>
      </c>
      <c r="D315" t="s">
        <v>27</v>
      </c>
      <c r="E315">
        <v>3</v>
      </c>
      <c r="F315" t="s">
        <v>19</v>
      </c>
      <c r="G315">
        <v>1832</v>
      </c>
      <c r="H315" s="2">
        <v>796712</v>
      </c>
    </row>
    <row r="316" spans="1:8" x14ac:dyDescent="0.25">
      <c r="A316" t="s">
        <v>96</v>
      </c>
      <c r="B316">
        <v>2002</v>
      </c>
      <c r="C316" t="s">
        <v>0</v>
      </c>
      <c r="D316" t="s">
        <v>27</v>
      </c>
      <c r="E316">
        <v>3</v>
      </c>
      <c r="F316" t="s">
        <v>19</v>
      </c>
      <c r="G316">
        <v>3814</v>
      </c>
      <c r="H316" s="2">
        <v>796712</v>
      </c>
    </row>
    <row r="317" spans="1:8" x14ac:dyDescent="0.25">
      <c r="A317" t="s">
        <v>97</v>
      </c>
      <c r="B317">
        <v>2003</v>
      </c>
      <c r="C317" t="s">
        <v>6</v>
      </c>
      <c r="D317" t="s">
        <v>27</v>
      </c>
      <c r="E317">
        <v>3</v>
      </c>
      <c r="F317" t="s">
        <v>19</v>
      </c>
      <c r="G317">
        <v>5</v>
      </c>
      <c r="H317" s="2">
        <v>2764684</v>
      </c>
    </row>
    <row r="318" spans="1:8" x14ac:dyDescent="0.25">
      <c r="A318" t="s">
        <v>98</v>
      </c>
      <c r="B318">
        <v>2003</v>
      </c>
      <c r="C318" t="s">
        <v>5</v>
      </c>
      <c r="D318" t="s">
        <v>27</v>
      </c>
      <c r="E318">
        <v>3</v>
      </c>
      <c r="F318" t="s">
        <v>19</v>
      </c>
      <c r="G318">
        <v>10</v>
      </c>
      <c r="H318" s="2">
        <v>5364597</v>
      </c>
    </row>
    <row r="319" spans="1:8" x14ac:dyDescent="0.25">
      <c r="A319" t="s">
        <v>99</v>
      </c>
      <c r="B319">
        <v>2003</v>
      </c>
      <c r="C319" t="s">
        <v>4</v>
      </c>
      <c r="D319" t="s">
        <v>27</v>
      </c>
      <c r="E319">
        <v>3</v>
      </c>
      <c r="F319" t="s">
        <v>19</v>
      </c>
      <c r="G319">
        <v>62</v>
      </c>
      <c r="H319" s="2">
        <v>5011124</v>
      </c>
    </row>
    <row r="320" spans="1:8" x14ac:dyDescent="0.25">
      <c r="A320" t="s">
        <v>100</v>
      </c>
      <c r="B320">
        <v>2003</v>
      </c>
      <c r="C320" t="s">
        <v>3</v>
      </c>
      <c r="D320" t="s">
        <v>27</v>
      </c>
      <c r="E320">
        <v>3</v>
      </c>
      <c r="F320" t="s">
        <v>19</v>
      </c>
      <c r="G320">
        <v>528</v>
      </c>
      <c r="H320" s="2">
        <v>7496056</v>
      </c>
    </row>
    <row r="321" spans="1:8" x14ac:dyDescent="0.25">
      <c r="A321" t="s">
        <v>101</v>
      </c>
      <c r="B321">
        <v>2003</v>
      </c>
      <c r="C321" t="s">
        <v>2</v>
      </c>
      <c r="D321" t="s">
        <v>27</v>
      </c>
      <c r="E321">
        <v>3</v>
      </c>
      <c r="F321" t="s">
        <v>19</v>
      </c>
      <c r="G321">
        <v>1959</v>
      </c>
      <c r="H321" s="2">
        <v>3666671</v>
      </c>
    </row>
    <row r="322" spans="1:8" x14ac:dyDescent="0.25">
      <c r="A322" t="s">
        <v>102</v>
      </c>
      <c r="B322">
        <v>2003</v>
      </c>
      <c r="C322" t="s">
        <v>1</v>
      </c>
      <c r="D322" t="s">
        <v>27</v>
      </c>
      <c r="E322">
        <v>3</v>
      </c>
      <c r="F322" t="s">
        <v>19</v>
      </c>
      <c r="G322">
        <v>1925</v>
      </c>
      <c r="H322" s="2">
        <v>818433</v>
      </c>
    </row>
    <row r="323" spans="1:8" x14ac:dyDescent="0.25">
      <c r="A323" t="s">
        <v>103</v>
      </c>
      <c r="B323">
        <v>2003</v>
      </c>
      <c r="C323" t="s">
        <v>0</v>
      </c>
      <c r="D323" t="s">
        <v>27</v>
      </c>
      <c r="E323">
        <v>3</v>
      </c>
      <c r="F323" t="s">
        <v>19</v>
      </c>
      <c r="G323">
        <v>4293</v>
      </c>
      <c r="H323" s="2">
        <v>818433</v>
      </c>
    </row>
    <row r="324" spans="1:8" x14ac:dyDescent="0.25">
      <c r="A324" t="s">
        <v>104</v>
      </c>
      <c r="B324">
        <v>2004</v>
      </c>
      <c r="C324" t="s">
        <v>6</v>
      </c>
      <c r="D324" t="s">
        <v>27</v>
      </c>
      <c r="E324">
        <v>3</v>
      </c>
      <c r="F324" t="s">
        <v>19</v>
      </c>
      <c r="G324">
        <v>1</v>
      </c>
      <c r="H324" s="2">
        <v>2770821</v>
      </c>
    </row>
    <row r="325" spans="1:8" x14ac:dyDescent="0.25">
      <c r="A325" t="s">
        <v>105</v>
      </c>
      <c r="B325">
        <v>2004</v>
      </c>
      <c r="C325" t="s">
        <v>5</v>
      </c>
      <c r="D325" t="s">
        <v>27</v>
      </c>
      <c r="E325">
        <v>3</v>
      </c>
      <c r="F325" t="s">
        <v>19</v>
      </c>
      <c r="G325">
        <v>7</v>
      </c>
      <c r="H325" s="2">
        <v>5372677</v>
      </c>
    </row>
    <row r="326" spans="1:8" x14ac:dyDescent="0.25">
      <c r="A326" t="s">
        <v>106</v>
      </c>
      <c r="B326">
        <v>2004</v>
      </c>
      <c r="C326" t="s">
        <v>4</v>
      </c>
      <c r="D326" t="s">
        <v>27</v>
      </c>
      <c r="E326">
        <v>3</v>
      </c>
      <c r="F326" t="s">
        <v>19</v>
      </c>
      <c r="G326">
        <v>59</v>
      </c>
      <c r="H326" s="2">
        <v>5078223</v>
      </c>
    </row>
    <row r="327" spans="1:8" x14ac:dyDescent="0.25">
      <c r="A327" t="s">
        <v>107</v>
      </c>
      <c r="B327">
        <v>2004</v>
      </c>
      <c r="C327" t="s">
        <v>3</v>
      </c>
      <c r="D327" t="s">
        <v>27</v>
      </c>
      <c r="E327">
        <v>3</v>
      </c>
      <c r="F327" t="s">
        <v>19</v>
      </c>
      <c r="G327">
        <v>477</v>
      </c>
      <c r="H327" s="2">
        <v>7631406</v>
      </c>
    </row>
    <row r="328" spans="1:8" x14ac:dyDescent="0.25">
      <c r="A328" t="s">
        <v>108</v>
      </c>
      <c r="B328">
        <v>2004</v>
      </c>
      <c r="C328" t="s">
        <v>2</v>
      </c>
      <c r="D328" t="s">
        <v>27</v>
      </c>
      <c r="E328">
        <v>3</v>
      </c>
      <c r="F328" t="s">
        <v>19</v>
      </c>
      <c r="G328">
        <v>1909</v>
      </c>
      <c r="H328" s="2">
        <v>3814359</v>
      </c>
    </row>
    <row r="329" spans="1:8" x14ac:dyDescent="0.25">
      <c r="A329" t="s">
        <v>109</v>
      </c>
      <c r="B329">
        <v>2004</v>
      </c>
      <c r="C329" t="s">
        <v>1</v>
      </c>
      <c r="D329" t="s">
        <v>27</v>
      </c>
      <c r="E329">
        <v>3</v>
      </c>
      <c r="F329" t="s">
        <v>19</v>
      </c>
      <c r="G329">
        <v>1735</v>
      </c>
      <c r="H329" s="2">
        <v>841739</v>
      </c>
    </row>
    <row r="330" spans="1:8" x14ac:dyDescent="0.25">
      <c r="A330" t="s">
        <v>110</v>
      </c>
      <c r="B330">
        <v>2004</v>
      </c>
      <c r="C330" t="s">
        <v>0</v>
      </c>
      <c r="D330" t="s">
        <v>27</v>
      </c>
      <c r="E330">
        <v>3</v>
      </c>
      <c r="F330" t="s">
        <v>19</v>
      </c>
      <c r="G330">
        <v>4098</v>
      </c>
      <c r="H330" s="2">
        <v>841739</v>
      </c>
    </row>
    <row r="331" spans="1:8" x14ac:dyDescent="0.25">
      <c r="A331" t="s">
        <v>111</v>
      </c>
      <c r="B331">
        <v>2005</v>
      </c>
      <c r="C331" t="s">
        <v>6</v>
      </c>
      <c r="D331" t="s">
        <v>27</v>
      </c>
      <c r="E331">
        <v>3</v>
      </c>
      <c r="F331" t="s">
        <v>19</v>
      </c>
      <c r="G331">
        <v>3</v>
      </c>
      <c r="H331" s="2">
        <v>2774961</v>
      </c>
    </row>
    <row r="332" spans="1:8" x14ac:dyDescent="0.25">
      <c r="A332" t="s">
        <v>112</v>
      </c>
      <c r="B332">
        <v>2005</v>
      </c>
      <c r="C332" t="s">
        <v>5</v>
      </c>
      <c r="D332" t="s">
        <v>27</v>
      </c>
      <c r="E332">
        <v>3</v>
      </c>
      <c r="F332" t="s">
        <v>19</v>
      </c>
      <c r="G332">
        <v>4</v>
      </c>
      <c r="H332" s="2">
        <v>5386812</v>
      </c>
    </row>
    <row r="333" spans="1:8" x14ac:dyDescent="0.25">
      <c r="A333" t="s">
        <v>113</v>
      </c>
      <c r="B333">
        <v>2005</v>
      </c>
      <c r="C333" t="s">
        <v>4</v>
      </c>
      <c r="D333" t="s">
        <v>27</v>
      </c>
      <c r="E333">
        <v>3</v>
      </c>
      <c r="F333" t="s">
        <v>19</v>
      </c>
      <c r="G333">
        <v>74</v>
      </c>
      <c r="H333" s="2">
        <v>5134473</v>
      </c>
    </row>
    <row r="334" spans="1:8" x14ac:dyDescent="0.25">
      <c r="A334" t="s">
        <v>114</v>
      </c>
      <c r="B334">
        <v>2005</v>
      </c>
      <c r="C334" t="s">
        <v>3</v>
      </c>
      <c r="D334" t="s">
        <v>27</v>
      </c>
      <c r="E334">
        <v>3</v>
      </c>
      <c r="F334" t="s">
        <v>19</v>
      </c>
      <c r="G334">
        <v>471</v>
      </c>
      <c r="H334" s="2">
        <v>7765159</v>
      </c>
    </row>
    <row r="335" spans="1:8" x14ac:dyDescent="0.25">
      <c r="A335" t="s">
        <v>115</v>
      </c>
      <c r="B335">
        <v>2005</v>
      </c>
      <c r="C335" t="s">
        <v>2</v>
      </c>
      <c r="D335" t="s">
        <v>27</v>
      </c>
      <c r="E335">
        <v>3</v>
      </c>
      <c r="F335" t="s">
        <v>19</v>
      </c>
      <c r="G335">
        <v>1994</v>
      </c>
      <c r="H335" s="2">
        <v>3970997</v>
      </c>
    </row>
    <row r="336" spans="1:8" x14ac:dyDescent="0.25">
      <c r="A336" t="s">
        <v>116</v>
      </c>
      <c r="B336">
        <v>2005</v>
      </c>
      <c r="C336" t="s">
        <v>1</v>
      </c>
      <c r="D336" t="s">
        <v>27</v>
      </c>
      <c r="E336">
        <v>3</v>
      </c>
      <c r="F336" t="s">
        <v>19</v>
      </c>
      <c r="G336">
        <v>1792</v>
      </c>
      <c r="H336" s="2">
        <v>866819</v>
      </c>
    </row>
    <row r="337" spans="1:8" x14ac:dyDescent="0.25">
      <c r="A337" t="s">
        <v>117</v>
      </c>
      <c r="B337">
        <v>2005</v>
      </c>
      <c r="C337" t="s">
        <v>0</v>
      </c>
      <c r="D337" t="s">
        <v>27</v>
      </c>
      <c r="E337">
        <v>3</v>
      </c>
      <c r="F337" t="s">
        <v>19</v>
      </c>
      <c r="G337">
        <v>4357</v>
      </c>
      <c r="H337" s="2">
        <v>866819</v>
      </c>
    </row>
    <row r="338" spans="1:8" x14ac:dyDescent="0.25">
      <c r="A338" t="s">
        <v>118</v>
      </c>
      <c r="B338">
        <v>2006</v>
      </c>
      <c r="C338" t="s">
        <v>6</v>
      </c>
      <c r="D338" t="s">
        <v>27</v>
      </c>
      <c r="E338">
        <v>3</v>
      </c>
      <c r="F338" t="s">
        <v>19</v>
      </c>
      <c r="G338">
        <v>2</v>
      </c>
      <c r="H338" s="2">
        <v>2777568</v>
      </c>
    </row>
    <row r="339" spans="1:8" x14ac:dyDescent="0.25">
      <c r="A339" t="s">
        <v>119</v>
      </c>
      <c r="B339">
        <v>2006</v>
      </c>
      <c r="C339" t="s">
        <v>5</v>
      </c>
      <c r="D339" t="s">
        <v>27</v>
      </c>
      <c r="E339">
        <v>3</v>
      </c>
      <c r="F339" t="s">
        <v>19</v>
      </c>
      <c r="G339">
        <v>10</v>
      </c>
      <c r="H339" s="2">
        <v>5407717</v>
      </c>
    </row>
    <row r="340" spans="1:8" x14ac:dyDescent="0.25">
      <c r="A340" t="s">
        <v>120</v>
      </c>
      <c r="B340">
        <v>2006</v>
      </c>
      <c r="C340" t="s">
        <v>4</v>
      </c>
      <c r="D340" t="s">
        <v>27</v>
      </c>
      <c r="E340">
        <v>3</v>
      </c>
      <c r="F340" t="s">
        <v>19</v>
      </c>
      <c r="G340">
        <v>71</v>
      </c>
      <c r="H340" s="2">
        <v>5178861</v>
      </c>
    </row>
    <row r="341" spans="1:8" x14ac:dyDescent="0.25">
      <c r="A341" t="s">
        <v>121</v>
      </c>
      <c r="B341">
        <v>2006</v>
      </c>
      <c r="C341" t="s">
        <v>3</v>
      </c>
      <c r="D341" t="s">
        <v>27</v>
      </c>
      <c r="E341">
        <v>3</v>
      </c>
      <c r="F341" t="s">
        <v>19</v>
      </c>
      <c r="G341">
        <v>511</v>
      </c>
      <c r="H341" s="2">
        <v>7897108</v>
      </c>
    </row>
    <row r="342" spans="1:8" x14ac:dyDescent="0.25">
      <c r="A342" t="s">
        <v>122</v>
      </c>
      <c r="B342">
        <v>2006</v>
      </c>
      <c r="C342" t="s">
        <v>2</v>
      </c>
      <c r="D342" t="s">
        <v>27</v>
      </c>
      <c r="E342">
        <v>3</v>
      </c>
      <c r="F342" t="s">
        <v>19</v>
      </c>
      <c r="G342">
        <v>2107</v>
      </c>
      <c r="H342" s="2">
        <v>4136588</v>
      </c>
    </row>
    <row r="343" spans="1:8" x14ac:dyDescent="0.25">
      <c r="A343" t="s">
        <v>123</v>
      </c>
      <c r="B343">
        <v>2006</v>
      </c>
      <c r="C343" t="s">
        <v>1</v>
      </c>
      <c r="D343" t="s">
        <v>27</v>
      </c>
      <c r="E343">
        <v>3</v>
      </c>
      <c r="F343" t="s">
        <v>19</v>
      </c>
      <c r="G343">
        <v>1966</v>
      </c>
      <c r="H343" s="2">
        <v>893794</v>
      </c>
    </row>
    <row r="344" spans="1:8" x14ac:dyDescent="0.25">
      <c r="A344" t="s">
        <v>124</v>
      </c>
      <c r="B344">
        <v>2006</v>
      </c>
      <c r="C344" t="s">
        <v>0</v>
      </c>
      <c r="D344" t="s">
        <v>27</v>
      </c>
      <c r="E344">
        <v>3</v>
      </c>
      <c r="F344" t="s">
        <v>19</v>
      </c>
      <c r="G344">
        <v>4724</v>
      </c>
      <c r="H344" s="2">
        <v>893794</v>
      </c>
    </row>
    <row r="345" spans="1:8" x14ac:dyDescent="0.25">
      <c r="A345" t="s">
        <v>125</v>
      </c>
      <c r="B345">
        <v>2007</v>
      </c>
      <c r="C345" t="s">
        <v>6</v>
      </c>
      <c r="D345" t="s">
        <v>27</v>
      </c>
      <c r="E345">
        <v>3</v>
      </c>
      <c r="F345" t="s">
        <v>19</v>
      </c>
      <c r="G345">
        <v>3</v>
      </c>
      <c r="H345" s="2">
        <v>2778731</v>
      </c>
    </row>
    <row r="346" spans="1:8" x14ac:dyDescent="0.25">
      <c r="A346" t="s">
        <v>126</v>
      </c>
      <c r="B346">
        <v>2007</v>
      </c>
      <c r="C346" t="s">
        <v>5</v>
      </c>
      <c r="D346" t="s">
        <v>27</v>
      </c>
      <c r="E346">
        <v>3</v>
      </c>
      <c r="F346" t="s">
        <v>19</v>
      </c>
      <c r="G346">
        <v>3</v>
      </c>
      <c r="H346" s="2">
        <v>5427910</v>
      </c>
    </row>
    <row r="347" spans="1:8" x14ac:dyDescent="0.25">
      <c r="A347" t="s">
        <v>127</v>
      </c>
      <c r="B347">
        <v>2007</v>
      </c>
      <c r="C347" t="s">
        <v>4</v>
      </c>
      <c r="D347" t="s">
        <v>27</v>
      </c>
      <c r="E347">
        <v>3</v>
      </c>
      <c r="F347" t="s">
        <v>19</v>
      </c>
      <c r="G347">
        <v>74</v>
      </c>
      <c r="H347" s="2">
        <v>5216537</v>
      </c>
    </row>
    <row r="348" spans="1:8" x14ac:dyDescent="0.25">
      <c r="A348" t="s">
        <v>128</v>
      </c>
      <c r="B348">
        <v>2007</v>
      </c>
      <c r="C348" t="s">
        <v>3</v>
      </c>
      <c r="D348" t="s">
        <v>27</v>
      </c>
      <c r="E348">
        <v>3</v>
      </c>
      <c r="F348" t="s">
        <v>19</v>
      </c>
      <c r="G348">
        <v>511</v>
      </c>
      <c r="H348" s="2">
        <v>8032843</v>
      </c>
    </row>
    <row r="349" spans="1:8" x14ac:dyDescent="0.25">
      <c r="A349" t="s">
        <v>129</v>
      </c>
      <c r="B349">
        <v>2007</v>
      </c>
      <c r="C349" t="s">
        <v>2</v>
      </c>
      <c r="D349" t="s">
        <v>27</v>
      </c>
      <c r="E349">
        <v>3</v>
      </c>
      <c r="F349" t="s">
        <v>19</v>
      </c>
      <c r="G349">
        <v>2142</v>
      </c>
      <c r="H349" s="2">
        <v>4307510</v>
      </c>
    </row>
    <row r="350" spans="1:8" x14ac:dyDescent="0.25">
      <c r="A350" t="s">
        <v>130</v>
      </c>
      <c r="B350">
        <v>2007</v>
      </c>
      <c r="C350" t="s">
        <v>1</v>
      </c>
      <c r="D350" t="s">
        <v>27</v>
      </c>
      <c r="E350">
        <v>3</v>
      </c>
      <c r="F350" t="s">
        <v>19</v>
      </c>
      <c r="G350">
        <v>1923</v>
      </c>
      <c r="H350" s="2">
        <v>922773</v>
      </c>
    </row>
    <row r="351" spans="1:8" x14ac:dyDescent="0.25">
      <c r="A351" t="s">
        <v>131</v>
      </c>
      <c r="B351">
        <v>2007</v>
      </c>
      <c r="C351" t="s">
        <v>0</v>
      </c>
      <c r="D351" t="s">
        <v>27</v>
      </c>
      <c r="E351">
        <v>3</v>
      </c>
      <c r="F351" t="s">
        <v>19</v>
      </c>
      <c r="G351">
        <v>5043</v>
      </c>
      <c r="H351" s="2">
        <v>922773</v>
      </c>
    </row>
    <row r="352" spans="1:8" x14ac:dyDescent="0.25">
      <c r="A352" t="s">
        <v>132</v>
      </c>
      <c r="B352">
        <v>2008</v>
      </c>
      <c r="C352" t="s">
        <v>6</v>
      </c>
      <c r="D352" t="s">
        <v>27</v>
      </c>
      <c r="E352">
        <v>3</v>
      </c>
      <c r="F352" t="s">
        <v>19</v>
      </c>
      <c r="G352">
        <v>0</v>
      </c>
      <c r="H352" s="2">
        <v>2778239</v>
      </c>
    </row>
    <row r="353" spans="1:8" x14ac:dyDescent="0.25">
      <c r="A353" t="s">
        <v>133</v>
      </c>
      <c r="B353">
        <v>2008</v>
      </c>
      <c r="C353" t="s">
        <v>5</v>
      </c>
      <c r="D353" t="s">
        <v>27</v>
      </c>
      <c r="E353">
        <v>3</v>
      </c>
      <c r="F353" t="s">
        <v>19</v>
      </c>
      <c r="G353">
        <v>12</v>
      </c>
      <c r="H353" s="2">
        <v>5448390</v>
      </c>
    </row>
    <row r="354" spans="1:8" x14ac:dyDescent="0.25">
      <c r="A354" t="s">
        <v>134</v>
      </c>
      <c r="B354">
        <v>2008</v>
      </c>
      <c r="C354" t="s">
        <v>4</v>
      </c>
      <c r="D354" t="s">
        <v>27</v>
      </c>
      <c r="E354">
        <v>3</v>
      </c>
      <c r="F354" t="s">
        <v>19</v>
      </c>
      <c r="G354">
        <v>73</v>
      </c>
      <c r="H354" s="2">
        <v>5246997</v>
      </c>
    </row>
    <row r="355" spans="1:8" x14ac:dyDescent="0.25">
      <c r="A355" t="s">
        <v>135</v>
      </c>
      <c r="B355">
        <v>2008</v>
      </c>
      <c r="C355" t="s">
        <v>3</v>
      </c>
      <c r="D355" t="s">
        <v>27</v>
      </c>
      <c r="E355">
        <v>3</v>
      </c>
      <c r="F355" t="s">
        <v>19</v>
      </c>
      <c r="G355">
        <v>486</v>
      </c>
      <c r="H355" s="2">
        <v>8172306</v>
      </c>
    </row>
    <row r="356" spans="1:8" x14ac:dyDescent="0.25">
      <c r="A356" t="s">
        <v>136</v>
      </c>
      <c r="B356">
        <v>2008</v>
      </c>
      <c r="C356" t="s">
        <v>2</v>
      </c>
      <c r="D356" t="s">
        <v>27</v>
      </c>
      <c r="E356">
        <v>3</v>
      </c>
      <c r="F356" t="s">
        <v>19</v>
      </c>
      <c r="G356">
        <v>2273</v>
      </c>
      <c r="H356" s="2">
        <v>4483302</v>
      </c>
    </row>
    <row r="357" spans="1:8" x14ac:dyDescent="0.25">
      <c r="A357" t="s">
        <v>137</v>
      </c>
      <c r="B357">
        <v>2008</v>
      </c>
      <c r="C357" t="s">
        <v>1</v>
      </c>
      <c r="D357" t="s">
        <v>27</v>
      </c>
      <c r="E357">
        <v>3</v>
      </c>
      <c r="F357" t="s">
        <v>19</v>
      </c>
      <c r="G357">
        <v>1992</v>
      </c>
      <c r="H357" s="2">
        <v>953869</v>
      </c>
    </row>
    <row r="358" spans="1:8" x14ac:dyDescent="0.25">
      <c r="A358" t="s">
        <v>138</v>
      </c>
      <c r="B358">
        <v>2008</v>
      </c>
      <c r="C358" t="s">
        <v>0</v>
      </c>
      <c r="D358" t="s">
        <v>27</v>
      </c>
      <c r="E358">
        <v>3</v>
      </c>
      <c r="F358" t="s">
        <v>19</v>
      </c>
      <c r="G358">
        <v>5171</v>
      </c>
      <c r="H358" s="2">
        <v>953869</v>
      </c>
    </row>
    <row r="359" spans="1:8" x14ac:dyDescent="0.25">
      <c r="A359" t="s">
        <v>139</v>
      </c>
      <c r="B359">
        <v>2009</v>
      </c>
      <c r="C359" t="s">
        <v>6</v>
      </c>
      <c r="D359" t="s">
        <v>27</v>
      </c>
      <c r="E359">
        <v>3</v>
      </c>
      <c r="F359" t="s">
        <v>19</v>
      </c>
      <c r="G359">
        <v>9</v>
      </c>
      <c r="H359" s="2">
        <v>2775920</v>
      </c>
    </row>
    <row r="360" spans="1:8" x14ac:dyDescent="0.25">
      <c r="A360" t="s">
        <v>140</v>
      </c>
      <c r="B360">
        <v>2009</v>
      </c>
      <c r="C360" t="s">
        <v>5</v>
      </c>
      <c r="D360" t="s">
        <v>27</v>
      </c>
      <c r="E360">
        <v>3</v>
      </c>
      <c r="F360" t="s">
        <v>19</v>
      </c>
      <c r="G360">
        <v>9</v>
      </c>
      <c r="H360" s="2">
        <v>5469822</v>
      </c>
    </row>
    <row r="361" spans="1:8" x14ac:dyDescent="0.25">
      <c r="A361" t="s">
        <v>141</v>
      </c>
      <c r="B361">
        <v>2009</v>
      </c>
      <c r="C361" t="s">
        <v>4</v>
      </c>
      <c r="D361" t="s">
        <v>27</v>
      </c>
      <c r="E361">
        <v>3</v>
      </c>
      <c r="F361" t="s">
        <v>19</v>
      </c>
      <c r="G361">
        <v>68</v>
      </c>
      <c r="H361" s="2">
        <v>5270463</v>
      </c>
    </row>
    <row r="362" spans="1:8" x14ac:dyDescent="0.25">
      <c r="A362" t="s">
        <v>142</v>
      </c>
      <c r="B362">
        <v>2009</v>
      </c>
      <c r="C362" t="s">
        <v>3</v>
      </c>
      <c r="D362" t="s">
        <v>27</v>
      </c>
      <c r="E362">
        <v>3</v>
      </c>
      <c r="F362" t="s">
        <v>19</v>
      </c>
      <c r="G362">
        <v>513</v>
      </c>
      <c r="H362" s="2">
        <v>8314639</v>
      </c>
    </row>
    <row r="363" spans="1:8" x14ac:dyDescent="0.25">
      <c r="A363" t="s">
        <v>143</v>
      </c>
      <c r="B363">
        <v>2009</v>
      </c>
      <c r="C363" t="s">
        <v>2</v>
      </c>
      <c r="D363" t="s">
        <v>27</v>
      </c>
      <c r="E363">
        <v>3</v>
      </c>
      <c r="F363" t="s">
        <v>19</v>
      </c>
      <c r="G363">
        <v>2217</v>
      </c>
      <c r="H363" s="2">
        <v>4663733</v>
      </c>
    </row>
    <row r="364" spans="1:8" x14ac:dyDescent="0.25">
      <c r="A364" t="s">
        <v>144</v>
      </c>
      <c r="B364">
        <v>2009</v>
      </c>
      <c r="C364" t="s">
        <v>1</v>
      </c>
      <c r="D364" t="s">
        <v>27</v>
      </c>
      <c r="E364">
        <v>3</v>
      </c>
      <c r="F364" t="s">
        <v>19</v>
      </c>
      <c r="G364">
        <v>1999</v>
      </c>
      <c r="H364" s="2">
        <v>987212</v>
      </c>
    </row>
    <row r="365" spans="1:8" x14ac:dyDescent="0.25">
      <c r="A365" t="s">
        <v>145</v>
      </c>
      <c r="B365">
        <v>2009</v>
      </c>
      <c r="C365" t="s">
        <v>0</v>
      </c>
      <c r="D365" t="s">
        <v>27</v>
      </c>
      <c r="E365">
        <v>3</v>
      </c>
      <c r="F365" t="s">
        <v>19</v>
      </c>
      <c r="G365">
        <v>5219</v>
      </c>
      <c r="H365" s="2">
        <v>987212</v>
      </c>
    </row>
    <row r="366" spans="1:8" x14ac:dyDescent="0.25">
      <c r="A366" t="s">
        <v>146</v>
      </c>
      <c r="B366">
        <v>2010</v>
      </c>
      <c r="C366" t="s">
        <v>6</v>
      </c>
      <c r="D366" t="s">
        <v>27</v>
      </c>
      <c r="E366">
        <v>3</v>
      </c>
      <c r="F366" t="s">
        <v>19</v>
      </c>
      <c r="G366">
        <v>7</v>
      </c>
      <c r="H366" s="2">
        <v>2771760</v>
      </c>
    </row>
    <row r="367" spans="1:8" x14ac:dyDescent="0.25">
      <c r="A367" t="s">
        <v>147</v>
      </c>
      <c r="B367">
        <v>2010</v>
      </c>
      <c r="C367" t="s">
        <v>5</v>
      </c>
      <c r="D367" t="s">
        <v>27</v>
      </c>
      <c r="E367">
        <v>3</v>
      </c>
      <c r="F367" t="s">
        <v>19</v>
      </c>
      <c r="G367">
        <v>18</v>
      </c>
      <c r="H367" s="2">
        <v>5492408</v>
      </c>
    </row>
    <row r="368" spans="1:8" x14ac:dyDescent="0.25">
      <c r="A368" t="s">
        <v>148</v>
      </c>
      <c r="B368">
        <v>2010</v>
      </c>
      <c r="C368" t="s">
        <v>4</v>
      </c>
      <c r="D368" t="s">
        <v>27</v>
      </c>
      <c r="E368">
        <v>3</v>
      </c>
      <c r="F368" t="s">
        <v>19</v>
      </c>
      <c r="G368">
        <v>88</v>
      </c>
      <c r="H368" s="2">
        <v>5286720</v>
      </c>
    </row>
    <row r="369" spans="1:8" x14ac:dyDescent="0.25">
      <c r="A369" t="s">
        <v>149</v>
      </c>
      <c r="B369">
        <v>2010</v>
      </c>
      <c r="C369" t="s">
        <v>3</v>
      </c>
      <c r="D369" t="s">
        <v>27</v>
      </c>
      <c r="E369">
        <v>3</v>
      </c>
      <c r="F369" t="s">
        <v>19</v>
      </c>
      <c r="G369">
        <v>464</v>
      </c>
      <c r="H369" s="2">
        <v>8458444</v>
      </c>
    </row>
    <row r="370" spans="1:8" x14ac:dyDescent="0.25">
      <c r="A370" t="s">
        <v>150</v>
      </c>
      <c r="B370">
        <v>2010</v>
      </c>
      <c r="C370" t="s">
        <v>2</v>
      </c>
      <c r="D370" t="s">
        <v>27</v>
      </c>
      <c r="E370">
        <v>3</v>
      </c>
      <c r="F370" t="s">
        <v>19</v>
      </c>
      <c r="G370">
        <v>2291</v>
      </c>
      <c r="H370" s="2">
        <v>4849717</v>
      </c>
    </row>
    <row r="371" spans="1:8" x14ac:dyDescent="0.25">
      <c r="A371" t="s">
        <v>151</v>
      </c>
      <c r="B371">
        <v>2010</v>
      </c>
      <c r="C371" t="s">
        <v>1</v>
      </c>
      <c r="D371" t="s">
        <v>27</v>
      </c>
      <c r="E371">
        <v>3</v>
      </c>
      <c r="F371" t="s">
        <v>19</v>
      </c>
      <c r="G371">
        <v>2124</v>
      </c>
      <c r="H371" s="2">
        <v>1022974</v>
      </c>
    </row>
    <row r="372" spans="1:8" x14ac:dyDescent="0.25">
      <c r="A372" t="s">
        <v>152</v>
      </c>
      <c r="B372">
        <v>2010</v>
      </c>
      <c r="C372" t="s">
        <v>0</v>
      </c>
      <c r="D372" t="s">
        <v>27</v>
      </c>
      <c r="E372">
        <v>3</v>
      </c>
      <c r="F372" t="s">
        <v>19</v>
      </c>
      <c r="G372">
        <v>5650</v>
      </c>
      <c r="H372" s="2">
        <v>1022974</v>
      </c>
    </row>
    <row r="373" spans="1:8" x14ac:dyDescent="0.25">
      <c r="A373" t="s">
        <v>153</v>
      </c>
      <c r="B373">
        <v>2011</v>
      </c>
      <c r="C373" t="s">
        <v>6</v>
      </c>
      <c r="D373" t="s">
        <v>27</v>
      </c>
      <c r="E373">
        <v>3</v>
      </c>
      <c r="F373" t="s">
        <v>19</v>
      </c>
      <c r="G373">
        <v>9</v>
      </c>
      <c r="H373" s="2">
        <v>2765898</v>
      </c>
    </row>
    <row r="374" spans="1:8" x14ac:dyDescent="0.25">
      <c r="A374" t="s">
        <v>154</v>
      </c>
      <c r="B374">
        <v>2011</v>
      </c>
      <c r="C374" t="s">
        <v>5</v>
      </c>
      <c r="D374" t="s">
        <v>27</v>
      </c>
      <c r="E374">
        <v>3</v>
      </c>
      <c r="F374" t="s">
        <v>19</v>
      </c>
      <c r="G374">
        <v>13</v>
      </c>
      <c r="H374" s="2">
        <v>5516288</v>
      </c>
    </row>
    <row r="375" spans="1:8" x14ac:dyDescent="0.25">
      <c r="A375" t="s">
        <v>155</v>
      </c>
      <c r="B375">
        <v>2011</v>
      </c>
      <c r="C375" t="s">
        <v>4</v>
      </c>
      <c r="D375" t="s">
        <v>27</v>
      </c>
      <c r="E375">
        <v>3</v>
      </c>
      <c r="F375" t="s">
        <v>19</v>
      </c>
      <c r="G375">
        <v>72</v>
      </c>
      <c r="H375" s="2">
        <v>5296319</v>
      </c>
    </row>
    <row r="376" spans="1:8" x14ac:dyDescent="0.25">
      <c r="A376" t="s">
        <v>156</v>
      </c>
      <c r="B376">
        <v>2011</v>
      </c>
      <c r="C376" t="s">
        <v>3</v>
      </c>
      <c r="D376" t="s">
        <v>27</v>
      </c>
      <c r="E376">
        <v>3</v>
      </c>
      <c r="F376" t="s">
        <v>19</v>
      </c>
      <c r="G376">
        <v>550</v>
      </c>
      <c r="H376" s="2">
        <v>8602515</v>
      </c>
    </row>
    <row r="377" spans="1:8" x14ac:dyDescent="0.25">
      <c r="A377" t="s">
        <v>157</v>
      </c>
      <c r="B377">
        <v>2011</v>
      </c>
      <c r="C377" t="s">
        <v>2</v>
      </c>
      <c r="D377" t="s">
        <v>27</v>
      </c>
      <c r="E377">
        <v>3</v>
      </c>
      <c r="F377" t="s">
        <v>19</v>
      </c>
      <c r="G377">
        <v>2421</v>
      </c>
      <c r="H377" s="2">
        <v>5041154</v>
      </c>
    </row>
    <row r="378" spans="1:8" x14ac:dyDescent="0.25">
      <c r="A378" t="s">
        <v>158</v>
      </c>
      <c r="B378">
        <v>2011</v>
      </c>
      <c r="C378" t="s">
        <v>1</v>
      </c>
      <c r="D378" t="s">
        <v>27</v>
      </c>
      <c r="E378">
        <v>3</v>
      </c>
      <c r="F378" t="s">
        <v>19</v>
      </c>
      <c r="G378">
        <v>2147</v>
      </c>
      <c r="H378" s="2">
        <v>1061340</v>
      </c>
    </row>
    <row r="379" spans="1:8" x14ac:dyDescent="0.25">
      <c r="A379" t="s">
        <v>159</v>
      </c>
      <c r="B379">
        <v>2011</v>
      </c>
      <c r="C379" t="s">
        <v>0</v>
      </c>
      <c r="D379" t="s">
        <v>27</v>
      </c>
      <c r="E379">
        <v>3</v>
      </c>
      <c r="F379" t="s">
        <v>19</v>
      </c>
      <c r="G379">
        <v>5840</v>
      </c>
      <c r="H379" s="2">
        <v>1061340</v>
      </c>
    </row>
    <row r="380" spans="1:8" x14ac:dyDescent="0.25">
      <c r="A380" t="s">
        <v>160</v>
      </c>
      <c r="B380">
        <v>2012</v>
      </c>
      <c r="C380" t="s">
        <v>6</v>
      </c>
      <c r="D380" t="s">
        <v>27</v>
      </c>
      <c r="E380">
        <v>3</v>
      </c>
      <c r="F380" t="s">
        <v>19</v>
      </c>
      <c r="G380">
        <v>0</v>
      </c>
      <c r="H380" s="2">
        <v>2759356.4495101599</v>
      </c>
    </row>
    <row r="381" spans="1:8" x14ac:dyDescent="0.25">
      <c r="A381" t="s">
        <v>161</v>
      </c>
      <c r="B381">
        <v>2012</v>
      </c>
      <c r="C381" t="s">
        <v>5</v>
      </c>
      <c r="D381" t="s">
        <v>27</v>
      </c>
      <c r="E381">
        <v>3</v>
      </c>
      <c r="F381" t="s">
        <v>19</v>
      </c>
      <c r="G381">
        <v>9</v>
      </c>
      <c r="H381" s="2">
        <v>5537428.7927720398</v>
      </c>
    </row>
    <row r="382" spans="1:8" x14ac:dyDescent="0.25">
      <c r="A382" t="s">
        <v>162</v>
      </c>
      <c r="B382">
        <v>2012</v>
      </c>
      <c r="C382" t="s">
        <v>4</v>
      </c>
      <c r="D382" t="s">
        <v>27</v>
      </c>
      <c r="E382">
        <v>3</v>
      </c>
      <c r="F382" t="s">
        <v>19</v>
      </c>
      <c r="G382">
        <v>78</v>
      </c>
      <c r="H382" s="2">
        <v>5307779.7280284902</v>
      </c>
    </row>
    <row r="383" spans="1:8" x14ac:dyDescent="0.25">
      <c r="A383" t="s">
        <v>163</v>
      </c>
      <c r="B383">
        <v>2012</v>
      </c>
      <c r="C383" t="s">
        <v>3</v>
      </c>
      <c r="D383" t="s">
        <v>27</v>
      </c>
      <c r="E383">
        <v>3</v>
      </c>
      <c r="F383" t="s">
        <v>19</v>
      </c>
      <c r="G383">
        <v>515</v>
      </c>
      <c r="H383" s="2">
        <v>8748082.6996606905</v>
      </c>
    </row>
    <row r="384" spans="1:8" x14ac:dyDescent="0.25">
      <c r="A384" t="s">
        <v>164</v>
      </c>
      <c r="B384">
        <v>2012</v>
      </c>
      <c r="C384" t="s">
        <v>2</v>
      </c>
      <c r="D384" t="s">
        <v>27</v>
      </c>
      <c r="E384">
        <v>3</v>
      </c>
      <c r="F384" t="s">
        <v>19</v>
      </c>
      <c r="G384">
        <v>2545</v>
      </c>
      <c r="H384" s="2">
        <v>5230482.0778962998</v>
      </c>
    </row>
    <row r="385" spans="1:8" x14ac:dyDescent="0.25">
      <c r="A385" t="s">
        <v>165</v>
      </c>
      <c r="B385">
        <v>2012</v>
      </c>
      <c r="C385" t="s">
        <v>1</v>
      </c>
      <c r="D385" t="s">
        <v>27</v>
      </c>
      <c r="E385">
        <v>3</v>
      </c>
      <c r="F385" t="s">
        <v>19</v>
      </c>
      <c r="G385">
        <v>2204</v>
      </c>
      <c r="H385" s="2">
        <v>1102796.7939262099</v>
      </c>
    </row>
    <row r="386" spans="1:8" x14ac:dyDescent="0.25">
      <c r="A386" t="s">
        <v>166</v>
      </c>
      <c r="B386">
        <v>2012</v>
      </c>
      <c r="C386" t="s">
        <v>0</v>
      </c>
      <c r="D386" t="s">
        <v>27</v>
      </c>
      <c r="E386">
        <v>3</v>
      </c>
      <c r="F386" t="s">
        <v>19</v>
      </c>
      <c r="G386">
        <v>5957</v>
      </c>
      <c r="H386" s="2">
        <v>1102796.7939262099</v>
      </c>
    </row>
    <row r="387" spans="1:8" x14ac:dyDescent="0.25">
      <c r="A387" t="s">
        <v>167</v>
      </c>
      <c r="B387">
        <v>2013</v>
      </c>
      <c r="C387" t="s">
        <v>6</v>
      </c>
      <c r="D387" t="s">
        <v>27</v>
      </c>
      <c r="E387">
        <v>3</v>
      </c>
      <c r="F387" t="s">
        <v>19</v>
      </c>
      <c r="G387">
        <v>18</v>
      </c>
      <c r="H387" s="2">
        <v>2752322.19750119</v>
      </c>
    </row>
    <row r="388" spans="1:8" x14ac:dyDescent="0.25">
      <c r="A388" t="s">
        <v>168</v>
      </c>
      <c r="B388">
        <v>2013</v>
      </c>
      <c r="C388" t="s">
        <v>5</v>
      </c>
      <c r="D388" t="s">
        <v>27</v>
      </c>
      <c r="E388">
        <v>3</v>
      </c>
      <c r="F388" t="s">
        <v>19</v>
      </c>
      <c r="G388">
        <v>17</v>
      </c>
      <c r="H388" s="2">
        <v>5554323.1251711203</v>
      </c>
    </row>
    <row r="389" spans="1:8" x14ac:dyDescent="0.25">
      <c r="A389" t="s">
        <v>169</v>
      </c>
      <c r="B389">
        <v>2013</v>
      </c>
      <c r="C389" t="s">
        <v>4</v>
      </c>
      <c r="D389" t="s">
        <v>27</v>
      </c>
      <c r="E389">
        <v>3</v>
      </c>
      <c r="F389" t="s">
        <v>19</v>
      </c>
      <c r="G389">
        <v>83</v>
      </c>
      <c r="H389" s="2">
        <v>5323364.8480997998</v>
      </c>
    </row>
    <row r="390" spans="1:8" x14ac:dyDescent="0.25">
      <c r="A390" t="s">
        <v>170</v>
      </c>
      <c r="B390">
        <v>2013</v>
      </c>
      <c r="C390" t="s">
        <v>3</v>
      </c>
      <c r="D390" t="s">
        <v>27</v>
      </c>
      <c r="E390">
        <v>3</v>
      </c>
      <c r="F390" t="s">
        <v>19</v>
      </c>
      <c r="G390">
        <v>495</v>
      </c>
      <c r="H390" s="2">
        <v>8893718.1904660594</v>
      </c>
    </row>
    <row r="391" spans="1:8" x14ac:dyDescent="0.25">
      <c r="A391" t="s">
        <v>171</v>
      </c>
      <c r="B391">
        <v>2013</v>
      </c>
      <c r="C391" t="s">
        <v>2</v>
      </c>
      <c r="D391" t="s">
        <v>27</v>
      </c>
      <c r="E391">
        <v>3</v>
      </c>
      <c r="F391" t="s">
        <v>19</v>
      </c>
      <c r="G391">
        <v>2465</v>
      </c>
      <c r="H391" s="2">
        <v>5415783.9591287402</v>
      </c>
    </row>
    <row r="392" spans="1:8" x14ac:dyDescent="0.25">
      <c r="A392" t="s">
        <v>172</v>
      </c>
      <c r="B392">
        <v>2013</v>
      </c>
      <c r="C392" t="s">
        <v>1</v>
      </c>
      <c r="D392" t="s">
        <v>27</v>
      </c>
      <c r="E392">
        <v>3</v>
      </c>
      <c r="F392" t="s">
        <v>19</v>
      </c>
      <c r="G392">
        <v>2146</v>
      </c>
      <c r="H392" s="2">
        <v>1147296.6505007599</v>
      </c>
    </row>
    <row r="393" spans="1:8" x14ac:dyDescent="0.25">
      <c r="A393" t="s">
        <v>173</v>
      </c>
      <c r="B393">
        <v>2013</v>
      </c>
      <c r="C393" t="s">
        <v>0</v>
      </c>
      <c r="D393" t="s">
        <v>27</v>
      </c>
      <c r="E393">
        <v>3</v>
      </c>
      <c r="F393" t="s">
        <v>19</v>
      </c>
      <c r="G393">
        <v>5940</v>
      </c>
      <c r="H393" s="2">
        <v>1147296.6505007599</v>
      </c>
    </row>
    <row r="394" spans="1:8" x14ac:dyDescent="0.25">
      <c r="A394" t="s">
        <v>174</v>
      </c>
      <c r="B394">
        <v>2014</v>
      </c>
      <c r="C394" t="s">
        <v>6</v>
      </c>
      <c r="D394" t="s">
        <v>27</v>
      </c>
      <c r="E394">
        <v>3</v>
      </c>
      <c r="F394" t="s">
        <v>19</v>
      </c>
      <c r="G394">
        <v>12</v>
      </c>
      <c r="H394" s="2">
        <v>2744697</v>
      </c>
    </row>
    <row r="395" spans="1:8" x14ac:dyDescent="0.25">
      <c r="A395" t="s">
        <v>175</v>
      </c>
      <c r="B395">
        <v>2014</v>
      </c>
      <c r="C395" t="s">
        <v>5</v>
      </c>
      <c r="D395" t="s">
        <v>27</v>
      </c>
      <c r="E395">
        <v>3</v>
      </c>
      <c r="F395" t="s">
        <v>19</v>
      </c>
      <c r="G395">
        <v>19</v>
      </c>
      <c r="H395" s="2">
        <v>5566437</v>
      </c>
    </row>
    <row r="396" spans="1:8" x14ac:dyDescent="0.25">
      <c r="A396" t="s">
        <v>176</v>
      </c>
      <c r="B396">
        <v>2014</v>
      </c>
      <c r="C396" t="s">
        <v>4</v>
      </c>
      <c r="D396" t="s">
        <v>27</v>
      </c>
      <c r="E396">
        <v>3</v>
      </c>
      <c r="F396" t="s">
        <v>19</v>
      </c>
      <c r="G396">
        <v>71</v>
      </c>
      <c r="H396" s="2">
        <v>5343109</v>
      </c>
    </row>
    <row r="397" spans="1:8" x14ac:dyDescent="0.25">
      <c r="A397" t="s">
        <v>177</v>
      </c>
      <c r="B397">
        <v>2014</v>
      </c>
      <c r="C397" t="s">
        <v>3</v>
      </c>
      <c r="D397" t="s">
        <v>27</v>
      </c>
      <c r="E397">
        <v>3</v>
      </c>
      <c r="F397" t="s">
        <v>19</v>
      </c>
      <c r="G397">
        <v>529</v>
      </c>
      <c r="H397" s="2">
        <v>9037113</v>
      </c>
    </row>
    <row r="398" spans="1:8" x14ac:dyDescent="0.25">
      <c r="A398" t="s">
        <v>178</v>
      </c>
      <c r="B398">
        <v>2014</v>
      </c>
      <c r="C398" t="s">
        <v>2</v>
      </c>
      <c r="D398" t="s">
        <v>27</v>
      </c>
      <c r="E398">
        <v>3</v>
      </c>
      <c r="F398" t="s">
        <v>19</v>
      </c>
      <c r="G398">
        <v>2521</v>
      </c>
      <c r="H398" s="2">
        <v>5597164</v>
      </c>
    </row>
    <row r="399" spans="1:8" x14ac:dyDescent="0.25">
      <c r="A399" t="s">
        <v>179</v>
      </c>
      <c r="B399">
        <v>2014</v>
      </c>
      <c r="C399" t="s">
        <v>1</v>
      </c>
      <c r="D399" t="s">
        <v>27</v>
      </c>
      <c r="E399">
        <v>3</v>
      </c>
      <c r="F399" t="s">
        <v>19</v>
      </c>
      <c r="G399">
        <v>2271</v>
      </c>
      <c r="H399" s="2">
        <v>1194627</v>
      </c>
    </row>
    <row r="400" spans="1:8" x14ac:dyDescent="0.25">
      <c r="A400" t="s">
        <v>180</v>
      </c>
      <c r="B400">
        <v>2014</v>
      </c>
      <c r="C400" t="s">
        <v>0</v>
      </c>
      <c r="D400" t="s">
        <v>27</v>
      </c>
      <c r="E400">
        <v>3</v>
      </c>
      <c r="F400" t="s">
        <v>19</v>
      </c>
      <c r="G400">
        <v>6503</v>
      </c>
      <c r="H400" s="2">
        <v>1194627</v>
      </c>
    </row>
    <row r="401" spans="1:8" x14ac:dyDescent="0.25">
      <c r="A401" t="s">
        <v>48</v>
      </c>
      <c r="B401">
        <v>1996</v>
      </c>
      <c r="C401" t="s">
        <v>6</v>
      </c>
      <c r="D401" t="s">
        <v>27</v>
      </c>
      <c r="E401">
        <v>4</v>
      </c>
      <c r="F401" s="4" t="s">
        <v>16</v>
      </c>
      <c r="G401">
        <v>786</v>
      </c>
      <c r="H401" s="2">
        <v>2669011.0638103201</v>
      </c>
    </row>
    <row r="402" spans="1:8" x14ac:dyDescent="0.25">
      <c r="A402" t="s">
        <v>49</v>
      </c>
      <c r="B402">
        <v>1996</v>
      </c>
      <c r="C402" t="s">
        <v>5</v>
      </c>
      <c r="D402" t="s">
        <v>27</v>
      </c>
      <c r="E402">
        <v>4</v>
      </c>
      <c r="F402" s="4" t="s">
        <v>16</v>
      </c>
      <c r="G402">
        <v>659</v>
      </c>
      <c r="H402" s="2">
        <v>5336689.2615659405</v>
      </c>
    </row>
    <row r="403" spans="1:8" x14ac:dyDescent="0.25">
      <c r="A403" t="s">
        <v>50</v>
      </c>
      <c r="B403">
        <v>1996</v>
      </c>
      <c r="C403" t="s">
        <v>4</v>
      </c>
      <c r="D403" t="s">
        <v>27</v>
      </c>
      <c r="E403">
        <v>4</v>
      </c>
      <c r="F403" s="4" t="s">
        <v>16</v>
      </c>
      <c r="G403">
        <v>1352</v>
      </c>
      <c r="H403" s="2">
        <v>4328734.7335640304</v>
      </c>
    </row>
    <row r="404" spans="1:8" x14ac:dyDescent="0.25">
      <c r="A404" t="s">
        <v>51</v>
      </c>
      <c r="B404">
        <v>1996</v>
      </c>
      <c r="C404" t="s">
        <v>3</v>
      </c>
      <c r="D404" t="s">
        <v>27</v>
      </c>
      <c r="E404">
        <v>4</v>
      </c>
      <c r="F404" s="4" t="s">
        <v>16</v>
      </c>
      <c r="G404">
        <v>2393</v>
      </c>
      <c r="H404" s="2">
        <v>6500086.9398599695</v>
      </c>
    </row>
    <row r="405" spans="1:8" x14ac:dyDescent="0.25">
      <c r="A405" t="s">
        <v>52</v>
      </c>
      <c r="B405">
        <v>1996</v>
      </c>
      <c r="C405" t="s">
        <v>2</v>
      </c>
      <c r="D405" t="s">
        <v>27</v>
      </c>
      <c r="E405">
        <v>4</v>
      </c>
      <c r="F405" s="4" t="s">
        <v>16</v>
      </c>
      <c r="G405">
        <v>1078</v>
      </c>
      <c r="H405" s="2">
        <v>2862216.4853526298</v>
      </c>
    </row>
    <row r="406" spans="1:8" x14ac:dyDescent="0.25">
      <c r="A406" t="s">
        <v>53</v>
      </c>
      <c r="B406">
        <v>1996</v>
      </c>
      <c r="C406" t="s">
        <v>1</v>
      </c>
      <c r="D406" t="s">
        <v>27</v>
      </c>
      <c r="E406">
        <v>4</v>
      </c>
      <c r="F406" s="4" t="s">
        <v>16</v>
      </c>
      <c r="G406">
        <v>380</v>
      </c>
      <c r="H406" s="2">
        <v>710343.28776711202</v>
      </c>
    </row>
    <row r="407" spans="1:8" x14ac:dyDescent="0.25">
      <c r="A407" t="s">
        <v>54</v>
      </c>
      <c r="B407">
        <v>1996</v>
      </c>
      <c r="C407" t="s">
        <v>0</v>
      </c>
      <c r="D407" t="s">
        <v>27</v>
      </c>
      <c r="E407">
        <v>4</v>
      </c>
      <c r="F407" s="4" t="s">
        <v>16</v>
      </c>
      <c r="G407">
        <v>534</v>
      </c>
      <c r="H407" s="2">
        <v>710343.28776711202</v>
      </c>
    </row>
    <row r="408" spans="1:8" x14ac:dyDescent="0.25">
      <c r="A408" t="s">
        <v>55</v>
      </c>
      <c r="B408">
        <v>1997</v>
      </c>
      <c r="C408" t="s">
        <v>6</v>
      </c>
      <c r="D408" t="s">
        <v>27</v>
      </c>
      <c r="E408">
        <v>4</v>
      </c>
      <c r="F408" s="4" t="s">
        <v>16</v>
      </c>
      <c r="G408">
        <v>797</v>
      </c>
      <c r="H408" s="2">
        <v>2689637.03828619</v>
      </c>
    </row>
    <row r="409" spans="1:8" x14ac:dyDescent="0.25">
      <c r="A409" t="s">
        <v>56</v>
      </c>
      <c r="B409">
        <v>1997</v>
      </c>
      <c r="C409" t="s">
        <v>5</v>
      </c>
      <c r="D409" t="s">
        <v>27</v>
      </c>
      <c r="E409">
        <v>4</v>
      </c>
      <c r="F409" s="4" t="s">
        <v>16</v>
      </c>
      <c r="G409">
        <v>647</v>
      </c>
      <c r="H409" s="2">
        <v>5352218.1569395596</v>
      </c>
    </row>
    <row r="410" spans="1:8" x14ac:dyDescent="0.25">
      <c r="A410" t="s">
        <v>57</v>
      </c>
      <c r="B410">
        <v>1997</v>
      </c>
      <c r="C410" t="s">
        <v>4</v>
      </c>
      <c r="D410" t="s">
        <v>27</v>
      </c>
      <c r="E410">
        <v>4</v>
      </c>
      <c r="F410" s="4" t="s">
        <v>16</v>
      </c>
      <c r="G410">
        <v>1312</v>
      </c>
      <c r="H410" s="2">
        <v>4441903.2401384199</v>
      </c>
    </row>
    <row r="411" spans="1:8" x14ac:dyDescent="0.25">
      <c r="A411" t="s">
        <v>58</v>
      </c>
      <c r="B411">
        <v>1997</v>
      </c>
      <c r="C411" t="s">
        <v>3</v>
      </c>
      <c r="D411" t="s">
        <v>27</v>
      </c>
      <c r="E411">
        <v>4</v>
      </c>
      <c r="F411" s="4" t="s">
        <v>16</v>
      </c>
      <c r="G411">
        <v>2273</v>
      </c>
      <c r="H411" s="2">
        <v>6652916.9639159804</v>
      </c>
    </row>
    <row r="412" spans="1:8" x14ac:dyDescent="0.25">
      <c r="A412" t="s">
        <v>59</v>
      </c>
      <c r="B412">
        <v>1997</v>
      </c>
      <c r="C412" t="s">
        <v>2</v>
      </c>
      <c r="D412" t="s">
        <v>27</v>
      </c>
      <c r="E412">
        <v>4</v>
      </c>
      <c r="F412" s="4" t="s">
        <v>16</v>
      </c>
      <c r="G412">
        <v>1113</v>
      </c>
      <c r="H412" s="2">
        <v>2950439.89121158</v>
      </c>
    </row>
    <row r="413" spans="1:8" x14ac:dyDescent="0.25">
      <c r="A413" t="s">
        <v>60</v>
      </c>
      <c r="B413">
        <v>1997</v>
      </c>
      <c r="C413" t="s">
        <v>1</v>
      </c>
      <c r="D413" t="s">
        <v>27</v>
      </c>
      <c r="E413">
        <v>4</v>
      </c>
      <c r="F413" s="4" t="s">
        <v>16</v>
      </c>
      <c r="G413">
        <v>379</v>
      </c>
      <c r="H413" s="2">
        <v>717390.37266026705</v>
      </c>
    </row>
    <row r="414" spans="1:8" x14ac:dyDescent="0.25">
      <c r="A414" t="s">
        <v>61</v>
      </c>
      <c r="B414">
        <v>1997</v>
      </c>
      <c r="C414" t="s">
        <v>0</v>
      </c>
      <c r="D414" t="s">
        <v>27</v>
      </c>
      <c r="E414">
        <v>4</v>
      </c>
      <c r="F414" s="4" t="s">
        <v>16</v>
      </c>
      <c r="G414">
        <v>545</v>
      </c>
      <c r="H414" s="2">
        <v>717390.37266026705</v>
      </c>
    </row>
    <row r="415" spans="1:8" x14ac:dyDescent="0.25">
      <c r="A415" t="s">
        <v>62</v>
      </c>
      <c r="B415">
        <v>1998</v>
      </c>
      <c r="C415" t="s">
        <v>6</v>
      </c>
      <c r="D415" t="s">
        <v>27</v>
      </c>
      <c r="E415">
        <v>4</v>
      </c>
      <c r="F415" s="4" t="s">
        <v>16</v>
      </c>
      <c r="G415">
        <v>869</v>
      </c>
      <c r="H415" s="2">
        <v>2707580.5191430999</v>
      </c>
    </row>
    <row r="416" spans="1:8" x14ac:dyDescent="0.25">
      <c r="A416" t="s">
        <v>63</v>
      </c>
      <c r="B416">
        <v>1998</v>
      </c>
      <c r="C416" t="s">
        <v>5</v>
      </c>
      <c r="D416" t="s">
        <v>27</v>
      </c>
      <c r="E416">
        <v>4</v>
      </c>
      <c r="F416" s="4" t="s">
        <v>16</v>
      </c>
      <c r="G416">
        <v>698</v>
      </c>
      <c r="H416" s="2">
        <v>5360232.5784697803</v>
      </c>
    </row>
    <row r="417" spans="1:8" x14ac:dyDescent="0.25">
      <c r="A417" t="s">
        <v>64</v>
      </c>
      <c r="B417">
        <v>1998</v>
      </c>
      <c r="C417" t="s">
        <v>4</v>
      </c>
      <c r="D417" t="s">
        <v>27</v>
      </c>
      <c r="E417">
        <v>4</v>
      </c>
      <c r="F417" s="4" t="s">
        <v>16</v>
      </c>
      <c r="G417">
        <v>1467</v>
      </c>
      <c r="H417" s="2">
        <v>4551586.6200692104</v>
      </c>
    </row>
    <row r="418" spans="1:8" x14ac:dyDescent="0.25">
      <c r="A418" t="s">
        <v>65</v>
      </c>
      <c r="B418">
        <v>1998</v>
      </c>
      <c r="C418" t="s">
        <v>3</v>
      </c>
      <c r="D418" t="s">
        <v>27</v>
      </c>
      <c r="E418">
        <v>4</v>
      </c>
      <c r="F418" s="4" t="s">
        <v>16</v>
      </c>
      <c r="G418">
        <v>2573</v>
      </c>
      <c r="H418" s="2">
        <v>6800752.4819579897</v>
      </c>
    </row>
    <row r="419" spans="1:8" x14ac:dyDescent="0.25">
      <c r="A419" t="s">
        <v>66</v>
      </c>
      <c r="B419">
        <v>1998</v>
      </c>
      <c r="C419" t="s">
        <v>2</v>
      </c>
      <c r="D419" t="s">
        <v>27</v>
      </c>
      <c r="E419">
        <v>4</v>
      </c>
      <c r="F419" s="4" t="s">
        <v>16</v>
      </c>
      <c r="G419">
        <v>1228</v>
      </c>
      <c r="H419" s="2">
        <v>3048176.4456057898</v>
      </c>
    </row>
    <row r="420" spans="1:8" x14ac:dyDescent="0.25">
      <c r="A420" t="s">
        <v>67</v>
      </c>
      <c r="B420">
        <v>1998</v>
      </c>
      <c r="C420" t="s">
        <v>1</v>
      </c>
      <c r="D420" t="s">
        <v>27</v>
      </c>
      <c r="E420">
        <v>4</v>
      </c>
      <c r="F420" s="4" t="s">
        <v>16</v>
      </c>
      <c r="G420">
        <v>424</v>
      </c>
      <c r="H420" s="2">
        <v>727932.186330133</v>
      </c>
    </row>
    <row r="421" spans="1:8" x14ac:dyDescent="0.25">
      <c r="A421" t="s">
        <v>68</v>
      </c>
      <c r="B421">
        <v>1998</v>
      </c>
      <c r="C421" t="s">
        <v>0</v>
      </c>
      <c r="D421" t="s">
        <v>27</v>
      </c>
      <c r="E421">
        <v>4</v>
      </c>
      <c r="F421" s="4" t="s">
        <v>16</v>
      </c>
      <c r="G421">
        <v>525</v>
      </c>
      <c r="H421" s="2">
        <v>727932.186330133</v>
      </c>
    </row>
    <row r="422" spans="1:8" x14ac:dyDescent="0.25">
      <c r="A422" t="s">
        <v>69</v>
      </c>
      <c r="B422">
        <v>1999</v>
      </c>
      <c r="C422" t="s">
        <v>6</v>
      </c>
      <c r="D422" t="s">
        <v>27</v>
      </c>
      <c r="E422">
        <v>4</v>
      </c>
      <c r="F422" s="4" t="s">
        <v>16</v>
      </c>
      <c r="G422">
        <v>800</v>
      </c>
      <c r="H422" s="2">
        <v>2723058.5063810302</v>
      </c>
    </row>
    <row r="423" spans="1:8" x14ac:dyDescent="0.25">
      <c r="A423" t="s">
        <v>70</v>
      </c>
      <c r="B423">
        <v>1999</v>
      </c>
      <c r="C423" t="s">
        <v>5</v>
      </c>
      <c r="D423" t="s">
        <v>27</v>
      </c>
      <c r="E423">
        <v>4</v>
      </c>
      <c r="F423" s="4" t="s">
        <v>16</v>
      </c>
      <c r="G423">
        <v>682</v>
      </c>
      <c r="H423" s="2">
        <v>5362927.5261565903</v>
      </c>
    </row>
    <row r="424" spans="1:8" x14ac:dyDescent="0.25">
      <c r="A424" t="s">
        <v>71</v>
      </c>
      <c r="B424">
        <v>1999</v>
      </c>
      <c r="C424" t="s">
        <v>4</v>
      </c>
      <c r="D424" t="s">
        <v>27</v>
      </c>
      <c r="E424">
        <v>4</v>
      </c>
      <c r="F424" s="4" t="s">
        <v>16</v>
      </c>
      <c r="G424">
        <v>1495</v>
      </c>
      <c r="H424" s="2">
        <v>4656740.8733564001</v>
      </c>
    </row>
    <row r="425" spans="1:8" x14ac:dyDescent="0.25">
      <c r="A425" t="s">
        <v>72</v>
      </c>
      <c r="B425">
        <v>1999</v>
      </c>
      <c r="C425" t="s">
        <v>3</v>
      </c>
      <c r="D425" t="s">
        <v>27</v>
      </c>
      <c r="E425">
        <v>4</v>
      </c>
      <c r="F425" s="4" t="s">
        <v>16</v>
      </c>
      <c r="G425">
        <v>2595</v>
      </c>
      <c r="H425" s="2">
        <v>6944474.4939860003</v>
      </c>
    </row>
    <row r="426" spans="1:8" x14ac:dyDescent="0.25">
      <c r="A426" t="s">
        <v>73</v>
      </c>
      <c r="B426">
        <v>1999</v>
      </c>
      <c r="C426" t="s">
        <v>2</v>
      </c>
      <c r="D426" t="s">
        <v>27</v>
      </c>
      <c r="E426">
        <v>4</v>
      </c>
      <c r="F426" s="4" t="s">
        <v>16</v>
      </c>
      <c r="G426">
        <v>1279</v>
      </c>
      <c r="H426" s="2">
        <v>3155060.14853526</v>
      </c>
    </row>
    <row r="427" spans="1:8" x14ac:dyDescent="0.25">
      <c r="A427" t="s">
        <v>74</v>
      </c>
      <c r="B427">
        <v>1999</v>
      </c>
      <c r="C427" t="s">
        <v>1</v>
      </c>
      <c r="D427" t="s">
        <v>27</v>
      </c>
      <c r="E427">
        <v>4</v>
      </c>
      <c r="F427" s="4" t="s">
        <v>16</v>
      </c>
      <c r="G427">
        <v>421</v>
      </c>
      <c r="H427" s="2">
        <v>741553.72877671104</v>
      </c>
    </row>
    <row r="428" spans="1:8" x14ac:dyDescent="0.25">
      <c r="A428" t="s">
        <v>75</v>
      </c>
      <c r="B428">
        <v>1999</v>
      </c>
      <c r="C428" t="s">
        <v>0</v>
      </c>
      <c r="D428" t="s">
        <v>27</v>
      </c>
      <c r="E428">
        <v>4</v>
      </c>
      <c r="F428" s="4" t="s">
        <v>16</v>
      </c>
      <c r="G428">
        <v>554</v>
      </c>
      <c r="H428" s="2">
        <v>741553.72877671104</v>
      </c>
    </row>
    <row r="429" spans="1:8" x14ac:dyDescent="0.25">
      <c r="A429" t="s">
        <v>76</v>
      </c>
      <c r="B429">
        <v>2000</v>
      </c>
      <c r="C429" t="s">
        <v>6</v>
      </c>
      <c r="D429" t="s">
        <v>27</v>
      </c>
      <c r="E429">
        <v>4</v>
      </c>
      <c r="F429" s="4" t="s">
        <v>16</v>
      </c>
      <c r="G429">
        <v>681</v>
      </c>
      <c r="H429" s="2">
        <v>2736288</v>
      </c>
    </row>
    <row r="430" spans="1:8" x14ac:dyDescent="0.25">
      <c r="A430" t="s">
        <v>77</v>
      </c>
      <c r="B430">
        <v>2000</v>
      </c>
      <c r="C430" t="s">
        <v>5</v>
      </c>
      <c r="D430" t="s">
        <v>27</v>
      </c>
      <c r="E430">
        <v>4</v>
      </c>
      <c r="F430" s="4" t="s">
        <v>16</v>
      </c>
      <c r="G430">
        <v>620</v>
      </c>
      <c r="H430" s="2">
        <v>5362498</v>
      </c>
    </row>
    <row r="431" spans="1:8" x14ac:dyDescent="0.25">
      <c r="A431" t="s">
        <v>78</v>
      </c>
      <c r="B431">
        <v>2000</v>
      </c>
      <c r="C431" t="s">
        <v>4</v>
      </c>
      <c r="D431" t="s">
        <v>27</v>
      </c>
      <c r="E431">
        <v>4</v>
      </c>
      <c r="F431" s="4" t="s">
        <v>16</v>
      </c>
      <c r="G431">
        <v>1623</v>
      </c>
      <c r="H431" s="2">
        <v>4756322</v>
      </c>
    </row>
    <row r="432" spans="1:8" x14ac:dyDescent="0.25">
      <c r="A432" t="s">
        <v>79</v>
      </c>
      <c r="B432">
        <v>2000</v>
      </c>
      <c r="C432" t="s">
        <v>3</v>
      </c>
      <c r="D432" t="s">
        <v>27</v>
      </c>
      <c r="E432">
        <v>4</v>
      </c>
      <c r="F432" s="4" t="s">
        <v>16</v>
      </c>
      <c r="G432">
        <v>2756</v>
      </c>
      <c r="H432" s="2">
        <v>7084964</v>
      </c>
    </row>
    <row r="433" spans="1:8" x14ac:dyDescent="0.25">
      <c r="A433" t="s">
        <v>80</v>
      </c>
      <c r="B433">
        <v>2000</v>
      </c>
      <c r="C433" t="s">
        <v>2</v>
      </c>
      <c r="D433" t="s">
        <v>27</v>
      </c>
      <c r="E433">
        <v>4</v>
      </c>
      <c r="F433" s="4" t="s">
        <v>16</v>
      </c>
      <c r="G433">
        <v>1323</v>
      </c>
      <c r="H433" s="2">
        <v>3270725</v>
      </c>
    </row>
    <row r="434" spans="1:8" x14ac:dyDescent="0.25">
      <c r="A434" t="s">
        <v>81</v>
      </c>
      <c r="B434">
        <v>2000</v>
      </c>
      <c r="C434" t="s">
        <v>1</v>
      </c>
      <c r="D434" t="s">
        <v>27</v>
      </c>
      <c r="E434">
        <v>4</v>
      </c>
      <c r="F434" s="4" t="s">
        <v>16</v>
      </c>
      <c r="G434">
        <v>410</v>
      </c>
      <c r="H434" s="2">
        <v>757840</v>
      </c>
    </row>
    <row r="435" spans="1:8" x14ac:dyDescent="0.25">
      <c r="A435" t="s">
        <v>82</v>
      </c>
      <c r="B435">
        <v>2000</v>
      </c>
      <c r="C435" t="s">
        <v>0</v>
      </c>
      <c r="D435" t="s">
        <v>27</v>
      </c>
      <c r="E435">
        <v>4</v>
      </c>
      <c r="F435" s="4" t="s">
        <v>16</v>
      </c>
      <c r="G435">
        <v>520</v>
      </c>
      <c r="H435" s="2">
        <v>757840</v>
      </c>
    </row>
    <row r="436" spans="1:8" x14ac:dyDescent="0.25">
      <c r="A436" t="s">
        <v>83</v>
      </c>
      <c r="B436">
        <v>2001</v>
      </c>
      <c r="C436" t="s">
        <v>6</v>
      </c>
      <c r="D436" t="s">
        <v>27</v>
      </c>
      <c r="E436">
        <v>4</v>
      </c>
      <c r="F436" s="4" t="s">
        <v>16</v>
      </c>
      <c r="G436">
        <v>723</v>
      </c>
      <c r="H436" s="2">
        <v>2747486</v>
      </c>
    </row>
    <row r="437" spans="1:8" x14ac:dyDescent="0.25">
      <c r="A437" t="s">
        <v>84</v>
      </c>
      <c r="B437">
        <v>2001</v>
      </c>
      <c r="C437" t="s">
        <v>5</v>
      </c>
      <c r="D437" t="s">
        <v>27</v>
      </c>
      <c r="E437">
        <v>4</v>
      </c>
      <c r="F437" s="4" t="s">
        <v>16</v>
      </c>
      <c r="G437">
        <v>654</v>
      </c>
      <c r="H437" s="2">
        <v>5361139</v>
      </c>
    </row>
    <row r="438" spans="1:8" x14ac:dyDescent="0.25">
      <c r="A438" t="s">
        <v>85</v>
      </c>
      <c r="B438">
        <v>2001</v>
      </c>
      <c r="C438" t="s">
        <v>4</v>
      </c>
      <c r="D438" t="s">
        <v>27</v>
      </c>
      <c r="E438">
        <v>4</v>
      </c>
      <c r="F438" s="4" t="s">
        <v>16</v>
      </c>
      <c r="G438">
        <v>1772</v>
      </c>
      <c r="H438" s="2">
        <v>4849286</v>
      </c>
    </row>
    <row r="439" spans="1:8" x14ac:dyDescent="0.25">
      <c r="A439" t="s">
        <v>86</v>
      </c>
      <c r="B439">
        <v>2001</v>
      </c>
      <c r="C439" t="s">
        <v>3</v>
      </c>
      <c r="D439" t="s">
        <v>27</v>
      </c>
      <c r="E439">
        <v>4</v>
      </c>
      <c r="F439" s="4" t="s">
        <v>16</v>
      </c>
      <c r="G439">
        <v>3188</v>
      </c>
      <c r="H439" s="2">
        <v>7223102</v>
      </c>
    </row>
    <row r="440" spans="1:8" x14ac:dyDescent="0.25">
      <c r="A440" t="s">
        <v>87</v>
      </c>
      <c r="B440">
        <v>2001</v>
      </c>
      <c r="C440" t="s">
        <v>2</v>
      </c>
      <c r="D440" t="s">
        <v>27</v>
      </c>
      <c r="E440">
        <v>4</v>
      </c>
      <c r="F440" s="4" t="s">
        <v>16</v>
      </c>
      <c r="G440">
        <v>1484</v>
      </c>
      <c r="H440" s="2">
        <v>3394805</v>
      </c>
    </row>
    <row r="441" spans="1:8" x14ac:dyDescent="0.25">
      <c r="A441" t="s">
        <v>88</v>
      </c>
      <c r="B441">
        <v>2001</v>
      </c>
      <c r="C441" t="s">
        <v>1</v>
      </c>
      <c r="D441" t="s">
        <v>27</v>
      </c>
      <c r="E441">
        <v>4</v>
      </c>
      <c r="F441" s="4" t="s">
        <v>16</v>
      </c>
      <c r="G441">
        <v>415</v>
      </c>
      <c r="H441" s="2">
        <v>776376</v>
      </c>
    </row>
    <row r="442" spans="1:8" x14ac:dyDescent="0.25">
      <c r="A442" t="s">
        <v>89</v>
      </c>
      <c r="B442">
        <v>2001</v>
      </c>
      <c r="C442" t="s">
        <v>0</v>
      </c>
      <c r="D442" t="s">
        <v>27</v>
      </c>
      <c r="E442">
        <v>4</v>
      </c>
      <c r="F442" s="4" t="s">
        <v>16</v>
      </c>
      <c r="G442">
        <v>572</v>
      </c>
      <c r="H442" s="2">
        <v>776376</v>
      </c>
    </row>
    <row r="443" spans="1:8" x14ac:dyDescent="0.25">
      <c r="A443" t="s">
        <v>90</v>
      </c>
      <c r="B443">
        <v>2002</v>
      </c>
      <c r="C443" t="s">
        <v>6</v>
      </c>
      <c r="D443" t="s">
        <v>27</v>
      </c>
      <c r="E443">
        <v>4</v>
      </c>
      <c r="F443" s="4" t="s">
        <v>16</v>
      </c>
      <c r="G443">
        <v>758</v>
      </c>
      <c r="H443" s="2">
        <v>2756879</v>
      </c>
    </row>
    <row r="444" spans="1:8" x14ac:dyDescent="0.25">
      <c r="A444" t="s">
        <v>91</v>
      </c>
      <c r="B444">
        <v>2002</v>
      </c>
      <c r="C444" t="s">
        <v>5</v>
      </c>
      <c r="D444" t="s">
        <v>27</v>
      </c>
      <c r="E444">
        <v>4</v>
      </c>
      <c r="F444" s="4" t="s">
        <v>16</v>
      </c>
      <c r="G444">
        <v>628</v>
      </c>
      <c r="H444" s="2">
        <v>5361107</v>
      </c>
    </row>
    <row r="445" spans="1:8" x14ac:dyDescent="0.25">
      <c r="A445" t="s">
        <v>92</v>
      </c>
      <c r="B445">
        <v>2002</v>
      </c>
      <c r="C445" t="s">
        <v>4</v>
      </c>
      <c r="D445" t="s">
        <v>27</v>
      </c>
      <c r="E445">
        <v>4</v>
      </c>
      <c r="F445" s="4" t="s">
        <v>16</v>
      </c>
      <c r="G445">
        <v>1785</v>
      </c>
      <c r="H445" s="2">
        <v>4934568</v>
      </c>
    </row>
    <row r="446" spans="1:8" x14ac:dyDescent="0.25">
      <c r="A446" t="s">
        <v>93</v>
      </c>
      <c r="B446">
        <v>2002</v>
      </c>
      <c r="C446" t="s">
        <v>3</v>
      </c>
      <c r="D446" t="s">
        <v>27</v>
      </c>
      <c r="E446">
        <v>4</v>
      </c>
      <c r="F446" s="4" t="s">
        <v>16</v>
      </c>
      <c r="G446">
        <v>2960</v>
      </c>
      <c r="H446" s="2">
        <v>7359839</v>
      </c>
    </row>
    <row r="447" spans="1:8" x14ac:dyDescent="0.25">
      <c r="A447" t="s">
        <v>94</v>
      </c>
      <c r="B447">
        <v>2002</v>
      </c>
      <c r="C447" t="s">
        <v>2</v>
      </c>
      <c r="D447" t="s">
        <v>27</v>
      </c>
      <c r="E447">
        <v>4</v>
      </c>
      <c r="F447" s="4" t="s">
        <v>16</v>
      </c>
      <c r="G447">
        <v>1512</v>
      </c>
      <c r="H447" s="2">
        <v>3526909</v>
      </c>
    </row>
    <row r="448" spans="1:8" x14ac:dyDescent="0.25">
      <c r="A448" t="s">
        <v>95</v>
      </c>
      <c r="B448">
        <v>2002</v>
      </c>
      <c r="C448" t="s">
        <v>1</v>
      </c>
      <c r="D448" t="s">
        <v>27</v>
      </c>
      <c r="E448">
        <v>4</v>
      </c>
      <c r="F448" s="4" t="s">
        <v>16</v>
      </c>
      <c r="G448">
        <v>443</v>
      </c>
      <c r="H448" s="2">
        <v>796712</v>
      </c>
    </row>
    <row r="449" spans="1:8" x14ac:dyDescent="0.25">
      <c r="A449" t="s">
        <v>96</v>
      </c>
      <c r="B449">
        <v>2002</v>
      </c>
      <c r="C449" t="s">
        <v>0</v>
      </c>
      <c r="D449" t="s">
        <v>27</v>
      </c>
      <c r="E449">
        <v>4</v>
      </c>
      <c r="F449" s="4" t="s">
        <v>16</v>
      </c>
      <c r="G449">
        <v>594</v>
      </c>
      <c r="H449" s="2">
        <v>796712</v>
      </c>
    </row>
    <row r="450" spans="1:8" x14ac:dyDescent="0.25">
      <c r="A450" t="s">
        <v>97</v>
      </c>
      <c r="B450">
        <v>2003</v>
      </c>
      <c r="C450" t="s">
        <v>6</v>
      </c>
      <c r="D450" t="s">
        <v>27</v>
      </c>
      <c r="E450">
        <v>4</v>
      </c>
      <c r="F450" s="4" t="s">
        <v>16</v>
      </c>
      <c r="G450">
        <v>767</v>
      </c>
      <c r="H450" s="2">
        <v>2764684</v>
      </c>
    </row>
    <row r="451" spans="1:8" x14ac:dyDescent="0.25">
      <c r="A451" t="s">
        <v>98</v>
      </c>
      <c r="B451">
        <v>2003</v>
      </c>
      <c r="C451" t="s">
        <v>5</v>
      </c>
      <c r="D451" t="s">
        <v>27</v>
      </c>
      <c r="E451">
        <v>4</v>
      </c>
      <c r="F451" s="4" t="s">
        <v>16</v>
      </c>
      <c r="G451">
        <v>591</v>
      </c>
      <c r="H451" s="2">
        <v>5364597</v>
      </c>
    </row>
    <row r="452" spans="1:8" x14ac:dyDescent="0.25">
      <c r="A452" t="s">
        <v>99</v>
      </c>
      <c r="B452">
        <v>2003</v>
      </c>
      <c r="C452" t="s">
        <v>4</v>
      </c>
      <c r="D452" t="s">
        <v>27</v>
      </c>
      <c r="E452">
        <v>4</v>
      </c>
      <c r="F452" s="4" t="s">
        <v>16</v>
      </c>
      <c r="G452">
        <v>1603</v>
      </c>
      <c r="H452" s="2">
        <v>5011124</v>
      </c>
    </row>
    <row r="453" spans="1:8" x14ac:dyDescent="0.25">
      <c r="A453" t="s">
        <v>100</v>
      </c>
      <c r="B453">
        <v>2003</v>
      </c>
      <c r="C453" t="s">
        <v>3</v>
      </c>
      <c r="D453" t="s">
        <v>27</v>
      </c>
      <c r="E453">
        <v>4</v>
      </c>
      <c r="F453" s="4" t="s">
        <v>16</v>
      </c>
      <c r="G453">
        <v>2831</v>
      </c>
      <c r="H453" s="2">
        <v>7496056</v>
      </c>
    </row>
    <row r="454" spans="1:8" x14ac:dyDescent="0.25">
      <c r="A454" t="s">
        <v>101</v>
      </c>
      <c r="B454">
        <v>2003</v>
      </c>
      <c r="C454" t="s">
        <v>2</v>
      </c>
      <c r="D454" t="s">
        <v>27</v>
      </c>
      <c r="E454">
        <v>4</v>
      </c>
      <c r="F454" s="4" t="s">
        <v>16</v>
      </c>
      <c r="G454">
        <v>1462</v>
      </c>
      <c r="H454" s="2">
        <v>3666671</v>
      </c>
    </row>
    <row r="455" spans="1:8" x14ac:dyDescent="0.25">
      <c r="A455" t="s">
        <v>102</v>
      </c>
      <c r="B455">
        <v>2003</v>
      </c>
      <c r="C455" t="s">
        <v>1</v>
      </c>
      <c r="D455" t="s">
        <v>27</v>
      </c>
      <c r="E455">
        <v>4</v>
      </c>
      <c r="F455" s="4" t="s">
        <v>16</v>
      </c>
      <c r="G455">
        <v>430</v>
      </c>
      <c r="H455" s="2">
        <v>818433</v>
      </c>
    </row>
    <row r="456" spans="1:8" x14ac:dyDescent="0.25">
      <c r="A456" t="s">
        <v>103</v>
      </c>
      <c r="B456">
        <v>2003</v>
      </c>
      <c r="C456" t="s">
        <v>0</v>
      </c>
      <c r="D456" t="s">
        <v>27</v>
      </c>
      <c r="E456">
        <v>4</v>
      </c>
      <c r="F456" s="4" t="s">
        <v>16</v>
      </c>
      <c r="G456">
        <v>614</v>
      </c>
      <c r="H456" s="2">
        <v>818433</v>
      </c>
    </row>
    <row r="457" spans="1:8" x14ac:dyDescent="0.25">
      <c r="A457" t="s">
        <v>104</v>
      </c>
      <c r="B457">
        <v>2004</v>
      </c>
      <c r="C457" t="s">
        <v>6</v>
      </c>
      <c r="D457" t="s">
        <v>27</v>
      </c>
      <c r="E457">
        <v>4</v>
      </c>
      <c r="F457" s="4" t="s">
        <v>16</v>
      </c>
      <c r="G457">
        <v>695</v>
      </c>
      <c r="H457" s="2">
        <v>2770821</v>
      </c>
    </row>
    <row r="458" spans="1:8" x14ac:dyDescent="0.25">
      <c r="A458" t="s">
        <v>105</v>
      </c>
      <c r="B458">
        <v>2004</v>
      </c>
      <c r="C458" t="s">
        <v>5</v>
      </c>
      <c r="D458" t="s">
        <v>27</v>
      </c>
      <c r="E458">
        <v>4</v>
      </c>
      <c r="F458" s="4" t="s">
        <v>16</v>
      </c>
      <c r="G458">
        <v>664</v>
      </c>
      <c r="H458" s="2">
        <v>5372677</v>
      </c>
    </row>
    <row r="459" spans="1:8" x14ac:dyDescent="0.25">
      <c r="A459" t="s">
        <v>106</v>
      </c>
      <c r="B459">
        <v>2004</v>
      </c>
      <c r="C459" t="s">
        <v>4</v>
      </c>
      <c r="D459" t="s">
        <v>27</v>
      </c>
      <c r="E459">
        <v>4</v>
      </c>
      <c r="F459" s="4" t="s">
        <v>16</v>
      </c>
      <c r="G459">
        <v>1560</v>
      </c>
      <c r="H459" s="2">
        <v>5078223</v>
      </c>
    </row>
    <row r="460" spans="1:8" x14ac:dyDescent="0.25">
      <c r="A460" t="s">
        <v>107</v>
      </c>
      <c r="B460">
        <v>2004</v>
      </c>
      <c r="C460" t="s">
        <v>3</v>
      </c>
      <c r="D460" t="s">
        <v>27</v>
      </c>
      <c r="E460">
        <v>4</v>
      </c>
      <c r="F460" s="4" t="s">
        <v>16</v>
      </c>
      <c r="G460">
        <v>2889</v>
      </c>
      <c r="H460" s="2">
        <v>7631406</v>
      </c>
    </row>
    <row r="461" spans="1:8" x14ac:dyDescent="0.25">
      <c r="A461" t="s">
        <v>108</v>
      </c>
      <c r="B461">
        <v>2004</v>
      </c>
      <c r="C461" t="s">
        <v>2</v>
      </c>
      <c r="D461" t="s">
        <v>27</v>
      </c>
      <c r="E461">
        <v>4</v>
      </c>
      <c r="F461" s="4" t="s">
        <v>16</v>
      </c>
      <c r="G461">
        <v>1503</v>
      </c>
      <c r="H461" s="2">
        <v>3814359</v>
      </c>
    </row>
    <row r="462" spans="1:8" x14ac:dyDescent="0.25">
      <c r="A462" t="s">
        <v>109</v>
      </c>
      <c r="B462">
        <v>2004</v>
      </c>
      <c r="C462" t="s">
        <v>1</v>
      </c>
      <c r="D462" t="s">
        <v>27</v>
      </c>
      <c r="E462">
        <v>4</v>
      </c>
      <c r="F462" s="4" t="s">
        <v>16</v>
      </c>
      <c r="G462">
        <v>440</v>
      </c>
      <c r="H462" s="2">
        <v>841739</v>
      </c>
    </row>
    <row r="463" spans="1:8" x14ac:dyDescent="0.25">
      <c r="A463" t="s">
        <v>110</v>
      </c>
      <c r="B463">
        <v>2004</v>
      </c>
      <c r="C463" t="s">
        <v>0</v>
      </c>
      <c r="D463" t="s">
        <v>27</v>
      </c>
      <c r="E463">
        <v>4</v>
      </c>
      <c r="F463" s="4" t="s">
        <v>16</v>
      </c>
      <c r="G463">
        <v>635</v>
      </c>
      <c r="H463" s="2">
        <v>841739</v>
      </c>
    </row>
    <row r="464" spans="1:8" x14ac:dyDescent="0.25">
      <c r="A464" t="s">
        <v>111</v>
      </c>
      <c r="B464">
        <v>2005</v>
      </c>
      <c r="C464" t="s">
        <v>6</v>
      </c>
      <c r="D464" t="s">
        <v>27</v>
      </c>
      <c r="E464">
        <v>4</v>
      </c>
      <c r="F464" s="4" t="s">
        <v>16</v>
      </c>
      <c r="G464">
        <v>789</v>
      </c>
      <c r="H464" s="2">
        <v>2774961</v>
      </c>
    </row>
    <row r="465" spans="1:8" x14ac:dyDescent="0.25">
      <c r="A465" t="s">
        <v>112</v>
      </c>
      <c r="B465">
        <v>2005</v>
      </c>
      <c r="C465" t="s">
        <v>5</v>
      </c>
      <c r="D465" t="s">
        <v>27</v>
      </c>
      <c r="E465">
        <v>4</v>
      </c>
      <c r="F465" s="4" t="s">
        <v>16</v>
      </c>
      <c r="G465">
        <v>618</v>
      </c>
      <c r="H465" s="2">
        <v>5386812</v>
      </c>
    </row>
    <row r="466" spans="1:8" x14ac:dyDescent="0.25">
      <c r="A466" t="s">
        <v>113</v>
      </c>
      <c r="B466">
        <v>2005</v>
      </c>
      <c r="C466" t="s">
        <v>4</v>
      </c>
      <c r="D466" t="s">
        <v>27</v>
      </c>
      <c r="E466">
        <v>4</v>
      </c>
      <c r="F466" s="4" t="s">
        <v>16</v>
      </c>
      <c r="G466">
        <v>1463</v>
      </c>
      <c r="H466" s="2">
        <v>5134473</v>
      </c>
    </row>
    <row r="467" spans="1:8" x14ac:dyDescent="0.25">
      <c r="A467" t="s">
        <v>114</v>
      </c>
      <c r="B467">
        <v>2005</v>
      </c>
      <c r="C467" t="s">
        <v>3</v>
      </c>
      <c r="D467" t="s">
        <v>27</v>
      </c>
      <c r="E467">
        <v>4</v>
      </c>
      <c r="F467" s="4" t="s">
        <v>16</v>
      </c>
      <c r="G467">
        <v>2920</v>
      </c>
      <c r="H467" s="2">
        <v>7765159</v>
      </c>
    </row>
    <row r="468" spans="1:8" x14ac:dyDescent="0.25">
      <c r="A468" t="s">
        <v>115</v>
      </c>
      <c r="B468">
        <v>2005</v>
      </c>
      <c r="C468" t="s">
        <v>2</v>
      </c>
      <c r="D468" t="s">
        <v>27</v>
      </c>
      <c r="E468">
        <v>4</v>
      </c>
      <c r="F468" s="4" t="s">
        <v>16</v>
      </c>
      <c r="G468">
        <v>1555</v>
      </c>
      <c r="H468" s="2">
        <v>3970997</v>
      </c>
    </row>
    <row r="469" spans="1:8" x14ac:dyDescent="0.25">
      <c r="A469" t="s">
        <v>116</v>
      </c>
      <c r="B469">
        <v>2005</v>
      </c>
      <c r="C469" t="s">
        <v>1</v>
      </c>
      <c r="D469" t="s">
        <v>27</v>
      </c>
      <c r="E469">
        <v>4</v>
      </c>
      <c r="F469" s="4" t="s">
        <v>16</v>
      </c>
      <c r="G469">
        <v>450</v>
      </c>
      <c r="H469" s="2">
        <v>866819</v>
      </c>
    </row>
    <row r="470" spans="1:8" x14ac:dyDescent="0.25">
      <c r="A470" t="s">
        <v>117</v>
      </c>
      <c r="B470">
        <v>2005</v>
      </c>
      <c r="C470" t="s">
        <v>0</v>
      </c>
      <c r="D470" t="s">
        <v>27</v>
      </c>
      <c r="E470">
        <v>4</v>
      </c>
      <c r="F470" s="4" t="s">
        <v>16</v>
      </c>
      <c r="G470">
        <v>676</v>
      </c>
      <c r="H470" s="2">
        <v>866819</v>
      </c>
    </row>
    <row r="471" spans="1:8" x14ac:dyDescent="0.25">
      <c r="A471" t="s">
        <v>118</v>
      </c>
      <c r="B471">
        <v>2006</v>
      </c>
      <c r="C471" t="s">
        <v>6</v>
      </c>
      <c r="D471" t="s">
        <v>27</v>
      </c>
      <c r="E471">
        <v>4</v>
      </c>
      <c r="F471" s="4" t="s">
        <v>16</v>
      </c>
      <c r="G471">
        <v>705</v>
      </c>
      <c r="H471" s="2">
        <v>2777568</v>
      </c>
    </row>
    <row r="472" spans="1:8" x14ac:dyDescent="0.25">
      <c r="A472" t="s">
        <v>119</v>
      </c>
      <c r="B472">
        <v>2006</v>
      </c>
      <c r="C472" t="s">
        <v>5</v>
      </c>
      <c r="D472" t="s">
        <v>27</v>
      </c>
      <c r="E472">
        <v>4</v>
      </c>
      <c r="F472" s="4" t="s">
        <v>16</v>
      </c>
      <c r="G472">
        <v>617</v>
      </c>
      <c r="H472" s="2">
        <v>5407717</v>
      </c>
    </row>
    <row r="473" spans="1:8" x14ac:dyDescent="0.25">
      <c r="A473" t="s">
        <v>120</v>
      </c>
      <c r="B473">
        <v>2006</v>
      </c>
      <c r="C473" t="s">
        <v>4</v>
      </c>
      <c r="D473" t="s">
        <v>27</v>
      </c>
      <c r="E473">
        <v>4</v>
      </c>
      <c r="F473" s="4" t="s">
        <v>16</v>
      </c>
      <c r="G473">
        <v>1789</v>
      </c>
      <c r="H473" s="2">
        <v>5178861</v>
      </c>
    </row>
    <row r="474" spans="1:8" x14ac:dyDescent="0.25">
      <c r="A474" t="s">
        <v>121</v>
      </c>
      <c r="B474">
        <v>2006</v>
      </c>
      <c r="C474" t="s">
        <v>3</v>
      </c>
      <c r="D474" t="s">
        <v>27</v>
      </c>
      <c r="E474">
        <v>4</v>
      </c>
      <c r="F474" s="4" t="s">
        <v>16</v>
      </c>
      <c r="G474">
        <v>3178</v>
      </c>
      <c r="H474" s="2">
        <v>7897108</v>
      </c>
    </row>
    <row r="475" spans="1:8" x14ac:dyDescent="0.25">
      <c r="A475" t="s">
        <v>122</v>
      </c>
      <c r="B475">
        <v>2006</v>
      </c>
      <c r="C475" t="s">
        <v>2</v>
      </c>
      <c r="D475" t="s">
        <v>27</v>
      </c>
      <c r="E475">
        <v>4</v>
      </c>
      <c r="F475" s="4" t="s">
        <v>16</v>
      </c>
      <c r="G475">
        <v>1822</v>
      </c>
      <c r="H475" s="2">
        <v>4136588</v>
      </c>
    </row>
    <row r="476" spans="1:8" x14ac:dyDescent="0.25">
      <c r="A476" t="s">
        <v>123</v>
      </c>
      <c r="B476">
        <v>2006</v>
      </c>
      <c r="C476" t="s">
        <v>1</v>
      </c>
      <c r="D476" t="s">
        <v>27</v>
      </c>
      <c r="E476">
        <v>4</v>
      </c>
      <c r="F476" s="4" t="s">
        <v>16</v>
      </c>
      <c r="G476">
        <v>541</v>
      </c>
      <c r="H476" s="2">
        <v>893794</v>
      </c>
    </row>
    <row r="477" spans="1:8" x14ac:dyDescent="0.25">
      <c r="A477" t="s">
        <v>124</v>
      </c>
      <c r="B477">
        <v>2006</v>
      </c>
      <c r="C477" t="s">
        <v>0</v>
      </c>
      <c r="D477" t="s">
        <v>27</v>
      </c>
      <c r="E477">
        <v>4</v>
      </c>
      <c r="F477" s="4" t="s">
        <v>16</v>
      </c>
      <c r="G477">
        <v>701</v>
      </c>
      <c r="H477" s="2">
        <v>893794</v>
      </c>
    </row>
    <row r="478" spans="1:8" x14ac:dyDescent="0.25">
      <c r="A478" t="s">
        <v>125</v>
      </c>
      <c r="B478">
        <v>2007</v>
      </c>
      <c r="C478" t="s">
        <v>6</v>
      </c>
      <c r="D478" t="s">
        <v>27</v>
      </c>
      <c r="E478">
        <v>4</v>
      </c>
      <c r="F478" s="4" t="s">
        <v>16</v>
      </c>
      <c r="G478">
        <v>728</v>
      </c>
      <c r="H478" s="2">
        <v>2778731</v>
      </c>
    </row>
    <row r="479" spans="1:8" x14ac:dyDescent="0.25">
      <c r="A479" t="s">
        <v>126</v>
      </c>
      <c r="B479">
        <v>2007</v>
      </c>
      <c r="C479" t="s">
        <v>5</v>
      </c>
      <c r="D479" t="s">
        <v>27</v>
      </c>
      <c r="E479">
        <v>4</v>
      </c>
      <c r="F479" s="4" t="s">
        <v>16</v>
      </c>
      <c r="G479">
        <v>614</v>
      </c>
      <c r="H479" s="2">
        <v>5427910</v>
      </c>
    </row>
    <row r="480" spans="1:8" x14ac:dyDescent="0.25">
      <c r="A480" t="s">
        <v>127</v>
      </c>
      <c r="B480">
        <v>2007</v>
      </c>
      <c r="C480" t="s">
        <v>4</v>
      </c>
      <c r="D480" t="s">
        <v>27</v>
      </c>
      <c r="E480">
        <v>4</v>
      </c>
      <c r="F480" s="4" t="s">
        <v>16</v>
      </c>
      <c r="G480">
        <v>2220</v>
      </c>
      <c r="H480" s="2">
        <v>5216537</v>
      </c>
    </row>
    <row r="481" spans="1:8" x14ac:dyDescent="0.25">
      <c r="A481" t="s">
        <v>128</v>
      </c>
      <c r="B481">
        <v>2007</v>
      </c>
      <c r="C481" t="s">
        <v>3</v>
      </c>
      <c r="D481" t="s">
        <v>27</v>
      </c>
      <c r="E481">
        <v>4</v>
      </c>
      <c r="F481" s="4" t="s">
        <v>16</v>
      </c>
      <c r="G481">
        <v>3779</v>
      </c>
      <c r="H481" s="2">
        <v>8032843</v>
      </c>
    </row>
    <row r="482" spans="1:8" x14ac:dyDescent="0.25">
      <c r="A482" t="s">
        <v>129</v>
      </c>
      <c r="B482">
        <v>2007</v>
      </c>
      <c r="C482" t="s">
        <v>2</v>
      </c>
      <c r="D482" t="s">
        <v>27</v>
      </c>
      <c r="E482">
        <v>4</v>
      </c>
      <c r="F482" s="4" t="s">
        <v>16</v>
      </c>
      <c r="G482">
        <v>1954</v>
      </c>
      <c r="H482" s="2">
        <v>4307510</v>
      </c>
    </row>
    <row r="483" spans="1:8" x14ac:dyDescent="0.25">
      <c r="A483" t="s">
        <v>130</v>
      </c>
      <c r="B483">
        <v>2007</v>
      </c>
      <c r="C483" t="s">
        <v>1</v>
      </c>
      <c r="D483" t="s">
        <v>27</v>
      </c>
      <c r="E483">
        <v>4</v>
      </c>
      <c r="F483" s="4" t="s">
        <v>16</v>
      </c>
      <c r="G483">
        <v>470</v>
      </c>
      <c r="H483" s="2">
        <v>922773</v>
      </c>
    </row>
    <row r="484" spans="1:8" x14ac:dyDescent="0.25">
      <c r="A484" t="s">
        <v>131</v>
      </c>
      <c r="B484">
        <v>2007</v>
      </c>
      <c r="C484" t="s">
        <v>0</v>
      </c>
      <c r="D484" t="s">
        <v>27</v>
      </c>
      <c r="E484">
        <v>4</v>
      </c>
      <c r="F484" s="4" t="s">
        <v>16</v>
      </c>
      <c r="G484">
        <v>700</v>
      </c>
      <c r="H484" s="2">
        <v>922773</v>
      </c>
    </row>
    <row r="485" spans="1:8" x14ac:dyDescent="0.25">
      <c r="A485" t="s">
        <v>132</v>
      </c>
      <c r="B485">
        <v>2008</v>
      </c>
      <c r="C485" t="s">
        <v>6</v>
      </c>
      <c r="D485" t="s">
        <v>27</v>
      </c>
      <c r="E485">
        <v>4</v>
      </c>
      <c r="F485" s="4" t="s">
        <v>16</v>
      </c>
      <c r="G485">
        <v>712</v>
      </c>
      <c r="H485" s="2">
        <v>2778239</v>
      </c>
    </row>
    <row r="486" spans="1:8" x14ac:dyDescent="0.25">
      <c r="A486" t="s">
        <v>133</v>
      </c>
      <c r="B486">
        <v>2008</v>
      </c>
      <c r="C486" t="s">
        <v>5</v>
      </c>
      <c r="D486" t="s">
        <v>27</v>
      </c>
      <c r="E486">
        <v>4</v>
      </c>
      <c r="F486" s="4" t="s">
        <v>16</v>
      </c>
      <c r="G486">
        <v>584</v>
      </c>
      <c r="H486" s="2">
        <v>5448390</v>
      </c>
    </row>
    <row r="487" spans="1:8" x14ac:dyDescent="0.25">
      <c r="A487" t="s">
        <v>134</v>
      </c>
      <c r="B487">
        <v>2008</v>
      </c>
      <c r="C487" t="s">
        <v>4</v>
      </c>
      <c r="D487" t="s">
        <v>27</v>
      </c>
      <c r="E487">
        <v>4</v>
      </c>
      <c r="F487" s="4" t="s">
        <v>16</v>
      </c>
      <c r="G487">
        <v>2495</v>
      </c>
      <c r="H487" s="2">
        <v>5246997</v>
      </c>
    </row>
    <row r="488" spans="1:8" x14ac:dyDescent="0.25">
      <c r="A488" t="s">
        <v>135</v>
      </c>
      <c r="B488">
        <v>2008</v>
      </c>
      <c r="C488" t="s">
        <v>3</v>
      </c>
      <c r="D488" t="s">
        <v>27</v>
      </c>
      <c r="E488">
        <v>4</v>
      </c>
      <c r="F488" s="4" t="s">
        <v>16</v>
      </c>
      <c r="G488">
        <v>3838</v>
      </c>
      <c r="H488" s="2">
        <v>8172306</v>
      </c>
    </row>
    <row r="489" spans="1:8" x14ac:dyDescent="0.25">
      <c r="A489" t="s">
        <v>136</v>
      </c>
      <c r="B489">
        <v>2008</v>
      </c>
      <c r="C489" t="s">
        <v>2</v>
      </c>
      <c r="D489" t="s">
        <v>27</v>
      </c>
      <c r="E489">
        <v>4</v>
      </c>
      <c r="F489" s="4" t="s">
        <v>16</v>
      </c>
      <c r="G489">
        <v>1996</v>
      </c>
      <c r="H489" s="2">
        <v>4483302</v>
      </c>
    </row>
    <row r="490" spans="1:8" x14ac:dyDescent="0.25">
      <c r="A490" t="s">
        <v>137</v>
      </c>
      <c r="B490">
        <v>2008</v>
      </c>
      <c r="C490" t="s">
        <v>1</v>
      </c>
      <c r="D490" t="s">
        <v>27</v>
      </c>
      <c r="E490">
        <v>4</v>
      </c>
      <c r="F490" s="4" t="s">
        <v>16</v>
      </c>
      <c r="G490">
        <v>516</v>
      </c>
      <c r="H490" s="2">
        <v>953869</v>
      </c>
    </row>
    <row r="491" spans="1:8" x14ac:dyDescent="0.25">
      <c r="A491" t="s">
        <v>138</v>
      </c>
      <c r="B491">
        <v>2008</v>
      </c>
      <c r="C491" t="s">
        <v>0</v>
      </c>
      <c r="D491" t="s">
        <v>27</v>
      </c>
      <c r="E491">
        <v>4</v>
      </c>
      <c r="F491" s="4" t="s">
        <v>16</v>
      </c>
      <c r="G491">
        <v>744</v>
      </c>
      <c r="H491" s="2">
        <v>953869</v>
      </c>
    </row>
    <row r="492" spans="1:8" x14ac:dyDescent="0.25">
      <c r="A492" t="s">
        <v>139</v>
      </c>
      <c r="B492">
        <v>2009</v>
      </c>
      <c r="C492" t="s">
        <v>6</v>
      </c>
      <c r="D492" t="s">
        <v>27</v>
      </c>
      <c r="E492">
        <v>4</v>
      </c>
      <c r="F492" s="4" t="s">
        <v>16</v>
      </c>
      <c r="G492">
        <v>739</v>
      </c>
      <c r="H492" s="2">
        <v>2775920</v>
      </c>
    </row>
    <row r="493" spans="1:8" x14ac:dyDescent="0.25">
      <c r="A493" t="s">
        <v>140</v>
      </c>
      <c r="B493">
        <v>2009</v>
      </c>
      <c r="C493" t="s">
        <v>5</v>
      </c>
      <c r="D493" t="s">
        <v>27</v>
      </c>
      <c r="E493">
        <v>4</v>
      </c>
      <c r="F493" s="4" t="s">
        <v>16</v>
      </c>
      <c r="G493">
        <v>527</v>
      </c>
      <c r="H493" s="2">
        <v>5469822</v>
      </c>
    </row>
    <row r="494" spans="1:8" x14ac:dyDescent="0.25">
      <c r="A494" t="s">
        <v>141</v>
      </c>
      <c r="B494">
        <v>2009</v>
      </c>
      <c r="C494" t="s">
        <v>4</v>
      </c>
      <c r="D494" t="s">
        <v>27</v>
      </c>
      <c r="E494">
        <v>4</v>
      </c>
      <c r="F494" s="4" t="s">
        <v>16</v>
      </c>
      <c r="G494">
        <v>2186</v>
      </c>
      <c r="H494" s="2">
        <v>5270463</v>
      </c>
    </row>
    <row r="495" spans="1:8" x14ac:dyDescent="0.25">
      <c r="A495" t="s">
        <v>142</v>
      </c>
      <c r="B495">
        <v>2009</v>
      </c>
      <c r="C495" t="s">
        <v>3</v>
      </c>
      <c r="D495" t="s">
        <v>27</v>
      </c>
      <c r="E495">
        <v>4</v>
      </c>
      <c r="F495" s="4" t="s">
        <v>16</v>
      </c>
      <c r="G495">
        <v>3683</v>
      </c>
      <c r="H495" s="2">
        <v>8314639</v>
      </c>
    </row>
    <row r="496" spans="1:8" x14ac:dyDescent="0.25">
      <c r="A496" t="s">
        <v>143</v>
      </c>
      <c r="B496">
        <v>2009</v>
      </c>
      <c r="C496" t="s">
        <v>2</v>
      </c>
      <c r="D496" t="s">
        <v>27</v>
      </c>
      <c r="E496">
        <v>4</v>
      </c>
      <c r="F496" s="4" t="s">
        <v>16</v>
      </c>
      <c r="G496">
        <v>1935</v>
      </c>
      <c r="H496" s="2">
        <v>4663733</v>
      </c>
    </row>
    <row r="497" spans="1:8" x14ac:dyDescent="0.25">
      <c r="A497" t="s">
        <v>144</v>
      </c>
      <c r="B497">
        <v>2009</v>
      </c>
      <c r="C497" t="s">
        <v>1</v>
      </c>
      <c r="D497" t="s">
        <v>27</v>
      </c>
      <c r="E497">
        <v>4</v>
      </c>
      <c r="F497" s="4" t="s">
        <v>16</v>
      </c>
      <c r="G497">
        <v>450</v>
      </c>
      <c r="H497" s="2">
        <v>987212</v>
      </c>
    </row>
    <row r="498" spans="1:8" x14ac:dyDescent="0.25">
      <c r="A498" t="s">
        <v>145</v>
      </c>
      <c r="B498">
        <v>2009</v>
      </c>
      <c r="C498" t="s">
        <v>0</v>
      </c>
      <c r="D498" t="s">
        <v>27</v>
      </c>
      <c r="E498">
        <v>4</v>
      </c>
      <c r="F498" s="4" t="s">
        <v>16</v>
      </c>
      <c r="G498">
        <v>626</v>
      </c>
      <c r="H498" s="2">
        <v>987212</v>
      </c>
    </row>
    <row r="499" spans="1:8" x14ac:dyDescent="0.25">
      <c r="A499" t="s">
        <v>146</v>
      </c>
      <c r="B499">
        <v>2010</v>
      </c>
      <c r="C499" t="s">
        <v>6</v>
      </c>
      <c r="D499" t="s">
        <v>27</v>
      </c>
      <c r="E499">
        <v>4</v>
      </c>
      <c r="F499" s="4" t="s">
        <v>16</v>
      </c>
      <c r="G499">
        <v>706</v>
      </c>
      <c r="H499" s="2">
        <v>2771760</v>
      </c>
    </row>
    <row r="500" spans="1:8" x14ac:dyDescent="0.25">
      <c r="A500" t="s">
        <v>147</v>
      </c>
      <c r="B500">
        <v>2010</v>
      </c>
      <c r="C500" t="s">
        <v>5</v>
      </c>
      <c r="D500" t="s">
        <v>27</v>
      </c>
      <c r="E500">
        <v>4</v>
      </c>
      <c r="F500" s="4" t="s">
        <v>16</v>
      </c>
      <c r="G500">
        <v>475</v>
      </c>
      <c r="H500" s="2">
        <v>5492408</v>
      </c>
    </row>
    <row r="501" spans="1:8" x14ac:dyDescent="0.25">
      <c r="A501" t="s">
        <v>148</v>
      </c>
      <c r="B501">
        <v>2010</v>
      </c>
      <c r="C501" t="s">
        <v>4</v>
      </c>
      <c r="D501" t="s">
        <v>27</v>
      </c>
      <c r="E501">
        <v>4</v>
      </c>
      <c r="F501" s="4" t="s">
        <v>16</v>
      </c>
      <c r="G501">
        <v>1886</v>
      </c>
      <c r="H501" s="2">
        <v>5286720</v>
      </c>
    </row>
    <row r="502" spans="1:8" x14ac:dyDescent="0.25">
      <c r="A502" t="s">
        <v>149</v>
      </c>
      <c r="B502">
        <v>2010</v>
      </c>
      <c r="C502" t="s">
        <v>3</v>
      </c>
      <c r="D502" t="s">
        <v>27</v>
      </c>
      <c r="E502">
        <v>4</v>
      </c>
      <c r="F502" s="4" t="s">
        <v>16</v>
      </c>
      <c r="G502">
        <v>3286</v>
      </c>
      <c r="H502" s="2">
        <v>8458444</v>
      </c>
    </row>
    <row r="503" spans="1:8" x14ac:dyDescent="0.25">
      <c r="A503" t="s">
        <v>150</v>
      </c>
      <c r="B503">
        <v>2010</v>
      </c>
      <c r="C503" t="s">
        <v>2</v>
      </c>
      <c r="D503" t="s">
        <v>27</v>
      </c>
      <c r="E503">
        <v>4</v>
      </c>
      <c r="F503" s="4" t="s">
        <v>16</v>
      </c>
      <c r="G503">
        <v>1725</v>
      </c>
      <c r="H503" s="2">
        <v>4849717</v>
      </c>
    </row>
    <row r="504" spans="1:8" x14ac:dyDescent="0.25">
      <c r="A504" t="s">
        <v>151</v>
      </c>
      <c r="B504">
        <v>2010</v>
      </c>
      <c r="C504" t="s">
        <v>1</v>
      </c>
      <c r="D504" t="s">
        <v>27</v>
      </c>
      <c r="E504">
        <v>4</v>
      </c>
      <c r="F504" s="4" t="s">
        <v>16</v>
      </c>
      <c r="G504">
        <v>429</v>
      </c>
      <c r="H504" s="2">
        <v>1022974</v>
      </c>
    </row>
    <row r="505" spans="1:8" x14ac:dyDescent="0.25">
      <c r="A505" t="s">
        <v>152</v>
      </c>
      <c r="B505">
        <v>2010</v>
      </c>
      <c r="C505" t="s">
        <v>0</v>
      </c>
      <c r="D505" t="s">
        <v>27</v>
      </c>
      <c r="E505">
        <v>4</v>
      </c>
      <c r="F505" s="4" t="s">
        <v>16</v>
      </c>
      <c r="G505">
        <v>648</v>
      </c>
      <c r="H505" s="2">
        <v>1022974</v>
      </c>
    </row>
    <row r="506" spans="1:8" x14ac:dyDescent="0.25">
      <c r="A506" t="s">
        <v>153</v>
      </c>
      <c r="B506">
        <v>2011</v>
      </c>
      <c r="C506" t="s">
        <v>6</v>
      </c>
      <c r="D506" t="s">
        <v>27</v>
      </c>
      <c r="E506">
        <v>4</v>
      </c>
      <c r="F506" s="4" t="s">
        <v>16</v>
      </c>
      <c r="G506">
        <v>686</v>
      </c>
      <c r="H506" s="2">
        <v>2765898</v>
      </c>
    </row>
    <row r="507" spans="1:8" x14ac:dyDescent="0.25">
      <c r="A507" t="s">
        <v>154</v>
      </c>
      <c r="B507">
        <v>2011</v>
      </c>
      <c r="C507" t="s">
        <v>5</v>
      </c>
      <c r="D507" t="s">
        <v>27</v>
      </c>
      <c r="E507">
        <v>4</v>
      </c>
      <c r="F507" s="4" t="s">
        <v>16</v>
      </c>
      <c r="G507">
        <v>451</v>
      </c>
      <c r="H507" s="2">
        <v>5516288</v>
      </c>
    </row>
    <row r="508" spans="1:8" x14ac:dyDescent="0.25">
      <c r="A508" t="s">
        <v>155</v>
      </c>
      <c r="B508">
        <v>2011</v>
      </c>
      <c r="C508" t="s">
        <v>4</v>
      </c>
      <c r="D508" t="s">
        <v>27</v>
      </c>
      <c r="E508">
        <v>4</v>
      </c>
      <c r="F508" s="4" t="s">
        <v>16</v>
      </c>
      <c r="G508">
        <v>1831</v>
      </c>
      <c r="H508" s="2">
        <v>5296319</v>
      </c>
    </row>
    <row r="509" spans="1:8" x14ac:dyDescent="0.25">
      <c r="A509" t="s">
        <v>156</v>
      </c>
      <c r="B509">
        <v>2011</v>
      </c>
      <c r="C509" t="s">
        <v>3</v>
      </c>
      <c r="D509" t="s">
        <v>27</v>
      </c>
      <c r="E509">
        <v>4</v>
      </c>
      <c r="F509" s="4" t="s">
        <v>16</v>
      </c>
      <c r="G509">
        <v>3127</v>
      </c>
      <c r="H509" s="2">
        <v>8602515</v>
      </c>
    </row>
    <row r="510" spans="1:8" x14ac:dyDescent="0.25">
      <c r="A510" t="s">
        <v>157</v>
      </c>
      <c r="B510">
        <v>2011</v>
      </c>
      <c r="C510" t="s">
        <v>2</v>
      </c>
      <c r="D510" t="s">
        <v>27</v>
      </c>
      <c r="E510">
        <v>4</v>
      </c>
      <c r="F510" s="4" t="s">
        <v>16</v>
      </c>
      <c r="G510">
        <v>1704</v>
      </c>
      <c r="H510" s="2">
        <v>5041154</v>
      </c>
    </row>
    <row r="511" spans="1:8" x14ac:dyDescent="0.25">
      <c r="A511" t="s">
        <v>158</v>
      </c>
      <c r="B511">
        <v>2011</v>
      </c>
      <c r="C511" t="s">
        <v>1</v>
      </c>
      <c r="D511" t="s">
        <v>27</v>
      </c>
      <c r="E511">
        <v>4</v>
      </c>
      <c r="F511" s="4" t="s">
        <v>16</v>
      </c>
      <c r="G511">
        <v>476</v>
      </c>
      <c r="H511" s="2">
        <v>1061340</v>
      </c>
    </row>
    <row r="512" spans="1:8" x14ac:dyDescent="0.25">
      <c r="A512" t="s">
        <v>159</v>
      </c>
      <c r="B512">
        <v>2011</v>
      </c>
      <c r="C512" t="s">
        <v>0</v>
      </c>
      <c r="D512" t="s">
        <v>27</v>
      </c>
      <c r="E512">
        <v>4</v>
      </c>
      <c r="F512" s="4" t="s">
        <v>16</v>
      </c>
      <c r="G512">
        <v>695</v>
      </c>
      <c r="H512" s="2">
        <v>1061340</v>
      </c>
    </row>
    <row r="513" spans="1:8" x14ac:dyDescent="0.25">
      <c r="A513" t="s">
        <v>160</v>
      </c>
      <c r="B513">
        <v>2012</v>
      </c>
      <c r="C513" t="s">
        <v>6</v>
      </c>
      <c r="D513" t="s">
        <v>27</v>
      </c>
      <c r="E513">
        <v>4</v>
      </c>
      <c r="F513" s="4" t="s">
        <v>16</v>
      </c>
      <c r="G513">
        <v>664</v>
      </c>
      <c r="H513" s="2">
        <v>2759356.4495101599</v>
      </c>
    </row>
    <row r="514" spans="1:8" x14ac:dyDescent="0.25">
      <c r="A514" t="s">
        <v>161</v>
      </c>
      <c r="B514">
        <v>2012</v>
      </c>
      <c r="C514" t="s">
        <v>5</v>
      </c>
      <c r="D514" t="s">
        <v>27</v>
      </c>
      <c r="E514">
        <v>4</v>
      </c>
      <c r="F514" s="4" t="s">
        <v>16</v>
      </c>
      <c r="G514">
        <v>426</v>
      </c>
      <c r="H514" s="2">
        <v>5537428.7927720398</v>
      </c>
    </row>
    <row r="515" spans="1:8" x14ac:dyDescent="0.25">
      <c r="A515" t="s">
        <v>162</v>
      </c>
      <c r="B515">
        <v>2012</v>
      </c>
      <c r="C515" t="s">
        <v>4</v>
      </c>
      <c r="D515" t="s">
        <v>27</v>
      </c>
      <c r="E515">
        <v>4</v>
      </c>
      <c r="F515" s="4" t="s">
        <v>16</v>
      </c>
      <c r="G515">
        <v>2378</v>
      </c>
      <c r="H515" s="2">
        <v>5307779.7280284902</v>
      </c>
    </row>
    <row r="516" spans="1:8" x14ac:dyDescent="0.25">
      <c r="A516" t="s">
        <v>163</v>
      </c>
      <c r="B516">
        <v>2012</v>
      </c>
      <c r="C516" t="s">
        <v>3</v>
      </c>
      <c r="D516" t="s">
        <v>27</v>
      </c>
      <c r="E516">
        <v>4</v>
      </c>
      <c r="F516" s="4" t="s">
        <v>16</v>
      </c>
      <c r="G516">
        <v>3465</v>
      </c>
      <c r="H516" s="2">
        <v>8748082.6996606905</v>
      </c>
    </row>
    <row r="517" spans="1:8" x14ac:dyDescent="0.25">
      <c r="A517" t="s">
        <v>164</v>
      </c>
      <c r="B517">
        <v>2012</v>
      </c>
      <c r="C517" t="s">
        <v>2</v>
      </c>
      <c r="D517" t="s">
        <v>27</v>
      </c>
      <c r="E517">
        <v>4</v>
      </c>
      <c r="F517" s="4" t="s">
        <v>16</v>
      </c>
      <c r="G517">
        <v>1823</v>
      </c>
      <c r="H517" s="2">
        <v>5230482.0778962998</v>
      </c>
    </row>
    <row r="518" spans="1:8" x14ac:dyDescent="0.25">
      <c r="A518" t="s">
        <v>165</v>
      </c>
      <c r="B518">
        <v>2012</v>
      </c>
      <c r="C518" t="s">
        <v>1</v>
      </c>
      <c r="D518" t="s">
        <v>27</v>
      </c>
      <c r="E518">
        <v>4</v>
      </c>
      <c r="F518" s="4" t="s">
        <v>16</v>
      </c>
      <c r="G518">
        <v>421</v>
      </c>
      <c r="H518" s="2">
        <v>1102796.7939262099</v>
      </c>
    </row>
    <row r="519" spans="1:8" x14ac:dyDescent="0.25">
      <c r="A519" t="s">
        <v>166</v>
      </c>
      <c r="B519">
        <v>2012</v>
      </c>
      <c r="C519" t="s">
        <v>0</v>
      </c>
      <c r="D519" t="s">
        <v>27</v>
      </c>
      <c r="E519">
        <v>4</v>
      </c>
      <c r="F519" s="4" t="s">
        <v>16</v>
      </c>
      <c r="G519">
        <v>684</v>
      </c>
      <c r="H519" s="2">
        <v>1102796.7939262099</v>
      </c>
    </row>
    <row r="520" spans="1:8" x14ac:dyDescent="0.25">
      <c r="A520" t="s">
        <v>167</v>
      </c>
      <c r="B520">
        <v>2013</v>
      </c>
      <c r="C520" t="s">
        <v>6</v>
      </c>
      <c r="D520" t="s">
        <v>27</v>
      </c>
      <c r="E520">
        <v>4</v>
      </c>
      <c r="F520" s="4" t="s">
        <v>16</v>
      </c>
      <c r="G520">
        <v>628</v>
      </c>
      <c r="H520" s="2">
        <v>2752322.19750119</v>
      </c>
    </row>
    <row r="521" spans="1:8" x14ac:dyDescent="0.25">
      <c r="A521" t="s">
        <v>168</v>
      </c>
      <c r="B521">
        <v>2013</v>
      </c>
      <c r="C521" t="s">
        <v>5</v>
      </c>
      <c r="D521" t="s">
        <v>27</v>
      </c>
      <c r="E521">
        <v>4</v>
      </c>
      <c r="F521" s="4" t="s">
        <v>16</v>
      </c>
      <c r="G521">
        <v>434</v>
      </c>
      <c r="H521" s="2">
        <v>5554323.1251711203</v>
      </c>
    </row>
    <row r="522" spans="1:8" x14ac:dyDescent="0.25">
      <c r="A522" t="s">
        <v>169</v>
      </c>
      <c r="B522">
        <v>2013</v>
      </c>
      <c r="C522" t="s">
        <v>4</v>
      </c>
      <c r="D522" t="s">
        <v>27</v>
      </c>
      <c r="E522">
        <v>4</v>
      </c>
      <c r="F522" s="4" t="s">
        <v>16</v>
      </c>
      <c r="G522">
        <v>2384</v>
      </c>
      <c r="H522" s="2">
        <v>5323364.8480997998</v>
      </c>
    </row>
    <row r="523" spans="1:8" x14ac:dyDescent="0.25">
      <c r="A523" t="s">
        <v>170</v>
      </c>
      <c r="B523">
        <v>2013</v>
      </c>
      <c r="C523" t="s">
        <v>3</v>
      </c>
      <c r="D523" t="s">
        <v>27</v>
      </c>
      <c r="E523">
        <v>4</v>
      </c>
      <c r="F523" s="4" t="s">
        <v>16</v>
      </c>
      <c r="G523">
        <v>3439</v>
      </c>
      <c r="H523" s="2">
        <v>8893718.1904660594</v>
      </c>
    </row>
    <row r="524" spans="1:8" x14ac:dyDescent="0.25">
      <c r="A524" t="s">
        <v>171</v>
      </c>
      <c r="B524">
        <v>2013</v>
      </c>
      <c r="C524" t="s">
        <v>2</v>
      </c>
      <c r="D524" t="s">
        <v>27</v>
      </c>
      <c r="E524">
        <v>4</v>
      </c>
      <c r="F524" s="4" t="s">
        <v>16</v>
      </c>
      <c r="G524">
        <v>1721</v>
      </c>
      <c r="H524" s="2">
        <v>5415783.9591287402</v>
      </c>
    </row>
    <row r="525" spans="1:8" x14ac:dyDescent="0.25">
      <c r="A525" t="s">
        <v>172</v>
      </c>
      <c r="B525">
        <v>2013</v>
      </c>
      <c r="C525" t="s">
        <v>1</v>
      </c>
      <c r="D525" t="s">
        <v>27</v>
      </c>
      <c r="E525">
        <v>4</v>
      </c>
      <c r="F525" s="4" t="s">
        <v>16</v>
      </c>
      <c r="G525">
        <v>450</v>
      </c>
      <c r="H525" s="2">
        <v>1147296.6505007599</v>
      </c>
    </row>
    <row r="526" spans="1:8" x14ac:dyDescent="0.25">
      <c r="A526" t="s">
        <v>173</v>
      </c>
      <c r="B526">
        <v>2013</v>
      </c>
      <c r="C526" t="s">
        <v>0</v>
      </c>
      <c r="D526" t="s">
        <v>27</v>
      </c>
      <c r="E526">
        <v>4</v>
      </c>
      <c r="F526" s="4" t="s">
        <v>16</v>
      </c>
      <c r="G526">
        <v>664</v>
      </c>
      <c r="H526" s="2">
        <v>1147296.6505007599</v>
      </c>
    </row>
    <row r="527" spans="1:8" x14ac:dyDescent="0.25">
      <c r="A527" t="s">
        <v>174</v>
      </c>
      <c r="B527">
        <v>2014</v>
      </c>
      <c r="C527" t="s">
        <v>6</v>
      </c>
      <c r="D527" t="s">
        <v>27</v>
      </c>
      <c r="E527">
        <v>4</v>
      </c>
      <c r="F527" s="4" t="s">
        <v>16</v>
      </c>
      <c r="G527">
        <v>635</v>
      </c>
      <c r="H527" s="2">
        <v>2744697</v>
      </c>
    </row>
    <row r="528" spans="1:8" x14ac:dyDescent="0.25">
      <c r="A528" t="s">
        <v>175</v>
      </c>
      <c r="B528">
        <v>2014</v>
      </c>
      <c r="C528" t="s">
        <v>5</v>
      </c>
      <c r="D528" t="s">
        <v>27</v>
      </c>
      <c r="E528">
        <v>4</v>
      </c>
      <c r="F528" s="4" t="s">
        <v>16</v>
      </c>
      <c r="G528">
        <v>376</v>
      </c>
      <c r="H528" s="2">
        <v>5566437</v>
      </c>
    </row>
    <row r="529" spans="1:8" x14ac:dyDescent="0.25">
      <c r="A529" t="s">
        <v>176</v>
      </c>
      <c r="B529">
        <v>2014</v>
      </c>
      <c r="C529" t="s">
        <v>4</v>
      </c>
      <c r="D529" t="s">
        <v>27</v>
      </c>
      <c r="E529">
        <v>4</v>
      </c>
      <c r="F529" s="4" t="s">
        <v>16</v>
      </c>
      <c r="G529">
        <v>2077</v>
      </c>
      <c r="H529" s="2">
        <v>5343109</v>
      </c>
    </row>
    <row r="530" spans="1:8" x14ac:dyDescent="0.25">
      <c r="A530" t="s">
        <v>177</v>
      </c>
      <c r="B530">
        <v>2014</v>
      </c>
      <c r="C530" t="s">
        <v>3</v>
      </c>
      <c r="D530" t="s">
        <v>27</v>
      </c>
      <c r="E530">
        <v>4</v>
      </c>
      <c r="F530" s="4" t="s">
        <v>16</v>
      </c>
      <c r="G530">
        <v>3243</v>
      </c>
      <c r="H530" s="2">
        <v>9037113</v>
      </c>
    </row>
    <row r="531" spans="1:8" x14ac:dyDescent="0.25">
      <c r="A531" t="s">
        <v>178</v>
      </c>
      <c r="B531">
        <v>2014</v>
      </c>
      <c r="C531" t="s">
        <v>2</v>
      </c>
      <c r="D531" t="s">
        <v>27</v>
      </c>
      <c r="E531">
        <v>4</v>
      </c>
      <c r="F531" s="4" t="s">
        <v>16</v>
      </c>
      <c r="G531">
        <v>1803</v>
      </c>
      <c r="H531" s="2">
        <v>5597164</v>
      </c>
    </row>
    <row r="532" spans="1:8" x14ac:dyDescent="0.25">
      <c r="A532" t="s">
        <v>179</v>
      </c>
      <c r="B532">
        <v>2014</v>
      </c>
      <c r="C532" t="s">
        <v>1</v>
      </c>
      <c r="D532" t="s">
        <v>27</v>
      </c>
      <c r="E532">
        <v>4</v>
      </c>
      <c r="F532" s="4" t="s">
        <v>16</v>
      </c>
      <c r="G532">
        <v>436</v>
      </c>
      <c r="H532" s="2">
        <v>1194627</v>
      </c>
    </row>
    <row r="533" spans="1:8" x14ac:dyDescent="0.25">
      <c r="A533" t="s">
        <v>180</v>
      </c>
      <c r="B533">
        <v>2014</v>
      </c>
      <c r="C533" t="s">
        <v>0</v>
      </c>
      <c r="D533" t="s">
        <v>27</v>
      </c>
      <c r="E533">
        <v>4</v>
      </c>
      <c r="F533" s="4" t="s">
        <v>16</v>
      </c>
      <c r="G533">
        <v>639</v>
      </c>
      <c r="H533" s="2">
        <v>1194627</v>
      </c>
    </row>
    <row r="534" spans="1:8" x14ac:dyDescent="0.25">
      <c r="A534" t="s">
        <v>48</v>
      </c>
      <c r="B534">
        <v>1996</v>
      </c>
      <c r="C534" t="s">
        <v>6</v>
      </c>
      <c r="D534" t="s">
        <v>27</v>
      </c>
      <c r="E534">
        <v>5</v>
      </c>
      <c r="F534" s="4" t="s">
        <v>8</v>
      </c>
      <c r="G534">
        <v>32</v>
      </c>
      <c r="H534" s="2">
        <v>2669011.0638103201</v>
      </c>
    </row>
    <row r="535" spans="1:8" x14ac:dyDescent="0.25">
      <c r="A535" t="s">
        <v>49</v>
      </c>
      <c r="B535">
        <v>1996</v>
      </c>
      <c r="C535" t="s">
        <v>5</v>
      </c>
      <c r="D535" t="s">
        <v>27</v>
      </c>
      <c r="E535">
        <v>5</v>
      </c>
      <c r="F535" s="4" t="s">
        <v>8</v>
      </c>
      <c r="G535">
        <v>105</v>
      </c>
      <c r="H535" s="2">
        <v>5336689.2615659405</v>
      </c>
    </row>
    <row r="536" spans="1:8" x14ac:dyDescent="0.25">
      <c r="A536" t="s">
        <v>50</v>
      </c>
      <c r="B536">
        <v>1996</v>
      </c>
      <c r="C536" t="s">
        <v>4</v>
      </c>
      <c r="D536" t="s">
        <v>27</v>
      </c>
      <c r="E536">
        <v>5</v>
      </c>
      <c r="F536" s="4" t="s">
        <v>8</v>
      </c>
      <c r="G536">
        <v>1694</v>
      </c>
      <c r="H536" s="2">
        <v>4328734.7335640304</v>
      </c>
    </row>
    <row r="537" spans="1:8" x14ac:dyDescent="0.25">
      <c r="A537" t="s">
        <v>51</v>
      </c>
      <c r="B537">
        <v>1996</v>
      </c>
      <c r="C537" t="s">
        <v>3</v>
      </c>
      <c r="D537" t="s">
        <v>27</v>
      </c>
      <c r="E537">
        <v>5</v>
      </c>
      <c r="F537" s="4" t="s">
        <v>8</v>
      </c>
      <c r="G537">
        <v>1811</v>
      </c>
      <c r="H537" s="2">
        <v>6500086.9398599695</v>
      </c>
    </row>
    <row r="538" spans="1:8" x14ac:dyDescent="0.25">
      <c r="A538" t="s">
        <v>52</v>
      </c>
      <c r="B538">
        <v>1996</v>
      </c>
      <c r="C538" t="s">
        <v>2</v>
      </c>
      <c r="D538" t="s">
        <v>27</v>
      </c>
      <c r="E538">
        <v>5</v>
      </c>
      <c r="F538" s="4" t="s">
        <v>8</v>
      </c>
      <c r="G538">
        <v>502</v>
      </c>
      <c r="H538" s="2">
        <v>2862216.4853526298</v>
      </c>
    </row>
    <row r="539" spans="1:8" x14ac:dyDescent="0.25">
      <c r="A539" t="s">
        <v>53</v>
      </c>
      <c r="B539">
        <v>1996</v>
      </c>
      <c r="C539" t="s">
        <v>1</v>
      </c>
      <c r="D539" t="s">
        <v>27</v>
      </c>
      <c r="E539">
        <v>5</v>
      </c>
      <c r="F539" s="4" t="s">
        <v>8</v>
      </c>
      <c r="G539">
        <v>125</v>
      </c>
      <c r="H539" s="2">
        <v>710343.28776711202</v>
      </c>
    </row>
    <row r="540" spans="1:8" x14ac:dyDescent="0.25">
      <c r="A540" t="s">
        <v>54</v>
      </c>
      <c r="B540">
        <v>1996</v>
      </c>
      <c r="C540" t="s">
        <v>0</v>
      </c>
      <c r="D540" t="s">
        <v>27</v>
      </c>
      <c r="E540">
        <v>5</v>
      </c>
      <c r="F540" s="4" t="s">
        <v>8</v>
      </c>
      <c r="G540">
        <v>68</v>
      </c>
      <c r="H540" s="2">
        <v>710343.28776711202</v>
      </c>
    </row>
    <row r="541" spans="1:8" x14ac:dyDescent="0.25">
      <c r="A541" t="s">
        <v>55</v>
      </c>
      <c r="B541">
        <v>1997</v>
      </c>
      <c r="C541" t="s">
        <v>6</v>
      </c>
      <c r="D541" t="s">
        <v>27</v>
      </c>
      <c r="E541">
        <v>5</v>
      </c>
      <c r="F541" s="4" t="s">
        <v>8</v>
      </c>
      <c r="G541">
        <v>38</v>
      </c>
      <c r="H541" s="2">
        <v>2689637.03828619</v>
      </c>
    </row>
    <row r="542" spans="1:8" x14ac:dyDescent="0.25">
      <c r="A542" t="s">
        <v>56</v>
      </c>
      <c r="B542">
        <v>1997</v>
      </c>
      <c r="C542" t="s">
        <v>5</v>
      </c>
      <c r="D542" t="s">
        <v>27</v>
      </c>
      <c r="E542">
        <v>5</v>
      </c>
      <c r="F542" s="4" t="s">
        <v>8</v>
      </c>
      <c r="G542">
        <v>108</v>
      </c>
      <c r="H542" s="2">
        <v>5352218.1569395596</v>
      </c>
    </row>
    <row r="543" spans="1:8" x14ac:dyDescent="0.25">
      <c r="A543" t="s">
        <v>57</v>
      </c>
      <c r="B543">
        <v>1997</v>
      </c>
      <c r="C543" t="s">
        <v>4</v>
      </c>
      <c r="D543" t="s">
        <v>27</v>
      </c>
      <c r="E543">
        <v>5</v>
      </c>
      <c r="F543" s="4" t="s">
        <v>8</v>
      </c>
      <c r="G543">
        <v>1478</v>
      </c>
      <c r="H543" s="2">
        <v>4441903.2401384199</v>
      </c>
    </row>
    <row r="544" spans="1:8" x14ac:dyDescent="0.25">
      <c r="A544" t="s">
        <v>58</v>
      </c>
      <c r="B544">
        <v>1997</v>
      </c>
      <c r="C544" t="s">
        <v>3</v>
      </c>
      <c r="D544" t="s">
        <v>27</v>
      </c>
      <c r="E544">
        <v>5</v>
      </c>
      <c r="F544" s="4" t="s">
        <v>8</v>
      </c>
      <c r="G544">
        <v>1676</v>
      </c>
      <c r="H544" s="2">
        <v>6652916.9639159804</v>
      </c>
    </row>
    <row r="545" spans="1:8" x14ac:dyDescent="0.25">
      <c r="A545" t="s">
        <v>59</v>
      </c>
      <c r="B545">
        <v>1997</v>
      </c>
      <c r="C545" t="s">
        <v>2</v>
      </c>
      <c r="D545" t="s">
        <v>27</v>
      </c>
      <c r="E545">
        <v>5</v>
      </c>
      <c r="F545" s="4" t="s">
        <v>8</v>
      </c>
      <c r="G545">
        <v>457</v>
      </c>
      <c r="H545" s="2">
        <v>2950439.89121158</v>
      </c>
    </row>
    <row r="546" spans="1:8" x14ac:dyDescent="0.25">
      <c r="A546" t="s">
        <v>60</v>
      </c>
      <c r="B546">
        <v>1997</v>
      </c>
      <c r="C546" t="s">
        <v>1</v>
      </c>
      <c r="D546" t="s">
        <v>27</v>
      </c>
      <c r="E546">
        <v>5</v>
      </c>
      <c r="F546" s="4" t="s">
        <v>8</v>
      </c>
      <c r="G546">
        <v>101</v>
      </c>
      <c r="H546" s="2">
        <v>717390.37266026705</v>
      </c>
    </row>
    <row r="547" spans="1:8" x14ac:dyDescent="0.25">
      <c r="A547" t="s">
        <v>61</v>
      </c>
      <c r="B547">
        <v>1997</v>
      </c>
      <c r="C547" t="s">
        <v>0</v>
      </c>
      <c r="D547" t="s">
        <v>27</v>
      </c>
      <c r="E547">
        <v>5</v>
      </c>
      <c r="F547" s="4" t="s">
        <v>8</v>
      </c>
      <c r="G547">
        <v>81</v>
      </c>
      <c r="H547" s="2">
        <v>717390.37266026705</v>
      </c>
    </row>
    <row r="548" spans="1:8" x14ac:dyDescent="0.25">
      <c r="A548" t="s">
        <v>62</v>
      </c>
      <c r="B548">
        <v>1998</v>
      </c>
      <c r="C548" t="s">
        <v>6</v>
      </c>
      <c r="D548" t="s">
        <v>27</v>
      </c>
      <c r="E548">
        <v>5</v>
      </c>
      <c r="F548" s="4" t="s">
        <v>8</v>
      </c>
      <c r="G548">
        <v>35</v>
      </c>
      <c r="H548" s="2">
        <v>2707580.5191430999</v>
      </c>
    </row>
    <row r="549" spans="1:8" x14ac:dyDescent="0.25">
      <c r="A549" t="s">
        <v>63</v>
      </c>
      <c r="B549">
        <v>1998</v>
      </c>
      <c r="C549" t="s">
        <v>5</v>
      </c>
      <c r="D549" t="s">
        <v>27</v>
      </c>
      <c r="E549">
        <v>5</v>
      </c>
      <c r="F549" s="4" t="s">
        <v>8</v>
      </c>
      <c r="G549">
        <v>94</v>
      </c>
      <c r="H549" s="2">
        <v>5360232.5784697803</v>
      </c>
    </row>
    <row r="550" spans="1:8" x14ac:dyDescent="0.25">
      <c r="A550" t="s">
        <v>64</v>
      </c>
      <c r="B550">
        <v>1998</v>
      </c>
      <c r="C550" t="s">
        <v>4</v>
      </c>
      <c r="D550" t="s">
        <v>27</v>
      </c>
      <c r="E550">
        <v>5</v>
      </c>
      <c r="F550" s="4" t="s">
        <v>8</v>
      </c>
      <c r="G550">
        <v>1441</v>
      </c>
      <c r="H550" s="2">
        <v>4551586.6200692104</v>
      </c>
    </row>
    <row r="551" spans="1:8" x14ac:dyDescent="0.25">
      <c r="A551" t="s">
        <v>65</v>
      </c>
      <c r="B551">
        <v>1998</v>
      </c>
      <c r="C551" t="s">
        <v>3</v>
      </c>
      <c r="D551" t="s">
        <v>27</v>
      </c>
      <c r="E551">
        <v>5</v>
      </c>
      <c r="F551" s="4" t="s">
        <v>8</v>
      </c>
      <c r="G551">
        <v>1745</v>
      </c>
      <c r="H551" s="2">
        <v>6800752.4819579897</v>
      </c>
    </row>
    <row r="552" spans="1:8" x14ac:dyDescent="0.25">
      <c r="A552" t="s">
        <v>66</v>
      </c>
      <c r="B552">
        <v>1998</v>
      </c>
      <c r="C552" t="s">
        <v>2</v>
      </c>
      <c r="D552" t="s">
        <v>27</v>
      </c>
      <c r="E552">
        <v>5</v>
      </c>
      <c r="F552" s="4" t="s">
        <v>8</v>
      </c>
      <c r="G552">
        <v>489</v>
      </c>
      <c r="H552" s="2">
        <v>3048176.4456057898</v>
      </c>
    </row>
    <row r="553" spans="1:8" x14ac:dyDescent="0.25">
      <c r="A553" t="s">
        <v>67</v>
      </c>
      <c r="B553">
        <v>1998</v>
      </c>
      <c r="C553" t="s">
        <v>1</v>
      </c>
      <c r="D553" t="s">
        <v>27</v>
      </c>
      <c r="E553">
        <v>5</v>
      </c>
      <c r="F553" s="4" t="s">
        <v>8</v>
      </c>
      <c r="G553">
        <v>85</v>
      </c>
      <c r="H553" s="2">
        <v>727932.186330133</v>
      </c>
    </row>
    <row r="554" spans="1:8" x14ac:dyDescent="0.25">
      <c r="A554" t="s">
        <v>68</v>
      </c>
      <c r="B554">
        <v>1998</v>
      </c>
      <c r="C554" t="s">
        <v>0</v>
      </c>
      <c r="D554" t="s">
        <v>27</v>
      </c>
      <c r="E554">
        <v>5</v>
      </c>
      <c r="F554" s="4" t="s">
        <v>8</v>
      </c>
      <c r="G554">
        <v>72</v>
      </c>
      <c r="H554" s="2">
        <v>727932.186330133</v>
      </c>
    </row>
    <row r="555" spans="1:8" x14ac:dyDescent="0.25">
      <c r="A555" t="s">
        <v>69</v>
      </c>
      <c r="B555">
        <v>1999</v>
      </c>
      <c r="C555" t="s">
        <v>6</v>
      </c>
      <c r="D555" t="s">
        <v>27</v>
      </c>
      <c r="E555">
        <v>5</v>
      </c>
      <c r="F555" s="4" t="s">
        <v>8</v>
      </c>
      <c r="G555">
        <v>26</v>
      </c>
      <c r="H555" s="2">
        <v>2723058.5063810302</v>
      </c>
    </row>
    <row r="556" spans="1:8" x14ac:dyDescent="0.25">
      <c r="A556" t="s">
        <v>70</v>
      </c>
      <c r="B556">
        <v>1999</v>
      </c>
      <c r="C556" t="s">
        <v>5</v>
      </c>
      <c r="D556" t="s">
        <v>27</v>
      </c>
      <c r="E556">
        <v>5</v>
      </c>
      <c r="F556" s="4" t="s">
        <v>8</v>
      </c>
      <c r="G556">
        <v>105</v>
      </c>
      <c r="H556" s="2">
        <v>5362927.5261565903</v>
      </c>
    </row>
    <row r="557" spans="1:8" x14ac:dyDescent="0.25">
      <c r="A557" t="s">
        <v>71</v>
      </c>
      <c r="B557">
        <v>1999</v>
      </c>
      <c r="C557" t="s">
        <v>4</v>
      </c>
      <c r="D557" t="s">
        <v>27</v>
      </c>
      <c r="E557">
        <v>5</v>
      </c>
      <c r="F557" s="4" t="s">
        <v>8</v>
      </c>
      <c r="G557">
        <v>1952</v>
      </c>
      <c r="H557" s="2">
        <v>4656740.8733564001</v>
      </c>
    </row>
    <row r="558" spans="1:8" x14ac:dyDescent="0.25">
      <c r="A558" t="s">
        <v>72</v>
      </c>
      <c r="B558">
        <v>1999</v>
      </c>
      <c r="C558" t="s">
        <v>3</v>
      </c>
      <c r="D558" t="s">
        <v>27</v>
      </c>
      <c r="E558">
        <v>5</v>
      </c>
      <c r="F558" s="4" t="s">
        <v>8</v>
      </c>
      <c r="G558">
        <v>2325</v>
      </c>
      <c r="H558" s="2">
        <v>6944474.4939860003</v>
      </c>
    </row>
    <row r="559" spans="1:8" x14ac:dyDescent="0.25">
      <c r="A559" t="s">
        <v>73</v>
      </c>
      <c r="B559">
        <v>1999</v>
      </c>
      <c r="C559" t="s">
        <v>2</v>
      </c>
      <c r="D559" t="s">
        <v>27</v>
      </c>
      <c r="E559">
        <v>5</v>
      </c>
      <c r="F559" s="4" t="s">
        <v>8</v>
      </c>
      <c r="G559">
        <v>648</v>
      </c>
      <c r="H559" s="2">
        <v>3155060.14853526</v>
      </c>
    </row>
    <row r="560" spans="1:8" x14ac:dyDescent="0.25">
      <c r="A560" t="s">
        <v>74</v>
      </c>
      <c r="B560">
        <v>1999</v>
      </c>
      <c r="C560" t="s">
        <v>1</v>
      </c>
      <c r="D560" t="s">
        <v>27</v>
      </c>
      <c r="E560">
        <v>5</v>
      </c>
      <c r="F560" s="4" t="s">
        <v>8</v>
      </c>
      <c r="G560">
        <v>116</v>
      </c>
      <c r="H560" s="2">
        <v>741553.72877671104</v>
      </c>
    </row>
    <row r="561" spans="1:8" x14ac:dyDescent="0.25">
      <c r="A561" t="s">
        <v>75</v>
      </c>
      <c r="B561">
        <v>1999</v>
      </c>
      <c r="C561" t="s">
        <v>0</v>
      </c>
      <c r="D561" t="s">
        <v>27</v>
      </c>
      <c r="E561">
        <v>5</v>
      </c>
      <c r="F561" s="4" t="s">
        <v>8</v>
      </c>
      <c r="G561">
        <v>90</v>
      </c>
      <c r="H561" s="2">
        <v>741553.72877671104</v>
      </c>
    </row>
    <row r="562" spans="1:8" x14ac:dyDescent="0.25">
      <c r="A562" t="s">
        <v>76</v>
      </c>
      <c r="B562">
        <v>2000</v>
      </c>
      <c r="C562" t="s">
        <v>6</v>
      </c>
      <c r="D562" t="s">
        <v>27</v>
      </c>
      <c r="E562">
        <v>5</v>
      </c>
      <c r="F562" s="4" t="s">
        <v>8</v>
      </c>
      <c r="G562">
        <v>32</v>
      </c>
      <c r="H562" s="2">
        <v>2736288</v>
      </c>
    </row>
    <row r="563" spans="1:8" x14ac:dyDescent="0.25">
      <c r="A563" t="s">
        <v>77</v>
      </c>
      <c r="B563">
        <v>2000</v>
      </c>
      <c r="C563" t="s">
        <v>5</v>
      </c>
      <c r="D563" t="s">
        <v>27</v>
      </c>
      <c r="E563">
        <v>5</v>
      </c>
      <c r="F563" s="4" t="s">
        <v>8</v>
      </c>
      <c r="G563">
        <v>136</v>
      </c>
      <c r="H563" s="2">
        <v>5362498</v>
      </c>
    </row>
    <row r="564" spans="1:8" x14ac:dyDescent="0.25">
      <c r="A564" t="s">
        <v>78</v>
      </c>
      <c r="B564">
        <v>2000</v>
      </c>
      <c r="C564" t="s">
        <v>4</v>
      </c>
      <c r="D564" t="s">
        <v>27</v>
      </c>
      <c r="E564">
        <v>5</v>
      </c>
      <c r="F564" s="4" t="s">
        <v>8</v>
      </c>
      <c r="G564">
        <v>3021</v>
      </c>
      <c r="H564" s="2">
        <v>4756322</v>
      </c>
    </row>
    <row r="565" spans="1:8" x14ac:dyDescent="0.25">
      <c r="A565" t="s">
        <v>79</v>
      </c>
      <c r="B565">
        <v>2000</v>
      </c>
      <c r="C565" t="s">
        <v>3</v>
      </c>
      <c r="D565" t="s">
        <v>27</v>
      </c>
      <c r="E565">
        <v>5</v>
      </c>
      <c r="F565" s="4" t="s">
        <v>8</v>
      </c>
      <c r="G565">
        <v>3356</v>
      </c>
      <c r="H565" s="2">
        <v>7084964</v>
      </c>
    </row>
    <row r="566" spans="1:8" x14ac:dyDescent="0.25">
      <c r="A566" t="s">
        <v>80</v>
      </c>
      <c r="B566">
        <v>2000</v>
      </c>
      <c r="C566" t="s">
        <v>2</v>
      </c>
      <c r="D566" t="s">
        <v>27</v>
      </c>
      <c r="E566">
        <v>5</v>
      </c>
      <c r="F566" s="4" t="s">
        <v>8</v>
      </c>
      <c r="G566">
        <v>797</v>
      </c>
      <c r="H566" s="2">
        <v>3270725</v>
      </c>
    </row>
    <row r="567" spans="1:8" x14ac:dyDescent="0.25">
      <c r="A567" t="s">
        <v>81</v>
      </c>
      <c r="B567">
        <v>2000</v>
      </c>
      <c r="C567" t="s">
        <v>1</v>
      </c>
      <c r="D567" t="s">
        <v>27</v>
      </c>
      <c r="E567">
        <v>5</v>
      </c>
      <c r="F567" s="4" t="s">
        <v>8</v>
      </c>
      <c r="G567">
        <v>175</v>
      </c>
      <c r="H567" s="2">
        <v>757840</v>
      </c>
    </row>
    <row r="568" spans="1:8" x14ac:dyDescent="0.25">
      <c r="A568" t="s">
        <v>82</v>
      </c>
      <c r="B568">
        <v>2000</v>
      </c>
      <c r="C568" t="s">
        <v>0</v>
      </c>
      <c r="D568" t="s">
        <v>27</v>
      </c>
      <c r="E568">
        <v>5</v>
      </c>
      <c r="F568" s="4" t="s">
        <v>8</v>
      </c>
      <c r="G568">
        <v>116</v>
      </c>
      <c r="H568" s="2">
        <v>757840</v>
      </c>
    </row>
    <row r="569" spans="1:8" x14ac:dyDescent="0.25">
      <c r="A569" t="s">
        <v>83</v>
      </c>
      <c r="B569">
        <v>2001</v>
      </c>
      <c r="C569" t="s">
        <v>6</v>
      </c>
      <c r="D569" t="s">
        <v>27</v>
      </c>
      <c r="E569">
        <v>5</v>
      </c>
      <c r="F569" s="4" t="s">
        <v>8</v>
      </c>
      <c r="G569">
        <v>48</v>
      </c>
      <c r="H569" s="2">
        <v>2747486</v>
      </c>
    </row>
    <row r="570" spans="1:8" x14ac:dyDescent="0.25">
      <c r="A570" t="s">
        <v>84</v>
      </c>
      <c r="B570">
        <v>2001</v>
      </c>
      <c r="C570" t="s">
        <v>5</v>
      </c>
      <c r="D570" t="s">
        <v>27</v>
      </c>
      <c r="E570">
        <v>5</v>
      </c>
      <c r="F570" s="4" t="s">
        <v>8</v>
      </c>
      <c r="G570">
        <v>145</v>
      </c>
      <c r="H570" s="2">
        <v>5361139</v>
      </c>
    </row>
    <row r="571" spans="1:8" x14ac:dyDescent="0.25">
      <c r="A571" t="s">
        <v>85</v>
      </c>
      <c r="B571">
        <v>2001</v>
      </c>
      <c r="C571" t="s">
        <v>4</v>
      </c>
      <c r="D571" t="s">
        <v>27</v>
      </c>
      <c r="E571">
        <v>5</v>
      </c>
      <c r="F571" s="4" t="s">
        <v>8</v>
      </c>
      <c r="G571">
        <v>3127</v>
      </c>
      <c r="H571" s="2">
        <v>4849286</v>
      </c>
    </row>
    <row r="572" spans="1:8" x14ac:dyDescent="0.25">
      <c r="A572" t="s">
        <v>86</v>
      </c>
      <c r="B572">
        <v>2001</v>
      </c>
      <c r="C572" t="s">
        <v>3</v>
      </c>
      <c r="D572" t="s">
        <v>27</v>
      </c>
      <c r="E572">
        <v>5</v>
      </c>
      <c r="F572" s="4" t="s">
        <v>8</v>
      </c>
      <c r="G572">
        <v>3465</v>
      </c>
      <c r="H572" s="2">
        <v>7223102</v>
      </c>
    </row>
    <row r="573" spans="1:8" x14ac:dyDescent="0.25">
      <c r="A573" t="s">
        <v>87</v>
      </c>
      <c r="B573">
        <v>2001</v>
      </c>
      <c r="C573" t="s">
        <v>2</v>
      </c>
      <c r="D573" t="s">
        <v>27</v>
      </c>
      <c r="E573">
        <v>5</v>
      </c>
      <c r="F573" s="4" t="s">
        <v>8</v>
      </c>
      <c r="G573">
        <v>876</v>
      </c>
      <c r="H573" s="2">
        <v>3394805</v>
      </c>
    </row>
    <row r="574" spans="1:8" x14ac:dyDescent="0.25">
      <c r="A574" t="s">
        <v>88</v>
      </c>
      <c r="B574">
        <v>2001</v>
      </c>
      <c r="C574" t="s">
        <v>1</v>
      </c>
      <c r="D574" t="s">
        <v>27</v>
      </c>
      <c r="E574">
        <v>5</v>
      </c>
      <c r="F574" s="4" t="s">
        <v>8</v>
      </c>
      <c r="G574">
        <v>164</v>
      </c>
      <c r="H574" s="2">
        <v>776376</v>
      </c>
    </row>
    <row r="575" spans="1:8" x14ac:dyDescent="0.25">
      <c r="A575" t="s">
        <v>89</v>
      </c>
      <c r="B575">
        <v>2001</v>
      </c>
      <c r="C575" t="s">
        <v>0</v>
      </c>
      <c r="D575" t="s">
        <v>27</v>
      </c>
      <c r="E575">
        <v>5</v>
      </c>
      <c r="F575" s="4" t="s">
        <v>8</v>
      </c>
      <c r="G575">
        <v>126</v>
      </c>
      <c r="H575" s="2">
        <v>776376</v>
      </c>
    </row>
    <row r="576" spans="1:8" x14ac:dyDescent="0.25">
      <c r="A576" t="s">
        <v>90</v>
      </c>
      <c r="B576">
        <v>2002</v>
      </c>
      <c r="C576" t="s">
        <v>6</v>
      </c>
      <c r="D576" t="s">
        <v>27</v>
      </c>
      <c r="E576">
        <v>5</v>
      </c>
      <c r="F576" s="4" t="s">
        <v>8</v>
      </c>
      <c r="G576">
        <v>33</v>
      </c>
      <c r="H576" s="2">
        <v>2756879</v>
      </c>
    </row>
    <row r="577" spans="1:8" x14ac:dyDescent="0.25">
      <c r="A577" t="s">
        <v>91</v>
      </c>
      <c r="B577">
        <v>2002</v>
      </c>
      <c r="C577" t="s">
        <v>5</v>
      </c>
      <c r="D577" t="s">
        <v>27</v>
      </c>
      <c r="E577">
        <v>5</v>
      </c>
      <c r="F577" s="4" t="s">
        <v>8</v>
      </c>
      <c r="G577">
        <v>166</v>
      </c>
      <c r="H577" s="2">
        <v>5361107</v>
      </c>
    </row>
    <row r="578" spans="1:8" x14ac:dyDescent="0.25">
      <c r="A578" t="s">
        <v>92</v>
      </c>
      <c r="B578">
        <v>2002</v>
      </c>
      <c r="C578" t="s">
        <v>4</v>
      </c>
      <c r="D578" t="s">
        <v>27</v>
      </c>
      <c r="E578">
        <v>5</v>
      </c>
      <c r="F578" s="4" t="s">
        <v>8</v>
      </c>
      <c r="G578">
        <v>3597</v>
      </c>
      <c r="H578" s="2">
        <v>4934568</v>
      </c>
    </row>
    <row r="579" spans="1:8" x14ac:dyDescent="0.25">
      <c r="A579" t="s">
        <v>93</v>
      </c>
      <c r="B579">
        <v>2002</v>
      </c>
      <c r="C579" t="s">
        <v>3</v>
      </c>
      <c r="D579" t="s">
        <v>27</v>
      </c>
      <c r="E579">
        <v>5</v>
      </c>
      <c r="F579" s="4" t="s">
        <v>8</v>
      </c>
      <c r="G579">
        <v>3715</v>
      </c>
      <c r="H579" s="2">
        <v>7359839</v>
      </c>
    </row>
    <row r="580" spans="1:8" x14ac:dyDescent="0.25">
      <c r="A580" t="s">
        <v>94</v>
      </c>
      <c r="B580">
        <v>2002</v>
      </c>
      <c r="C580" t="s">
        <v>2</v>
      </c>
      <c r="D580" t="s">
        <v>27</v>
      </c>
      <c r="E580">
        <v>5</v>
      </c>
      <c r="F580" s="4" t="s">
        <v>8</v>
      </c>
      <c r="G580">
        <v>955</v>
      </c>
      <c r="H580" s="2">
        <v>3526909</v>
      </c>
    </row>
    <row r="581" spans="1:8" x14ac:dyDescent="0.25">
      <c r="A581" t="s">
        <v>95</v>
      </c>
      <c r="B581">
        <v>2002</v>
      </c>
      <c r="C581" t="s">
        <v>1</v>
      </c>
      <c r="D581" t="s">
        <v>27</v>
      </c>
      <c r="E581">
        <v>5</v>
      </c>
      <c r="F581" s="4" t="s">
        <v>8</v>
      </c>
      <c r="G581">
        <v>202</v>
      </c>
      <c r="H581" s="2">
        <v>796712</v>
      </c>
    </row>
    <row r="582" spans="1:8" x14ac:dyDescent="0.25">
      <c r="A582" t="s">
        <v>96</v>
      </c>
      <c r="B582">
        <v>2002</v>
      </c>
      <c r="C582" t="s">
        <v>0</v>
      </c>
      <c r="D582" t="s">
        <v>27</v>
      </c>
      <c r="E582">
        <v>5</v>
      </c>
      <c r="F582" s="4" t="s">
        <v>8</v>
      </c>
      <c r="G582">
        <v>113</v>
      </c>
      <c r="H582" s="2">
        <v>796712</v>
      </c>
    </row>
    <row r="583" spans="1:8" x14ac:dyDescent="0.25">
      <c r="A583" t="s">
        <v>97</v>
      </c>
      <c r="B583">
        <v>2003</v>
      </c>
      <c r="C583" t="s">
        <v>6</v>
      </c>
      <c r="D583" t="s">
        <v>27</v>
      </c>
      <c r="E583">
        <v>5</v>
      </c>
      <c r="F583" s="4" t="s">
        <v>8</v>
      </c>
      <c r="G583">
        <v>45</v>
      </c>
      <c r="H583" s="2">
        <v>2764684</v>
      </c>
    </row>
    <row r="584" spans="1:8" x14ac:dyDescent="0.25">
      <c r="A584" t="s">
        <v>98</v>
      </c>
      <c r="B584">
        <v>2003</v>
      </c>
      <c r="C584" t="s">
        <v>5</v>
      </c>
      <c r="D584" t="s">
        <v>27</v>
      </c>
      <c r="E584">
        <v>5</v>
      </c>
      <c r="F584" s="4" t="s">
        <v>8</v>
      </c>
      <c r="G584">
        <v>146</v>
      </c>
      <c r="H584" s="2">
        <v>5364597</v>
      </c>
    </row>
    <row r="585" spans="1:8" x14ac:dyDescent="0.25">
      <c r="A585" t="s">
        <v>99</v>
      </c>
      <c r="B585">
        <v>2003</v>
      </c>
      <c r="C585" t="s">
        <v>4</v>
      </c>
      <c r="D585" t="s">
        <v>27</v>
      </c>
      <c r="E585">
        <v>5</v>
      </c>
      <c r="F585" s="4" t="s">
        <v>8</v>
      </c>
      <c r="G585">
        <v>3999</v>
      </c>
      <c r="H585" s="2">
        <v>5011124</v>
      </c>
    </row>
    <row r="586" spans="1:8" x14ac:dyDescent="0.25">
      <c r="A586" t="s">
        <v>100</v>
      </c>
      <c r="B586">
        <v>2003</v>
      </c>
      <c r="C586" t="s">
        <v>3</v>
      </c>
      <c r="D586" t="s">
        <v>27</v>
      </c>
      <c r="E586">
        <v>5</v>
      </c>
      <c r="F586" s="4" t="s">
        <v>8</v>
      </c>
      <c r="G586">
        <v>4309</v>
      </c>
      <c r="H586" s="2">
        <v>7496056</v>
      </c>
    </row>
    <row r="587" spans="1:8" x14ac:dyDescent="0.25">
      <c r="A587" t="s">
        <v>101</v>
      </c>
      <c r="B587">
        <v>2003</v>
      </c>
      <c r="C587" t="s">
        <v>2</v>
      </c>
      <c r="D587" t="s">
        <v>27</v>
      </c>
      <c r="E587">
        <v>5</v>
      </c>
      <c r="F587" s="4" t="s">
        <v>8</v>
      </c>
      <c r="G587">
        <v>1091</v>
      </c>
      <c r="H587" s="2">
        <v>3666671</v>
      </c>
    </row>
    <row r="588" spans="1:8" x14ac:dyDescent="0.25">
      <c r="A588" t="s">
        <v>102</v>
      </c>
      <c r="B588">
        <v>2003</v>
      </c>
      <c r="C588" t="s">
        <v>1</v>
      </c>
      <c r="D588" t="s">
        <v>27</v>
      </c>
      <c r="E588">
        <v>5</v>
      </c>
      <c r="F588" s="4" t="s">
        <v>8</v>
      </c>
      <c r="G588">
        <v>192</v>
      </c>
      <c r="H588" s="2">
        <v>818433</v>
      </c>
    </row>
    <row r="589" spans="1:8" x14ac:dyDescent="0.25">
      <c r="A589" t="s">
        <v>103</v>
      </c>
      <c r="B589">
        <v>2003</v>
      </c>
      <c r="C589" t="s">
        <v>0</v>
      </c>
      <c r="D589" t="s">
        <v>27</v>
      </c>
      <c r="E589">
        <v>5</v>
      </c>
      <c r="F589" s="4" t="s">
        <v>8</v>
      </c>
      <c r="G589">
        <v>158</v>
      </c>
      <c r="H589" s="2">
        <v>818433</v>
      </c>
    </row>
    <row r="590" spans="1:8" x14ac:dyDescent="0.25">
      <c r="A590" t="s">
        <v>104</v>
      </c>
      <c r="B590">
        <v>2004</v>
      </c>
      <c r="C590" t="s">
        <v>6</v>
      </c>
      <c r="D590" t="s">
        <v>27</v>
      </c>
      <c r="E590">
        <v>5</v>
      </c>
      <c r="F590" s="4" t="s">
        <v>8</v>
      </c>
      <c r="G590">
        <v>50</v>
      </c>
      <c r="H590" s="2">
        <v>2770821</v>
      </c>
    </row>
    <row r="591" spans="1:8" x14ac:dyDescent="0.25">
      <c r="A591" t="s">
        <v>105</v>
      </c>
      <c r="B591">
        <v>2004</v>
      </c>
      <c r="C591" t="s">
        <v>5</v>
      </c>
      <c r="D591" t="s">
        <v>27</v>
      </c>
      <c r="E591">
        <v>5</v>
      </c>
      <c r="F591" s="4" t="s">
        <v>8</v>
      </c>
      <c r="G591">
        <v>150</v>
      </c>
      <c r="H591" s="2">
        <v>5372677</v>
      </c>
    </row>
    <row r="592" spans="1:8" x14ac:dyDescent="0.25">
      <c r="A592" t="s">
        <v>106</v>
      </c>
      <c r="B592">
        <v>2004</v>
      </c>
      <c r="C592" t="s">
        <v>4</v>
      </c>
      <c r="D592" t="s">
        <v>27</v>
      </c>
      <c r="E592">
        <v>5</v>
      </c>
      <c r="F592" s="4" t="s">
        <v>8</v>
      </c>
      <c r="G592">
        <v>3243</v>
      </c>
      <c r="H592" s="2">
        <v>5078223</v>
      </c>
    </row>
    <row r="593" spans="1:8" x14ac:dyDescent="0.25">
      <c r="A593" t="s">
        <v>107</v>
      </c>
      <c r="B593">
        <v>2004</v>
      </c>
      <c r="C593" t="s">
        <v>3</v>
      </c>
      <c r="D593" t="s">
        <v>27</v>
      </c>
      <c r="E593">
        <v>5</v>
      </c>
      <c r="F593" s="4" t="s">
        <v>8</v>
      </c>
      <c r="G593">
        <v>3767</v>
      </c>
      <c r="H593" s="2">
        <v>7631406</v>
      </c>
    </row>
    <row r="594" spans="1:8" x14ac:dyDescent="0.25">
      <c r="A594" t="s">
        <v>108</v>
      </c>
      <c r="B594">
        <v>2004</v>
      </c>
      <c r="C594" t="s">
        <v>2</v>
      </c>
      <c r="D594" t="s">
        <v>27</v>
      </c>
      <c r="E594">
        <v>5</v>
      </c>
      <c r="F594" s="4" t="s">
        <v>8</v>
      </c>
      <c r="G594">
        <v>910</v>
      </c>
      <c r="H594" s="2">
        <v>3814359</v>
      </c>
    </row>
    <row r="595" spans="1:8" x14ac:dyDescent="0.25">
      <c r="A595" t="s">
        <v>109</v>
      </c>
      <c r="B595">
        <v>2004</v>
      </c>
      <c r="C595" t="s">
        <v>1</v>
      </c>
      <c r="D595" t="s">
        <v>27</v>
      </c>
      <c r="E595">
        <v>5</v>
      </c>
      <c r="F595" s="4" t="s">
        <v>8</v>
      </c>
      <c r="G595">
        <v>141</v>
      </c>
      <c r="H595" s="2">
        <v>841739</v>
      </c>
    </row>
    <row r="596" spans="1:8" x14ac:dyDescent="0.25">
      <c r="A596" t="s">
        <v>110</v>
      </c>
      <c r="B596">
        <v>2004</v>
      </c>
      <c r="C596" t="s">
        <v>0</v>
      </c>
      <c r="D596" t="s">
        <v>27</v>
      </c>
      <c r="E596">
        <v>5</v>
      </c>
      <c r="F596" s="4" t="s">
        <v>8</v>
      </c>
      <c r="G596">
        <v>121</v>
      </c>
      <c r="H596" s="2">
        <v>841739</v>
      </c>
    </row>
    <row r="597" spans="1:8" x14ac:dyDescent="0.25">
      <c r="A597" t="s">
        <v>111</v>
      </c>
      <c r="B597">
        <v>2005</v>
      </c>
      <c r="C597" t="s">
        <v>6</v>
      </c>
      <c r="D597" t="s">
        <v>27</v>
      </c>
      <c r="E597">
        <v>5</v>
      </c>
      <c r="F597" s="4" t="s">
        <v>8</v>
      </c>
      <c r="G597">
        <v>29</v>
      </c>
      <c r="H597" s="2">
        <v>2774961</v>
      </c>
    </row>
    <row r="598" spans="1:8" x14ac:dyDescent="0.25">
      <c r="A598" t="s">
        <v>112</v>
      </c>
      <c r="B598">
        <v>2005</v>
      </c>
      <c r="C598" t="s">
        <v>5</v>
      </c>
      <c r="D598" t="s">
        <v>27</v>
      </c>
      <c r="E598">
        <v>5</v>
      </c>
      <c r="F598" s="4" t="s">
        <v>8</v>
      </c>
      <c r="G598">
        <v>134</v>
      </c>
      <c r="H598" s="2">
        <v>5386812</v>
      </c>
    </row>
    <row r="599" spans="1:8" x14ac:dyDescent="0.25">
      <c r="A599" t="s">
        <v>113</v>
      </c>
      <c r="B599">
        <v>2005</v>
      </c>
      <c r="C599" t="s">
        <v>4</v>
      </c>
      <c r="D599" t="s">
        <v>27</v>
      </c>
      <c r="E599">
        <v>5</v>
      </c>
      <c r="F599" s="4" t="s">
        <v>8</v>
      </c>
      <c r="G599">
        <v>3394</v>
      </c>
      <c r="H599" s="2">
        <v>5134473</v>
      </c>
    </row>
    <row r="600" spans="1:8" x14ac:dyDescent="0.25">
      <c r="A600" t="s">
        <v>114</v>
      </c>
      <c r="B600">
        <v>2005</v>
      </c>
      <c r="C600" t="s">
        <v>3</v>
      </c>
      <c r="D600" t="s">
        <v>27</v>
      </c>
      <c r="E600">
        <v>5</v>
      </c>
      <c r="F600" s="4" t="s">
        <v>8</v>
      </c>
      <c r="G600">
        <v>3865</v>
      </c>
      <c r="H600" s="2">
        <v>7765159</v>
      </c>
    </row>
    <row r="601" spans="1:8" x14ac:dyDescent="0.25">
      <c r="A601" t="s">
        <v>115</v>
      </c>
      <c r="B601">
        <v>2005</v>
      </c>
      <c r="C601" t="s">
        <v>2</v>
      </c>
      <c r="D601" t="s">
        <v>27</v>
      </c>
      <c r="E601">
        <v>5</v>
      </c>
      <c r="F601" s="4" t="s">
        <v>8</v>
      </c>
      <c r="G601">
        <v>914</v>
      </c>
      <c r="H601" s="2">
        <v>3970997</v>
      </c>
    </row>
    <row r="602" spans="1:8" x14ac:dyDescent="0.25">
      <c r="A602" t="s">
        <v>116</v>
      </c>
      <c r="B602">
        <v>2005</v>
      </c>
      <c r="C602" t="s">
        <v>1</v>
      </c>
      <c r="D602" t="s">
        <v>27</v>
      </c>
      <c r="E602">
        <v>5</v>
      </c>
      <c r="F602" s="4" t="s">
        <v>8</v>
      </c>
      <c r="G602">
        <v>156</v>
      </c>
      <c r="H602" s="2">
        <v>866819</v>
      </c>
    </row>
    <row r="603" spans="1:8" x14ac:dyDescent="0.25">
      <c r="A603" t="s">
        <v>117</v>
      </c>
      <c r="B603">
        <v>2005</v>
      </c>
      <c r="C603" t="s">
        <v>0</v>
      </c>
      <c r="D603" t="s">
        <v>27</v>
      </c>
      <c r="E603">
        <v>5</v>
      </c>
      <c r="F603" s="4" t="s">
        <v>8</v>
      </c>
      <c r="G603">
        <v>122</v>
      </c>
      <c r="H603" s="2">
        <v>866819</v>
      </c>
    </row>
    <row r="604" spans="1:8" x14ac:dyDescent="0.25">
      <c r="A604" t="s">
        <v>118</v>
      </c>
      <c r="B604">
        <v>2006</v>
      </c>
      <c r="C604" t="s">
        <v>6</v>
      </c>
      <c r="D604" t="s">
        <v>27</v>
      </c>
      <c r="E604">
        <v>5</v>
      </c>
      <c r="F604" s="4" t="s">
        <v>8</v>
      </c>
      <c r="G604">
        <v>24</v>
      </c>
      <c r="H604" s="2">
        <v>2777568</v>
      </c>
    </row>
    <row r="605" spans="1:8" x14ac:dyDescent="0.25">
      <c r="A605" t="s">
        <v>119</v>
      </c>
      <c r="B605">
        <v>2006</v>
      </c>
      <c r="C605" t="s">
        <v>5</v>
      </c>
      <c r="D605" t="s">
        <v>27</v>
      </c>
      <c r="E605">
        <v>5</v>
      </c>
      <c r="F605" s="4" t="s">
        <v>8</v>
      </c>
      <c r="G605">
        <v>155</v>
      </c>
      <c r="H605" s="2">
        <v>5407717</v>
      </c>
    </row>
    <row r="606" spans="1:8" x14ac:dyDescent="0.25">
      <c r="A606" t="s">
        <v>120</v>
      </c>
      <c r="B606">
        <v>2006</v>
      </c>
      <c r="C606" t="s">
        <v>4</v>
      </c>
      <c r="D606" t="s">
        <v>27</v>
      </c>
      <c r="E606">
        <v>5</v>
      </c>
      <c r="F606" s="4" t="s">
        <v>8</v>
      </c>
      <c r="G606">
        <v>3935</v>
      </c>
      <c r="H606" s="2">
        <v>5178861</v>
      </c>
    </row>
    <row r="607" spans="1:8" x14ac:dyDescent="0.25">
      <c r="A607" t="s">
        <v>121</v>
      </c>
      <c r="B607">
        <v>2006</v>
      </c>
      <c r="C607" t="s">
        <v>3</v>
      </c>
      <c r="D607" t="s">
        <v>27</v>
      </c>
      <c r="E607">
        <v>5</v>
      </c>
      <c r="F607" s="4" t="s">
        <v>8</v>
      </c>
      <c r="G607">
        <v>4424</v>
      </c>
      <c r="H607" s="2">
        <v>7897108</v>
      </c>
    </row>
    <row r="608" spans="1:8" x14ac:dyDescent="0.25">
      <c r="A608" t="s">
        <v>122</v>
      </c>
      <c r="B608">
        <v>2006</v>
      </c>
      <c r="C608" t="s">
        <v>2</v>
      </c>
      <c r="D608" t="s">
        <v>27</v>
      </c>
      <c r="E608">
        <v>5</v>
      </c>
      <c r="F608" s="4" t="s">
        <v>8</v>
      </c>
      <c r="G608">
        <v>958</v>
      </c>
      <c r="H608" s="2">
        <v>4136588</v>
      </c>
    </row>
    <row r="609" spans="1:8" x14ac:dyDescent="0.25">
      <c r="A609" t="s">
        <v>123</v>
      </c>
      <c r="B609">
        <v>2006</v>
      </c>
      <c r="C609" t="s">
        <v>1</v>
      </c>
      <c r="D609" t="s">
        <v>27</v>
      </c>
      <c r="E609">
        <v>5</v>
      </c>
      <c r="F609" s="4" t="s">
        <v>8</v>
      </c>
      <c r="G609">
        <v>146</v>
      </c>
      <c r="H609" s="2">
        <v>893794</v>
      </c>
    </row>
    <row r="610" spans="1:8" x14ac:dyDescent="0.25">
      <c r="A610" t="s">
        <v>124</v>
      </c>
      <c r="B610">
        <v>2006</v>
      </c>
      <c r="C610" t="s">
        <v>0</v>
      </c>
      <c r="D610" t="s">
        <v>27</v>
      </c>
      <c r="E610">
        <v>5</v>
      </c>
      <c r="F610" s="4" t="s">
        <v>8</v>
      </c>
      <c r="G610">
        <v>106</v>
      </c>
      <c r="H610" s="2">
        <v>893794</v>
      </c>
    </row>
    <row r="611" spans="1:8" x14ac:dyDescent="0.25">
      <c r="A611" t="s">
        <v>125</v>
      </c>
      <c r="B611">
        <v>2007</v>
      </c>
      <c r="C611" t="s">
        <v>6</v>
      </c>
      <c r="D611" t="s">
        <v>27</v>
      </c>
      <c r="E611">
        <v>5</v>
      </c>
      <c r="F611" s="4" t="s">
        <v>8</v>
      </c>
      <c r="G611">
        <v>31</v>
      </c>
      <c r="H611" s="2">
        <v>2778731</v>
      </c>
    </row>
    <row r="612" spans="1:8" x14ac:dyDescent="0.25">
      <c r="A612" t="s">
        <v>126</v>
      </c>
      <c r="B612">
        <v>2007</v>
      </c>
      <c r="C612" t="s">
        <v>5</v>
      </c>
      <c r="D612" t="s">
        <v>27</v>
      </c>
      <c r="E612">
        <v>5</v>
      </c>
      <c r="F612" s="4" t="s">
        <v>8</v>
      </c>
      <c r="G612">
        <v>143</v>
      </c>
      <c r="H612" s="2">
        <v>5427910</v>
      </c>
    </row>
    <row r="613" spans="1:8" x14ac:dyDescent="0.25">
      <c r="A613" t="s">
        <v>127</v>
      </c>
      <c r="B613">
        <v>2007</v>
      </c>
      <c r="C613" t="s">
        <v>4</v>
      </c>
      <c r="D613" t="s">
        <v>27</v>
      </c>
      <c r="E613">
        <v>5</v>
      </c>
      <c r="F613" s="4" t="s">
        <v>8</v>
      </c>
      <c r="G613">
        <v>4113</v>
      </c>
      <c r="H613" s="2">
        <v>5216537</v>
      </c>
    </row>
    <row r="614" spans="1:8" x14ac:dyDescent="0.25">
      <c r="A614" t="s">
        <v>128</v>
      </c>
      <c r="B614">
        <v>2007</v>
      </c>
      <c r="C614" t="s">
        <v>3</v>
      </c>
      <c r="D614" t="s">
        <v>27</v>
      </c>
      <c r="E614">
        <v>5</v>
      </c>
      <c r="F614" s="4" t="s">
        <v>8</v>
      </c>
      <c r="G614">
        <v>4764</v>
      </c>
      <c r="H614" s="2">
        <v>8032843</v>
      </c>
    </row>
    <row r="615" spans="1:8" x14ac:dyDescent="0.25">
      <c r="A615" t="s">
        <v>129</v>
      </c>
      <c r="B615">
        <v>2007</v>
      </c>
      <c r="C615" t="s">
        <v>2</v>
      </c>
      <c r="D615" t="s">
        <v>27</v>
      </c>
      <c r="E615">
        <v>5</v>
      </c>
      <c r="F615" s="4" t="s">
        <v>8</v>
      </c>
      <c r="G615">
        <v>1028</v>
      </c>
      <c r="H615" s="2">
        <v>4307510</v>
      </c>
    </row>
    <row r="616" spans="1:8" x14ac:dyDescent="0.25">
      <c r="A616" t="s">
        <v>130</v>
      </c>
      <c r="B616">
        <v>2007</v>
      </c>
      <c r="C616" t="s">
        <v>1</v>
      </c>
      <c r="D616" t="s">
        <v>27</v>
      </c>
      <c r="E616">
        <v>5</v>
      </c>
      <c r="F616" s="4" t="s">
        <v>8</v>
      </c>
      <c r="G616">
        <v>144</v>
      </c>
      <c r="H616" s="2">
        <v>922773</v>
      </c>
    </row>
    <row r="617" spans="1:8" x14ac:dyDescent="0.25">
      <c r="A617" t="s">
        <v>131</v>
      </c>
      <c r="B617">
        <v>2007</v>
      </c>
      <c r="C617" t="s">
        <v>0</v>
      </c>
      <c r="D617" t="s">
        <v>27</v>
      </c>
      <c r="E617">
        <v>5</v>
      </c>
      <c r="F617" s="4" t="s">
        <v>8</v>
      </c>
      <c r="G617">
        <v>143</v>
      </c>
      <c r="H617" s="2">
        <v>922773</v>
      </c>
    </row>
    <row r="618" spans="1:8" x14ac:dyDescent="0.25">
      <c r="A618" t="s">
        <v>132</v>
      </c>
      <c r="B618">
        <v>2008</v>
      </c>
      <c r="C618" t="s">
        <v>6</v>
      </c>
      <c r="D618" t="s">
        <v>27</v>
      </c>
      <c r="E618">
        <v>5</v>
      </c>
      <c r="F618" s="4" t="s">
        <v>8</v>
      </c>
      <c r="G618">
        <v>32</v>
      </c>
      <c r="H618" s="2">
        <v>2778239</v>
      </c>
    </row>
    <row r="619" spans="1:8" x14ac:dyDescent="0.25">
      <c r="A619" t="s">
        <v>133</v>
      </c>
      <c r="B619">
        <v>2008</v>
      </c>
      <c r="C619" t="s">
        <v>5</v>
      </c>
      <c r="D619" t="s">
        <v>27</v>
      </c>
      <c r="E619">
        <v>5</v>
      </c>
      <c r="F619" s="4" t="s">
        <v>8</v>
      </c>
      <c r="G619">
        <v>152</v>
      </c>
      <c r="H619" s="2">
        <v>5448390</v>
      </c>
    </row>
    <row r="620" spans="1:8" x14ac:dyDescent="0.25">
      <c r="A620" t="s">
        <v>134</v>
      </c>
      <c r="B620">
        <v>2008</v>
      </c>
      <c r="C620" t="s">
        <v>4</v>
      </c>
      <c r="D620" t="s">
        <v>27</v>
      </c>
      <c r="E620">
        <v>5</v>
      </c>
      <c r="F620" s="4" t="s">
        <v>8</v>
      </c>
      <c r="G620">
        <v>4620</v>
      </c>
      <c r="H620" s="2">
        <v>5246997</v>
      </c>
    </row>
    <row r="621" spans="1:8" x14ac:dyDescent="0.25">
      <c r="A621" t="s">
        <v>135</v>
      </c>
      <c r="B621">
        <v>2008</v>
      </c>
      <c r="C621" t="s">
        <v>3</v>
      </c>
      <c r="D621" t="s">
        <v>27</v>
      </c>
      <c r="E621">
        <v>5</v>
      </c>
      <c r="F621" s="4" t="s">
        <v>8</v>
      </c>
      <c r="G621">
        <v>5082</v>
      </c>
      <c r="H621" s="2">
        <v>8172306</v>
      </c>
    </row>
    <row r="622" spans="1:8" x14ac:dyDescent="0.25">
      <c r="A622" t="s">
        <v>136</v>
      </c>
      <c r="B622">
        <v>2008</v>
      </c>
      <c r="C622" t="s">
        <v>2</v>
      </c>
      <c r="D622" t="s">
        <v>27</v>
      </c>
      <c r="E622">
        <v>5</v>
      </c>
      <c r="F622" s="4" t="s">
        <v>8</v>
      </c>
      <c r="G622">
        <v>1165</v>
      </c>
      <c r="H622" s="2">
        <v>4483302</v>
      </c>
    </row>
    <row r="623" spans="1:8" x14ac:dyDescent="0.25">
      <c r="A623" t="s">
        <v>137</v>
      </c>
      <c r="B623">
        <v>2008</v>
      </c>
      <c r="C623" t="s">
        <v>1</v>
      </c>
      <c r="D623" t="s">
        <v>27</v>
      </c>
      <c r="E623">
        <v>5</v>
      </c>
      <c r="F623" s="4" t="s">
        <v>8</v>
      </c>
      <c r="G623">
        <v>149</v>
      </c>
      <c r="H623" s="2">
        <v>953869</v>
      </c>
    </row>
    <row r="624" spans="1:8" x14ac:dyDescent="0.25">
      <c r="A624" t="s">
        <v>138</v>
      </c>
      <c r="B624">
        <v>2008</v>
      </c>
      <c r="C624" t="s">
        <v>0</v>
      </c>
      <c r="D624" t="s">
        <v>27</v>
      </c>
      <c r="E624">
        <v>5</v>
      </c>
      <c r="F624" s="4" t="s">
        <v>8</v>
      </c>
      <c r="G624">
        <v>157</v>
      </c>
      <c r="H624" s="2">
        <v>953869</v>
      </c>
    </row>
    <row r="625" spans="1:8" x14ac:dyDescent="0.25">
      <c r="A625" t="s">
        <v>139</v>
      </c>
      <c r="B625">
        <v>2009</v>
      </c>
      <c r="C625" t="s">
        <v>6</v>
      </c>
      <c r="D625" t="s">
        <v>27</v>
      </c>
      <c r="E625">
        <v>5</v>
      </c>
      <c r="F625" s="4" t="s">
        <v>8</v>
      </c>
      <c r="G625">
        <v>38</v>
      </c>
      <c r="H625" s="2">
        <v>2775920</v>
      </c>
    </row>
    <row r="626" spans="1:8" x14ac:dyDescent="0.25">
      <c r="A626" t="s">
        <v>140</v>
      </c>
      <c r="B626">
        <v>2009</v>
      </c>
      <c r="C626" t="s">
        <v>5</v>
      </c>
      <c r="D626" t="s">
        <v>27</v>
      </c>
      <c r="E626">
        <v>5</v>
      </c>
      <c r="F626" s="4" t="s">
        <v>8</v>
      </c>
      <c r="G626">
        <v>132</v>
      </c>
      <c r="H626" s="2">
        <v>5469822</v>
      </c>
    </row>
    <row r="627" spans="1:8" x14ac:dyDescent="0.25">
      <c r="A627" t="s">
        <v>141</v>
      </c>
      <c r="B627">
        <v>2009</v>
      </c>
      <c r="C627" t="s">
        <v>4</v>
      </c>
      <c r="D627" t="s">
        <v>27</v>
      </c>
      <c r="E627">
        <v>5</v>
      </c>
      <c r="F627" s="4" t="s">
        <v>8</v>
      </c>
      <c r="G627">
        <v>4192</v>
      </c>
      <c r="H627" s="2">
        <v>5270463</v>
      </c>
    </row>
    <row r="628" spans="1:8" x14ac:dyDescent="0.25">
      <c r="A628" t="s">
        <v>142</v>
      </c>
      <c r="B628">
        <v>2009</v>
      </c>
      <c r="C628" t="s">
        <v>3</v>
      </c>
      <c r="D628" t="s">
        <v>27</v>
      </c>
      <c r="E628">
        <v>5</v>
      </c>
      <c r="F628" s="4" t="s">
        <v>8</v>
      </c>
      <c r="G628">
        <v>4678</v>
      </c>
      <c r="H628" s="2">
        <v>8314639</v>
      </c>
    </row>
    <row r="629" spans="1:8" x14ac:dyDescent="0.25">
      <c r="A629" t="s">
        <v>143</v>
      </c>
      <c r="B629">
        <v>2009</v>
      </c>
      <c r="C629" t="s">
        <v>2</v>
      </c>
      <c r="D629" t="s">
        <v>27</v>
      </c>
      <c r="E629">
        <v>5</v>
      </c>
      <c r="F629" s="4" t="s">
        <v>8</v>
      </c>
      <c r="G629">
        <v>1076</v>
      </c>
      <c r="H629" s="2">
        <v>4663733</v>
      </c>
    </row>
    <row r="630" spans="1:8" x14ac:dyDescent="0.25">
      <c r="A630" t="s">
        <v>144</v>
      </c>
      <c r="B630">
        <v>2009</v>
      </c>
      <c r="C630" t="s">
        <v>1</v>
      </c>
      <c r="D630" t="s">
        <v>27</v>
      </c>
      <c r="E630">
        <v>5</v>
      </c>
      <c r="F630" s="4" t="s">
        <v>8</v>
      </c>
      <c r="G630">
        <v>136</v>
      </c>
      <c r="H630" s="2">
        <v>987212</v>
      </c>
    </row>
    <row r="631" spans="1:8" x14ac:dyDescent="0.25">
      <c r="A631" t="s">
        <v>145</v>
      </c>
      <c r="B631">
        <v>2009</v>
      </c>
      <c r="C631" t="s">
        <v>0</v>
      </c>
      <c r="D631" t="s">
        <v>27</v>
      </c>
      <c r="E631">
        <v>5</v>
      </c>
      <c r="F631" s="4" t="s">
        <v>8</v>
      </c>
      <c r="G631">
        <v>90</v>
      </c>
      <c r="H631" s="2">
        <v>987212</v>
      </c>
    </row>
    <row r="632" spans="1:8" x14ac:dyDescent="0.25">
      <c r="A632" t="s">
        <v>146</v>
      </c>
      <c r="B632">
        <v>2010</v>
      </c>
      <c r="C632" t="s">
        <v>6</v>
      </c>
      <c r="D632" t="s">
        <v>27</v>
      </c>
      <c r="E632">
        <v>5</v>
      </c>
      <c r="F632" s="4" t="s">
        <v>8</v>
      </c>
      <c r="G632">
        <v>31</v>
      </c>
      <c r="H632" s="2">
        <v>2771760</v>
      </c>
    </row>
    <row r="633" spans="1:8" x14ac:dyDescent="0.25">
      <c r="A633" t="s">
        <v>147</v>
      </c>
      <c r="B633">
        <v>2010</v>
      </c>
      <c r="C633" t="s">
        <v>5</v>
      </c>
      <c r="D633" t="s">
        <v>27</v>
      </c>
      <c r="E633">
        <v>5</v>
      </c>
      <c r="F633" s="4" t="s">
        <v>8</v>
      </c>
      <c r="G633">
        <v>123</v>
      </c>
      <c r="H633" s="2">
        <v>5492408</v>
      </c>
    </row>
    <row r="634" spans="1:8" x14ac:dyDescent="0.25">
      <c r="A634" t="s">
        <v>148</v>
      </c>
      <c r="B634">
        <v>2010</v>
      </c>
      <c r="C634" t="s">
        <v>4</v>
      </c>
      <c r="D634" t="s">
        <v>27</v>
      </c>
      <c r="E634">
        <v>5</v>
      </c>
      <c r="F634" s="4" t="s">
        <v>8</v>
      </c>
      <c r="G634">
        <v>4052</v>
      </c>
      <c r="H634" s="2">
        <v>5286720</v>
      </c>
    </row>
    <row r="635" spans="1:8" x14ac:dyDescent="0.25">
      <c r="A635" t="s">
        <v>149</v>
      </c>
      <c r="B635">
        <v>2010</v>
      </c>
      <c r="C635" t="s">
        <v>3</v>
      </c>
      <c r="D635" t="s">
        <v>27</v>
      </c>
      <c r="E635">
        <v>5</v>
      </c>
      <c r="F635" s="4" t="s">
        <v>8</v>
      </c>
      <c r="G635">
        <v>4410</v>
      </c>
      <c r="H635" s="2">
        <v>8458444</v>
      </c>
    </row>
    <row r="636" spans="1:8" x14ac:dyDescent="0.25">
      <c r="A636" t="s">
        <v>150</v>
      </c>
      <c r="B636">
        <v>2010</v>
      </c>
      <c r="C636" t="s">
        <v>2</v>
      </c>
      <c r="D636" t="s">
        <v>27</v>
      </c>
      <c r="E636">
        <v>5</v>
      </c>
      <c r="F636" s="4" t="s">
        <v>8</v>
      </c>
      <c r="G636">
        <v>991</v>
      </c>
      <c r="H636" s="2">
        <v>4849717</v>
      </c>
    </row>
    <row r="637" spans="1:8" x14ac:dyDescent="0.25">
      <c r="A637" t="s">
        <v>151</v>
      </c>
      <c r="B637">
        <v>2010</v>
      </c>
      <c r="C637" t="s">
        <v>1</v>
      </c>
      <c r="D637" t="s">
        <v>27</v>
      </c>
      <c r="E637">
        <v>5</v>
      </c>
      <c r="F637" s="4" t="s">
        <v>8</v>
      </c>
      <c r="G637">
        <v>122</v>
      </c>
      <c r="H637" s="2">
        <v>1022974</v>
      </c>
    </row>
    <row r="638" spans="1:8" x14ac:dyDescent="0.25">
      <c r="A638" t="s">
        <v>152</v>
      </c>
      <c r="B638">
        <v>2010</v>
      </c>
      <c r="C638" t="s">
        <v>0</v>
      </c>
      <c r="D638" t="s">
        <v>27</v>
      </c>
      <c r="E638">
        <v>5</v>
      </c>
      <c r="F638" s="4" t="s">
        <v>8</v>
      </c>
      <c r="G638">
        <v>88</v>
      </c>
      <c r="H638" s="2">
        <v>1022974</v>
      </c>
    </row>
    <row r="639" spans="1:8" x14ac:dyDescent="0.25">
      <c r="A639" t="s">
        <v>153</v>
      </c>
      <c r="B639">
        <v>2011</v>
      </c>
      <c r="C639" t="s">
        <v>6</v>
      </c>
      <c r="D639" t="s">
        <v>27</v>
      </c>
      <c r="E639">
        <v>5</v>
      </c>
      <c r="F639" s="4" t="s">
        <v>8</v>
      </c>
      <c r="G639">
        <v>34</v>
      </c>
      <c r="H639" s="2">
        <v>2765898</v>
      </c>
    </row>
    <row r="640" spans="1:8" x14ac:dyDescent="0.25">
      <c r="A640" t="s">
        <v>154</v>
      </c>
      <c r="B640">
        <v>2011</v>
      </c>
      <c r="C640" t="s">
        <v>5</v>
      </c>
      <c r="D640" t="s">
        <v>27</v>
      </c>
      <c r="E640">
        <v>5</v>
      </c>
      <c r="F640" s="4" t="s">
        <v>8</v>
      </c>
      <c r="G640">
        <v>124</v>
      </c>
      <c r="H640" s="2">
        <v>5516288</v>
      </c>
    </row>
    <row r="641" spans="1:8" x14ac:dyDescent="0.25">
      <c r="A641" t="s">
        <v>155</v>
      </c>
      <c r="B641">
        <v>2011</v>
      </c>
      <c r="C641" t="s">
        <v>4</v>
      </c>
      <c r="D641" t="s">
        <v>27</v>
      </c>
      <c r="E641">
        <v>5</v>
      </c>
      <c r="F641" s="4" t="s">
        <v>8</v>
      </c>
      <c r="G641">
        <v>3907</v>
      </c>
      <c r="H641" s="2">
        <v>5296319</v>
      </c>
    </row>
    <row r="642" spans="1:8" x14ac:dyDescent="0.25">
      <c r="A642" t="s">
        <v>156</v>
      </c>
      <c r="B642">
        <v>2011</v>
      </c>
      <c r="C642" t="s">
        <v>3</v>
      </c>
      <c r="D642" t="s">
        <v>27</v>
      </c>
      <c r="E642">
        <v>5</v>
      </c>
      <c r="F642" s="4" t="s">
        <v>8</v>
      </c>
      <c r="G642">
        <v>4259</v>
      </c>
      <c r="H642" s="2">
        <v>8602515</v>
      </c>
    </row>
    <row r="643" spans="1:8" x14ac:dyDescent="0.25">
      <c r="A643" t="s">
        <v>157</v>
      </c>
      <c r="B643">
        <v>2011</v>
      </c>
      <c r="C643" t="s">
        <v>2</v>
      </c>
      <c r="D643" t="s">
        <v>27</v>
      </c>
      <c r="E643">
        <v>5</v>
      </c>
      <c r="F643" s="4" t="s">
        <v>8</v>
      </c>
      <c r="G643">
        <v>1066</v>
      </c>
      <c r="H643" s="2">
        <v>5041154</v>
      </c>
    </row>
    <row r="644" spans="1:8" x14ac:dyDescent="0.25">
      <c r="A644" t="s">
        <v>158</v>
      </c>
      <c r="B644">
        <v>2011</v>
      </c>
      <c r="C644" t="s">
        <v>1</v>
      </c>
      <c r="D644" t="s">
        <v>27</v>
      </c>
      <c r="E644">
        <v>5</v>
      </c>
      <c r="F644" s="4" t="s">
        <v>8</v>
      </c>
      <c r="G644">
        <v>144</v>
      </c>
      <c r="H644" s="2">
        <v>1061340</v>
      </c>
    </row>
    <row r="645" spans="1:8" x14ac:dyDescent="0.25">
      <c r="A645" t="s">
        <v>159</v>
      </c>
      <c r="B645">
        <v>2011</v>
      </c>
      <c r="C645" t="s">
        <v>0</v>
      </c>
      <c r="D645" t="s">
        <v>27</v>
      </c>
      <c r="E645">
        <v>5</v>
      </c>
      <c r="F645" s="4" t="s">
        <v>8</v>
      </c>
      <c r="G645">
        <v>104</v>
      </c>
      <c r="H645" s="2">
        <v>1061340</v>
      </c>
    </row>
    <row r="646" spans="1:8" x14ac:dyDescent="0.25">
      <c r="A646" t="s">
        <v>160</v>
      </c>
      <c r="B646">
        <v>2012</v>
      </c>
      <c r="C646" t="s">
        <v>6</v>
      </c>
      <c r="D646" t="s">
        <v>27</v>
      </c>
      <c r="E646">
        <v>5</v>
      </c>
      <c r="F646" s="4" t="s">
        <v>8</v>
      </c>
      <c r="G646">
        <v>34</v>
      </c>
      <c r="H646" s="2">
        <v>2759356.4495101599</v>
      </c>
    </row>
    <row r="647" spans="1:8" x14ac:dyDescent="0.25">
      <c r="A647" t="s">
        <v>161</v>
      </c>
      <c r="B647">
        <v>2012</v>
      </c>
      <c r="C647" t="s">
        <v>5</v>
      </c>
      <c r="D647" t="s">
        <v>27</v>
      </c>
      <c r="E647">
        <v>5</v>
      </c>
      <c r="F647" s="4" t="s">
        <v>8</v>
      </c>
      <c r="G647">
        <v>142</v>
      </c>
      <c r="H647" s="2">
        <v>5537428.7927720398</v>
      </c>
    </row>
    <row r="648" spans="1:8" x14ac:dyDescent="0.25">
      <c r="A648" t="s">
        <v>162</v>
      </c>
      <c r="B648">
        <v>2012</v>
      </c>
      <c r="C648" t="s">
        <v>4</v>
      </c>
      <c r="D648" t="s">
        <v>27</v>
      </c>
      <c r="E648">
        <v>5</v>
      </c>
      <c r="F648" s="4" t="s">
        <v>8</v>
      </c>
      <c r="G648">
        <v>4307</v>
      </c>
      <c r="H648" s="2">
        <v>5307779.7280284902</v>
      </c>
    </row>
    <row r="649" spans="1:8" x14ac:dyDescent="0.25">
      <c r="A649" t="s">
        <v>163</v>
      </c>
      <c r="B649">
        <v>2012</v>
      </c>
      <c r="C649" t="s">
        <v>3</v>
      </c>
      <c r="D649" t="s">
        <v>27</v>
      </c>
      <c r="E649">
        <v>5</v>
      </c>
      <c r="F649" s="4" t="s">
        <v>8</v>
      </c>
      <c r="G649">
        <v>4846</v>
      </c>
      <c r="H649" s="2">
        <v>8748082.6996606905</v>
      </c>
    </row>
    <row r="650" spans="1:8" x14ac:dyDescent="0.25">
      <c r="A650" t="s">
        <v>164</v>
      </c>
      <c r="B650">
        <v>2012</v>
      </c>
      <c r="C650" t="s">
        <v>2</v>
      </c>
      <c r="D650" t="s">
        <v>27</v>
      </c>
      <c r="E650">
        <v>5</v>
      </c>
      <c r="F650" s="4" t="s">
        <v>8</v>
      </c>
      <c r="G650">
        <v>1066</v>
      </c>
      <c r="H650" s="2">
        <v>5230482.0778962998</v>
      </c>
    </row>
    <row r="651" spans="1:8" x14ac:dyDescent="0.25">
      <c r="A651" t="s">
        <v>165</v>
      </c>
      <c r="B651">
        <v>2012</v>
      </c>
      <c r="C651" t="s">
        <v>1</v>
      </c>
      <c r="D651" t="s">
        <v>27</v>
      </c>
      <c r="E651">
        <v>5</v>
      </c>
      <c r="F651" s="4" t="s">
        <v>8</v>
      </c>
      <c r="G651">
        <v>169</v>
      </c>
      <c r="H651" s="2">
        <v>1102796.7939262099</v>
      </c>
    </row>
    <row r="652" spans="1:8" x14ac:dyDescent="0.25">
      <c r="A652" t="s">
        <v>166</v>
      </c>
      <c r="B652">
        <v>2012</v>
      </c>
      <c r="C652" t="s">
        <v>0</v>
      </c>
      <c r="D652" t="s">
        <v>27</v>
      </c>
      <c r="E652">
        <v>5</v>
      </c>
      <c r="F652" s="4" t="s">
        <v>8</v>
      </c>
      <c r="G652">
        <v>107</v>
      </c>
      <c r="H652" s="2">
        <v>1102796.7939262099</v>
      </c>
    </row>
    <row r="653" spans="1:8" x14ac:dyDescent="0.25">
      <c r="A653" t="s">
        <v>167</v>
      </c>
      <c r="B653">
        <v>2013</v>
      </c>
      <c r="C653" t="s">
        <v>6</v>
      </c>
      <c r="D653" t="s">
        <v>27</v>
      </c>
      <c r="E653">
        <v>5</v>
      </c>
      <c r="F653" s="4" t="s">
        <v>8</v>
      </c>
      <c r="G653">
        <v>31</v>
      </c>
      <c r="H653" s="2">
        <v>2752322.19750119</v>
      </c>
    </row>
    <row r="654" spans="1:8" x14ac:dyDescent="0.25">
      <c r="A654" t="s">
        <v>168</v>
      </c>
      <c r="B654">
        <v>2013</v>
      </c>
      <c r="C654" t="s">
        <v>5</v>
      </c>
      <c r="D654" t="s">
        <v>27</v>
      </c>
      <c r="E654">
        <v>5</v>
      </c>
      <c r="F654" s="4" t="s">
        <v>8</v>
      </c>
      <c r="G654">
        <v>127</v>
      </c>
      <c r="H654" s="2">
        <v>5554323.1251711203</v>
      </c>
    </row>
    <row r="655" spans="1:8" x14ac:dyDescent="0.25">
      <c r="A655" t="s">
        <v>169</v>
      </c>
      <c r="B655">
        <v>2013</v>
      </c>
      <c r="C655" t="s">
        <v>4</v>
      </c>
      <c r="D655" t="s">
        <v>27</v>
      </c>
      <c r="E655">
        <v>5</v>
      </c>
      <c r="F655" s="4" t="s">
        <v>8</v>
      </c>
      <c r="G655">
        <v>3925</v>
      </c>
      <c r="H655" s="2">
        <v>5323364.8480997998</v>
      </c>
    </row>
    <row r="656" spans="1:8" x14ac:dyDescent="0.25">
      <c r="A656" t="s">
        <v>170</v>
      </c>
      <c r="B656">
        <v>2013</v>
      </c>
      <c r="C656" t="s">
        <v>3</v>
      </c>
      <c r="D656" t="s">
        <v>27</v>
      </c>
      <c r="E656">
        <v>5</v>
      </c>
      <c r="F656" s="4" t="s">
        <v>8</v>
      </c>
      <c r="G656">
        <v>4280</v>
      </c>
      <c r="H656" s="2">
        <v>8893718.1904660594</v>
      </c>
    </row>
    <row r="657" spans="1:8" x14ac:dyDescent="0.25">
      <c r="A657" t="s">
        <v>171</v>
      </c>
      <c r="B657">
        <v>2013</v>
      </c>
      <c r="C657" t="s">
        <v>2</v>
      </c>
      <c r="D657" t="s">
        <v>27</v>
      </c>
      <c r="E657">
        <v>5</v>
      </c>
      <c r="F657" s="4" t="s">
        <v>8</v>
      </c>
      <c r="G657">
        <v>897</v>
      </c>
      <c r="H657" s="2">
        <v>5415783.9591287402</v>
      </c>
    </row>
    <row r="658" spans="1:8" x14ac:dyDescent="0.25">
      <c r="A658" t="s">
        <v>172</v>
      </c>
      <c r="B658">
        <v>2013</v>
      </c>
      <c r="C658" t="s">
        <v>1</v>
      </c>
      <c r="D658" t="s">
        <v>27</v>
      </c>
      <c r="E658">
        <v>5</v>
      </c>
      <c r="F658" s="4" t="s">
        <v>8</v>
      </c>
      <c r="G658">
        <v>115</v>
      </c>
      <c r="H658" s="2">
        <v>1147296.6505007599</v>
      </c>
    </row>
    <row r="659" spans="1:8" x14ac:dyDescent="0.25">
      <c r="A659" t="s">
        <v>173</v>
      </c>
      <c r="B659">
        <v>2013</v>
      </c>
      <c r="C659" t="s">
        <v>0</v>
      </c>
      <c r="D659" t="s">
        <v>27</v>
      </c>
      <c r="E659">
        <v>5</v>
      </c>
      <c r="F659" s="4" t="s">
        <v>8</v>
      </c>
      <c r="G659">
        <v>83</v>
      </c>
      <c r="H659" s="2">
        <v>1147296.6505007599</v>
      </c>
    </row>
    <row r="660" spans="1:8" x14ac:dyDescent="0.25">
      <c r="A660" t="s">
        <v>174</v>
      </c>
      <c r="B660">
        <v>2014</v>
      </c>
      <c r="C660" t="s">
        <v>6</v>
      </c>
      <c r="D660" t="s">
        <v>27</v>
      </c>
      <c r="E660">
        <v>5</v>
      </c>
      <c r="F660" s="4" t="s">
        <v>8</v>
      </c>
      <c r="G660">
        <v>28</v>
      </c>
      <c r="H660" s="2">
        <v>2744697</v>
      </c>
    </row>
    <row r="661" spans="1:8" x14ac:dyDescent="0.25">
      <c r="A661" t="s">
        <v>175</v>
      </c>
      <c r="B661">
        <v>2014</v>
      </c>
      <c r="C661" t="s">
        <v>5</v>
      </c>
      <c r="D661" t="s">
        <v>27</v>
      </c>
      <c r="E661">
        <v>5</v>
      </c>
      <c r="F661" s="4" t="s">
        <v>8</v>
      </c>
      <c r="G661">
        <v>131</v>
      </c>
      <c r="H661" s="2">
        <v>5566437</v>
      </c>
    </row>
    <row r="662" spans="1:8" x14ac:dyDescent="0.25">
      <c r="A662" t="s">
        <v>176</v>
      </c>
      <c r="B662">
        <v>2014</v>
      </c>
      <c r="C662" t="s">
        <v>4</v>
      </c>
      <c r="D662" t="s">
        <v>27</v>
      </c>
      <c r="E662">
        <v>5</v>
      </c>
      <c r="F662" s="4" t="s">
        <v>8</v>
      </c>
      <c r="G662">
        <v>4165</v>
      </c>
      <c r="H662" s="2">
        <v>5343109</v>
      </c>
    </row>
    <row r="663" spans="1:8" x14ac:dyDescent="0.25">
      <c r="A663" t="s">
        <v>177</v>
      </c>
      <c r="B663">
        <v>2014</v>
      </c>
      <c r="C663" t="s">
        <v>3</v>
      </c>
      <c r="D663" t="s">
        <v>27</v>
      </c>
      <c r="E663">
        <v>5</v>
      </c>
      <c r="F663" s="4" t="s">
        <v>8</v>
      </c>
      <c r="G663">
        <v>4294</v>
      </c>
      <c r="H663" s="2">
        <v>9037113</v>
      </c>
    </row>
    <row r="664" spans="1:8" x14ac:dyDescent="0.25">
      <c r="A664" t="s">
        <v>178</v>
      </c>
      <c r="B664">
        <v>2014</v>
      </c>
      <c r="C664" t="s">
        <v>2</v>
      </c>
      <c r="D664" t="s">
        <v>27</v>
      </c>
      <c r="E664">
        <v>5</v>
      </c>
      <c r="F664" s="4" t="s">
        <v>8</v>
      </c>
      <c r="G664">
        <v>988</v>
      </c>
      <c r="H664" s="2">
        <v>5597164</v>
      </c>
    </row>
    <row r="665" spans="1:8" x14ac:dyDescent="0.25">
      <c r="A665" t="s">
        <v>179</v>
      </c>
      <c r="B665">
        <v>2014</v>
      </c>
      <c r="C665" t="s">
        <v>1</v>
      </c>
      <c r="D665" t="s">
        <v>27</v>
      </c>
      <c r="E665">
        <v>5</v>
      </c>
      <c r="F665" s="4" t="s">
        <v>8</v>
      </c>
      <c r="G665">
        <v>141</v>
      </c>
      <c r="H665" s="2">
        <v>1194627</v>
      </c>
    </row>
    <row r="666" spans="1:8" x14ac:dyDescent="0.25">
      <c r="A666" t="s">
        <v>180</v>
      </c>
      <c r="B666">
        <v>2014</v>
      </c>
      <c r="C666" t="s">
        <v>0</v>
      </c>
      <c r="D666" t="s">
        <v>27</v>
      </c>
      <c r="E666">
        <v>5</v>
      </c>
      <c r="F666" s="4" t="s">
        <v>8</v>
      </c>
      <c r="G666">
        <v>71</v>
      </c>
      <c r="H666" s="2">
        <v>1194627</v>
      </c>
    </row>
    <row r="667" spans="1:8" x14ac:dyDescent="0.25">
      <c r="A667" t="s">
        <v>48</v>
      </c>
      <c r="B667">
        <v>1996</v>
      </c>
      <c r="C667" t="s">
        <v>6</v>
      </c>
      <c r="D667" t="s">
        <v>27</v>
      </c>
      <c r="E667">
        <v>6</v>
      </c>
      <c r="F667" s="4" t="s">
        <v>18</v>
      </c>
      <c r="G667">
        <v>12</v>
      </c>
      <c r="H667" s="2">
        <v>2669011.0638103201</v>
      </c>
    </row>
    <row r="668" spans="1:8" x14ac:dyDescent="0.25">
      <c r="A668" t="s">
        <v>49</v>
      </c>
      <c r="B668">
        <v>1996</v>
      </c>
      <c r="C668" t="s">
        <v>5</v>
      </c>
      <c r="D668" t="s">
        <v>27</v>
      </c>
      <c r="E668">
        <v>6</v>
      </c>
      <c r="F668" s="4" t="s">
        <v>18</v>
      </c>
      <c r="G668">
        <v>16</v>
      </c>
      <c r="H668" s="2">
        <v>5336689.2615659405</v>
      </c>
    </row>
    <row r="669" spans="1:8" x14ac:dyDescent="0.25">
      <c r="A669" t="s">
        <v>50</v>
      </c>
      <c r="B669">
        <v>1996</v>
      </c>
      <c r="C669" t="s">
        <v>4</v>
      </c>
      <c r="D669" t="s">
        <v>27</v>
      </c>
      <c r="E669">
        <v>6</v>
      </c>
      <c r="F669" s="4" t="s">
        <v>18</v>
      </c>
      <c r="G669">
        <v>51</v>
      </c>
      <c r="H669" s="2">
        <v>4328734.7335640304</v>
      </c>
    </row>
    <row r="670" spans="1:8" x14ac:dyDescent="0.25">
      <c r="A670" t="s">
        <v>51</v>
      </c>
      <c r="B670">
        <v>1996</v>
      </c>
      <c r="C670" t="s">
        <v>3</v>
      </c>
      <c r="D670" t="s">
        <v>27</v>
      </c>
      <c r="E670">
        <v>6</v>
      </c>
      <c r="F670" s="4" t="s">
        <v>18</v>
      </c>
      <c r="G670">
        <v>272</v>
      </c>
      <c r="H670" s="2">
        <v>6500086.9398599695</v>
      </c>
    </row>
    <row r="671" spans="1:8" x14ac:dyDescent="0.25">
      <c r="A671" t="s">
        <v>52</v>
      </c>
      <c r="B671">
        <v>1996</v>
      </c>
      <c r="C671" t="s">
        <v>2</v>
      </c>
      <c r="D671" t="s">
        <v>27</v>
      </c>
      <c r="E671">
        <v>6</v>
      </c>
      <c r="F671" s="4" t="s">
        <v>18</v>
      </c>
      <c r="G671">
        <v>1450</v>
      </c>
      <c r="H671" s="2">
        <v>2862216.4853526298</v>
      </c>
    </row>
    <row r="672" spans="1:8" x14ac:dyDescent="0.25">
      <c r="A672" t="s">
        <v>53</v>
      </c>
      <c r="B672">
        <v>1996</v>
      </c>
      <c r="C672" t="s">
        <v>1</v>
      </c>
      <c r="D672" t="s">
        <v>27</v>
      </c>
      <c r="E672">
        <v>6</v>
      </c>
      <c r="F672" s="4" t="s">
        <v>18</v>
      </c>
      <c r="G672">
        <v>1343</v>
      </c>
      <c r="H672" s="2">
        <v>710343.28776711202</v>
      </c>
    </row>
    <row r="673" spans="1:8" x14ac:dyDescent="0.25">
      <c r="A673" t="s">
        <v>54</v>
      </c>
      <c r="B673">
        <v>1996</v>
      </c>
      <c r="C673" t="s">
        <v>0</v>
      </c>
      <c r="D673" t="s">
        <v>27</v>
      </c>
      <c r="E673">
        <v>6</v>
      </c>
      <c r="F673" s="4" t="s">
        <v>18</v>
      </c>
      <c r="G673">
        <v>1306</v>
      </c>
      <c r="H673" s="2">
        <v>710343.28776711202</v>
      </c>
    </row>
    <row r="674" spans="1:8" x14ac:dyDescent="0.25">
      <c r="A674" t="s">
        <v>55</v>
      </c>
      <c r="B674">
        <v>1997</v>
      </c>
      <c r="C674" t="s">
        <v>6</v>
      </c>
      <c r="D674" t="s">
        <v>27</v>
      </c>
      <c r="E674">
        <v>6</v>
      </c>
      <c r="F674" s="4" t="s">
        <v>18</v>
      </c>
      <c r="G674">
        <v>10</v>
      </c>
      <c r="H674" s="2">
        <v>2689637.03828619</v>
      </c>
    </row>
    <row r="675" spans="1:8" x14ac:dyDescent="0.25">
      <c r="A675" t="s">
        <v>56</v>
      </c>
      <c r="B675">
        <v>1997</v>
      </c>
      <c r="C675" t="s">
        <v>5</v>
      </c>
      <c r="D675" t="s">
        <v>27</v>
      </c>
      <c r="E675">
        <v>6</v>
      </c>
      <c r="F675" s="4" t="s">
        <v>18</v>
      </c>
      <c r="G675">
        <v>12</v>
      </c>
      <c r="H675" s="2">
        <v>5352218.1569395596</v>
      </c>
    </row>
    <row r="676" spans="1:8" x14ac:dyDescent="0.25">
      <c r="A676" t="s">
        <v>57</v>
      </c>
      <c r="B676">
        <v>1997</v>
      </c>
      <c r="C676" t="s">
        <v>4</v>
      </c>
      <c r="D676" t="s">
        <v>27</v>
      </c>
      <c r="E676">
        <v>6</v>
      </c>
      <c r="F676" s="4" t="s">
        <v>18</v>
      </c>
      <c r="G676">
        <v>49</v>
      </c>
      <c r="H676" s="2">
        <v>4441903.2401384199</v>
      </c>
    </row>
    <row r="677" spans="1:8" x14ac:dyDescent="0.25">
      <c r="A677" t="s">
        <v>58</v>
      </c>
      <c r="B677">
        <v>1997</v>
      </c>
      <c r="C677" t="s">
        <v>3</v>
      </c>
      <c r="D677" t="s">
        <v>27</v>
      </c>
      <c r="E677">
        <v>6</v>
      </c>
      <c r="F677" s="4" t="s">
        <v>18</v>
      </c>
      <c r="G677">
        <v>298</v>
      </c>
      <c r="H677" s="2">
        <v>6652916.9639159804</v>
      </c>
    </row>
    <row r="678" spans="1:8" x14ac:dyDescent="0.25">
      <c r="A678" t="s">
        <v>59</v>
      </c>
      <c r="B678">
        <v>1997</v>
      </c>
      <c r="C678" t="s">
        <v>2</v>
      </c>
      <c r="D678" t="s">
        <v>27</v>
      </c>
      <c r="E678">
        <v>6</v>
      </c>
      <c r="F678" s="4" t="s">
        <v>18</v>
      </c>
      <c r="G678">
        <v>1607</v>
      </c>
      <c r="H678" s="2">
        <v>2950439.89121158</v>
      </c>
    </row>
    <row r="679" spans="1:8" x14ac:dyDescent="0.25">
      <c r="A679" t="s">
        <v>60</v>
      </c>
      <c r="B679">
        <v>1997</v>
      </c>
      <c r="C679" t="s">
        <v>1</v>
      </c>
      <c r="D679" t="s">
        <v>27</v>
      </c>
      <c r="E679">
        <v>6</v>
      </c>
      <c r="F679" s="4" t="s">
        <v>18</v>
      </c>
      <c r="G679">
        <v>1443</v>
      </c>
      <c r="H679" s="2">
        <v>717390.37266026705</v>
      </c>
    </row>
    <row r="680" spans="1:8" x14ac:dyDescent="0.25">
      <c r="A680" t="s">
        <v>61</v>
      </c>
      <c r="B680">
        <v>1997</v>
      </c>
      <c r="C680" t="s">
        <v>0</v>
      </c>
      <c r="D680" t="s">
        <v>27</v>
      </c>
      <c r="E680">
        <v>6</v>
      </c>
      <c r="F680" s="4" t="s">
        <v>18</v>
      </c>
      <c r="G680">
        <v>1413</v>
      </c>
      <c r="H680" s="2">
        <v>717390.37266026705</v>
      </c>
    </row>
    <row r="681" spans="1:8" x14ac:dyDescent="0.25">
      <c r="A681" t="s">
        <v>62</v>
      </c>
      <c r="B681">
        <v>1998</v>
      </c>
      <c r="C681" t="s">
        <v>6</v>
      </c>
      <c r="D681" t="s">
        <v>27</v>
      </c>
      <c r="E681">
        <v>6</v>
      </c>
      <c r="F681" s="4" t="s">
        <v>18</v>
      </c>
      <c r="G681">
        <v>4</v>
      </c>
      <c r="H681" s="2">
        <v>2707580.5191430999</v>
      </c>
    </row>
    <row r="682" spans="1:8" x14ac:dyDescent="0.25">
      <c r="A682" t="s">
        <v>63</v>
      </c>
      <c r="B682">
        <v>1998</v>
      </c>
      <c r="C682" t="s">
        <v>5</v>
      </c>
      <c r="D682" t="s">
        <v>27</v>
      </c>
      <c r="E682">
        <v>6</v>
      </c>
      <c r="F682" s="4" t="s">
        <v>18</v>
      </c>
      <c r="G682">
        <v>14</v>
      </c>
      <c r="H682" s="2">
        <v>5360232.5784697803</v>
      </c>
    </row>
    <row r="683" spans="1:8" x14ac:dyDescent="0.25">
      <c r="A683" t="s">
        <v>64</v>
      </c>
      <c r="B683">
        <v>1998</v>
      </c>
      <c r="C683" t="s">
        <v>4</v>
      </c>
      <c r="D683" t="s">
        <v>27</v>
      </c>
      <c r="E683">
        <v>6</v>
      </c>
      <c r="F683" s="4" t="s">
        <v>18</v>
      </c>
      <c r="G683">
        <v>64</v>
      </c>
      <c r="H683" s="2">
        <v>4551586.6200692104</v>
      </c>
    </row>
    <row r="684" spans="1:8" x14ac:dyDescent="0.25">
      <c r="A684" t="s">
        <v>65</v>
      </c>
      <c r="B684">
        <v>1998</v>
      </c>
      <c r="C684" t="s">
        <v>3</v>
      </c>
      <c r="D684" t="s">
        <v>27</v>
      </c>
      <c r="E684">
        <v>6</v>
      </c>
      <c r="F684" s="4" t="s">
        <v>18</v>
      </c>
      <c r="G684">
        <v>290</v>
      </c>
      <c r="H684" s="2">
        <v>6800752.4819579897</v>
      </c>
    </row>
    <row r="685" spans="1:8" x14ac:dyDescent="0.25">
      <c r="A685" t="s">
        <v>66</v>
      </c>
      <c r="B685">
        <v>1998</v>
      </c>
      <c r="C685" t="s">
        <v>2</v>
      </c>
      <c r="D685" t="s">
        <v>27</v>
      </c>
      <c r="E685">
        <v>6</v>
      </c>
      <c r="F685" s="4" t="s">
        <v>18</v>
      </c>
      <c r="G685">
        <v>1589</v>
      </c>
      <c r="H685" s="2">
        <v>3048176.4456057898</v>
      </c>
    </row>
    <row r="686" spans="1:8" x14ac:dyDescent="0.25">
      <c r="A686" t="s">
        <v>67</v>
      </c>
      <c r="B686">
        <v>1998</v>
      </c>
      <c r="C686" t="s">
        <v>1</v>
      </c>
      <c r="D686" t="s">
        <v>27</v>
      </c>
      <c r="E686">
        <v>6</v>
      </c>
      <c r="F686" s="4" t="s">
        <v>18</v>
      </c>
      <c r="G686">
        <v>1405</v>
      </c>
      <c r="H686" s="2">
        <v>727932.186330133</v>
      </c>
    </row>
    <row r="687" spans="1:8" x14ac:dyDescent="0.25">
      <c r="A687" t="s">
        <v>68</v>
      </c>
      <c r="B687">
        <v>1998</v>
      </c>
      <c r="C687" t="s">
        <v>0</v>
      </c>
      <c r="D687" t="s">
        <v>27</v>
      </c>
      <c r="E687">
        <v>6</v>
      </c>
      <c r="F687" s="4" t="s">
        <v>18</v>
      </c>
      <c r="G687">
        <v>1501</v>
      </c>
      <c r="H687" s="2">
        <v>727932.186330133</v>
      </c>
    </row>
    <row r="688" spans="1:8" x14ac:dyDescent="0.25">
      <c r="A688" t="s">
        <v>69</v>
      </c>
      <c r="B688">
        <v>1999</v>
      </c>
      <c r="C688" t="s">
        <v>6</v>
      </c>
      <c r="D688" t="s">
        <v>27</v>
      </c>
      <c r="E688">
        <v>6</v>
      </c>
      <c r="F688" s="4" t="s">
        <v>18</v>
      </c>
      <c r="G688">
        <v>11</v>
      </c>
      <c r="H688" s="2">
        <v>2723058.5063810302</v>
      </c>
    </row>
    <row r="689" spans="1:8" x14ac:dyDescent="0.25">
      <c r="A689" t="s">
        <v>70</v>
      </c>
      <c r="B689">
        <v>1999</v>
      </c>
      <c r="C689" t="s">
        <v>5</v>
      </c>
      <c r="D689" t="s">
        <v>27</v>
      </c>
      <c r="E689">
        <v>6</v>
      </c>
      <c r="F689" s="4" t="s">
        <v>18</v>
      </c>
      <c r="G689">
        <v>16</v>
      </c>
      <c r="H689" s="2">
        <v>5362927.5261565903</v>
      </c>
    </row>
    <row r="690" spans="1:8" x14ac:dyDescent="0.25">
      <c r="A690" t="s">
        <v>71</v>
      </c>
      <c r="B690">
        <v>1999</v>
      </c>
      <c r="C690" t="s">
        <v>4</v>
      </c>
      <c r="D690" t="s">
        <v>27</v>
      </c>
      <c r="E690">
        <v>6</v>
      </c>
      <c r="F690" s="4" t="s">
        <v>18</v>
      </c>
      <c r="G690">
        <v>46</v>
      </c>
      <c r="H690" s="2">
        <v>4656740.8733564001</v>
      </c>
    </row>
    <row r="691" spans="1:8" x14ac:dyDescent="0.25">
      <c r="A691" t="s">
        <v>72</v>
      </c>
      <c r="B691">
        <v>1999</v>
      </c>
      <c r="C691" t="s">
        <v>3</v>
      </c>
      <c r="D691" t="s">
        <v>27</v>
      </c>
      <c r="E691">
        <v>6</v>
      </c>
      <c r="F691" s="4" t="s">
        <v>18</v>
      </c>
      <c r="G691">
        <v>278</v>
      </c>
      <c r="H691" s="2">
        <v>6944474.4939860003</v>
      </c>
    </row>
    <row r="692" spans="1:8" x14ac:dyDescent="0.25">
      <c r="A692" t="s">
        <v>73</v>
      </c>
      <c r="B692">
        <v>1999</v>
      </c>
      <c r="C692" t="s">
        <v>2</v>
      </c>
      <c r="D692" t="s">
        <v>27</v>
      </c>
      <c r="E692">
        <v>6</v>
      </c>
      <c r="F692" s="4" t="s">
        <v>18</v>
      </c>
      <c r="G692">
        <v>1833</v>
      </c>
      <c r="H692" s="2">
        <v>3155060.14853526</v>
      </c>
    </row>
    <row r="693" spans="1:8" x14ac:dyDescent="0.25">
      <c r="A693" t="s">
        <v>74</v>
      </c>
      <c r="B693">
        <v>1999</v>
      </c>
      <c r="C693" t="s">
        <v>1</v>
      </c>
      <c r="D693" t="s">
        <v>27</v>
      </c>
      <c r="E693">
        <v>6</v>
      </c>
      <c r="F693" s="4" t="s">
        <v>18</v>
      </c>
      <c r="G693">
        <v>1729</v>
      </c>
      <c r="H693" s="2">
        <v>741553.72877671104</v>
      </c>
    </row>
    <row r="694" spans="1:8" x14ac:dyDescent="0.25">
      <c r="A694" t="s">
        <v>75</v>
      </c>
      <c r="B694">
        <v>1999</v>
      </c>
      <c r="C694" t="s">
        <v>0</v>
      </c>
      <c r="D694" t="s">
        <v>27</v>
      </c>
      <c r="E694">
        <v>6</v>
      </c>
      <c r="F694" s="4" t="s">
        <v>18</v>
      </c>
      <c r="G694">
        <v>1811</v>
      </c>
      <c r="H694" s="2">
        <v>741553.72877671104</v>
      </c>
    </row>
    <row r="695" spans="1:8" x14ac:dyDescent="0.25">
      <c r="A695" t="s">
        <v>76</v>
      </c>
      <c r="B695">
        <v>2000</v>
      </c>
      <c r="C695" t="s">
        <v>6</v>
      </c>
      <c r="D695" t="s">
        <v>27</v>
      </c>
      <c r="E695">
        <v>6</v>
      </c>
      <c r="F695" s="4" t="s">
        <v>18</v>
      </c>
      <c r="G695">
        <v>13</v>
      </c>
      <c r="H695" s="2">
        <v>2736288</v>
      </c>
    </row>
    <row r="696" spans="1:8" x14ac:dyDescent="0.25">
      <c r="A696" t="s">
        <v>77</v>
      </c>
      <c r="B696">
        <v>2000</v>
      </c>
      <c r="C696" t="s">
        <v>5</v>
      </c>
      <c r="D696" t="s">
        <v>27</v>
      </c>
      <c r="E696">
        <v>6</v>
      </c>
      <c r="F696" s="4" t="s">
        <v>18</v>
      </c>
      <c r="G696">
        <v>16</v>
      </c>
      <c r="H696" s="2">
        <v>5362498</v>
      </c>
    </row>
    <row r="697" spans="1:8" x14ac:dyDescent="0.25">
      <c r="A697" t="s">
        <v>78</v>
      </c>
      <c r="B697">
        <v>2000</v>
      </c>
      <c r="C697" t="s">
        <v>4</v>
      </c>
      <c r="D697" t="s">
        <v>27</v>
      </c>
      <c r="E697">
        <v>6</v>
      </c>
      <c r="F697" s="4" t="s">
        <v>18</v>
      </c>
      <c r="G697">
        <v>63</v>
      </c>
      <c r="H697" s="2">
        <v>4756322</v>
      </c>
    </row>
    <row r="698" spans="1:8" x14ac:dyDescent="0.25">
      <c r="A698" t="s">
        <v>79</v>
      </c>
      <c r="B698">
        <v>2000</v>
      </c>
      <c r="C698" t="s">
        <v>3</v>
      </c>
      <c r="D698" t="s">
        <v>27</v>
      </c>
      <c r="E698">
        <v>6</v>
      </c>
      <c r="F698" s="4" t="s">
        <v>18</v>
      </c>
      <c r="G698">
        <v>303</v>
      </c>
      <c r="H698" s="2">
        <v>7084964</v>
      </c>
    </row>
    <row r="699" spans="1:8" x14ac:dyDescent="0.25">
      <c r="A699" t="s">
        <v>80</v>
      </c>
      <c r="B699">
        <v>2000</v>
      </c>
      <c r="C699" t="s">
        <v>2</v>
      </c>
      <c r="D699" t="s">
        <v>27</v>
      </c>
      <c r="E699">
        <v>6</v>
      </c>
      <c r="F699" s="4" t="s">
        <v>18</v>
      </c>
      <c r="G699">
        <v>1888</v>
      </c>
      <c r="H699" s="2">
        <v>3270725</v>
      </c>
    </row>
    <row r="700" spans="1:8" x14ac:dyDescent="0.25">
      <c r="A700" t="s">
        <v>81</v>
      </c>
      <c r="B700">
        <v>2000</v>
      </c>
      <c r="C700" t="s">
        <v>1</v>
      </c>
      <c r="D700" t="s">
        <v>27</v>
      </c>
      <c r="E700">
        <v>6</v>
      </c>
      <c r="F700" s="4" t="s">
        <v>18</v>
      </c>
      <c r="G700">
        <v>1811</v>
      </c>
      <c r="H700" s="2">
        <v>757840</v>
      </c>
    </row>
    <row r="701" spans="1:8" x14ac:dyDescent="0.25">
      <c r="A701" t="s">
        <v>82</v>
      </c>
      <c r="B701">
        <v>2000</v>
      </c>
      <c r="C701" t="s">
        <v>0</v>
      </c>
      <c r="D701" t="s">
        <v>27</v>
      </c>
      <c r="E701">
        <v>6</v>
      </c>
      <c r="F701" s="4" t="s">
        <v>18</v>
      </c>
      <c r="G701">
        <v>1847</v>
      </c>
      <c r="H701" s="2">
        <v>757840</v>
      </c>
    </row>
    <row r="702" spans="1:8" x14ac:dyDescent="0.25">
      <c r="A702" t="s">
        <v>83</v>
      </c>
      <c r="B702">
        <v>2001</v>
      </c>
      <c r="C702" t="s">
        <v>6</v>
      </c>
      <c r="D702" t="s">
        <v>27</v>
      </c>
      <c r="E702">
        <v>6</v>
      </c>
      <c r="F702" s="4" t="s">
        <v>18</v>
      </c>
      <c r="G702">
        <v>11</v>
      </c>
      <c r="H702" s="2">
        <v>2747486</v>
      </c>
    </row>
    <row r="703" spans="1:8" x14ac:dyDescent="0.25">
      <c r="A703" t="s">
        <v>84</v>
      </c>
      <c r="B703">
        <v>2001</v>
      </c>
      <c r="C703" t="s">
        <v>5</v>
      </c>
      <c r="D703" t="s">
        <v>27</v>
      </c>
      <c r="E703">
        <v>6</v>
      </c>
      <c r="F703" s="4" t="s">
        <v>18</v>
      </c>
      <c r="G703">
        <v>12</v>
      </c>
      <c r="H703" s="2">
        <v>5361139</v>
      </c>
    </row>
    <row r="704" spans="1:8" x14ac:dyDescent="0.25">
      <c r="A704" t="s">
        <v>85</v>
      </c>
      <c r="B704">
        <v>2001</v>
      </c>
      <c r="C704" t="s">
        <v>4</v>
      </c>
      <c r="D704" t="s">
        <v>27</v>
      </c>
      <c r="E704">
        <v>6</v>
      </c>
      <c r="F704" s="4" t="s">
        <v>18</v>
      </c>
      <c r="G704">
        <v>48</v>
      </c>
      <c r="H704" s="2">
        <v>4849286</v>
      </c>
    </row>
    <row r="705" spans="1:8" x14ac:dyDescent="0.25">
      <c r="A705" t="s">
        <v>86</v>
      </c>
      <c r="B705">
        <v>2001</v>
      </c>
      <c r="C705" t="s">
        <v>3</v>
      </c>
      <c r="D705" t="s">
        <v>27</v>
      </c>
      <c r="E705">
        <v>6</v>
      </c>
      <c r="F705" s="4" t="s">
        <v>18</v>
      </c>
      <c r="G705">
        <v>314</v>
      </c>
      <c r="H705" s="2">
        <v>7223102</v>
      </c>
    </row>
    <row r="706" spans="1:8" x14ac:dyDescent="0.25">
      <c r="A706" t="s">
        <v>87</v>
      </c>
      <c r="B706">
        <v>2001</v>
      </c>
      <c r="C706" t="s">
        <v>2</v>
      </c>
      <c r="D706" t="s">
        <v>27</v>
      </c>
      <c r="E706">
        <v>6</v>
      </c>
      <c r="F706" s="4" t="s">
        <v>18</v>
      </c>
      <c r="G706">
        <v>2037</v>
      </c>
      <c r="H706" s="2">
        <v>3394805</v>
      </c>
    </row>
    <row r="707" spans="1:8" x14ac:dyDescent="0.25">
      <c r="A707" t="s">
        <v>88</v>
      </c>
      <c r="B707">
        <v>2001</v>
      </c>
      <c r="C707" t="s">
        <v>1</v>
      </c>
      <c r="D707" t="s">
        <v>27</v>
      </c>
      <c r="E707">
        <v>6</v>
      </c>
      <c r="F707" s="4" t="s">
        <v>18</v>
      </c>
      <c r="G707">
        <v>1825</v>
      </c>
      <c r="H707" s="2">
        <v>776376</v>
      </c>
    </row>
    <row r="708" spans="1:8" x14ac:dyDescent="0.25">
      <c r="A708" t="s">
        <v>89</v>
      </c>
      <c r="B708">
        <v>2001</v>
      </c>
      <c r="C708" t="s">
        <v>0</v>
      </c>
      <c r="D708" t="s">
        <v>27</v>
      </c>
      <c r="E708">
        <v>6</v>
      </c>
      <c r="F708" s="4" t="s">
        <v>18</v>
      </c>
      <c r="G708">
        <v>2050</v>
      </c>
      <c r="H708" s="2">
        <v>776376</v>
      </c>
    </row>
    <row r="709" spans="1:8" x14ac:dyDescent="0.25">
      <c r="A709" t="s">
        <v>90</v>
      </c>
      <c r="B709">
        <v>2002</v>
      </c>
      <c r="C709" t="s">
        <v>6</v>
      </c>
      <c r="D709" t="s">
        <v>27</v>
      </c>
      <c r="E709">
        <v>6</v>
      </c>
      <c r="F709" s="4" t="s">
        <v>18</v>
      </c>
      <c r="G709">
        <v>5</v>
      </c>
      <c r="H709" s="2">
        <v>2756879</v>
      </c>
    </row>
    <row r="710" spans="1:8" x14ac:dyDescent="0.25">
      <c r="A710" t="s">
        <v>91</v>
      </c>
      <c r="B710">
        <v>2002</v>
      </c>
      <c r="C710" t="s">
        <v>5</v>
      </c>
      <c r="D710" t="s">
        <v>27</v>
      </c>
      <c r="E710">
        <v>6</v>
      </c>
      <c r="F710" s="4" t="s">
        <v>18</v>
      </c>
      <c r="G710">
        <v>9</v>
      </c>
      <c r="H710" s="2">
        <v>5361107</v>
      </c>
    </row>
    <row r="711" spans="1:8" x14ac:dyDescent="0.25">
      <c r="A711" t="s">
        <v>92</v>
      </c>
      <c r="B711">
        <v>2002</v>
      </c>
      <c r="C711" t="s">
        <v>4</v>
      </c>
      <c r="D711" t="s">
        <v>27</v>
      </c>
      <c r="E711">
        <v>6</v>
      </c>
      <c r="F711" s="4" t="s">
        <v>18</v>
      </c>
      <c r="G711">
        <v>43</v>
      </c>
      <c r="H711" s="2">
        <v>4934568</v>
      </c>
    </row>
    <row r="712" spans="1:8" x14ac:dyDescent="0.25">
      <c r="A712" t="s">
        <v>93</v>
      </c>
      <c r="B712">
        <v>2002</v>
      </c>
      <c r="C712" t="s">
        <v>3</v>
      </c>
      <c r="D712" t="s">
        <v>27</v>
      </c>
      <c r="E712">
        <v>6</v>
      </c>
      <c r="F712" s="4" t="s">
        <v>18</v>
      </c>
      <c r="G712">
        <v>280</v>
      </c>
      <c r="H712" s="2">
        <v>7359839</v>
      </c>
    </row>
    <row r="713" spans="1:8" x14ac:dyDescent="0.25">
      <c r="A713" t="s">
        <v>94</v>
      </c>
      <c r="B713">
        <v>2002</v>
      </c>
      <c r="C713" t="s">
        <v>2</v>
      </c>
      <c r="D713" t="s">
        <v>27</v>
      </c>
      <c r="E713">
        <v>6</v>
      </c>
      <c r="F713" s="4" t="s">
        <v>18</v>
      </c>
      <c r="G713">
        <v>2016</v>
      </c>
      <c r="H713" s="2">
        <v>3526909</v>
      </c>
    </row>
    <row r="714" spans="1:8" x14ac:dyDescent="0.25">
      <c r="A714" t="s">
        <v>95</v>
      </c>
      <c r="B714">
        <v>2002</v>
      </c>
      <c r="C714" t="s">
        <v>1</v>
      </c>
      <c r="D714" t="s">
        <v>27</v>
      </c>
      <c r="E714">
        <v>6</v>
      </c>
      <c r="F714" s="4" t="s">
        <v>18</v>
      </c>
      <c r="G714">
        <v>1820</v>
      </c>
      <c r="H714" s="2">
        <v>796712</v>
      </c>
    </row>
    <row r="715" spans="1:8" x14ac:dyDescent="0.25">
      <c r="A715" t="s">
        <v>96</v>
      </c>
      <c r="B715">
        <v>2002</v>
      </c>
      <c r="C715" t="s">
        <v>0</v>
      </c>
      <c r="D715" t="s">
        <v>27</v>
      </c>
      <c r="E715">
        <v>6</v>
      </c>
      <c r="F715" s="4" t="s">
        <v>18</v>
      </c>
      <c r="G715">
        <v>2061</v>
      </c>
      <c r="H715" s="2">
        <v>796712</v>
      </c>
    </row>
    <row r="716" spans="1:8" x14ac:dyDescent="0.25">
      <c r="A716" t="s">
        <v>97</v>
      </c>
      <c r="B716">
        <v>2003</v>
      </c>
      <c r="C716" t="s">
        <v>6</v>
      </c>
      <c r="D716" t="s">
        <v>27</v>
      </c>
      <c r="E716">
        <v>6</v>
      </c>
      <c r="F716" s="4" t="s">
        <v>18</v>
      </c>
      <c r="G716">
        <v>5</v>
      </c>
      <c r="H716" s="2">
        <v>2764684</v>
      </c>
    </row>
    <row r="717" spans="1:8" x14ac:dyDescent="0.25">
      <c r="A717" t="s">
        <v>98</v>
      </c>
      <c r="B717">
        <v>2003</v>
      </c>
      <c r="C717" t="s">
        <v>5</v>
      </c>
      <c r="D717" t="s">
        <v>27</v>
      </c>
      <c r="E717">
        <v>6</v>
      </c>
      <c r="F717" s="4" t="s">
        <v>18</v>
      </c>
      <c r="G717">
        <v>19</v>
      </c>
      <c r="H717" s="2">
        <v>5364597</v>
      </c>
    </row>
    <row r="718" spans="1:8" x14ac:dyDescent="0.25">
      <c r="A718" t="s">
        <v>99</v>
      </c>
      <c r="B718">
        <v>2003</v>
      </c>
      <c r="C718" t="s">
        <v>4</v>
      </c>
      <c r="D718" t="s">
        <v>27</v>
      </c>
      <c r="E718">
        <v>6</v>
      </c>
      <c r="F718" s="4" t="s">
        <v>18</v>
      </c>
      <c r="G718">
        <v>36</v>
      </c>
      <c r="H718" s="2">
        <v>5011124</v>
      </c>
    </row>
    <row r="719" spans="1:8" x14ac:dyDescent="0.25">
      <c r="A719" t="s">
        <v>100</v>
      </c>
      <c r="B719">
        <v>2003</v>
      </c>
      <c r="C719" t="s">
        <v>3</v>
      </c>
      <c r="D719" t="s">
        <v>27</v>
      </c>
      <c r="E719">
        <v>6</v>
      </c>
      <c r="F719" s="4" t="s">
        <v>18</v>
      </c>
      <c r="G719">
        <v>330</v>
      </c>
      <c r="H719" s="2">
        <v>7496056</v>
      </c>
    </row>
    <row r="720" spans="1:8" x14ac:dyDescent="0.25">
      <c r="A720" t="s">
        <v>101</v>
      </c>
      <c r="B720">
        <v>2003</v>
      </c>
      <c r="C720" t="s">
        <v>2</v>
      </c>
      <c r="D720" t="s">
        <v>27</v>
      </c>
      <c r="E720">
        <v>6</v>
      </c>
      <c r="F720" s="4" t="s">
        <v>18</v>
      </c>
      <c r="G720">
        <v>2292</v>
      </c>
      <c r="H720" s="2">
        <v>3666671</v>
      </c>
    </row>
    <row r="721" spans="1:8" x14ac:dyDescent="0.25">
      <c r="A721" t="s">
        <v>102</v>
      </c>
      <c r="B721">
        <v>2003</v>
      </c>
      <c r="C721" t="s">
        <v>1</v>
      </c>
      <c r="D721" t="s">
        <v>27</v>
      </c>
      <c r="E721">
        <v>6</v>
      </c>
      <c r="F721" s="4" t="s">
        <v>18</v>
      </c>
      <c r="G721">
        <v>2039</v>
      </c>
      <c r="H721" s="2">
        <v>818433</v>
      </c>
    </row>
    <row r="722" spans="1:8" x14ac:dyDescent="0.25">
      <c r="A722" t="s">
        <v>103</v>
      </c>
      <c r="B722">
        <v>2003</v>
      </c>
      <c r="C722" t="s">
        <v>0</v>
      </c>
      <c r="D722" t="s">
        <v>27</v>
      </c>
      <c r="E722">
        <v>6</v>
      </c>
      <c r="F722" s="4" t="s">
        <v>18</v>
      </c>
      <c r="G722">
        <v>2339</v>
      </c>
      <c r="H722" s="2">
        <v>818433</v>
      </c>
    </row>
    <row r="723" spans="1:8" x14ac:dyDescent="0.25">
      <c r="A723" t="s">
        <v>104</v>
      </c>
      <c r="B723">
        <v>2004</v>
      </c>
      <c r="C723" t="s">
        <v>6</v>
      </c>
      <c r="D723" t="s">
        <v>27</v>
      </c>
      <c r="E723">
        <v>6</v>
      </c>
      <c r="F723" s="4" t="s">
        <v>18</v>
      </c>
      <c r="G723">
        <v>5</v>
      </c>
      <c r="H723" s="2">
        <v>2770821</v>
      </c>
    </row>
    <row r="724" spans="1:8" x14ac:dyDescent="0.25">
      <c r="A724" t="s">
        <v>105</v>
      </c>
      <c r="B724">
        <v>2004</v>
      </c>
      <c r="C724" t="s">
        <v>5</v>
      </c>
      <c r="D724" t="s">
        <v>27</v>
      </c>
      <c r="E724">
        <v>6</v>
      </c>
      <c r="F724" s="4" t="s">
        <v>18</v>
      </c>
      <c r="G724">
        <v>8</v>
      </c>
      <c r="H724" s="2">
        <v>5372677</v>
      </c>
    </row>
    <row r="725" spans="1:8" x14ac:dyDescent="0.25">
      <c r="A725" t="s">
        <v>106</v>
      </c>
      <c r="B725">
        <v>2004</v>
      </c>
      <c r="C725" t="s">
        <v>4</v>
      </c>
      <c r="D725" t="s">
        <v>27</v>
      </c>
      <c r="E725">
        <v>6</v>
      </c>
      <c r="F725" s="4" t="s">
        <v>18</v>
      </c>
      <c r="G725">
        <v>56</v>
      </c>
      <c r="H725" s="2">
        <v>5078223</v>
      </c>
    </row>
    <row r="726" spans="1:8" x14ac:dyDescent="0.25">
      <c r="A726" t="s">
        <v>107</v>
      </c>
      <c r="B726">
        <v>2004</v>
      </c>
      <c r="C726" t="s">
        <v>3</v>
      </c>
      <c r="D726" t="s">
        <v>27</v>
      </c>
      <c r="E726">
        <v>6</v>
      </c>
      <c r="F726" s="4" t="s">
        <v>18</v>
      </c>
      <c r="G726">
        <v>306</v>
      </c>
      <c r="H726" s="2">
        <v>7631406</v>
      </c>
    </row>
    <row r="727" spans="1:8" x14ac:dyDescent="0.25">
      <c r="A727" t="s">
        <v>108</v>
      </c>
      <c r="B727">
        <v>2004</v>
      </c>
      <c r="C727" t="s">
        <v>2</v>
      </c>
      <c r="D727" t="s">
        <v>27</v>
      </c>
      <c r="E727">
        <v>6</v>
      </c>
      <c r="F727" s="4" t="s">
        <v>18</v>
      </c>
      <c r="G727">
        <v>2299</v>
      </c>
      <c r="H727" s="2">
        <v>3814359</v>
      </c>
    </row>
    <row r="728" spans="1:8" x14ac:dyDescent="0.25">
      <c r="A728" t="s">
        <v>109</v>
      </c>
      <c r="B728">
        <v>2004</v>
      </c>
      <c r="C728" t="s">
        <v>1</v>
      </c>
      <c r="D728" t="s">
        <v>27</v>
      </c>
      <c r="E728">
        <v>6</v>
      </c>
      <c r="F728" s="4" t="s">
        <v>18</v>
      </c>
      <c r="G728">
        <v>2014</v>
      </c>
      <c r="H728" s="2">
        <v>841739</v>
      </c>
    </row>
    <row r="729" spans="1:8" x14ac:dyDescent="0.25">
      <c r="A729" t="s">
        <v>110</v>
      </c>
      <c r="B729">
        <v>2004</v>
      </c>
      <c r="C729" t="s">
        <v>0</v>
      </c>
      <c r="D729" t="s">
        <v>27</v>
      </c>
      <c r="E729">
        <v>6</v>
      </c>
      <c r="F729" s="4" t="s">
        <v>18</v>
      </c>
      <c r="G729">
        <v>2435</v>
      </c>
      <c r="H729" s="2">
        <v>841739</v>
      </c>
    </row>
    <row r="730" spans="1:8" x14ac:dyDescent="0.25">
      <c r="A730" t="s">
        <v>111</v>
      </c>
      <c r="B730">
        <v>2005</v>
      </c>
      <c r="C730" t="s">
        <v>6</v>
      </c>
      <c r="D730" t="s">
        <v>27</v>
      </c>
      <c r="E730">
        <v>6</v>
      </c>
      <c r="F730" s="4" t="s">
        <v>18</v>
      </c>
      <c r="G730">
        <v>7</v>
      </c>
      <c r="H730" s="2">
        <v>2774961</v>
      </c>
    </row>
    <row r="731" spans="1:8" x14ac:dyDescent="0.25">
      <c r="A731" t="s">
        <v>112</v>
      </c>
      <c r="B731">
        <v>2005</v>
      </c>
      <c r="C731" t="s">
        <v>5</v>
      </c>
      <c r="D731" t="s">
        <v>27</v>
      </c>
      <c r="E731">
        <v>6</v>
      </c>
      <c r="F731" s="4" t="s">
        <v>18</v>
      </c>
      <c r="G731">
        <v>10</v>
      </c>
      <c r="H731" s="2">
        <v>5386812</v>
      </c>
    </row>
    <row r="732" spans="1:8" x14ac:dyDescent="0.25">
      <c r="A732" t="s">
        <v>113</v>
      </c>
      <c r="B732">
        <v>2005</v>
      </c>
      <c r="C732" t="s">
        <v>4</v>
      </c>
      <c r="D732" t="s">
        <v>27</v>
      </c>
      <c r="E732">
        <v>6</v>
      </c>
      <c r="F732" s="4" t="s">
        <v>18</v>
      </c>
      <c r="G732">
        <v>65</v>
      </c>
      <c r="H732" s="2">
        <v>5134473</v>
      </c>
    </row>
    <row r="733" spans="1:8" x14ac:dyDescent="0.25">
      <c r="A733" t="s">
        <v>114</v>
      </c>
      <c r="B733">
        <v>2005</v>
      </c>
      <c r="C733" t="s">
        <v>3</v>
      </c>
      <c r="D733" t="s">
        <v>27</v>
      </c>
      <c r="E733">
        <v>6</v>
      </c>
      <c r="F733" s="4" t="s">
        <v>18</v>
      </c>
      <c r="G733">
        <v>301</v>
      </c>
      <c r="H733" s="2">
        <v>7765159</v>
      </c>
    </row>
    <row r="734" spans="1:8" x14ac:dyDescent="0.25">
      <c r="A734" t="s">
        <v>115</v>
      </c>
      <c r="B734">
        <v>2005</v>
      </c>
      <c r="C734" t="s">
        <v>2</v>
      </c>
      <c r="D734" t="s">
        <v>27</v>
      </c>
      <c r="E734">
        <v>6</v>
      </c>
      <c r="F734" s="4" t="s">
        <v>18</v>
      </c>
      <c r="G734">
        <v>2344</v>
      </c>
      <c r="H734" s="2">
        <v>3970997</v>
      </c>
    </row>
    <row r="735" spans="1:8" x14ac:dyDescent="0.25">
      <c r="A735" t="s">
        <v>116</v>
      </c>
      <c r="B735">
        <v>2005</v>
      </c>
      <c r="C735" t="s">
        <v>1</v>
      </c>
      <c r="D735" t="s">
        <v>27</v>
      </c>
      <c r="E735">
        <v>6</v>
      </c>
      <c r="F735" s="4" t="s">
        <v>18</v>
      </c>
      <c r="G735">
        <v>2058</v>
      </c>
      <c r="H735" s="2">
        <v>866819</v>
      </c>
    </row>
    <row r="736" spans="1:8" x14ac:dyDescent="0.25">
      <c r="A736" t="s">
        <v>117</v>
      </c>
      <c r="B736">
        <v>2005</v>
      </c>
      <c r="C736" t="s">
        <v>0</v>
      </c>
      <c r="D736" t="s">
        <v>27</v>
      </c>
      <c r="E736">
        <v>6</v>
      </c>
      <c r="F736" s="4" t="s">
        <v>18</v>
      </c>
      <c r="G736">
        <v>2527</v>
      </c>
      <c r="H736" s="2">
        <v>866819</v>
      </c>
    </row>
    <row r="737" spans="1:8" x14ac:dyDescent="0.25">
      <c r="A737" t="s">
        <v>118</v>
      </c>
      <c r="B737">
        <v>2006</v>
      </c>
      <c r="C737" t="s">
        <v>6</v>
      </c>
      <c r="D737" t="s">
        <v>27</v>
      </c>
      <c r="E737">
        <v>6</v>
      </c>
      <c r="F737" s="4" t="s">
        <v>18</v>
      </c>
      <c r="G737">
        <v>1</v>
      </c>
      <c r="H737" s="2">
        <v>2777568</v>
      </c>
    </row>
    <row r="738" spans="1:8" x14ac:dyDescent="0.25">
      <c r="A738" t="s">
        <v>119</v>
      </c>
      <c r="B738">
        <v>2006</v>
      </c>
      <c r="C738" t="s">
        <v>5</v>
      </c>
      <c r="D738" t="s">
        <v>27</v>
      </c>
      <c r="E738">
        <v>6</v>
      </c>
      <c r="F738" s="4" t="s">
        <v>18</v>
      </c>
      <c r="G738">
        <v>16</v>
      </c>
      <c r="H738" s="2">
        <v>5407717</v>
      </c>
    </row>
    <row r="739" spans="1:8" x14ac:dyDescent="0.25">
      <c r="A739" t="s">
        <v>120</v>
      </c>
      <c r="B739">
        <v>2006</v>
      </c>
      <c r="C739" t="s">
        <v>4</v>
      </c>
      <c r="D739" t="s">
        <v>27</v>
      </c>
      <c r="E739">
        <v>6</v>
      </c>
      <c r="F739" s="4" t="s">
        <v>18</v>
      </c>
      <c r="G739">
        <v>50</v>
      </c>
      <c r="H739" s="2">
        <v>5178861</v>
      </c>
    </row>
    <row r="740" spans="1:8" x14ac:dyDescent="0.25">
      <c r="A740" t="s">
        <v>121</v>
      </c>
      <c r="B740">
        <v>2006</v>
      </c>
      <c r="C740" t="s">
        <v>3</v>
      </c>
      <c r="D740" t="s">
        <v>27</v>
      </c>
      <c r="E740">
        <v>6</v>
      </c>
      <c r="F740" s="4" t="s">
        <v>18</v>
      </c>
      <c r="G740">
        <v>331</v>
      </c>
      <c r="H740" s="2">
        <v>7897108</v>
      </c>
    </row>
    <row r="741" spans="1:8" x14ac:dyDescent="0.25">
      <c r="A741" t="s">
        <v>122</v>
      </c>
      <c r="B741">
        <v>2006</v>
      </c>
      <c r="C741" t="s">
        <v>2</v>
      </c>
      <c r="D741" t="s">
        <v>27</v>
      </c>
      <c r="E741">
        <v>6</v>
      </c>
      <c r="F741" s="4" t="s">
        <v>18</v>
      </c>
      <c r="G741">
        <v>2345</v>
      </c>
      <c r="H741" s="2">
        <v>4136588</v>
      </c>
    </row>
    <row r="742" spans="1:8" x14ac:dyDescent="0.25">
      <c r="A742" t="s">
        <v>123</v>
      </c>
      <c r="B742">
        <v>2006</v>
      </c>
      <c r="C742" t="s">
        <v>1</v>
      </c>
      <c r="D742" t="s">
        <v>27</v>
      </c>
      <c r="E742">
        <v>6</v>
      </c>
      <c r="F742" s="4" t="s">
        <v>18</v>
      </c>
      <c r="G742">
        <v>1926</v>
      </c>
      <c r="H742" s="2">
        <v>893794</v>
      </c>
    </row>
    <row r="743" spans="1:8" x14ac:dyDescent="0.25">
      <c r="A743" t="s">
        <v>124</v>
      </c>
      <c r="B743">
        <v>2006</v>
      </c>
      <c r="C743" t="s">
        <v>0</v>
      </c>
      <c r="D743" t="s">
        <v>27</v>
      </c>
      <c r="E743">
        <v>6</v>
      </c>
      <c r="F743" s="4" t="s">
        <v>18</v>
      </c>
      <c r="G743">
        <v>2512</v>
      </c>
      <c r="H743" s="2">
        <v>893794</v>
      </c>
    </row>
    <row r="744" spans="1:8" x14ac:dyDescent="0.25">
      <c r="A744" t="s">
        <v>125</v>
      </c>
      <c r="B744">
        <v>2007</v>
      </c>
      <c r="C744" t="s">
        <v>6</v>
      </c>
      <c r="D744" t="s">
        <v>27</v>
      </c>
      <c r="E744">
        <v>6</v>
      </c>
      <c r="F744" s="4" t="s">
        <v>18</v>
      </c>
      <c r="G744">
        <v>10</v>
      </c>
      <c r="H744" s="2">
        <v>2778731</v>
      </c>
    </row>
    <row r="745" spans="1:8" x14ac:dyDescent="0.25">
      <c r="A745" t="s">
        <v>126</v>
      </c>
      <c r="B745">
        <v>2007</v>
      </c>
      <c r="C745" t="s">
        <v>5</v>
      </c>
      <c r="D745" t="s">
        <v>27</v>
      </c>
      <c r="E745">
        <v>6</v>
      </c>
      <c r="F745" s="4" t="s">
        <v>18</v>
      </c>
      <c r="G745">
        <v>8</v>
      </c>
      <c r="H745" s="2">
        <v>5427910</v>
      </c>
    </row>
    <row r="746" spans="1:8" x14ac:dyDescent="0.25">
      <c r="A746" t="s">
        <v>127</v>
      </c>
      <c r="B746">
        <v>2007</v>
      </c>
      <c r="C746" t="s">
        <v>4</v>
      </c>
      <c r="D746" t="s">
        <v>27</v>
      </c>
      <c r="E746">
        <v>6</v>
      </c>
      <c r="F746" s="4" t="s">
        <v>18</v>
      </c>
      <c r="G746">
        <v>34</v>
      </c>
      <c r="H746" s="2">
        <v>5216537</v>
      </c>
    </row>
    <row r="747" spans="1:8" x14ac:dyDescent="0.25">
      <c r="A747" t="s">
        <v>128</v>
      </c>
      <c r="B747">
        <v>2007</v>
      </c>
      <c r="C747" t="s">
        <v>3</v>
      </c>
      <c r="D747" t="s">
        <v>27</v>
      </c>
      <c r="E747">
        <v>6</v>
      </c>
      <c r="F747" s="4" t="s">
        <v>18</v>
      </c>
      <c r="G747">
        <v>347</v>
      </c>
      <c r="H747" s="2">
        <v>8032843</v>
      </c>
    </row>
    <row r="748" spans="1:8" x14ac:dyDescent="0.25">
      <c r="A748" t="s">
        <v>129</v>
      </c>
      <c r="B748">
        <v>2007</v>
      </c>
      <c r="C748" t="s">
        <v>2</v>
      </c>
      <c r="D748" t="s">
        <v>27</v>
      </c>
      <c r="E748">
        <v>6</v>
      </c>
      <c r="F748" s="4" t="s">
        <v>18</v>
      </c>
      <c r="G748">
        <v>2519</v>
      </c>
      <c r="H748" s="2">
        <v>4307510</v>
      </c>
    </row>
    <row r="749" spans="1:8" x14ac:dyDescent="0.25">
      <c r="A749" t="s">
        <v>130</v>
      </c>
      <c r="B749">
        <v>2007</v>
      </c>
      <c r="C749" t="s">
        <v>1</v>
      </c>
      <c r="D749" t="s">
        <v>27</v>
      </c>
      <c r="E749">
        <v>6</v>
      </c>
      <c r="F749" s="4" t="s">
        <v>18</v>
      </c>
      <c r="G749">
        <v>2180</v>
      </c>
      <c r="H749" s="2">
        <v>922773</v>
      </c>
    </row>
    <row r="750" spans="1:8" x14ac:dyDescent="0.25">
      <c r="A750" t="s">
        <v>131</v>
      </c>
      <c r="B750">
        <v>2007</v>
      </c>
      <c r="C750" t="s">
        <v>0</v>
      </c>
      <c r="D750" t="s">
        <v>27</v>
      </c>
      <c r="E750">
        <v>6</v>
      </c>
      <c r="F750" s="4" t="s">
        <v>18</v>
      </c>
      <c r="G750">
        <v>2731</v>
      </c>
      <c r="H750" s="2">
        <v>922773</v>
      </c>
    </row>
    <row r="751" spans="1:8" x14ac:dyDescent="0.25">
      <c r="A751" t="s">
        <v>132</v>
      </c>
      <c r="B751">
        <v>2008</v>
      </c>
      <c r="C751" t="s">
        <v>6</v>
      </c>
      <c r="D751" t="s">
        <v>27</v>
      </c>
      <c r="E751">
        <v>6</v>
      </c>
      <c r="F751" s="4" t="s">
        <v>18</v>
      </c>
      <c r="G751">
        <v>3</v>
      </c>
      <c r="H751" s="2">
        <v>2778239</v>
      </c>
    </row>
    <row r="752" spans="1:8" x14ac:dyDescent="0.25">
      <c r="A752" t="s">
        <v>133</v>
      </c>
      <c r="B752">
        <v>2008</v>
      </c>
      <c r="C752" t="s">
        <v>5</v>
      </c>
      <c r="D752" t="s">
        <v>27</v>
      </c>
      <c r="E752">
        <v>6</v>
      </c>
      <c r="F752" s="4" t="s">
        <v>18</v>
      </c>
      <c r="G752">
        <v>13</v>
      </c>
      <c r="H752" s="2">
        <v>5448390</v>
      </c>
    </row>
    <row r="753" spans="1:8" x14ac:dyDescent="0.25">
      <c r="A753" t="s">
        <v>134</v>
      </c>
      <c r="B753">
        <v>2008</v>
      </c>
      <c r="C753" t="s">
        <v>4</v>
      </c>
      <c r="D753" t="s">
        <v>27</v>
      </c>
      <c r="E753">
        <v>6</v>
      </c>
      <c r="F753" s="4" t="s">
        <v>18</v>
      </c>
      <c r="G753">
        <v>58</v>
      </c>
      <c r="H753" s="2">
        <v>5246997</v>
      </c>
    </row>
    <row r="754" spans="1:8" x14ac:dyDescent="0.25">
      <c r="A754" t="s">
        <v>135</v>
      </c>
      <c r="B754">
        <v>2008</v>
      </c>
      <c r="C754" t="s">
        <v>3</v>
      </c>
      <c r="D754" t="s">
        <v>27</v>
      </c>
      <c r="E754">
        <v>6</v>
      </c>
      <c r="F754" s="4" t="s">
        <v>18</v>
      </c>
      <c r="G754">
        <v>345</v>
      </c>
      <c r="H754" s="2">
        <v>8172306</v>
      </c>
    </row>
    <row r="755" spans="1:8" x14ac:dyDescent="0.25">
      <c r="A755" t="s">
        <v>136</v>
      </c>
      <c r="B755">
        <v>2008</v>
      </c>
      <c r="C755" t="s">
        <v>2</v>
      </c>
      <c r="D755" t="s">
        <v>27</v>
      </c>
      <c r="E755">
        <v>6</v>
      </c>
      <c r="F755" s="4" t="s">
        <v>18</v>
      </c>
      <c r="G755">
        <v>2599</v>
      </c>
      <c r="H755" s="2">
        <v>4483302</v>
      </c>
    </row>
    <row r="756" spans="1:8" x14ac:dyDescent="0.25">
      <c r="A756" t="s">
        <v>137</v>
      </c>
      <c r="B756">
        <v>2008</v>
      </c>
      <c r="C756" t="s">
        <v>1</v>
      </c>
      <c r="D756" t="s">
        <v>27</v>
      </c>
      <c r="E756">
        <v>6</v>
      </c>
      <c r="F756" s="4" t="s">
        <v>18</v>
      </c>
      <c r="G756">
        <v>2391</v>
      </c>
      <c r="H756" s="2">
        <v>953869</v>
      </c>
    </row>
    <row r="757" spans="1:8" x14ac:dyDescent="0.25">
      <c r="A757" t="s">
        <v>138</v>
      </c>
      <c r="B757">
        <v>2008</v>
      </c>
      <c r="C757" t="s">
        <v>0</v>
      </c>
      <c r="D757" t="s">
        <v>27</v>
      </c>
      <c r="E757">
        <v>6</v>
      </c>
      <c r="F757" s="4" t="s">
        <v>18</v>
      </c>
      <c r="G757">
        <v>2978</v>
      </c>
      <c r="H757" s="2">
        <v>953869</v>
      </c>
    </row>
    <row r="758" spans="1:8" x14ac:dyDescent="0.25">
      <c r="A758" t="s">
        <v>139</v>
      </c>
      <c r="B758">
        <v>2009</v>
      </c>
      <c r="C758" t="s">
        <v>6</v>
      </c>
      <c r="D758" t="s">
        <v>27</v>
      </c>
      <c r="E758">
        <v>6</v>
      </c>
      <c r="F758" s="4" t="s">
        <v>18</v>
      </c>
      <c r="G758">
        <v>4</v>
      </c>
      <c r="H758" s="2">
        <v>2775920</v>
      </c>
    </row>
    <row r="759" spans="1:8" x14ac:dyDescent="0.25">
      <c r="A759" t="s">
        <v>140</v>
      </c>
      <c r="B759">
        <v>2009</v>
      </c>
      <c r="C759" t="s">
        <v>5</v>
      </c>
      <c r="D759" t="s">
        <v>27</v>
      </c>
      <c r="E759">
        <v>6</v>
      </c>
      <c r="F759" s="4" t="s">
        <v>18</v>
      </c>
      <c r="G759">
        <v>8</v>
      </c>
      <c r="H759" s="2">
        <v>5469822</v>
      </c>
    </row>
    <row r="760" spans="1:8" x14ac:dyDescent="0.25">
      <c r="A760" t="s">
        <v>141</v>
      </c>
      <c r="B760">
        <v>2009</v>
      </c>
      <c r="C760" t="s">
        <v>4</v>
      </c>
      <c r="D760" t="s">
        <v>27</v>
      </c>
      <c r="E760">
        <v>6</v>
      </c>
      <c r="F760" s="4" t="s">
        <v>18</v>
      </c>
      <c r="G760">
        <v>59</v>
      </c>
      <c r="H760" s="2">
        <v>5270463</v>
      </c>
    </row>
    <row r="761" spans="1:8" x14ac:dyDescent="0.25">
      <c r="A761" t="s">
        <v>142</v>
      </c>
      <c r="B761">
        <v>2009</v>
      </c>
      <c r="C761" t="s">
        <v>3</v>
      </c>
      <c r="D761" t="s">
        <v>27</v>
      </c>
      <c r="E761">
        <v>6</v>
      </c>
      <c r="F761" s="4" t="s">
        <v>18</v>
      </c>
      <c r="G761">
        <v>381</v>
      </c>
      <c r="H761" s="2">
        <v>8314639</v>
      </c>
    </row>
    <row r="762" spans="1:8" x14ac:dyDescent="0.25">
      <c r="A762" t="s">
        <v>143</v>
      </c>
      <c r="B762">
        <v>2009</v>
      </c>
      <c r="C762" t="s">
        <v>2</v>
      </c>
      <c r="D762" t="s">
        <v>27</v>
      </c>
      <c r="E762">
        <v>6</v>
      </c>
      <c r="F762" s="4" t="s">
        <v>18</v>
      </c>
      <c r="G762">
        <v>2805</v>
      </c>
      <c r="H762" s="2">
        <v>4663733</v>
      </c>
    </row>
    <row r="763" spans="1:8" x14ac:dyDescent="0.25">
      <c r="A763" t="s">
        <v>144</v>
      </c>
      <c r="B763">
        <v>2009</v>
      </c>
      <c r="C763" t="s">
        <v>1</v>
      </c>
      <c r="D763" t="s">
        <v>27</v>
      </c>
      <c r="E763">
        <v>6</v>
      </c>
      <c r="F763" s="4" t="s">
        <v>18</v>
      </c>
      <c r="G763">
        <v>2414</v>
      </c>
      <c r="H763" s="2">
        <v>987212</v>
      </c>
    </row>
    <row r="764" spans="1:8" x14ac:dyDescent="0.25">
      <c r="A764" t="s">
        <v>145</v>
      </c>
      <c r="B764">
        <v>2009</v>
      </c>
      <c r="C764" t="s">
        <v>0</v>
      </c>
      <c r="D764" t="s">
        <v>27</v>
      </c>
      <c r="E764">
        <v>6</v>
      </c>
      <c r="F764" s="4" t="s">
        <v>18</v>
      </c>
      <c r="G764">
        <v>3151</v>
      </c>
      <c r="H764" s="2">
        <v>987212</v>
      </c>
    </row>
    <row r="765" spans="1:8" x14ac:dyDescent="0.25">
      <c r="A765" t="s">
        <v>146</v>
      </c>
      <c r="B765">
        <v>2010</v>
      </c>
      <c r="C765" t="s">
        <v>6</v>
      </c>
      <c r="D765" t="s">
        <v>27</v>
      </c>
      <c r="E765">
        <v>6</v>
      </c>
      <c r="F765" s="4" t="s">
        <v>18</v>
      </c>
      <c r="G765">
        <v>3</v>
      </c>
      <c r="H765" s="2">
        <v>2771760</v>
      </c>
    </row>
    <row r="766" spans="1:8" x14ac:dyDescent="0.25">
      <c r="A766" t="s">
        <v>147</v>
      </c>
      <c r="B766">
        <v>2010</v>
      </c>
      <c r="C766" t="s">
        <v>5</v>
      </c>
      <c r="D766" t="s">
        <v>27</v>
      </c>
      <c r="E766">
        <v>6</v>
      </c>
      <c r="F766" s="4" t="s">
        <v>18</v>
      </c>
      <c r="G766">
        <v>12</v>
      </c>
      <c r="H766" s="2">
        <v>5492408</v>
      </c>
    </row>
    <row r="767" spans="1:8" x14ac:dyDescent="0.25">
      <c r="A767" t="s">
        <v>148</v>
      </c>
      <c r="B767">
        <v>2010</v>
      </c>
      <c r="C767" t="s">
        <v>4</v>
      </c>
      <c r="D767" t="s">
        <v>27</v>
      </c>
      <c r="E767">
        <v>6</v>
      </c>
      <c r="F767" s="4" t="s">
        <v>18</v>
      </c>
      <c r="G767">
        <v>61</v>
      </c>
      <c r="H767" s="2">
        <v>5286720</v>
      </c>
    </row>
    <row r="768" spans="1:8" x14ac:dyDescent="0.25">
      <c r="A768" t="s">
        <v>149</v>
      </c>
      <c r="B768">
        <v>2010</v>
      </c>
      <c r="C768" t="s">
        <v>3</v>
      </c>
      <c r="D768" t="s">
        <v>27</v>
      </c>
      <c r="E768">
        <v>6</v>
      </c>
      <c r="F768" s="4" t="s">
        <v>18</v>
      </c>
      <c r="G768">
        <v>394</v>
      </c>
      <c r="H768" s="2">
        <v>8458444</v>
      </c>
    </row>
    <row r="769" spans="1:8" x14ac:dyDescent="0.25">
      <c r="A769" t="s">
        <v>150</v>
      </c>
      <c r="B769">
        <v>2010</v>
      </c>
      <c r="C769" t="s">
        <v>2</v>
      </c>
      <c r="D769" t="s">
        <v>27</v>
      </c>
      <c r="E769">
        <v>6</v>
      </c>
      <c r="F769" s="4" t="s">
        <v>18</v>
      </c>
      <c r="G769">
        <v>2980</v>
      </c>
      <c r="H769" s="2">
        <v>4849717</v>
      </c>
    </row>
    <row r="770" spans="1:8" x14ac:dyDescent="0.25">
      <c r="A770" t="s">
        <v>151</v>
      </c>
      <c r="B770">
        <v>2010</v>
      </c>
      <c r="C770" t="s">
        <v>1</v>
      </c>
      <c r="D770" t="s">
        <v>27</v>
      </c>
      <c r="E770">
        <v>6</v>
      </c>
      <c r="F770" s="4" t="s">
        <v>18</v>
      </c>
      <c r="G770">
        <v>2620</v>
      </c>
      <c r="H770" s="2">
        <v>1022974</v>
      </c>
    </row>
    <row r="771" spans="1:8" x14ac:dyDescent="0.25">
      <c r="A771" t="s">
        <v>152</v>
      </c>
      <c r="B771">
        <v>2010</v>
      </c>
      <c r="C771" t="s">
        <v>0</v>
      </c>
      <c r="D771" t="s">
        <v>27</v>
      </c>
      <c r="E771">
        <v>6</v>
      </c>
      <c r="F771" s="4" t="s">
        <v>18</v>
      </c>
      <c r="G771">
        <v>3467</v>
      </c>
      <c r="H771" s="2">
        <v>1022974</v>
      </c>
    </row>
    <row r="772" spans="1:8" x14ac:dyDescent="0.25">
      <c r="A772" t="s">
        <v>153</v>
      </c>
      <c r="B772">
        <v>2011</v>
      </c>
      <c r="C772" t="s">
        <v>6</v>
      </c>
      <c r="D772" t="s">
        <v>27</v>
      </c>
      <c r="E772">
        <v>6</v>
      </c>
      <c r="F772" s="4" t="s">
        <v>18</v>
      </c>
      <c r="G772">
        <v>6</v>
      </c>
      <c r="H772" s="2">
        <v>2765898</v>
      </c>
    </row>
    <row r="773" spans="1:8" x14ac:dyDescent="0.25">
      <c r="A773" t="s">
        <v>154</v>
      </c>
      <c r="B773">
        <v>2011</v>
      </c>
      <c r="C773" t="s">
        <v>5</v>
      </c>
      <c r="D773" t="s">
        <v>27</v>
      </c>
      <c r="E773">
        <v>6</v>
      </c>
      <c r="F773" s="4" t="s">
        <v>18</v>
      </c>
      <c r="G773">
        <v>9</v>
      </c>
      <c r="H773" s="2">
        <v>5516288</v>
      </c>
    </row>
    <row r="774" spans="1:8" x14ac:dyDescent="0.25">
      <c r="A774" t="s">
        <v>155</v>
      </c>
      <c r="B774">
        <v>2011</v>
      </c>
      <c r="C774" t="s">
        <v>4</v>
      </c>
      <c r="D774" t="s">
        <v>27</v>
      </c>
      <c r="E774">
        <v>6</v>
      </c>
      <c r="F774" s="4" t="s">
        <v>18</v>
      </c>
      <c r="G774">
        <v>58</v>
      </c>
      <c r="H774" s="2">
        <v>5296319</v>
      </c>
    </row>
    <row r="775" spans="1:8" x14ac:dyDescent="0.25">
      <c r="A775" t="s">
        <v>156</v>
      </c>
      <c r="B775">
        <v>2011</v>
      </c>
      <c r="C775" t="s">
        <v>3</v>
      </c>
      <c r="D775" t="s">
        <v>27</v>
      </c>
      <c r="E775">
        <v>6</v>
      </c>
      <c r="F775" s="4" t="s">
        <v>18</v>
      </c>
      <c r="G775">
        <v>341</v>
      </c>
      <c r="H775" s="2">
        <v>8602515</v>
      </c>
    </row>
    <row r="776" spans="1:8" x14ac:dyDescent="0.25">
      <c r="A776" t="s">
        <v>157</v>
      </c>
      <c r="B776">
        <v>2011</v>
      </c>
      <c r="C776" t="s">
        <v>2</v>
      </c>
      <c r="D776" t="s">
        <v>27</v>
      </c>
      <c r="E776">
        <v>6</v>
      </c>
      <c r="F776" s="4" t="s">
        <v>18</v>
      </c>
      <c r="G776">
        <v>3111</v>
      </c>
      <c r="H776" s="2">
        <v>5041154</v>
      </c>
    </row>
    <row r="777" spans="1:8" x14ac:dyDescent="0.25">
      <c r="A777" t="s">
        <v>158</v>
      </c>
      <c r="B777">
        <v>2011</v>
      </c>
      <c r="C777" t="s">
        <v>1</v>
      </c>
      <c r="D777" t="s">
        <v>27</v>
      </c>
      <c r="E777">
        <v>6</v>
      </c>
      <c r="F777" s="4" t="s">
        <v>18</v>
      </c>
      <c r="G777">
        <v>2643</v>
      </c>
      <c r="H777" s="2">
        <v>1061340</v>
      </c>
    </row>
    <row r="778" spans="1:8" x14ac:dyDescent="0.25">
      <c r="A778" t="s">
        <v>159</v>
      </c>
      <c r="B778">
        <v>2011</v>
      </c>
      <c r="C778" t="s">
        <v>0</v>
      </c>
      <c r="D778" t="s">
        <v>27</v>
      </c>
      <c r="E778">
        <v>6</v>
      </c>
      <c r="F778" s="4" t="s">
        <v>18</v>
      </c>
      <c r="G778">
        <v>3686</v>
      </c>
      <c r="H778" s="2">
        <v>1061340</v>
      </c>
    </row>
    <row r="779" spans="1:8" x14ac:dyDescent="0.25">
      <c r="A779" t="s">
        <v>160</v>
      </c>
      <c r="B779">
        <v>2012</v>
      </c>
      <c r="C779" t="s">
        <v>6</v>
      </c>
      <c r="D779" t="s">
        <v>27</v>
      </c>
      <c r="E779">
        <v>6</v>
      </c>
      <c r="F779" s="4" t="s">
        <v>18</v>
      </c>
      <c r="G779">
        <v>1</v>
      </c>
      <c r="H779" s="2">
        <v>2759356.4495101599</v>
      </c>
    </row>
    <row r="780" spans="1:8" x14ac:dyDescent="0.25">
      <c r="A780" t="s">
        <v>161</v>
      </c>
      <c r="B780">
        <v>2012</v>
      </c>
      <c r="C780" t="s">
        <v>5</v>
      </c>
      <c r="D780" t="s">
        <v>27</v>
      </c>
      <c r="E780">
        <v>6</v>
      </c>
      <c r="F780" s="4" t="s">
        <v>18</v>
      </c>
      <c r="G780">
        <v>4</v>
      </c>
      <c r="H780" s="2">
        <v>5537428.7927720398</v>
      </c>
    </row>
    <row r="781" spans="1:8" x14ac:dyDescent="0.25">
      <c r="A781" t="s">
        <v>162</v>
      </c>
      <c r="B781">
        <v>2012</v>
      </c>
      <c r="C781" t="s">
        <v>4</v>
      </c>
      <c r="D781" t="s">
        <v>27</v>
      </c>
      <c r="E781">
        <v>6</v>
      </c>
      <c r="F781" s="4" t="s">
        <v>18</v>
      </c>
      <c r="G781">
        <v>51</v>
      </c>
      <c r="H781" s="2">
        <v>5307779.7280284902</v>
      </c>
    </row>
    <row r="782" spans="1:8" x14ac:dyDescent="0.25">
      <c r="A782" t="s">
        <v>163</v>
      </c>
      <c r="B782">
        <v>2012</v>
      </c>
      <c r="C782" t="s">
        <v>3</v>
      </c>
      <c r="D782" t="s">
        <v>27</v>
      </c>
      <c r="E782">
        <v>6</v>
      </c>
      <c r="F782" s="4" t="s">
        <v>18</v>
      </c>
      <c r="G782">
        <v>429</v>
      </c>
      <c r="H782" s="2">
        <v>8748082.6996606905</v>
      </c>
    </row>
    <row r="783" spans="1:8" x14ac:dyDescent="0.25">
      <c r="A783" t="s">
        <v>164</v>
      </c>
      <c r="B783">
        <v>2012</v>
      </c>
      <c r="C783" t="s">
        <v>2</v>
      </c>
      <c r="D783" t="s">
        <v>27</v>
      </c>
      <c r="E783">
        <v>6</v>
      </c>
      <c r="F783" s="4" t="s">
        <v>18</v>
      </c>
      <c r="G783">
        <v>3252</v>
      </c>
      <c r="H783" s="2">
        <v>5230482.0778962998</v>
      </c>
    </row>
    <row r="784" spans="1:8" x14ac:dyDescent="0.25">
      <c r="A784" t="s">
        <v>165</v>
      </c>
      <c r="B784">
        <v>2012</v>
      </c>
      <c r="C784" t="s">
        <v>1</v>
      </c>
      <c r="D784" t="s">
        <v>27</v>
      </c>
      <c r="E784">
        <v>6</v>
      </c>
      <c r="F784" s="4" t="s">
        <v>18</v>
      </c>
      <c r="G784">
        <v>2867</v>
      </c>
      <c r="H784" s="2">
        <v>1102796.7939262099</v>
      </c>
    </row>
    <row r="785" spans="1:8" x14ac:dyDescent="0.25">
      <c r="A785" t="s">
        <v>166</v>
      </c>
      <c r="B785">
        <v>2012</v>
      </c>
      <c r="C785" t="s">
        <v>0</v>
      </c>
      <c r="D785" t="s">
        <v>27</v>
      </c>
      <c r="E785">
        <v>6</v>
      </c>
      <c r="F785" s="4" t="s">
        <v>18</v>
      </c>
      <c r="G785">
        <v>3924</v>
      </c>
      <c r="H785" s="2">
        <v>1102796.7939262099</v>
      </c>
    </row>
    <row r="786" spans="1:8" x14ac:dyDescent="0.25">
      <c r="A786" t="s">
        <v>167</v>
      </c>
      <c r="B786">
        <v>2013</v>
      </c>
      <c r="C786" t="s">
        <v>6</v>
      </c>
      <c r="D786" t="s">
        <v>27</v>
      </c>
      <c r="E786">
        <v>6</v>
      </c>
      <c r="F786" s="4" t="s">
        <v>18</v>
      </c>
      <c r="G786">
        <v>3</v>
      </c>
      <c r="H786" s="2">
        <v>2752322.19750119</v>
      </c>
    </row>
    <row r="787" spans="1:8" x14ac:dyDescent="0.25">
      <c r="A787" t="s">
        <v>168</v>
      </c>
      <c r="B787">
        <v>2013</v>
      </c>
      <c r="C787" t="s">
        <v>5</v>
      </c>
      <c r="D787" t="s">
        <v>27</v>
      </c>
      <c r="E787">
        <v>6</v>
      </c>
      <c r="F787" s="4" t="s">
        <v>18</v>
      </c>
      <c r="G787">
        <v>10</v>
      </c>
      <c r="H787" s="2">
        <v>5554323.1251711203</v>
      </c>
    </row>
    <row r="788" spans="1:8" x14ac:dyDescent="0.25">
      <c r="A788" t="s">
        <v>169</v>
      </c>
      <c r="B788">
        <v>2013</v>
      </c>
      <c r="C788" t="s">
        <v>4</v>
      </c>
      <c r="D788" t="s">
        <v>27</v>
      </c>
      <c r="E788">
        <v>6</v>
      </c>
      <c r="F788" s="4" t="s">
        <v>18</v>
      </c>
      <c r="G788">
        <v>61</v>
      </c>
      <c r="H788" s="2">
        <v>5323364.8480997998</v>
      </c>
    </row>
    <row r="789" spans="1:8" x14ac:dyDescent="0.25">
      <c r="A789" t="s">
        <v>170</v>
      </c>
      <c r="B789">
        <v>2013</v>
      </c>
      <c r="C789" t="s">
        <v>3</v>
      </c>
      <c r="D789" t="s">
        <v>27</v>
      </c>
      <c r="E789">
        <v>6</v>
      </c>
      <c r="F789" s="4" t="s">
        <v>18</v>
      </c>
      <c r="G789">
        <v>444</v>
      </c>
      <c r="H789" s="2">
        <v>8893718.1904660594</v>
      </c>
    </row>
    <row r="790" spans="1:8" x14ac:dyDescent="0.25">
      <c r="A790" t="s">
        <v>171</v>
      </c>
      <c r="B790">
        <v>2013</v>
      </c>
      <c r="C790" t="s">
        <v>2</v>
      </c>
      <c r="D790" t="s">
        <v>27</v>
      </c>
      <c r="E790">
        <v>6</v>
      </c>
      <c r="F790" s="4" t="s">
        <v>18</v>
      </c>
      <c r="G790">
        <v>3561</v>
      </c>
      <c r="H790" s="2">
        <v>5415783.9591287402</v>
      </c>
    </row>
    <row r="791" spans="1:8" x14ac:dyDescent="0.25">
      <c r="A791" t="s">
        <v>172</v>
      </c>
      <c r="B791">
        <v>2013</v>
      </c>
      <c r="C791" t="s">
        <v>1</v>
      </c>
      <c r="D791" t="s">
        <v>27</v>
      </c>
      <c r="E791">
        <v>6</v>
      </c>
      <c r="F791" s="4" t="s">
        <v>18</v>
      </c>
      <c r="G791">
        <v>3105</v>
      </c>
      <c r="H791" s="2">
        <v>1147296.6505007599</v>
      </c>
    </row>
    <row r="792" spans="1:8" x14ac:dyDescent="0.25">
      <c r="A792" t="s">
        <v>173</v>
      </c>
      <c r="B792">
        <v>2013</v>
      </c>
      <c r="C792" t="s">
        <v>0</v>
      </c>
      <c r="D792" t="s">
        <v>27</v>
      </c>
      <c r="E792">
        <v>6</v>
      </c>
      <c r="F792" s="4" t="s">
        <v>18</v>
      </c>
      <c r="G792">
        <v>4275</v>
      </c>
      <c r="H792" s="2">
        <v>1147296.6505007599</v>
      </c>
    </row>
    <row r="793" spans="1:8" x14ac:dyDescent="0.25">
      <c r="A793" t="s">
        <v>174</v>
      </c>
      <c r="B793">
        <v>2014</v>
      </c>
      <c r="C793" t="s">
        <v>6</v>
      </c>
      <c r="D793" t="s">
        <v>27</v>
      </c>
      <c r="E793">
        <v>6</v>
      </c>
      <c r="F793" s="4" t="s">
        <v>18</v>
      </c>
      <c r="G793">
        <v>3</v>
      </c>
      <c r="H793" s="2">
        <v>2744697</v>
      </c>
    </row>
    <row r="794" spans="1:8" x14ac:dyDescent="0.25">
      <c r="A794" t="s">
        <v>175</v>
      </c>
      <c r="B794">
        <v>2014</v>
      </c>
      <c r="C794" t="s">
        <v>5</v>
      </c>
      <c r="D794" t="s">
        <v>27</v>
      </c>
      <c r="E794">
        <v>6</v>
      </c>
      <c r="F794" s="4" t="s">
        <v>18</v>
      </c>
      <c r="G794">
        <v>10</v>
      </c>
      <c r="H794" s="2">
        <v>5566437</v>
      </c>
    </row>
    <row r="795" spans="1:8" x14ac:dyDescent="0.25">
      <c r="A795" t="s">
        <v>176</v>
      </c>
      <c r="B795">
        <v>2014</v>
      </c>
      <c r="C795" t="s">
        <v>4</v>
      </c>
      <c r="D795" t="s">
        <v>27</v>
      </c>
      <c r="E795">
        <v>6</v>
      </c>
      <c r="F795" s="4" t="s">
        <v>18</v>
      </c>
      <c r="G795">
        <v>78</v>
      </c>
      <c r="H795" s="2">
        <v>5343109</v>
      </c>
    </row>
    <row r="796" spans="1:8" x14ac:dyDescent="0.25">
      <c r="A796" t="s">
        <v>177</v>
      </c>
      <c r="B796">
        <v>2014</v>
      </c>
      <c r="C796" t="s">
        <v>3</v>
      </c>
      <c r="D796" t="s">
        <v>27</v>
      </c>
      <c r="E796">
        <v>6</v>
      </c>
      <c r="F796" s="4" t="s">
        <v>18</v>
      </c>
      <c r="G796">
        <v>459</v>
      </c>
      <c r="H796" s="2">
        <v>9037113</v>
      </c>
    </row>
    <row r="797" spans="1:8" x14ac:dyDescent="0.25">
      <c r="A797" t="s">
        <v>178</v>
      </c>
      <c r="B797">
        <v>2014</v>
      </c>
      <c r="C797" t="s">
        <v>2</v>
      </c>
      <c r="D797" t="s">
        <v>27</v>
      </c>
      <c r="E797">
        <v>6</v>
      </c>
      <c r="F797" s="4" t="s">
        <v>18</v>
      </c>
      <c r="G797">
        <v>4068</v>
      </c>
      <c r="H797" s="2">
        <v>5597164</v>
      </c>
    </row>
    <row r="798" spans="1:8" x14ac:dyDescent="0.25">
      <c r="A798" t="s">
        <v>179</v>
      </c>
      <c r="B798">
        <v>2014</v>
      </c>
      <c r="C798" t="s">
        <v>1</v>
      </c>
      <c r="D798" t="s">
        <v>27</v>
      </c>
      <c r="E798">
        <v>6</v>
      </c>
      <c r="F798" s="4" t="s">
        <v>18</v>
      </c>
      <c r="G798">
        <v>3605</v>
      </c>
      <c r="H798" s="2">
        <v>1194627</v>
      </c>
    </row>
    <row r="799" spans="1:8" x14ac:dyDescent="0.25">
      <c r="A799" t="s">
        <v>180</v>
      </c>
      <c r="B799">
        <v>2014</v>
      </c>
      <c r="C799" t="s">
        <v>0</v>
      </c>
      <c r="D799" t="s">
        <v>27</v>
      </c>
      <c r="E799">
        <v>6</v>
      </c>
      <c r="F799" s="4" t="s">
        <v>18</v>
      </c>
      <c r="G799">
        <v>5199</v>
      </c>
      <c r="H799" s="2">
        <v>1194627</v>
      </c>
    </row>
    <row r="800" spans="1:8" x14ac:dyDescent="0.25">
      <c r="A800" t="s">
        <v>48</v>
      </c>
      <c r="B800">
        <v>1996</v>
      </c>
      <c r="C800" t="s">
        <v>6</v>
      </c>
      <c r="D800" t="s">
        <v>27</v>
      </c>
      <c r="E800">
        <v>7</v>
      </c>
      <c r="F800" s="4" t="s">
        <v>17</v>
      </c>
      <c r="G800">
        <v>5626</v>
      </c>
      <c r="H800" s="2">
        <v>2669011.0638103201</v>
      </c>
    </row>
    <row r="801" spans="1:8" x14ac:dyDescent="0.25">
      <c r="A801" t="s">
        <v>49</v>
      </c>
      <c r="B801">
        <v>1996</v>
      </c>
      <c r="C801" t="s">
        <v>5</v>
      </c>
      <c r="D801" t="s">
        <v>27</v>
      </c>
      <c r="E801">
        <v>7</v>
      </c>
      <c r="F801" s="4" t="s">
        <v>17</v>
      </c>
      <c r="G801">
        <v>2</v>
      </c>
      <c r="H801" s="2">
        <v>5336689.2615659405</v>
      </c>
    </row>
    <row r="802" spans="1:8" x14ac:dyDescent="0.25">
      <c r="A802" t="s">
        <v>50</v>
      </c>
      <c r="B802">
        <v>1996</v>
      </c>
      <c r="C802" t="s">
        <v>4</v>
      </c>
      <c r="D802" t="s">
        <v>27</v>
      </c>
      <c r="E802">
        <v>7</v>
      </c>
      <c r="F802" s="4" t="s">
        <v>17</v>
      </c>
      <c r="G802">
        <v>0</v>
      </c>
      <c r="H802" s="2">
        <v>4328734.7335640304</v>
      </c>
    </row>
    <row r="803" spans="1:8" x14ac:dyDescent="0.25">
      <c r="A803" t="s">
        <v>51</v>
      </c>
      <c r="B803">
        <v>1996</v>
      </c>
      <c r="C803" t="s">
        <v>3</v>
      </c>
      <c r="D803" t="s">
        <v>27</v>
      </c>
      <c r="E803">
        <v>7</v>
      </c>
      <c r="F803" s="4" t="s">
        <v>17</v>
      </c>
      <c r="G803">
        <v>1</v>
      </c>
      <c r="H803" s="2">
        <v>6500086.9398599695</v>
      </c>
    </row>
    <row r="804" spans="1:8" x14ac:dyDescent="0.25">
      <c r="A804" t="s">
        <v>52</v>
      </c>
      <c r="B804">
        <v>1996</v>
      </c>
      <c r="C804" t="s">
        <v>2</v>
      </c>
      <c r="D804" t="s">
        <v>27</v>
      </c>
      <c r="E804">
        <v>7</v>
      </c>
      <c r="F804" s="4" t="s">
        <v>17</v>
      </c>
      <c r="G804">
        <v>0</v>
      </c>
      <c r="H804" s="2">
        <v>2862216.4853526298</v>
      </c>
    </row>
    <row r="805" spans="1:8" x14ac:dyDescent="0.25">
      <c r="A805" t="s">
        <v>53</v>
      </c>
      <c r="B805">
        <v>1996</v>
      </c>
      <c r="C805" t="s">
        <v>1</v>
      </c>
      <c r="D805" t="s">
        <v>27</v>
      </c>
      <c r="E805">
        <v>7</v>
      </c>
      <c r="F805" s="4" t="s">
        <v>17</v>
      </c>
      <c r="G805">
        <v>0</v>
      </c>
      <c r="H805" s="2">
        <v>710343.28776711202</v>
      </c>
    </row>
    <row r="806" spans="1:8" x14ac:dyDescent="0.25">
      <c r="A806" t="s">
        <v>54</v>
      </c>
      <c r="B806">
        <v>1996</v>
      </c>
      <c r="C806" t="s">
        <v>0</v>
      </c>
      <c r="D806" t="s">
        <v>27</v>
      </c>
      <c r="E806">
        <v>7</v>
      </c>
      <c r="F806" s="4" t="s">
        <v>17</v>
      </c>
      <c r="G806">
        <v>14</v>
      </c>
      <c r="H806" s="2">
        <v>710343.28776711202</v>
      </c>
    </row>
    <row r="807" spans="1:8" x14ac:dyDescent="0.25">
      <c r="A807" t="s">
        <v>55</v>
      </c>
      <c r="B807">
        <v>1997</v>
      </c>
      <c r="C807" t="s">
        <v>6</v>
      </c>
      <c r="D807" t="s">
        <v>27</v>
      </c>
      <c r="E807">
        <v>7</v>
      </c>
      <c r="F807" s="4" t="s">
        <v>17</v>
      </c>
      <c r="G807">
        <v>5500</v>
      </c>
      <c r="H807" s="2">
        <v>2689637.03828619</v>
      </c>
    </row>
    <row r="808" spans="1:8" x14ac:dyDescent="0.25">
      <c r="A808" t="s">
        <v>56</v>
      </c>
      <c r="B808">
        <v>1997</v>
      </c>
      <c r="C808" t="s">
        <v>5</v>
      </c>
      <c r="D808" t="s">
        <v>27</v>
      </c>
      <c r="E808">
        <v>7</v>
      </c>
      <c r="F808" s="4" t="s">
        <v>17</v>
      </c>
      <c r="G808">
        <v>0</v>
      </c>
      <c r="H808" s="2">
        <v>5352218.1569395596</v>
      </c>
    </row>
    <row r="809" spans="1:8" x14ac:dyDescent="0.25">
      <c r="A809" t="s">
        <v>57</v>
      </c>
      <c r="B809">
        <v>1997</v>
      </c>
      <c r="C809" t="s">
        <v>4</v>
      </c>
      <c r="D809" t="s">
        <v>27</v>
      </c>
      <c r="E809">
        <v>7</v>
      </c>
      <c r="F809" s="4" t="s">
        <v>17</v>
      </c>
      <c r="G809">
        <v>1</v>
      </c>
      <c r="H809" s="2">
        <v>4441903.2401384199</v>
      </c>
    </row>
    <row r="810" spans="1:8" x14ac:dyDescent="0.25">
      <c r="A810" t="s">
        <v>58</v>
      </c>
      <c r="B810">
        <v>1997</v>
      </c>
      <c r="C810" t="s">
        <v>3</v>
      </c>
      <c r="D810" t="s">
        <v>27</v>
      </c>
      <c r="E810">
        <v>7</v>
      </c>
      <c r="F810" s="4" t="s">
        <v>17</v>
      </c>
      <c r="G810">
        <v>0</v>
      </c>
      <c r="H810" s="2">
        <v>6652916.9639159804</v>
      </c>
    </row>
    <row r="811" spans="1:8" x14ac:dyDescent="0.25">
      <c r="A811" t="s">
        <v>59</v>
      </c>
      <c r="B811">
        <v>1997</v>
      </c>
      <c r="C811" t="s">
        <v>2</v>
      </c>
      <c r="D811" t="s">
        <v>27</v>
      </c>
      <c r="E811">
        <v>7</v>
      </c>
      <c r="F811" s="4" t="s">
        <v>17</v>
      </c>
      <c r="G811">
        <v>0</v>
      </c>
      <c r="H811" s="2">
        <v>2950439.89121158</v>
      </c>
    </row>
    <row r="812" spans="1:8" x14ac:dyDescent="0.25">
      <c r="A812" t="s">
        <v>60</v>
      </c>
      <c r="B812">
        <v>1997</v>
      </c>
      <c r="C812" t="s">
        <v>1</v>
      </c>
      <c r="D812" t="s">
        <v>27</v>
      </c>
      <c r="E812">
        <v>7</v>
      </c>
      <c r="F812" s="4" t="s">
        <v>17</v>
      </c>
      <c r="G812">
        <v>0</v>
      </c>
      <c r="H812" s="2">
        <v>717390.37266026705</v>
      </c>
    </row>
    <row r="813" spans="1:8" x14ac:dyDescent="0.25">
      <c r="A813" t="s">
        <v>61</v>
      </c>
      <c r="B813">
        <v>1997</v>
      </c>
      <c r="C813" t="s">
        <v>0</v>
      </c>
      <c r="D813" t="s">
        <v>27</v>
      </c>
      <c r="E813">
        <v>7</v>
      </c>
      <c r="F813" s="4" t="s">
        <v>17</v>
      </c>
      <c r="G813">
        <v>2</v>
      </c>
      <c r="H813" s="2">
        <v>717390.37266026705</v>
      </c>
    </row>
    <row r="814" spans="1:8" x14ac:dyDescent="0.25">
      <c r="A814" t="s">
        <v>62</v>
      </c>
      <c r="B814">
        <v>1998</v>
      </c>
      <c r="C814" t="s">
        <v>6</v>
      </c>
      <c r="D814" t="s">
        <v>27</v>
      </c>
      <c r="E814">
        <v>7</v>
      </c>
      <c r="F814" s="4" t="s">
        <v>17</v>
      </c>
      <c r="G814">
        <v>5241</v>
      </c>
      <c r="H814" s="2">
        <v>2707580.5191430999</v>
      </c>
    </row>
    <row r="815" spans="1:8" x14ac:dyDescent="0.25">
      <c r="A815" t="s">
        <v>63</v>
      </c>
      <c r="B815">
        <v>1998</v>
      </c>
      <c r="C815" t="s">
        <v>5</v>
      </c>
      <c r="D815" t="s">
        <v>27</v>
      </c>
      <c r="E815">
        <v>7</v>
      </c>
      <c r="F815" s="4" t="s">
        <v>17</v>
      </c>
      <c r="G815">
        <v>0</v>
      </c>
      <c r="H815" s="2">
        <v>5360232.5784697803</v>
      </c>
    </row>
    <row r="816" spans="1:8" x14ac:dyDescent="0.25">
      <c r="A816" t="s">
        <v>64</v>
      </c>
      <c r="B816">
        <v>1998</v>
      </c>
      <c r="C816" t="s">
        <v>4</v>
      </c>
      <c r="D816" t="s">
        <v>27</v>
      </c>
      <c r="E816">
        <v>7</v>
      </c>
      <c r="F816" s="4" t="s">
        <v>17</v>
      </c>
      <c r="G816">
        <v>0</v>
      </c>
      <c r="H816" s="2">
        <v>4551586.6200692104</v>
      </c>
    </row>
    <row r="817" spans="1:8" x14ac:dyDescent="0.25">
      <c r="A817" t="s">
        <v>65</v>
      </c>
      <c r="B817">
        <v>1998</v>
      </c>
      <c r="C817" t="s">
        <v>3</v>
      </c>
      <c r="D817" t="s">
        <v>27</v>
      </c>
      <c r="E817">
        <v>7</v>
      </c>
      <c r="F817" s="4" t="s">
        <v>17</v>
      </c>
      <c r="G817">
        <v>0</v>
      </c>
      <c r="H817" s="2">
        <v>6800752.4819579897</v>
      </c>
    </row>
    <row r="818" spans="1:8" x14ac:dyDescent="0.25">
      <c r="A818" t="s">
        <v>66</v>
      </c>
      <c r="B818">
        <v>1998</v>
      </c>
      <c r="C818" t="s">
        <v>2</v>
      </c>
      <c r="D818" t="s">
        <v>27</v>
      </c>
      <c r="E818">
        <v>7</v>
      </c>
      <c r="F818" s="4" t="s">
        <v>17</v>
      </c>
      <c r="G818">
        <v>0</v>
      </c>
      <c r="H818" s="2">
        <v>3048176.4456057898</v>
      </c>
    </row>
    <row r="819" spans="1:8" x14ac:dyDescent="0.25">
      <c r="A819" t="s">
        <v>67</v>
      </c>
      <c r="B819">
        <v>1998</v>
      </c>
      <c r="C819" t="s">
        <v>1</v>
      </c>
      <c r="D819" t="s">
        <v>27</v>
      </c>
      <c r="E819">
        <v>7</v>
      </c>
      <c r="F819" s="4" t="s">
        <v>17</v>
      </c>
      <c r="G819">
        <v>0</v>
      </c>
      <c r="H819" s="2">
        <v>727932.186330133</v>
      </c>
    </row>
    <row r="820" spans="1:8" x14ac:dyDescent="0.25">
      <c r="A820" t="s">
        <v>68</v>
      </c>
      <c r="B820">
        <v>1998</v>
      </c>
      <c r="C820" t="s">
        <v>0</v>
      </c>
      <c r="D820" t="s">
        <v>27</v>
      </c>
      <c r="E820">
        <v>7</v>
      </c>
      <c r="F820" s="4" t="s">
        <v>17</v>
      </c>
      <c r="G820">
        <v>0</v>
      </c>
      <c r="H820" s="2">
        <v>727932.186330133</v>
      </c>
    </row>
    <row r="821" spans="1:8" x14ac:dyDescent="0.25">
      <c r="A821" t="s">
        <v>69</v>
      </c>
      <c r="B821">
        <v>1999</v>
      </c>
      <c r="C821" t="s">
        <v>6</v>
      </c>
      <c r="D821" t="s">
        <v>27</v>
      </c>
      <c r="E821">
        <v>7</v>
      </c>
      <c r="F821" s="4" t="s">
        <v>17</v>
      </c>
      <c r="G821">
        <v>5302</v>
      </c>
      <c r="H821" s="2">
        <v>2723058.5063810302</v>
      </c>
    </row>
    <row r="822" spans="1:8" x14ac:dyDescent="0.25">
      <c r="A822" t="s">
        <v>70</v>
      </c>
      <c r="B822">
        <v>1999</v>
      </c>
      <c r="C822" t="s">
        <v>5</v>
      </c>
      <c r="D822" t="s">
        <v>27</v>
      </c>
      <c r="E822">
        <v>7</v>
      </c>
      <c r="F822" s="4" t="s">
        <v>17</v>
      </c>
      <c r="G822">
        <v>2</v>
      </c>
      <c r="H822" s="2">
        <v>5362927.5261565903</v>
      </c>
    </row>
    <row r="823" spans="1:8" x14ac:dyDescent="0.25">
      <c r="A823" t="s">
        <v>71</v>
      </c>
      <c r="B823">
        <v>1999</v>
      </c>
      <c r="C823" t="s">
        <v>4</v>
      </c>
      <c r="D823" t="s">
        <v>27</v>
      </c>
      <c r="E823">
        <v>7</v>
      </c>
      <c r="F823" s="4" t="s">
        <v>17</v>
      </c>
      <c r="G823">
        <v>0</v>
      </c>
      <c r="H823" s="2">
        <v>4656740.8733564001</v>
      </c>
    </row>
    <row r="824" spans="1:8" x14ac:dyDescent="0.25">
      <c r="A824" t="s">
        <v>72</v>
      </c>
      <c r="B824">
        <v>1999</v>
      </c>
      <c r="C824" t="s">
        <v>3</v>
      </c>
      <c r="D824" t="s">
        <v>27</v>
      </c>
      <c r="E824">
        <v>7</v>
      </c>
      <c r="F824" s="4" t="s">
        <v>17</v>
      </c>
      <c r="G824">
        <v>0</v>
      </c>
      <c r="H824" s="2">
        <v>6944474.4939860003</v>
      </c>
    </row>
    <row r="825" spans="1:8" x14ac:dyDescent="0.25">
      <c r="A825" t="s">
        <v>73</v>
      </c>
      <c r="B825">
        <v>1999</v>
      </c>
      <c r="C825" t="s">
        <v>2</v>
      </c>
      <c r="D825" t="s">
        <v>27</v>
      </c>
      <c r="E825">
        <v>7</v>
      </c>
      <c r="F825" s="4" t="s">
        <v>17</v>
      </c>
      <c r="G825">
        <v>0</v>
      </c>
      <c r="H825" s="2">
        <v>3155060.14853526</v>
      </c>
    </row>
    <row r="826" spans="1:8" x14ac:dyDescent="0.25">
      <c r="A826" t="s">
        <v>74</v>
      </c>
      <c r="B826">
        <v>1999</v>
      </c>
      <c r="C826" t="s">
        <v>1</v>
      </c>
      <c r="D826" t="s">
        <v>27</v>
      </c>
      <c r="E826">
        <v>7</v>
      </c>
      <c r="F826" s="4" t="s">
        <v>17</v>
      </c>
      <c r="G826">
        <v>0</v>
      </c>
      <c r="H826" s="2">
        <v>741553.72877671104</v>
      </c>
    </row>
    <row r="827" spans="1:8" x14ac:dyDescent="0.25">
      <c r="A827" t="s">
        <v>75</v>
      </c>
      <c r="B827">
        <v>1999</v>
      </c>
      <c r="C827" t="s">
        <v>0</v>
      </c>
      <c r="D827" t="s">
        <v>27</v>
      </c>
      <c r="E827">
        <v>7</v>
      </c>
      <c r="F827" s="4" t="s">
        <v>17</v>
      </c>
      <c r="G827">
        <v>5</v>
      </c>
      <c r="H827" s="2">
        <v>741553.72877671104</v>
      </c>
    </row>
    <row r="828" spans="1:8" x14ac:dyDescent="0.25">
      <c r="A828" t="s">
        <v>76</v>
      </c>
      <c r="B828">
        <v>2000</v>
      </c>
      <c r="C828" t="s">
        <v>6</v>
      </c>
      <c r="D828" t="s">
        <v>27</v>
      </c>
      <c r="E828">
        <v>7</v>
      </c>
      <c r="F828" s="4" t="s">
        <v>17</v>
      </c>
      <c r="G828">
        <v>5277</v>
      </c>
      <c r="H828" s="2">
        <v>2736288</v>
      </c>
    </row>
    <row r="829" spans="1:8" x14ac:dyDescent="0.25">
      <c r="A829" t="s">
        <v>77</v>
      </c>
      <c r="B829">
        <v>2000</v>
      </c>
      <c r="C829" t="s">
        <v>5</v>
      </c>
      <c r="D829" t="s">
        <v>27</v>
      </c>
      <c r="E829">
        <v>7</v>
      </c>
      <c r="F829" s="4" t="s">
        <v>17</v>
      </c>
      <c r="G829">
        <v>1</v>
      </c>
      <c r="H829" s="2">
        <v>5362498</v>
      </c>
    </row>
    <row r="830" spans="1:8" x14ac:dyDescent="0.25">
      <c r="A830" t="s">
        <v>78</v>
      </c>
      <c r="B830">
        <v>2000</v>
      </c>
      <c r="C830" t="s">
        <v>4</v>
      </c>
      <c r="D830" t="s">
        <v>27</v>
      </c>
      <c r="E830">
        <v>7</v>
      </c>
      <c r="F830" s="4" t="s">
        <v>17</v>
      </c>
      <c r="G830">
        <v>1</v>
      </c>
      <c r="H830" s="2">
        <v>4756322</v>
      </c>
    </row>
    <row r="831" spans="1:8" x14ac:dyDescent="0.25">
      <c r="A831" t="s">
        <v>79</v>
      </c>
      <c r="B831">
        <v>2000</v>
      </c>
      <c r="C831" t="s">
        <v>3</v>
      </c>
      <c r="D831" t="s">
        <v>27</v>
      </c>
      <c r="E831">
        <v>7</v>
      </c>
      <c r="F831" s="4" t="s">
        <v>17</v>
      </c>
      <c r="G831">
        <v>0</v>
      </c>
      <c r="H831" s="2">
        <v>7084964</v>
      </c>
    </row>
    <row r="832" spans="1:8" x14ac:dyDescent="0.25">
      <c r="A832" t="s">
        <v>80</v>
      </c>
      <c r="B832">
        <v>2000</v>
      </c>
      <c r="C832" t="s">
        <v>2</v>
      </c>
      <c r="D832" t="s">
        <v>27</v>
      </c>
      <c r="E832">
        <v>7</v>
      </c>
      <c r="F832" s="4" t="s">
        <v>17</v>
      </c>
      <c r="G832">
        <v>0</v>
      </c>
      <c r="H832" s="2">
        <v>3270725</v>
      </c>
    </row>
    <row r="833" spans="1:8" x14ac:dyDescent="0.25">
      <c r="A833" t="s">
        <v>81</v>
      </c>
      <c r="B833">
        <v>2000</v>
      </c>
      <c r="C833" t="s">
        <v>1</v>
      </c>
      <c r="D833" t="s">
        <v>27</v>
      </c>
      <c r="E833">
        <v>7</v>
      </c>
      <c r="F833" s="4" t="s">
        <v>17</v>
      </c>
      <c r="G833">
        <v>0</v>
      </c>
      <c r="H833" s="2">
        <v>757840</v>
      </c>
    </row>
    <row r="834" spans="1:8" x14ac:dyDescent="0.25">
      <c r="A834" t="s">
        <v>82</v>
      </c>
      <c r="B834">
        <v>2000</v>
      </c>
      <c r="C834" t="s">
        <v>0</v>
      </c>
      <c r="D834" t="s">
        <v>27</v>
      </c>
      <c r="E834">
        <v>7</v>
      </c>
      <c r="F834" s="4" t="s">
        <v>17</v>
      </c>
      <c r="G834">
        <v>0</v>
      </c>
      <c r="H834" s="2">
        <v>757840</v>
      </c>
    </row>
    <row r="835" spans="1:8" x14ac:dyDescent="0.25">
      <c r="A835" t="s">
        <v>83</v>
      </c>
      <c r="B835">
        <v>2001</v>
      </c>
      <c r="C835" t="s">
        <v>6</v>
      </c>
      <c r="D835" t="s">
        <v>27</v>
      </c>
      <c r="E835">
        <v>7</v>
      </c>
      <c r="F835" s="4" t="s">
        <v>17</v>
      </c>
      <c r="G835">
        <v>4937</v>
      </c>
      <c r="H835" s="2">
        <v>2747486</v>
      </c>
    </row>
    <row r="836" spans="1:8" x14ac:dyDescent="0.25">
      <c r="A836" t="s">
        <v>84</v>
      </c>
      <c r="B836">
        <v>2001</v>
      </c>
      <c r="C836" t="s">
        <v>5</v>
      </c>
      <c r="D836" t="s">
        <v>27</v>
      </c>
      <c r="E836">
        <v>7</v>
      </c>
      <c r="F836" s="4" t="s">
        <v>17</v>
      </c>
      <c r="G836">
        <v>0</v>
      </c>
      <c r="H836" s="2">
        <v>5361139</v>
      </c>
    </row>
    <row r="837" spans="1:8" x14ac:dyDescent="0.25">
      <c r="A837" t="s">
        <v>85</v>
      </c>
      <c r="B837">
        <v>2001</v>
      </c>
      <c r="C837" t="s">
        <v>4</v>
      </c>
      <c r="D837" t="s">
        <v>27</v>
      </c>
      <c r="E837">
        <v>7</v>
      </c>
      <c r="F837" s="4" t="s">
        <v>17</v>
      </c>
      <c r="G837">
        <v>0</v>
      </c>
      <c r="H837" s="2">
        <v>4849286</v>
      </c>
    </row>
    <row r="838" spans="1:8" x14ac:dyDescent="0.25">
      <c r="A838" t="s">
        <v>86</v>
      </c>
      <c r="B838">
        <v>2001</v>
      </c>
      <c r="C838" t="s">
        <v>3</v>
      </c>
      <c r="D838" t="s">
        <v>27</v>
      </c>
      <c r="E838">
        <v>7</v>
      </c>
      <c r="F838" s="4" t="s">
        <v>17</v>
      </c>
      <c r="G838">
        <v>0</v>
      </c>
      <c r="H838" s="2">
        <v>7223102</v>
      </c>
    </row>
    <row r="839" spans="1:8" x14ac:dyDescent="0.25">
      <c r="A839" t="s">
        <v>87</v>
      </c>
      <c r="B839">
        <v>2001</v>
      </c>
      <c r="C839" t="s">
        <v>2</v>
      </c>
      <c r="D839" t="s">
        <v>27</v>
      </c>
      <c r="E839">
        <v>7</v>
      </c>
      <c r="F839" s="4" t="s">
        <v>17</v>
      </c>
      <c r="G839">
        <v>0</v>
      </c>
      <c r="H839" s="2">
        <v>3394805</v>
      </c>
    </row>
    <row r="840" spans="1:8" x14ac:dyDescent="0.25">
      <c r="A840" t="s">
        <v>88</v>
      </c>
      <c r="B840">
        <v>2001</v>
      </c>
      <c r="C840" t="s">
        <v>1</v>
      </c>
      <c r="D840" t="s">
        <v>27</v>
      </c>
      <c r="E840">
        <v>7</v>
      </c>
      <c r="F840" s="4" t="s">
        <v>17</v>
      </c>
      <c r="G840">
        <v>0</v>
      </c>
      <c r="H840" s="2">
        <v>776376</v>
      </c>
    </row>
    <row r="841" spans="1:8" x14ac:dyDescent="0.25">
      <c r="A841" t="s">
        <v>89</v>
      </c>
      <c r="B841">
        <v>2001</v>
      </c>
      <c r="C841" t="s">
        <v>0</v>
      </c>
      <c r="D841" t="s">
        <v>27</v>
      </c>
      <c r="E841">
        <v>7</v>
      </c>
      <c r="F841" s="4" t="s">
        <v>17</v>
      </c>
      <c r="G841">
        <v>0</v>
      </c>
      <c r="H841" s="2">
        <v>776376</v>
      </c>
    </row>
    <row r="842" spans="1:8" x14ac:dyDescent="0.25">
      <c r="A842" t="s">
        <v>90</v>
      </c>
      <c r="B842">
        <v>2002</v>
      </c>
      <c r="C842" t="s">
        <v>6</v>
      </c>
      <c r="D842" t="s">
        <v>27</v>
      </c>
      <c r="E842">
        <v>7</v>
      </c>
      <c r="F842" s="4" t="s">
        <v>17</v>
      </c>
      <c r="G842">
        <v>4982</v>
      </c>
      <c r="H842" s="2">
        <v>2756879</v>
      </c>
    </row>
    <row r="843" spans="1:8" x14ac:dyDescent="0.25">
      <c r="A843" t="s">
        <v>91</v>
      </c>
      <c r="B843">
        <v>2002</v>
      </c>
      <c r="C843" t="s">
        <v>5</v>
      </c>
      <c r="D843" t="s">
        <v>27</v>
      </c>
      <c r="E843">
        <v>7</v>
      </c>
      <c r="F843" s="4" t="s">
        <v>17</v>
      </c>
      <c r="G843">
        <v>0</v>
      </c>
      <c r="H843" s="2">
        <v>5361107</v>
      </c>
    </row>
    <row r="844" spans="1:8" x14ac:dyDescent="0.25">
      <c r="A844" t="s">
        <v>92</v>
      </c>
      <c r="B844">
        <v>2002</v>
      </c>
      <c r="C844" t="s">
        <v>4</v>
      </c>
      <c r="D844" t="s">
        <v>27</v>
      </c>
      <c r="E844">
        <v>7</v>
      </c>
      <c r="F844" s="4" t="s">
        <v>17</v>
      </c>
      <c r="G844">
        <v>0</v>
      </c>
      <c r="H844" s="2">
        <v>4934568</v>
      </c>
    </row>
    <row r="845" spans="1:8" x14ac:dyDescent="0.25">
      <c r="A845" t="s">
        <v>93</v>
      </c>
      <c r="B845">
        <v>2002</v>
      </c>
      <c r="C845" t="s">
        <v>3</v>
      </c>
      <c r="D845" t="s">
        <v>27</v>
      </c>
      <c r="E845">
        <v>7</v>
      </c>
      <c r="F845" s="4" t="s">
        <v>17</v>
      </c>
      <c r="G845">
        <v>0</v>
      </c>
      <c r="H845" s="2">
        <v>7359839</v>
      </c>
    </row>
    <row r="846" spans="1:8" x14ac:dyDescent="0.25">
      <c r="A846" t="s">
        <v>94</v>
      </c>
      <c r="B846">
        <v>2002</v>
      </c>
      <c r="C846" t="s">
        <v>2</v>
      </c>
      <c r="D846" t="s">
        <v>27</v>
      </c>
      <c r="E846">
        <v>7</v>
      </c>
      <c r="F846" s="4" t="s">
        <v>17</v>
      </c>
      <c r="G846">
        <v>0</v>
      </c>
      <c r="H846" s="2">
        <v>3526909</v>
      </c>
    </row>
    <row r="847" spans="1:8" x14ac:dyDescent="0.25">
      <c r="A847" t="s">
        <v>95</v>
      </c>
      <c r="B847">
        <v>2002</v>
      </c>
      <c r="C847" t="s">
        <v>1</v>
      </c>
      <c r="D847" t="s">
        <v>27</v>
      </c>
      <c r="E847">
        <v>7</v>
      </c>
      <c r="F847" s="4" t="s">
        <v>17</v>
      </c>
      <c r="G847">
        <v>0</v>
      </c>
      <c r="H847" s="2">
        <v>796712</v>
      </c>
    </row>
    <row r="848" spans="1:8" x14ac:dyDescent="0.25">
      <c r="A848" t="s">
        <v>96</v>
      </c>
      <c r="B848">
        <v>2002</v>
      </c>
      <c r="C848" t="s">
        <v>0</v>
      </c>
      <c r="D848" t="s">
        <v>27</v>
      </c>
      <c r="E848">
        <v>7</v>
      </c>
      <c r="F848" s="4" t="s">
        <v>17</v>
      </c>
      <c r="G848">
        <v>0</v>
      </c>
      <c r="H848" s="2">
        <v>796712</v>
      </c>
    </row>
    <row r="849" spans="1:8" x14ac:dyDescent="0.25">
      <c r="A849" t="s">
        <v>97</v>
      </c>
      <c r="B849">
        <v>2003</v>
      </c>
      <c r="C849" t="s">
        <v>6</v>
      </c>
      <c r="D849" t="s">
        <v>27</v>
      </c>
      <c r="E849">
        <v>7</v>
      </c>
      <c r="F849" s="4" t="s">
        <v>17</v>
      </c>
      <c r="G849">
        <v>5417</v>
      </c>
      <c r="H849" s="2">
        <v>2764684</v>
      </c>
    </row>
    <row r="850" spans="1:8" x14ac:dyDescent="0.25">
      <c r="A850" t="s">
        <v>98</v>
      </c>
      <c r="B850">
        <v>2003</v>
      </c>
      <c r="C850" t="s">
        <v>5</v>
      </c>
      <c r="D850" t="s">
        <v>27</v>
      </c>
      <c r="E850">
        <v>7</v>
      </c>
      <c r="F850" s="4" t="s">
        <v>17</v>
      </c>
      <c r="G850">
        <v>0</v>
      </c>
      <c r="H850" s="2">
        <v>5364597</v>
      </c>
    </row>
    <row r="851" spans="1:8" x14ac:dyDescent="0.25">
      <c r="A851" t="s">
        <v>99</v>
      </c>
      <c r="B851">
        <v>2003</v>
      </c>
      <c r="C851" t="s">
        <v>4</v>
      </c>
      <c r="D851" t="s">
        <v>27</v>
      </c>
      <c r="E851">
        <v>7</v>
      </c>
      <c r="F851" s="4" t="s">
        <v>17</v>
      </c>
      <c r="G851">
        <v>0</v>
      </c>
      <c r="H851" s="2">
        <v>5011124</v>
      </c>
    </row>
    <row r="852" spans="1:8" x14ac:dyDescent="0.25">
      <c r="A852" t="s">
        <v>100</v>
      </c>
      <c r="B852">
        <v>2003</v>
      </c>
      <c r="C852" t="s">
        <v>3</v>
      </c>
      <c r="D852" t="s">
        <v>27</v>
      </c>
      <c r="E852">
        <v>7</v>
      </c>
      <c r="F852" s="4" t="s">
        <v>17</v>
      </c>
      <c r="G852">
        <v>0</v>
      </c>
      <c r="H852" s="2">
        <v>7496056</v>
      </c>
    </row>
    <row r="853" spans="1:8" x14ac:dyDescent="0.25">
      <c r="A853" t="s">
        <v>101</v>
      </c>
      <c r="B853">
        <v>2003</v>
      </c>
      <c r="C853" t="s">
        <v>2</v>
      </c>
      <c r="D853" t="s">
        <v>27</v>
      </c>
      <c r="E853">
        <v>7</v>
      </c>
      <c r="F853" s="4" t="s">
        <v>17</v>
      </c>
      <c r="G853">
        <v>0</v>
      </c>
      <c r="H853" s="2">
        <v>3666671</v>
      </c>
    </row>
    <row r="854" spans="1:8" x14ac:dyDescent="0.25">
      <c r="A854" t="s">
        <v>102</v>
      </c>
      <c r="B854">
        <v>2003</v>
      </c>
      <c r="C854" t="s">
        <v>1</v>
      </c>
      <c r="D854" t="s">
        <v>27</v>
      </c>
      <c r="E854">
        <v>7</v>
      </c>
      <c r="F854" s="4" t="s">
        <v>17</v>
      </c>
      <c r="G854">
        <v>0</v>
      </c>
      <c r="H854" s="2">
        <v>818433</v>
      </c>
    </row>
    <row r="855" spans="1:8" x14ac:dyDescent="0.25">
      <c r="A855" t="s">
        <v>103</v>
      </c>
      <c r="B855">
        <v>2003</v>
      </c>
      <c r="C855" t="s">
        <v>0</v>
      </c>
      <c r="D855" t="s">
        <v>27</v>
      </c>
      <c r="E855">
        <v>7</v>
      </c>
      <c r="F855" s="4" t="s">
        <v>17</v>
      </c>
      <c r="G855">
        <v>0</v>
      </c>
      <c r="H855" s="2">
        <v>818433</v>
      </c>
    </row>
    <row r="856" spans="1:8" x14ac:dyDescent="0.25">
      <c r="A856" t="s">
        <v>104</v>
      </c>
      <c r="B856">
        <v>2004</v>
      </c>
      <c r="C856" t="s">
        <v>6</v>
      </c>
      <c r="D856" t="s">
        <v>27</v>
      </c>
      <c r="E856">
        <v>7</v>
      </c>
      <c r="F856" s="4" t="s">
        <v>17</v>
      </c>
      <c r="G856">
        <v>5253</v>
      </c>
      <c r="H856" s="2">
        <v>2770821</v>
      </c>
    </row>
    <row r="857" spans="1:8" x14ac:dyDescent="0.25">
      <c r="A857" t="s">
        <v>105</v>
      </c>
      <c r="B857">
        <v>2004</v>
      </c>
      <c r="C857" t="s">
        <v>5</v>
      </c>
      <c r="D857" t="s">
        <v>27</v>
      </c>
      <c r="E857">
        <v>7</v>
      </c>
      <c r="F857" s="4" t="s">
        <v>17</v>
      </c>
      <c r="G857">
        <v>0</v>
      </c>
      <c r="H857" s="2">
        <v>5372677</v>
      </c>
    </row>
    <row r="858" spans="1:8" x14ac:dyDescent="0.25">
      <c r="A858" t="s">
        <v>106</v>
      </c>
      <c r="B858">
        <v>2004</v>
      </c>
      <c r="C858" t="s">
        <v>4</v>
      </c>
      <c r="D858" t="s">
        <v>27</v>
      </c>
      <c r="E858">
        <v>7</v>
      </c>
      <c r="F858" s="4" t="s">
        <v>17</v>
      </c>
      <c r="G858">
        <v>0</v>
      </c>
      <c r="H858" s="2">
        <v>5078223</v>
      </c>
    </row>
    <row r="859" spans="1:8" x14ac:dyDescent="0.25">
      <c r="A859" t="s">
        <v>107</v>
      </c>
      <c r="B859">
        <v>2004</v>
      </c>
      <c r="C859" t="s">
        <v>3</v>
      </c>
      <c r="D859" t="s">
        <v>27</v>
      </c>
      <c r="E859">
        <v>7</v>
      </c>
      <c r="F859" s="4" t="s">
        <v>17</v>
      </c>
      <c r="G859">
        <v>0</v>
      </c>
      <c r="H859" s="2">
        <v>7631406</v>
      </c>
    </row>
    <row r="860" spans="1:8" x14ac:dyDescent="0.25">
      <c r="A860" t="s">
        <v>108</v>
      </c>
      <c r="B860">
        <v>2004</v>
      </c>
      <c r="C860" t="s">
        <v>2</v>
      </c>
      <c r="D860" t="s">
        <v>27</v>
      </c>
      <c r="E860">
        <v>7</v>
      </c>
      <c r="F860" s="4" t="s">
        <v>17</v>
      </c>
      <c r="G860">
        <v>0</v>
      </c>
      <c r="H860" s="2">
        <v>3814359</v>
      </c>
    </row>
    <row r="861" spans="1:8" x14ac:dyDescent="0.25">
      <c r="A861" t="s">
        <v>109</v>
      </c>
      <c r="B861">
        <v>2004</v>
      </c>
      <c r="C861" t="s">
        <v>1</v>
      </c>
      <c r="D861" t="s">
        <v>27</v>
      </c>
      <c r="E861">
        <v>7</v>
      </c>
      <c r="F861" s="4" t="s">
        <v>17</v>
      </c>
      <c r="G861">
        <v>0</v>
      </c>
      <c r="H861" s="2">
        <v>841739</v>
      </c>
    </row>
    <row r="862" spans="1:8" x14ac:dyDescent="0.25">
      <c r="A862" t="s">
        <v>110</v>
      </c>
      <c r="B862">
        <v>2004</v>
      </c>
      <c r="C862" t="s">
        <v>0</v>
      </c>
      <c r="D862" t="s">
        <v>27</v>
      </c>
      <c r="E862">
        <v>7</v>
      </c>
      <c r="F862" s="4" t="s">
        <v>17</v>
      </c>
      <c r="G862">
        <v>0</v>
      </c>
      <c r="H862" s="2">
        <v>841739</v>
      </c>
    </row>
    <row r="863" spans="1:8" x14ac:dyDescent="0.25">
      <c r="A863" t="s">
        <v>111</v>
      </c>
      <c r="B863">
        <v>2005</v>
      </c>
      <c r="C863" t="s">
        <v>6</v>
      </c>
      <c r="D863" t="s">
        <v>27</v>
      </c>
      <c r="E863">
        <v>7</v>
      </c>
      <c r="F863" s="4" t="s">
        <v>17</v>
      </c>
      <c r="G863">
        <v>5454</v>
      </c>
      <c r="H863" s="2">
        <v>2774961</v>
      </c>
    </row>
    <row r="864" spans="1:8" x14ac:dyDescent="0.25">
      <c r="A864" t="s">
        <v>112</v>
      </c>
      <c r="B864">
        <v>2005</v>
      </c>
      <c r="C864" t="s">
        <v>5</v>
      </c>
      <c r="D864" t="s">
        <v>27</v>
      </c>
      <c r="E864">
        <v>7</v>
      </c>
      <c r="F864" s="4" t="s">
        <v>17</v>
      </c>
      <c r="G864">
        <v>2</v>
      </c>
      <c r="H864" s="2">
        <v>5386812</v>
      </c>
    </row>
    <row r="865" spans="1:8" x14ac:dyDescent="0.25">
      <c r="A865" t="s">
        <v>113</v>
      </c>
      <c r="B865">
        <v>2005</v>
      </c>
      <c r="C865" t="s">
        <v>4</v>
      </c>
      <c r="D865" t="s">
        <v>27</v>
      </c>
      <c r="E865">
        <v>7</v>
      </c>
      <c r="F865" s="4" t="s">
        <v>17</v>
      </c>
      <c r="G865">
        <v>0</v>
      </c>
      <c r="H865" s="2">
        <v>5134473</v>
      </c>
    </row>
    <row r="866" spans="1:8" x14ac:dyDescent="0.25">
      <c r="A866" t="s">
        <v>114</v>
      </c>
      <c r="B866">
        <v>2005</v>
      </c>
      <c r="C866" t="s">
        <v>3</v>
      </c>
      <c r="D866" t="s">
        <v>27</v>
      </c>
      <c r="E866">
        <v>7</v>
      </c>
      <c r="F866" s="4" t="s">
        <v>17</v>
      </c>
      <c r="G866">
        <v>1</v>
      </c>
      <c r="H866" s="2">
        <v>7765159</v>
      </c>
    </row>
    <row r="867" spans="1:8" x14ac:dyDescent="0.25">
      <c r="A867" t="s">
        <v>115</v>
      </c>
      <c r="B867">
        <v>2005</v>
      </c>
      <c r="C867" t="s">
        <v>2</v>
      </c>
      <c r="D867" t="s">
        <v>27</v>
      </c>
      <c r="E867">
        <v>7</v>
      </c>
      <c r="F867" s="4" t="s">
        <v>17</v>
      </c>
      <c r="G867">
        <v>0</v>
      </c>
      <c r="H867" s="2">
        <v>3970997</v>
      </c>
    </row>
    <row r="868" spans="1:8" x14ac:dyDescent="0.25">
      <c r="A868" t="s">
        <v>116</v>
      </c>
      <c r="B868">
        <v>2005</v>
      </c>
      <c r="C868" t="s">
        <v>1</v>
      </c>
      <c r="D868" t="s">
        <v>27</v>
      </c>
      <c r="E868">
        <v>7</v>
      </c>
      <c r="F868" s="4" t="s">
        <v>17</v>
      </c>
      <c r="G868">
        <v>0</v>
      </c>
      <c r="H868" s="2">
        <v>866819</v>
      </c>
    </row>
    <row r="869" spans="1:8" x14ac:dyDescent="0.25">
      <c r="A869" t="s">
        <v>117</v>
      </c>
      <c r="B869">
        <v>2005</v>
      </c>
      <c r="C869" t="s">
        <v>0</v>
      </c>
      <c r="D869" t="s">
        <v>27</v>
      </c>
      <c r="E869">
        <v>7</v>
      </c>
      <c r="F869" s="4" t="s">
        <v>17</v>
      </c>
      <c r="G869">
        <v>0</v>
      </c>
      <c r="H869" s="2">
        <v>866819</v>
      </c>
    </row>
    <row r="870" spans="1:8" x14ac:dyDescent="0.25">
      <c r="A870" t="s">
        <v>118</v>
      </c>
      <c r="B870">
        <v>2006</v>
      </c>
      <c r="C870" t="s">
        <v>6</v>
      </c>
      <c r="D870" t="s">
        <v>27</v>
      </c>
      <c r="E870">
        <v>7</v>
      </c>
      <c r="F870" s="4" t="s">
        <v>17</v>
      </c>
      <c r="G870">
        <v>4958</v>
      </c>
      <c r="H870" s="2">
        <v>2777568</v>
      </c>
    </row>
    <row r="871" spans="1:8" x14ac:dyDescent="0.25">
      <c r="A871" t="s">
        <v>119</v>
      </c>
      <c r="B871">
        <v>2006</v>
      </c>
      <c r="C871" t="s">
        <v>5</v>
      </c>
      <c r="D871" t="s">
        <v>27</v>
      </c>
      <c r="E871">
        <v>7</v>
      </c>
      <c r="F871" s="4" t="s">
        <v>17</v>
      </c>
      <c r="G871">
        <v>1</v>
      </c>
      <c r="H871" s="2">
        <v>5407717</v>
      </c>
    </row>
    <row r="872" spans="1:8" x14ac:dyDescent="0.25">
      <c r="A872" t="s">
        <v>120</v>
      </c>
      <c r="B872">
        <v>2006</v>
      </c>
      <c r="C872" t="s">
        <v>4</v>
      </c>
      <c r="D872" t="s">
        <v>27</v>
      </c>
      <c r="E872">
        <v>7</v>
      </c>
      <c r="F872" s="4" t="s">
        <v>17</v>
      </c>
      <c r="G872">
        <v>0</v>
      </c>
      <c r="H872" s="2">
        <v>5178861</v>
      </c>
    </row>
    <row r="873" spans="1:8" x14ac:dyDescent="0.25">
      <c r="A873" t="s">
        <v>121</v>
      </c>
      <c r="B873">
        <v>2006</v>
      </c>
      <c r="C873" t="s">
        <v>3</v>
      </c>
      <c r="D873" t="s">
        <v>27</v>
      </c>
      <c r="E873">
        <v>7</v>
      </c>
      <c r="F873" s="4" t="s">
        <v>17</v>
      </c>
      <c r="G873">
        <v>0</v>
      </c>
      <c r="H873" s="2">
        <v>7897108</v>
      </c>
    </row>
    <row r="874" spans="1:8" x14ac:dyDescent="0.25">
      <c r="A874" t="s">
        <v>122</v>
      </c>
      <c r="B874">
        <v>2006</v>
      </c>
      <c r="C874" t="s">
        <v>2</v>
      </c>
      <c r="D874" t="s">
        <v>27</v>
      </c>
      <c r="E874">
        <v>7</v>
      </c>
      <c r="F874" s="4" t="s">
        <v>17</v>
      </c>
      <c r="G874">
        <v>0</v>
      </c>
      <c r="H874" s="2">
        <v>4136588</v>
      </c>
    </row>
    <row r="875" spans="1:8" x14ac:dyDescent="0.25">
      <c r="A875" t="s">
        <v>123</v>
      </c>
      <c r="B875">
        <v>2006</v>
      </c>
      <c r="C875" t="s">
        <v>1</v>
      </c>
      <c r="D875" t="s">
        <v>27</v>
      </c>
      <c r="E875">
        <v>7</v>
      </c>
      <c r="F875" s="4" t="s">
        <v>17</v>
      </c>
      <c r="G875">
        <v>0</v>
      </c>
      <c r="H875" s="2">
        <v>893794</v>
      </c>
    </row>
    <row r="876" spans="1:8" x14ac:dyDescent="0.25">
      <c r="A876" t="s">
        <v>124</v>
      </c>
      <c r="B876">
        <v>2006</v>
      </c>
      <c r="C876" t="s">
        <v>0</v>
      </c>
      <c r="D876" t="s">
        <v>27</v>
      </c>
      <c r="E876">
        <v>7</v>
      </c>
      <c r="F876" s="4" t="s">
        <v>17</v>
      </c>
      <c r="G876">
        <v>0</v>
      </c>
      <c r="H876" s="2">
        <v>893794</v>
      </c>
    </row>
    <row r="877" spans="1:8" x14ac:dyDescent="0.25">
      <c r="A877" t="s">
        <v>125</v>
      </c>
      <c r="B877">
        <v>2007</v>
      </c>
      <c r="C877" t="s">
        <v>6</v>
      </c>
      <c r="D877" t="s">
        <v>27</v>
      </c>
      <c r="E877">
        <v>7</v>
      </c>
      <c r="F877" s="4" t="s">
        <v>17</v>
      </c>
      <c r="G877">
        <v>4976</v>
      </c>
      <c r="H877" s="2">
        <v>2778731</v>
      </c>
    </row>
    <row r="878" spans="1:8" x14ac:dyDescent="0.25">
      <c r="A878" t="s">
        <v>126</v>
      </c>
      <c r="B878">
        <v>2007</v>
      </c>
      <c r="C878" t="s">
        <v>5</v>
      </c>
      <c r="D878" t="s">
        <v>27</v>
      </c>
      <c r="E878">
        <v>7</v>
      </c>
      <c r="F878" s="4" t="s">
        <v>17</v>
      </c>
      <c r="G878">
        <v>0</v>
      </c>
      <c r="H878" s="2">
        <v>5427910</v>
      </c>
    </row>
    <row r="879" spans="1:8" x14ac:dyDescent="0.25">
      <c r="A879" t="s">
        <v>127</v>
      </c>
      <c r="B879">
        <v>2007</v>
      </c>
      <c r="C879" t="s">
        <v>4</v>
      </c>
      <c r="D879" t="s">
        <v>27</v>
      </c>
      <c r="E879">
        <v>7</v>
      </c>
      <c r="F879" s="4" t="s">
        <v>17</v>
      </c>
      <c r="G879">
        <v>0</v>
      </c>
      <c r="H879" s="2">
        <v>5216537</v>
      </c>
    </row>
    <row r="880" spans="1:8" x14ac:dyDescent="0.25">
      <c r="A880" t="s">
        <v>128</v>
      </c>
      <c r="B880">
        <v>2007</v>
      </c>
      <c r="C880" t="s">
        <v>3</v>
      </c>
      <c r="D880" t="s">
        <v>27</v>
      </c>
      <c r="E880">
        <v>7</v>
      </c>
      <c r="F880" s="4" t="s">
        <v>17</v>
      </c>
      <c r="G880">
        <v>0</v>
      </c>
      <c r="H880" s="2">
        <v>8032843</v>
      </c>
    </row>
    <row r="881" spans="1:8" x14ac:dyDescent="0.25">
      <c r="A881" t="s">
        <v>129</v>
      </c>
      <c r="B881">
        <v>2007</v>
      </c>
      <c r="C881" t="s">
        <v>2</v>
      </c>
      <c r="D881" t="s">
        <v>27</v>
      </c>
      <c r="E881">
        <v>7</v>
      </c>
      <c r="F881" s="4" t="s">
        <v>17</v>
      </c>
      <c r="G881">
        <v>0</v>
      </c>
      <c r="H881" s="2">
        <v>4307510</v>
      </c>
    </row>
    <row r="882" spans="1:8" x14ac:dyDescent="0.25">
      <c r="A882" t="s">
        <v>130</v>
      </c>
      <c r="B882">
        <v>2007</v>
      </c>
      <c r="C882" t="s">
        <v>1</v>
      </c>
      <c r="D882" t="s">
        <v>27</v>
      </c>
      <c r="E882">
        <v>7</v>
      </c>
      <c r="F882" s="4" t="s">
        <v>17</v>
      </c>
      <c r="G882">
        <v>0</v>
      </c>
      <c r="H882" s="2">
        <v>922773</v>
      </c>
    </row>
    <row r="883" spans="1:8" x14ac:dyDescent="0.25">
      <c r="A883" t="s">
        <v>131</v>
      </c>
      <c r="B883">
        <v>2007</v>
      </c>
      <c r="C883" t="s">
        <v>0</v>
      </c>
      <c r="D883" t="s">
        <v>27</v>
      </c>
      <c r="E883">
        <v>7</v>
      </c>
      <c r="F883" s="4" t="s">
        <v>17</v>
      </c>
      <c r="G883">
        <v>3</v>
      </c>
      <c r="H883" s="2">
        <v>922773</v>
      </c>
    </row>
    <row r="884" spans="1:8" x14ac:dyDescent="0.25">
      <c r="A884" t="s">
        <v>132</v>
      </c>
      <c r="B884">
        <v>2008</v>
      </c>
      <c r="C884" t="s">
        <v>6</v>
      </c>
      <c r="D884" t="s">
        <v>27</v>
      </c>
      <c r="E884">
        <v>7</v>
      </c>
      <c r="F884" s="4" t="s">
        <v>17</v>
      </c>
      <c r="G884">
        <v>5027</v>
      </c>
      <c r="H884" s="2">
        <v>2778239</v>
      </c>
    </row>
    <row r="885" spans="1:8" x14ac:dyDescent="0.25">
      <c r="A885" t="s">
        <v>133</v>
      </c>
      <c r="B885">
        <v>2008</v>
      </c>
      <c r="C885" t="s">
        <v>5</v>
      </c>
      <c r="D885" t="s">
        <v>27</v>
      </c>
      <c r="E885">
        <v>7</v>
      </c>
      <c r="F885" s="4" t="s">
        <v>17</v>
      </c>
      <c r="G885">
        <v>0</v>
      </c>
      <c r="H885" s="2">
        <v>5448390</v>
      </c>
    </row>
    <row r="886" spans="1:8" x14ac:dyDescent="0.25">
      <c r="A886" t="s">
        <v>134</v>
      </c>
      <c r="B886">
        <v>2008</v>
      </c>
      <c r="C886" t="s">
        <v>4</v>
      </c>
      <c r="D886" t="s">
        <v>27</v>
      </c>
      <c r="E886">
        <v>7</v>
      </c>
      <c r="F886" s="4" t="s">
        <v>17</v>
      </c>
      <c r="G886">
        <v>0</v>
      </c>
      <c r="H886" s="2">
        <v>5246997</v>
      </c>
    </row>
    <row r="887" spans="1:8" x14ac:dyDescent="0.25">
      <c r="A887" t="s">
        <v>135</v>
      </c>
      <c r="B887">
        <v>2008</v>
      </c>
      <c r="C887" t="s">
        <v>3</v>
      </c>
      <c r="D887" t="s">
        <v>27</v>
      </c>
      <c r="E887">
        <v>7</v>
      </c>
      <c r="F887" s="4" t="s">
        <v>17</v>
      </c>
      <c r="G887">
        <v>0</v>
      </c>
      <c r="H887" s="2">
        <v>8172306</v>
      </c>
    </row>
    <row r="888" spans="1:8" x14ac:dyDescent="0.25">
      <c r="A888" t="s">
        <v>136</v>
      </c>
      <c r="B888">
        <v>2008</v>
      </c>
      <c r="C888" t="s">
        <v>2</v>
      </c>
      <c r="D888" t="s">
        <v>27</v>
      </c>
      <c r="E888">
        <v>7</v>
      </c>
      <c r="F888" s="4" t="s">
        <v>17</v>
      </c>
      <c r="G888">
        <v>0</v>
      </c>
      <c r="H888" s="2">
        <v>4483302</v>
      </c>
    </row>
    <row r="889" spans="1:8" x14ac:dyDescent="0.25">
      <c r="A889" t="s">
        <v>137</v>
      </c>
      <c r="B889">
        <v>2008</v>
      </c>
      <c r="C889" t="s">
        <v>1</v>
      </c>
      <c r="D889" t="s">
        <v>27</v>
      </c>
      <c r="E889">
        <v>7</v>
      </c>
      <c r="F889" s="4" t="s">
        <v>17</v>
      </c>
      <c r="G889">
        <v>0</v>
      </c>
      <c r="H889" s="2">
        <v>953869</v>
      </c>
    </row>
    <row r="890" spans="1:8" x14ac:dyDescent="0.25">
      <c r="A890" t="s">
        <v>138</v>
      </c>
      <c r="B890">
        <v>2008</v>
      </c>
      <c r="C890" t="s">
        <v>0</v>
      </c>
      <c r="D890" t="s">
        <v>27</v>
      </c>
      <c r="E890">
        <v>7</v>
      </c>
      <c r="F890" s="4" t="s">
        <v>17</v>
      </c>
      <c r="G890">
        <v>0</v>
      </c>
      <c r="H890" s="2">
        <v>953869</v>
      </c>
    </row>
    <row r="891" spans="1:8" x14ac:dyDescent="0.25">
      <c r="A891" t="s">
        <v>139</v>
      </c>
      <c r="B891">
        <v>2009</v>
      </c>
      <c r="C891" t="s">
        <v>6</v>
      </c>
      <c r="D891" t="s">
        <v>27</v>
      </c>
      <c r="E891">
        <v>7</v>
      </c>
      <c r="F891" s="4" t="s">
        <v>17</v>
      </c>
      <c r="G891">
        <v>5303</v>
      </c>
      <c r="H891" s="2">
        <v>2775920</v>
      </c>
    </row>
    <row r="892" spans="1:8" x14ac:dyDescent="0.25">
      <c r="A892" t="s">
        <v>140</v>
      </c>
      <c r="B892">
        <v>2009</v>
      </c>
      <c r="C892" t="s">
        <v>5</v>
      </c>
      <c r="D892" t="s">
        <v>27</v>
      </c>
      <c r="E892">
        <v>7</v>
      </c>
      <c r="F892" s="4" t="s">
        <v>17</v>
      </c>
      <c r="G892">
        <v>0</v>
      </c>
      <c r="H892" s="2">
        <v>5469822</v>
      </c>
    </row>
    <row r="893" spans="1:8" x14ac:dyDescent="0.25">
      <c r="A893" t="s">
        <v>141</v>
      </c>
      <c r="B893">
        <v>2009</v>
      </c>
      <c r="C893" t="s">
        <v>4</v>
      </c>
      <c r="D893" t="s">
        <v>27</v>
      </c>
      <c r="E893">
        <v>7</v>
      </c>
      <c r="F893" s="4" t="s">
        <v>17</v>
      </c>
      <c r="G893">
        <v>0</v>
      </c>
      <c r="H893" s="2">
        <v>5270463</v>
      </c>
    </row>
    <row r="894" spans="1:8" x14ac:dyDescent="0.25">
      <c r="A894" t="s">
        <v>142</v>
      </c>
      <c r="B894">
        <v>2009</v>
      </c>
      <c r="C894" t="s">
        <v>3</v>
      </c>
      <c r="D894" t="s">
        <v>27</v>
      </c>
      <c r="E894">
        <v>7</v>
      </c>
      <c r="F894" s="4" t="s">
        <v>17</v>
      </c>
      <c r="G894">
        <v>0</v>
      </c>
      <c r="H894" s="2">
        <v>8314639</v>
      </c>
    </row>
    <row r="895" spans="1:8" x14ac:dyDescent="0.25">
      <c r="A895" t="s">
        <v>143</v>
      </c>
      <c r="B895">
        <v>2009</v>
      </c>
      <c r="C895" t="s">
        <v>2</v>
      </c>
      <c r="D895" t="s">
        <v>27</v>
      </c>
      <c r="E895">
        <v>7</v>
      </c>
      <c r="F895" s="4" t="s">
        <v>17</v>
      </c>
      <c r="G895">
        <v>0</v>
      </c>
      <c r="H895" s="2">
        <v>4663733</v>
      </c>
    </row>
    <row r="896" spans="1:8" x14ac:dyDescent="0.25">
      <c r="A896" t="s">
        <v>144</v>
      </c>
      <c r="B896">
        <v>2009</v>
      </c>
      <c r="C896" t="s">
        <v>1</v>
      </c>
      <c r="D896" t="s">
        <v>27</v>
      </c>
      <c r="E896">
        <v>7</v>
      </c>
      <c r="F896" s="4" t="s">
        <v>17</v>
      </c>
      <c r="G896">
        <v>0</v>
      </c>
      <c r="H896" s="2">
        <v>987212</v>
      </c>
    </row>
    <row r="897" spans="1:8" x14ac:dyDescent="0.25">
      <c r="A897" t="s">
        <v>145</v>
      </c>
      <c r="B897">
        <v>2009</v>
      </c>
      <c r="C897" t="s">
        <v>0</v>
      </c>
      <c r="D897" t="s">
        <v>27</v>
      </c>
      <c r="E897">
        <v>7</v>
      </c>
      <c r="F897" s="4" t="s">
        <v>17</v>
      </c>
      <c r="G897">
        <v>0</v>
      </c>
      <c r="H897" s="2">
        <v>987212</v>
      </c>
    </row>
    <row r="898" spans="1:8" x14ac:dyDescent="0.25">
      <c r="A898" t="s">
        <v>146</v>
      </c>
      <c r="B898">
        <v>2010</v>
      </c>
      <c r="C898" t="s">
        <v>6</v>
      </c>
      <c r="D898" t="s">
        <v>27</v>
      </c>
      <c r="E898">
        <v>7</v>
      </c>
      <c r="F898" s="4" t="s">
        <v>17</v>
      </c>
      <c r="G898">
        <v>5427</v>
      </c>
      <c r="H898" s="2">
        <v>2771760</v>
      </c>
    </row>
    <row r="899" spans="1:8" x14ac:dyDescent="0.25">
      <c r="A899" t="s">
        <v>147</v>
      </c>
      <c r="B899">
        <v>2010</v>
      </c>
      <c r="C899" t="s">
        <v>5</v>
      </c>
      <c r="D899" t="s">
        <v>27</v>
      </c>
      <c r="E899">
        <v>7</v>
      </c>
      <c r="F899" s="4" t="s">
        <v>17</v>
      </c>
      <c r="G899">
        <v>0</v>
      </c>
      <c r="H899" s="2">
        <v>5492408</v>
      </c>
    </row>
    <row r="900" spans="1:8" x14ac:dyDescent="0.25">
      <c r="A900" t="s">
        <v>148</v>
      </c>
      <c r="B900">
        <v>2010</v>
      </c>
      <c r="C900" t="s">
        <v>4</v>
      </c>
      <c r="D900" t="s">
        <v>27</v>
      </c>
      <c r="E900">
        <v>7</v>
      </c>
      <c r="F900" s="4" t="s">
        <v>17</v>
      </c>
      <c r="G900">
        <v>0</v>
      </c>
      <c r="H900" s="2">
        <v>5286720</v>
      </c>
    </row>
    <row r="901" spans="1:8" x14ac:dyDescent="0.25">
      <c r="A901" t="s">
        <v>149</v>
      </c>
      <c r="B901">
        <v>2010</v>
      </c>
      <c r="C901" t="s">
        <v>3</v>
      </c>
      <c r="D901" t="s">
        <v>27</v>
      </c>
      <c r="E901">
        <v>7</v>
      </c>
      <c r="F901" s="4" t="s">
        <v>17</v>
      </c>
      <c r="G901">
        <v>0</v>
      </c>
      <c r="H901" s="2">
        <v>8458444</v>
      </c>
    </row>
    <row r="902" spans="1:8" x14ac:dyDescent="0.25">
      <c r="A902" t="s">
        <v>150</v>
      </c>
      <c r="B902">
        <v>2010</v>
      </c>
      <c r="C902" t="s">
        <v>2</v>
      </c>
      <c r="D902" t="s">
        <v>27</v>
      </c>
      <c r="E902">
        <v>7</v>
      </c>
      <c r="F902" s="4" t="s">
        <v>17</v>
      </c>
      <c r="G902">
        <v>0</v>
      </c>
      <c r="H902" s="2">
        <v>4849717</v>
      </c>
    </row>
    <row r="903" spans="1:8" x14ac:dyDescent="0.25">
      <c r="A903" t="s">
        <v>151</v>
      </c>
      <c r="B903">
        <v>2010</v>
      </c>
      <c r="C903" t="s">
        <v>1</v>
      </c>
      <c r="D903" t="s">
        <v>27</v>
      </c>
      <c r="E903">
        <v>7</v>
      </c>
      <c r="F903" s="4" t="s">
        <v>17</v>
      </c>
      <c r="G903">
        <v>0</v>
      </c>
      <c r="H903" s="2">
        <v>1022974</v>
      </c>
    </row>
    <row r="904" spans="1:8" x14ac:dyDescent="0.25">
      <c r="A904" t="s">
        <v>152</v>
      </c>
      <c r="B904">
        <v>2010</v>
      </c>
      <c r="C904" t="s">
        <v>0</v>
      </c>
      <c r="D904" t="s">
        <v>27</v>
      </c>
      <c r="E904">
        <v>7</v>
      </c>
      <c r="F904" s="4" t="s">
        <v>17</v>
      </c>
      <c r="G904">
        <v>0</v>
      </c>
      <c r="H904" s="2">
        <v>1022974</v>
      </c>
    </row>
    <row r="905" spans="1:8" x14ac:dyDescent="0.25">
      <c r="A905" t="s">
        <v>153</v>
      </c>
      <c r="B905">
        <v>2011</v>
      </c>
      <c r="C905" t="s">
        <v>6</v>
      </c>
      <c r="D905" t="s">
        <v>27</v>
      </c>
      <c r="E905">
        <v>7</v>
      </c>
      <c r="F905" s="4" t="s">
        <v>17</v>
      </c>
      <c r="G905">
        <v>5530</v>
      </c>
      <c r="H905" s="2">
        <v>2765898</v>
      </c>
    </row>
    <row r="906" spans="1:8" x14ac:dyDescent="0.25">
      <c r="A906" t="s">
        <v>154</v>
      </c>
      <c r="B906">
        <v>2011</v>
      </c>
      <c r="C906" t="s">
        <v>5</v>
      </c>
      <c r="D906" t="s">
        <v>27</v>
      </c>
      <c r="E906">
        <v>7</v>
      </c>
      <c r="F906" s="4" t="s">
        <v>17</v>
      </c>
      <c r="G906">
        <v>0</v>
      </c>
      <c r="H906" s="2">
        <v>5516288</v>
      </c>
    </row>
    <row r="907" spans="1:8" x14ac:dyDescent="0.25">
      <c r="A907" t="s">
        <v>155</v>
      </c>
      <c r="B907">
        <v>2011</v>
      </c>
      <c r="C907" t="s">
        <v>4</v>
      </c>
      <c r="D907" t="s">
        <v>27</v>
      </c>
      <c r="E907">
        <v>7</v>
      </c>
      <c r="F907" s="4" t="s">
        <v>17</v>
      </c>
      <c r="G907">
        <v>0</v>
      </c>
      <c r="H907" s="2">
        <v>5296319</v>
      </c>
    </row>
    <row r="908" spans="1:8" x14ac:dyDescent="0.25">
      <c r="A908" t="s">
        <v>156</v>
      </c>
      <c r="B908">
        <v>2011</v>
      </c>
      <c r="C908" t="s">
        <v>3</v>
      </c>
      <c r="D908" t="s">
        <v>27</v>
      </c>
      <c r="E908">
        <v>7</v>
      </c>
      <c r="F908" s="4" t="s">
        <v>17</v>
      </c>
      <c r="G908">
        <v>0</v>
      </c>
      <c r="H908" s="2">
        <v>8602515</v>
      </c>
    </row>
    <row r="909" spans="1:8" x14ac:dyDescent="0.25">
      <c r="A909" t="s">
        <v>157</v>
      </c>
      <c r="B909">
        <v>2011</v>
      </c>
      <c r="C909" t="s">
        <v>2</v>
      </c>
      <c r="D909" t="s">
        <v>27</v>
      </c>
      <c r="E909">
        <v>7</v>
      </c>
      <c r="F909" s="4" t="s">
        <v>17</v>
      </c>
      <c r="G909">
        <v>0</v>
      </c>
      <c r="H909" s="2">
        <v>5041154</v>
      </c>
    </row>
    <row r="910" spans="1:8" x14ac:dyDescent="0.25">
      <c r="A910" t="s">
        <v>158</v>
      </c>
      <c r="B910">
        <v>2011</v>
      </c>
      <c r="C910" t="s">
        <v>1</v>
      </c>
      <c r="D910" t="s">
        <v>27</v>
      </c>
      <c r="E910">
        <v>7</v>
      </c>
      <c r="F910" s="4" t="s">
        <v>17</v>
      </c>
      <c r="G910">
        <v>0</v>
      </c>
      <c r="H910" s="2">
        <v>1061340</v>
      </c>
    </row>
    <row r="911" spans="1:8" x14ac:dyDescent="0.25">
      <c r="A911" t="s">
        <v>159</v>
      </c>
      <c r="B911">
        <v>2011</v>
      </c>
      <c r="C911" t="s">
        <v>0</v>
      </c>
      <c r="D911" t="s">
        <v>27</v>
      </c>
      <c r="E911">
        <v>7</v>
      </c>
      <c r="F911" s="4" t="s">
        <v>17</v>
      </c>
      <c r="G911">
        <v>0</v>
      </c>
      <c r="H911" s="2">
        <v>1061340</v>
      </c>
    </row>
    <row r="912" spans="1:8" x14ac:dyDescent="0.25">
      <c r="A912" t="s">
        <v>160</v>
      </c>
      <c r="B912">
        <v>2012</v>
      </c>
      <c r="C912" t="s">
        <v>6</v>
      </c>
      <c r="D912" t="s">
        <v>27</v>
      </c>
      <c r="E912">
        <v>7</v>
      </c>
      <c r="F912" s="4" t="s">
        <v>17</v>
      </c>
      <c r="G912">
        <v>5445</v>
      </c>
      <c r="H912" s="2">
        <v>2759356.4495101599</v>
      </c>
    </row>
    <row r="913" spans="1:8" x14ac:dyDescent="0.25">
      <c r="A913" t="s">
        <v>161</v>
      </c>
      <c r="B913">
        <v>2012</v>
      </c>
      <c r="C913" t="s">
        <v>5</v>
      </c>
      <c r="D913" t="s">
        <v>27</v>
      </c>
      <c r="E913">
        <v>7</v>
      </c>
      <c r="F913" s="4" t="s">
        <v>17</v>
      </c>
      <c r="G913">
        <v>0</v>
      </c>
      <c r="H913" s="2">
        <v>5537428.7927720398</v>
      </c>
    </row>
    <row r="914" spans="1:8" x14ac:dyDescent="0.25">
      <c r="A914" t="s">
        <v>162</v>
      </c>
      <c r="B914">
        <v>2012</v>
      </c>
      <c r="C914" t="s">
        <v>4</v>
      </c>
      <c r="D914" t="s">
        <v>27</v>
      </c>
      <c r="E914">
        <v>7</v>
      </c>
      <c r="F914" s="4" t="s">
        <v>17</v>
      </c>
      <c r="G914">
        <v>0</v>
      </c>
      <c r="H914" s="2">
        <v>5307779.7280284902</v>
      </c>
    </row>
    <row r="915" spans="1:8" x14ac:dyDescent="0.25">
      <c r="A915" t="s">
        <v>163</v>
      </c>
      <c r="B915">
        <v>2012</v>
      </c>
      <c r="C915" t="s">
        <v>3</v>
      </c>
      <c r="D915" t="s">
        <v>27</v>
      </c>
      <c r="E915">
        <v>7</v>
      </c>
      <c r="F915" s="4" t="s">
        <v>17</v>
      </c>
      <c r="G915">
        <v>0</v>
      </c>
      <c r="H915" s="2">
        <v>8748082.6996606905</v>
      </c>
    </row>
    <row r="916" spans="1:8" x14ac:dyDescent="0.25">
      <c r="A916" t="s">
        <v>164</v>
      </c>
      <c r="B916">
        <v>2012</v>
      </c>
      <c r="C916" t="s">
        <v>2</v>
      </c>
      <c r="D916" t="s">
        <v>27</v>
      </c>
      <c r="E916">
        <v>7</v>
      </c>
      <c r="F916" s="4" t="s">
        <v>17</v>
      </c>
      <c r="G916">
        <v>0</v>
      </c>
      <c r="H916" s="2">
        <v>5230482.0778962998</v>
      </c>
    </row>
    <row r="917" spans="1:8" x14ac:dyDescent="0.25">
      <c r="A917" t="s">
        <v>165</v>
      </c>
      <c r="B917">
        <v>2012</v>
      </c>
      <c r="C917" t="s">
        <v>1</v>
      </c>
      <c r="D917" t="s">
        <v>27</v>
      </c>
      <c r="E917">
        <v>7</v>
      </c>
      <c r="F917" s="4" t="s">
        <v>17</v>
      </c>
      <c r="G917">
        <v>0</v>
      </c>
      <c r="H917" s="2">
        <v>1102796.7939262099</v>
      </c>
    </row>
    <row r="918" spans="1:8" x14ac:dyDescent="0.25">
      <c r="A918" t="s">
        <v>166</v>
      </c>
      <c r="B918">
        <v>2012</v>
      </c>
      <c r="C918" t="s">
        <v>0</v>
      </c>
      <c r="D918" t="s">
        <v>27</v>
      </c>
      <c r="E918">
        <v>7</v>
      </c>
      <c r="F918" s="4" t="s">
        <v>17</v>
      </c>
      <c r="G918">
        <v>0</v>
      </c>
      <c r="H918" s="2">
        <v>1102796.7939262099</v>
      </c>
    </row>
    <row r="919" spans="1:8" x14ac:dyDescent="0.25">
      <c r="A919" t="s">
        <v>167</v>
      </c>
      <c r="B919">
        <v>2013</v>
      </c>
      <c r="C919" t="s">
        <v>6</v>
      </c>
      <c r="D919" t="s">
        <v>27</v>
      </c>
      <c r="E919">
        <v>7</v>
      </c>
      <c r="F919" s="4" t="s">
        <v>17</v>
      </c>
      <c r="G919">
        <v>5280</v>
      </c>
      <c r="H919" s="2">
        <v>2752322.19750119</v>
      </c>
    </row>
    <row r="920" spans="1:8" x14ac:dyDescent="0.25">
      <c r="A920" t="s">
        <v>168</v>
      </c>
      <c r="B920">
        <v>2013</v>
      </c>
      <c r="C920" t="s">
        <v>5</v>
      </c>
      <c r="D920" t="s">
        <v>27</v>
      </c>
      <c r="E920">
        <v>7</v>
      </c>
      <c r="F920" s="4" t="s">
        <v>17</v>
      </c>
      <c r="G920">
        <v>0</v>
      </c>
      <c r="H920" s="2">
        <v>5554323.1251711203</v>
      </c>
    </row>
    <row r="921" spans="1:8" x14ac:dyDescent="0.25">
      <c r="A921" t="s">
        <v>169</v>
      </c>
      <c r="B921">
        <v>2013</v>
      </c>
      <c r="C921" t="s">
        <v>4</v>
      </c>
      <c r="D921" t="s">
        <v>27</v>
      </c>
      <c r="E921">
        <v>7</v>
      </c>
      <c r="F921" s="4" t="s">
        <v>17</v>
      </c>
      <c r="G921">
        <v>0</v>
      </c>
      <c r="H921" s="2">
        <v>5323364.8480997998</v>
      </c>
    </row>
    <row r="922" spans="1:8" x14ac:dyDescent="0.25">
      <c r="A922" t="s">
        <v>170</v>
      </c>
      <c r="B922">
        <v>2013</v>
      </c>
      <c r="C922" t="s">
        <v>3</v>
      </c>
      <c r="D922" t="s">
        <v>27</v>
      </c>
      <c r="E922">
        <v>7</v>
      </c>
      <c r="F922" s="4" t="s">
        <v>17</v>
      </c>
      <c r="G922">
        <v>0</v>
      </c>
      <c r="H922" s="2">
        <v>8893718.1904660594</v>
      </c>
    </row>
    <row r="923" spans="1:8" x14ac:dyDescent="0.25">
      <c r="A923" t="s">
        <v>171</v>
      </c>
      <c r="B923">
        <v>2013</v>
      </c>
      <c r="C923" t="s">
        <v>2</v>
      </c>
      <c r="D923" t="s">
        <v>27</v>
      </c>
      <c r="E923">
        <v>7</v>
      </c>
      <c r="F923" s="4" t="s">
        <v>17</v>
      </c>
      <c r="G923">
        <v>0</v>
      </c>
      <c r="H923" s="2">
        <v>5415783.9591287402</v>
      </c>
    </row>
    <row r="924" spans="1:8" x14ac:dyDescent="0.25">
      <c r="A924" t="s">
        <v>172</v>
      </c>
      <c r="B924">
        <v>2013</v>
      </c>
      <c r="C924" t="s">
        <v>1</v>
      </c>
      <c r="D924" t="s">
        <v>27</v>
      </c>
      <c r="E924">
        <v>7</v>
      </c>
      <c r="F924" s="4" t="s">
        <v>17</v>
      </c>
      <c r="G924">
        <v>0</v>
      </c>
      <c r="H924" s="2">
        <v>1147296.6505007599</v>
      </c>
    </row>
    <row r="925" spans="1:8" x14ac:dyDescent="0.25">
      <c r="A925" t="s">
        <v>173</v>
      </c>
      <c r="B925">
        <v>2013</v>
      </c>
      <c r="C925" t="s">
        <v>0</v>
      </c>
      <c r="D925" t="s">
        <v>27</v>
      </c>
      <c r="E925">
        <v>7</v>
      </c>
      <c r="F925" s="4" t="s">
        <v>17</v>
      </c>
      <c r="G925">
        <v>0</v>
      </c>
      <c r="H925" s="2">
        <v>1147296.6505007599</v>
      </c>
    </row>
    <row r="926" spans="1:8" x14ac:dyDescent="0.25">
      <c r="A926" t="s">
        <v>174</v>
      </c>
      <c r="B926">
        <v>2014</v>
      </c>
      <c r="C926" t="s">
        <v>6</v>
      </c>
      <c r="D926" t="s">
        <v>27</v>
      </c>
      <c r="E926">
        <v>7</v>
      </c>
      <c r="F926" s="4" t="s">
        <v>17</v>
      </c>
      <c r="G926">
        <v>5605</v>
      </c>
      <c r="H926" s="2">
        <v>2744697</v>
      </c>
    </row>
    <row r="927" spans="1:8" x14ac:dyDescent="0.25">
      <c r="A927" t="s">
        <v>175</v>
      </c>
      <c r="B927">
        <v>2014</v>
      </c>
      <c r="C927" t="s">
        <v>5</v>
      </c>
      <c r="D927" t="s">
        <v>27</v>
      </c>
      <c r="E927">
        <v>7</v>
      </c>
      <c r="F927" s="4" t="s">
        <v>17</v>
      </c>
      <c r="G927">
        <v>0</v>
      </c>
      <c r="H927" s="2">
        <v>5566437</v>
      </c>
    </row>
    <row r="928" spans="1:8" x14ac:dyDescent="0.25">
      <c r="A928" t="s">
        <v>176</v>
      </c>
      <c r="B928">
        <v>2014</v>
      </c>
      <c r="C928" t="s">
        <v>4</v>
      </c>
      <c r="D928" t="s">
        <v>27</v>
      </c>
      <c r="E928">
        <v>7</v>
      </c>
      <c r="F928" s="4" t="s">
        <v>17</v>
      </c>
      <c r="G928">
        <v>0</v>
      </c>
      <c r="H928" s="2">
        <v>5343109</v>
      </c>
    </row>
    <row r="929" spans="1:8" x14ac:dyDescent="0.25">
      <c r="A929" t="s">
        <v>177</v>
      </c>
      <c r="B929">
        <v>2014</v>
      </c>
      <c r="C929" t="s">
        <v>3</v>
      </c>
      <c r="D929" t="s">
        <v>27</v>
      </c>
      <c r="E929">
        <v>7</v>
      </c>
      <c r="F929" s="4" t="s">
        <v>17</v>
      </c>
      <c r="G929">
        <v>0</v>
      </c>
      <c r="H929" s="2">
        <v>9037113</v>
      </c>
    </row>
    <row r="930" spans="1:8" x14ac:dyDescent="0.25">
      <c r="A930" t="s">
        <v>178</v>
      </c>
      <c r="B930">
        <v>2014</v>
      </c>
      <c r="C930" t="s">
        <v>2</v>
      </c>
      <c r="D930" t="s">
        <v>27</v>
      </c>
      <c r="E930">
        <v>7</v>
      </c>
      <c r="F930" s="4" t="s">
        <v>17</v>
      </c>
      <c r="G930">
        <v>0</v>
      </c>
      <c r="H930" s="2">
        <v>5597164</v>
      </c>
    </row>
    <row r="931" spans="1:8" x14ac:dyDescent="0.25">
      <c r="A931" t="s">
        <v>179</v>
      </c>
      <c r="B931">
        <v>2014</v>
      </c>
      <c r="C931" t="s">
        <v>1</v>
      </c>
      <c r="D931" t="s">
        <v>27</v>
      </c>
      <c r="E931">
        <v>7</v>
      </c>
      <c r="F931" s="4" t="s">
        <v>17</v>
      </c>
      <c r="G931">
        <v>0</v>
      </c>
      <c r="H931" s="2">
        <v>1194627</v>
      </c>
    </row>
    <row r="932" spans="1:8" x14ac:dyDescent="0.25">
      <c r="A932" t="s">
        <v>180</v>
      </c>
      <c r="B932">
        <v>2014</v>
      </c>
      <c r="C932" t="s">
        <v>0</v>
      </c>
      <c r="D932" t="s">
        <v>27</v>
      </c>
      <c r="E932">
        <v>7</v>
      </c>
      <c r="F932" s="4" t="s">
        <v>17</v>
      </c>
      <c r="G932">
        <v>0</v>
      </c>
      <c r="H932" s="2">
        <v>1194627</v>
      </c>
    </row>
    <row r="933" spans="1:8" x14ac:dyDescent="0.25">
      <c r="A933" t="s">
        <v>48</v>
      </c>
      <c r="B933">
        <v>1996</v>
      </c>
      <c r="C933" t="s">
        <v>6</v>
      </c>
      <c r="D933" t="s">
        <v>27</v>
      </c>
      <c r="E933">
        <v>8</v>
      </c>
      <c r="F933" s="4" t="s">
        <v>15</v>
      </c>
      <c r="G933">
        <v>114</v>
      </c>
      <c r="H933" s="2">
        <v>2669011.0638103201</v>
      </c>
    </row>
    <row r="934" spans="1:8" x14ac:dyDescent="0.25">
      <c r="A934" t="s">
        <v>49</v>
      </c>
      <c r="B934">
        <v>1996</v>
      </c>
      <c r="C934" t="s">
        <v>5</v>
      </c>
      <c r="D934" t="s">
        <v>27</v>
      </c>
      <c r="E934">
        <v>8</v>
      </c>
      <c r="F934" s="4" t="s">
        <v>15</v>
      </c>
      <c r="G934">
        <v>15</v>
      </c>
      <c r="H934" s="2">
        <v>5336689.2615659405</v>
      </c>
    </row>
    <row r="935" spans="1:8" x14ac:dyDescent="0.25">
      <c r="A935" t="s">
        <v>50</v>
      </c>
      <c r="B935">
        <v>1996</v>
      </c>
      <c r="C935" t="s">
        <v>4</v>
      </c>
      <c r="D935" t="s">
        <v>27</v>
      </c>
      <c r="E935">
        <v>8</v>
      </c>
      <c r="F935" s="4" t="s">
        <v>15</v>
      </c>
      <c r="G935">
        <v>33</v>
      </c>
      <c r="H935" s="2">
        <v>4328734.7335640304</v>
      </c>
    </row>
    <row r="936" spans="1:8" x14ac:dyDescent="0.25">
      <c r="A936" t="s">
        <v>51</v>
      </c>
      <c r="B936">
        <v>1996</v>
      </c>
      <c r="C936" t="s">
        <v>3</v>
      </c>
      <c r="D936" t="s">
        <v>27</v>
      </c>
      <c r="E936">
        <v>8</v>
      </c>
      <c r="F936" s="4" t="s">
        <v>15</v>
      </c>
      <c r="G936">
        <v>99</v>
      </c>
      <c r="H936" s="2">
        <v>6500086.9398599695</v>
      </c>
    </row>
    <row r="937" spans="1:8" x14ac:dyDescent="0.25">
      <c r="A937" t="s">
        <v>52</v>
      </c>
      <c r="B937">
        <v>1996</v>
      </c>
      <c r="C937" t="s">
        <v>2</v>
      </c>
      <c r="D937" t="s">
        <v>27</v>
      </c>
      <c r="E937">
        <v>8</v>
      </c>
      <c r="F937" s="4" t="s">
        <v>15</v>
      </c>
      <c r="G937">
        <v>427</v>
      </c>
      <c r="H937" s="2">
        <v>2862216.4853526298</v>
      </c>
    </row>
    <row r="938" spans="1:8" x14ac:dyDescent="0.25">
      <c r="A938" t="s">
        <v>53</v>
      </c>
      <c r="B938">
        <v>1996</v>
      </c>
      <c r="C938" t="s">
        <v>1</v>
      </c>
      <c r="D938" t="s">
        <v>27</v>
      </c>
      <c r="E938">
        <v>8</v>
      </c>
      <c r="F938" s="4" t="s">
        <v>15</v>
      </c>
      <c r="G938">
        <v>576</v>
      </c>
      <c r="H938" s="2">
        <v>710343.28776711202</v>
      </c>
    </row>
    <row r="939" spans="1:8" x14ac:dyDescent="0.25">
      <c r="A939" t="s">
        <v>54</v>
      </c>
      <c r="B939">
        <v>1996</v>
      </c>
      <c r="C939" t="s">
        <v>0</v>
      </c>
      <c r="D939" t="s">
        <v>27</v>
      </c>
      <c r="E939">
        <v>8</v>
      </c>
      <c r="F939" s="4" t="s">
        <v>15</v>
      </c>
      <c r="G939">
        <v>1141</v>
      </c>
      <c r="H939" s="2">
        <v>710343.28776711202</v>
      </c>
    </row>
    <row r="940" spans="1:8" x14ac:dyDescent="0.25">
      <c r="A940" t="s">
        <v>55</v>
      </c>
      <c r="B940">
        <v>1997</v>
      </c>
      <c r="C940" t="s">
        <v>6</v>
      </c>
      <c r="D940" t="s">
        <v>27</v>
      </c>
      <c r="E940">
        <v>8</v>
      </c>
      <c r="F940" s="4" t="s">
        <v>15</v>
      </c>
      <c r="G940">
        <v>119</v>
      </c>
      <c r="H940" s="2">
        <v>2689637.03828619</v>
      </c>
    </row>
    <row r="941" spans="1:8" x14ac:dyDescent="0.25">
      <c r="A941" t="s">
        <v>56</v>
      </c>
      <c r="B941">
        <v>1997</v>
      </c>
      <c r="C941" t="s">
        <v>5</v>
      </c>
      <c r="D941" t="s">
        <v>27</v>
      </c>
      <c r="E941">
        <v>8</v>
      </c>
      <c r="F941" s="4" t="s">
        <v>15</v>
      </c>
      <c r="G941">
        <v>12</v>
      </c>
      <c r="H941" s="2">
        <v>5352218.1569395596</v>
      </c>
    </row>
    <row r="942" spans="1:8" x14ac:dyDescent="0.25">
      <c r="A942" t="s">
        <v>57</v>
      </c>
      <c r="B942">
        <v>1997</v>
      </c>
      <c r="C942" t="s">
        <v>4</v>
      </c>
      <c r="D942" t="s">
        <v>27</v>
      </c>
      <c r="E942">
        <v>8</v>
      </c>
      <c r="F942" s="4" t="s">
        <v>15</v>
      </c>
      <c r="G942">
        <v>21</v>
      </c>
      <c r="H942" s="2">
        <v>4441903.2401384199</v>
      </c>
    </row>
    <row r="943" spans="1:8" x14ac:dyDescent="0.25">
      <c r="A943" t="s">
        <v>58</v>
      </c>
      <c r="B943">
        <v>1997</v>
      </c>
      <c r="C943" t="s">
        <v>3</v>
      </c>
      <c r="D943" t="s">
        <v>27</v>
      </c>
      <c r="E943">
        <v>8</v>
      </c>
      <c r="F943" s="4" t="s">
        <v>15</v>
      </c>
      <c r="G943">
        <v>83</v>
      </c>
      <c r="H943" s="2">
        <v>6652916.9639159804</v>
      </c>
    </row>
    <row r="944" spans="1:8" x14ac:dyDescent="0.25">
      <c r="A944" t="s">
        <v>59</v>
      </c>
      <c r="B944">
        <v>1997</v>
      </c>
      <c r="C944" t="s">
        <v>2</v>
      </c>
      <c r="D944" t="s">
        <v>27</v>
      </c>
      <c r="E944">
        <v>8</v>
      </c>
      <c r="F944" s="4" t="s">
        <v>15</v>
      </c>
      <c r="G944">
        <v>407</v>
      </c>
      <c r="H944" s="2">
        <v>2950439.89121158</v>
      </c>
    </row>
    <row r="945" spans="1:8" x14ac:dyDescent="0.25">
      <c r="A945" t="s">
        <v>60</v>
      </c>
      <c r="B945">
        <v>1997</v>
      </c>
      <c r="C945" t="s">
        <v>1</v>
      </c>
      <c r="D945" t="s">
        <v>27</v>
      </c>
      <c r="E945">
        <v>8</v>
      </c>
      <c r="F945" s="4" t="s">
        <v>15</v>
      </c>
      <c r="G945">
        <v>593</v>
      </c>
      <c r="H945" s="2">
        <v>717390.37266026705</v>
      </c>
    </row>
    <row r="946" spans="1:8" x14ac:dyDescent="0.25">
      <c r="A946" t="s">
        <v>61</v>
      </c>
      <c r="B946">
        <v>1997</v>
      </c>
      <c r="C946" t="s">
        <v>0</v>
      </c>
      <c r="D946" t="s">
        <v>27</v>
      </c>
      <c r="E946">
        <v>8</v>
      </c>
      <c r="F946" s="4" t="s">
        <v>15</v>
      </c>
      <c r="G946">
        <v>1163</v>
      </c>
      <c r="H946" s="2">
        <v>717390.37266026705</v>
      </c>
    </row>
    <row r="947" spans="1:8" x14ac:dyDescent="0.25">
      <c r="A947" t="s">
        <v>62</v>
      </c>
      <c r="B947">
        <v>1998</v>
      </c>
      <c r="C947" t="s">
        <v>6</v>
      </c>
      <c r="D947" t="s">
        <v>27</v>
      </c>
      <c r="E947">
        <v>8</v>
      </c>
      <c r="F947" s="4" t="s">
        <v>15</v>
      </c>
      <c r="G947">
        <v>95</v>
      </c>
      <c r="H947" s="2">
        <v>2707580.5191430999</v>
      </c>
    </row>
    <row r="948" spans="1:8" x14ac:dyDescent="0.25">
      <c r="A948" t="s">
        <v>63</v>
      </c>
      <c r="B948">
        <v>1998</v>
      </c>
      <c r="C948" t="s">
        <v>5</v>
      </c>
      <c r="D948" t="s">
        <v>27</v>
      </c>
      <c r="E948">
        <v>8</v>
      </c>
      <c r="F948" s="4" t="s">
        <v>15</v>
      </c>
      <c r="G948">
        <v>16</v>
      </c>
      <c r="H948" s="2">
        <v>5360232.5784697803</v>
      </c>
    </row>
    <row r="949" spans="1:8" x14ac:dyDescent="0.25">
      <c r="A949" t="s">
        <v>64</v>
      </c>
      <c r="B949">
        <v>1998</v>
      </c>
      <c r="C949" t="s">
        <v>4</v>
      </c>
      <c r="D949" t="s">
        <v>27</v>
      </c>
      <c r="E949">
        <v>8</v>
      </c>
      <c r="F949" s="4" t="s">
        <v>15</v>
      </c>
      <c r="G949">
        <v>22</v>
      </c>
      <c r="H949" s="2">
        <v>4551586.6200692104</v>
      </c>
    </row>
    <row r="950" spans="1:8" x14ac:dyDescent="0.25">
      <c r="A950" t="s">
        <v>65</v>
      </c>
      <c r="B950">
        <v>1998</v>
      </c>
      <c r="C950" t="s">
        <v>3</v>
      </c>
      <c r="D950" t="s">
        <v>27</v>
      </c>
      <c r="E950">
        <v>8</v>
      </c>
      <c r="F950" s="4" t="s">
        <v>15</v>
      </c>
      <c r="G950">
        <v>82</v>
      </c>
      <c r="H950" s="2">
        <v>6800752.4819579897</v>
      </c>
    </row>
    <row r="951" spans="1:8" x14ac:dyDescent="0.25">
      <c r="A951" t="s">
        <v>66</v>
      </c>
      <c r="B951">
        <v>1998</v>
      </c>
      <c r="C951" t="s">
        <v>2</v>
      </c>
      <c r="D951" t="s">
        <v>27</v>
      </c>
      <c r="E951">
        <v>8</v>
      </c>
      <c r="F951" s="4" t="s">
        <v>15</v>
      </c>
      <c r="G951">
        <v>503</v>
      </c>
      <c r="H951" s="2">
        <v>3048176.4456057898</v>
      </c>
    </row>
    <row r="952" spans="1:8" x14ac:dyDescent="0.25">
      <c r="A952" t="s">
        <v>67</v>
      </c>
      <c r="B952">
        <v>1998</v>
      </c>
      <c r="C952" t="s">
        <v>1</v>
      </c>
      <c r="D952" t="s">
        <v>27</v>
      </c>
      <c r="E952">
        <v>8</v>
      </c>
      <c r="F952" s="4" t="s">
        <v>15</v>
      </c>
      <c r="G952">
        <v>721</v>
      </c>
      <c r="H952" s="2">
        <v>727932.186330133</v>
      </c>
    </row>
    <row r="953" spans="1:8" x14ac:dyDescent="0.25">
      <c r="A953" t="s">
        <v>68</v>
      </c>
      <c r="B953">
        <v>1998</v>
      </c>
      <c r="C953" t="s">
        <v>0</v>
      </c>
      <c r="D953" t="s">
        <v>27</v>
      </c>
      <c r="E953">
        <v>8</v>
      </c>
      <c r="F953" s="4" t="s">
        <v>15</v>
      </c>
      <c r="G953">
        <v>1319</v>
      </c>
      <c r="H953" s="2">
        <v>727932.186330133</v>
      </c>
    </row>
    <row r="954" spans="1:8" x14ac:dyDescent="0.25">
      <c r="A954" t="s">
        <v>69</v>
      </c>
      <c r="B954">
        <v>1999</v>
      </c>
      <c r="C954" t="s">
        <v>6</v>
      </c>
      <c r="D954" t="s">
        <v>27</v>
      </c>
      <c r="E954">
        <v>8</v>
      </c>
      <c r="F954" s="4" t="s">
        <v>15</v>
      </c>
      <c r="G954">
        <v>111</v>
      </c>
      <c r="H954" s="2">
        <v>2723058.5063810302</v>
      </c>
    </row>
    <row r="955" spans="1:8" x14ac:dyDescent="0.25">
      <c r="A955" t="s">
        <v>70</v>
      </c>
      <c r="B955">
        <v>1999</v>
      </c>
      <c r="C955" t="s">
        <v>5</v>
      </c>
      <c r="D955" t="s">
        <v>27</v>
      </c>
      <c r="E955">
        <v>8</v>
      </c>
      <c r="F955" s="4" t="s">
        <v>15</v>
      </c>
      <c r="G955">
        <v>17</v>
      </c>
      <c r="H955" s="2">
        <v>5362927.5261565903</v>
      </c>
    </row>
    <row r="956" spans="1:8" x14ac:dyDescent="0.25">
      <c r="A956" t="s">
        <v>71</v>
      </c>
      <c r="B956">
        <v>1999</v>
      </c>
      <c r="C956" t="s">
        <v>4</v>
      </c>
      <c r="D956" t="s">
        <v>27</v>
      </c>
      <c r="E956">
        <v>8</v>
      </c>
      <c r="F956" s="4" t="s">
        <v>15</v>
      </c>
      <c r="G956">
        <v>30</v>
      </c>
      <c r="H956" s="2">
        <v>4656740.8733564001</v>
      </c>
    </row>
    <row r="957" spans="1:8" x14ac:dyDescent="0.25">
      <c r="A957" t="s">
        <v>72</v>
      </c>
      <c r="B957">
        <v>1999</v>
      </c>
      <c r="C957" t="s">
        <v>3</v>
      </c>
      <c r="D957" t="s">
        <v>27</v>
      </c>
      <c r="E957">
        <v>8</v>
      </c>
      <c r="F957" s="4" t="s">
        <v>15</v>
      </c>
      <c r="G957">
        <v>91</v>
      </c>
      <c r="H957" s="2">
        <v>6944474.4939860003</v>
      </c>
    </row>
    <row r="958" spans="1:8" x14ac:dyDescent="0.25">
      <c r="A958" t="s">
        <v>73</v>
      </c>
      <c r="B958">
        <v>1999</v>
      </c>
      <c r="C958" t="s">
        <v>2</v>
      </c>
      <c r="D958" t="s">
        <v>27</v>
      </c>
      <c r="E958">
        <v>8</v>
      </c>
      <c r="F958" s="4" t="s">
        <v>15</v>
      </c>
      <c r="G958">
        <v>529</v>
      </c>
      <c r="H958" s="2">
        <v>3155060.14853526</v>
      </c>
    </row>
    <row r="959" spans="1:8" x14ac:dyDescent="0.25">
      <c r="A959" t="s">
        <v>74</v>
      </c>
      <c r="B959">
        <v>1999</v>
      </c>
      <c r="C959" t="s">
        <v>1</v>
      </c>
      <c r="D959" t="s">
        <v>27</v>
      </c>
      <c r="E959">
        <v>8</v>
      </c>
      <c r="F959" s="4" t="s">
        <v>15</v>
      </c>
      <c r="G959">
        <v>751</v>
      </c>
      <c r="H959" s="2">
        <v>741553.72877671104</v>
      </c>
    </row>
    <row r="960" spans="1:8" x14ac:dyDescent="0.25">
      <c r="A960" t="s">
        <v>75</v>
      </c>
      <c r="B960">
        <v>1999</v>
      </c>
      <c r="C960" t="s">
        <v>0</v>
      </c>
      <c r="D960" t="s">
        <v>27</v>
      </c>
      <c r="E960">
        <v>8</v>
      </c>
      <c r="F960" s="4" t="s">
        <v>15</v>
      </c>
      <c r="G960">
        <v>1475</v>
      </c>
      <c r="H960" s="2">
        <v>741553.72877671104</v>
      </c>
    </row>
    <row r="961" spans="1:8" x14ac:dyDescent="0.25">
      <c r="A961" t="s">
        <v>76</v>
      </c>
      <c r="B961">
        <v>2000</v>
      </c>
      <c r="C961" t="s">
        <v>6</v>
      </c>
      <c r="D961" t="s">
        <v>27</v>
      </c>
      <c r="E961">
        <v>8</v>
      </c>
      <c r="F961" s="4" t="s">
        <v>15</v>
      </c>
      <c r="G961">
        <v>104</v>
      </c>
      <c r="H961" s="2">
        <v>2736288</v>
      </c>
    </row>
    <row r="962" spans="1:8" x14ac:dyDescent="0.25">
      <c r="A962" t="s">
        <v>77</v>
      </c>
      <c r="B962">
        <v>2000</v>
      </c>
      <c r="C962" t="s">
        <v>5</v>
      </c>
      <c r="D962" t="s">
        <v>27</v>
      </c>
      <c r="E962">
        <v>8</v>
      </c>
      <c r="F962" s="4" t="s">
        <v>15</v>
      </c>
      <c r="G962">
        <v>8</v>
      </c>
      <c r="H962" s="2">
        <v>5362498</v>
      </c>
    </row>
    <row r="963" spans="1:8" x14ac:dyDescent="0.25">
      <c r="A963" t="s">
        <v>78</v>
      </c>
      <c r="B963">
        <v>2000</v>
      </c>
      <c r="C963" t="s">
        <v>4</v>
      </c>
      <c r="D963" t="s">
        <v>27</v>
      </c>
      <c r="E963">
        <v>8</v>
      </c>
      <c r="F963" s="4" t="s">
        <v>15</v>
      </c>
      <c r="G963">
        <v>17</v>
      </c>
      <c r="H963" s="2">
        <v>4756322</v>
      </c>
    </row>
    <row r="964" spans="1:8" x14ac:dyDescent="0.25">
      <c r="A964" t="s">
        <v>79</v>
      </c>
      <c r="B964">
        <v>2000</v>
      </c>
      <c r="C964" t="s">
        <v>3</v>
      </c>
      <c r="D964" t="s">
        <v>27</v>
      </c>
      <c r="E964">
        <v>8</v>
      </c>
      <c r="F964" s="4" t="s">
        <v>15</v>
      </c>
      <c r="G964">
        <v>91</v>
      </c>
      <c r="H964" s="2">
        <v>7084964</v>
      </c>
    </row>
    <row r="965" spans="1:8" x14ac:dyDescent="0.25">
      <c r="A965" t="s">
        <v>80</v>
      </c>
      <c r="B965">
        <v>2000</v>
      </c>
      <c r="C965" t="s">
        <v>2</v>
      </c>
      <c r="D965" t="s">
        <v>27</v>
      </c>
      <c r="E965">
        <v>8</v>
      </c>
      <c r="F965" s="4" t="s">
        <v>15</v>
      </c>
      <c r="G965">
        <v>445</v>
      </c>
      <c r="H965" s="2">
        <v>3270725</v>
      </c>
    </row>
    <row r="966" spans="1:8" x14ac:dyDescent="0.25">
      <c r="A966" t="s">
        <v>81</v>
      </c>
      <c r="B966">
        <v>2000</v>
      </c>
      <c r="C966" t="s">
        <v>1</v>
      </c>
      <c r="D966" t="s">
        <v>27</v>
      </c>
      <c r="E966">
        <v>8</v>
      </c>
      <c r="F966" s="4" t="s">
        <v>15</v>
      </c>
      <c r="G966">
        <v>693</v>
      </c>
      <c r="H966" s="2">
        <v>757840</v>
      </c>
    </row>
    <row r="967" spans="1:8" x14ac:dyDescent="0.25">
      <c r="A967" t="s">
        <v>82</v>
      </c>
      <c r="B967">
        <v>2000</v>
      </c>
      <c r="C967" t="s">
        <v>0</v>
      </c>
      <c r="D967" t="s">
        <v>27</v>
      </c>
      <c r="E967">
        <v>8</v>
      </c>
      <c r="F967" s="4" t="s">
        <v>15</v>
      </c>
      <c r="G967">
        <v>1276</v>
      </c>
      <c r="H967" s="2">
        <v>757840</v>
      </c>
    </row>
    <row r="968" spans="1:8" x14ac:dyDescent="0.25">
      <c r="A968" t="s">
        <v>83</v>
      </c>
      <c r="B968">
        <v>2001</v>
      </c>
      <c r="C968" t="s">
        <v>6</v>
      </c>
      <c r="D968" t="s">
        <v>27</v>
      </c>
      <c r="E968">
        <v>8</v>
      </c>
      <c r="F968" s="4" t="s">
        <v>15</v>
      </c>
      <c r="G968">
        <v>53</v>
      </c>
      <c r="H968" s="2">
        <v>2747486</v>
      </c>
    </row>
    <row r="969" spans="1:8" x14ac:dyDescent="0.25">
      <c r="A969" t="s">
        <v>84</v>
      </c>
      <c r="B969">
        <v>2001</v>
      </c>
      <c r="C969" t="s">
        <v>5</v>
      </c>
      <c r="D969" t="s">
        <v>27</v>
      </c>
      <c r="E969">
        <v>8</v>
      </c>
      <c r="F969" s="4" t="s">
        <v>15</v>
      </c>
      <c r="G969">
        <v>18</v>
      </c>
      <c r="H969" s="2">
        <v>5361139</v>
      </c>
    </row>
    <row r="970" spans="1:8" x14ac:dyDescent="0.25">
      <c r="A970" t="s">
        <v>85</v>
      </c>
      <c r="B970">
        <v>2001</v>
      </c>
      <c r="C970" t="s">
        <v>4</v>
      </c>
      <c r="D970" t="s">
        <v>27</v>
      </c>
      <c r="E970">
        <v>8</v>
      </c>
      <c r="F970" s="4" t="s">
        <v>15</v>
      </c>
      <c r="G970">
        <v>18</v>
      </c>
      <c r="H970" s="2">
        <v>4849286</v>
      </c>
    </row>
    <row r="971" spans="1:8" x14ac:dyDescent="0.25">
      <c r="A971" t="s">
        <v>86</v>
      </c>
      <c r="B971">
        <v>2001</v>
      </c>
      <c r="C971" t="s">
        <v>3</v>
      </c>
      <c r="D971" t="s">
        <v>27</v>
      </c>
      <c r="E971">
        <v>8</v>
      </c>
      <c r="F971" s="4" t="s">
        <v>15</v>
      </c>
      <c r="G971">
        <v>112</v>
      </c>
      <c r="H971" s="2">
        <v>7223102</v>
      </c>
    </row>
    <row r="972" spans="1:8" x14ac:dyDescent="0.25">
      <c r="A972" t="s">
        <v>87</v>
      </c>
      <c r="B972">
        <v>2001</v>
      </c>
      <c r="C972" t="s">
        <v>2</v>
      </c>
      <c r="D972" t="s">
        <v>27</v>
      </c>
      <c r="E972">
        <v>8</v>
      </c>
      <c r="F972" s="4" t="s">
        <v>15</v>
      </c>
      <c r="G972">
        <v>550</v>
      </c>
      <c r="H972" s="2">
        <v>3394805</v>
      </c>
    </row>
    <row r="973" spans="1:8" x14ac:dyDescent="0.25">
      <c r="A973" t="s">
        <v>88</v>
      </c>
      <c r="B973">
        <v>2001</v>
      </c>
      <c r="C973" t="s">
        <v>1</v>
      </c>
      <c r="D973" t="s">
        <v>27</v>
      </c>
      <c r="E973">
        <v>8</v>
      </c>
      <c r="F973" s="4" t="s">
        <v>15</v>
      </c>
      <c r="G973">
        <v>837</v>
      </c>
      <c r="H973" s="2">
        <v>776376</v>
      </c>
    </row>
    <row r="974" spans="1:8" x14ac:dyDescent="0.25">
      <c r="A974" t="s">
        <v>89</v>
      </c>
      <c r="B974">
        <v>2001</v>
      </c>
      <c r="C974" t="s">
        <v>0</v>
      </c>
      <c r="D974" t="s">
        <v>27</v>
      </c>
      <c r="E974">
        <v>8</v>
      </c>
      <c r="F974" s="4" t="s">
        <v>15</v>
      </c>
      <c r="G974">
        <v>1616</v>
      </c>
      <c r="H974" s="2">
        <v>776376</v>
      </c>
    </row>
    <row r="975" spans="1:8" x14ac:dyDescent="0.25">
      <c r="A975" t="s">
        <v>90</v>
      </c>
      <c r="B975">
        <v>2002</v>
      </c>
      <c r="C975" t="s">
        <v>6</v>
      </c>
      <c r="D975" t="s">
        <v>27</v>
      </c>
      <c r="E975">
        <v>8</v>
      </c>
      <c r="F975" s="4" t="s">
        <v>15</v>
      </c>
      <c r="G975">
        <v>52</v>
      </c>
      <c r="H975" s="2">
        <v>2756879</v>
      </c>
    </row>
    <row r="976" spans="1:8" x14ac:dyDescent="0.25">
      <c r="A976" t="s">
        <v>91</v>
      </c>
      <c r="B976">
        <v>2002</v>
      </c>
      <c r="C976" t="s">
        <v>5</v>
      </c>
      <c r="D976" t="s">
        <v>27</v>
      </c>
      <c r="E976">
        <v>8</v>
      </c>
      <c r="F976" s="4" t="s">
        <v>15</v>
      </c>
      <c r="G976">
        <v>19</v>
      </c>
      <c r="H976" s="2">
        <v>5361107</v>
      </c>
    </row>
    <row r="977" spans="1:8" x14ac:dyDescent="0.25">
      <c r="A977" t="s">
        <v>92</v>
      </c>
      <c r="B977">
        <v>2002</v>
      </c>
      <c r="C977" t="s">
        <v>4</v>
      </c>
      <c r="D977" t="s">
        <v>27</v>
      </c>
      <c r="E977">
        <v>8</v>
      </c>
      <c r="F977" s="4" t="s">
        <v>15</v>
      </c>
      <c r="G977">
        <v>28</v>
      </c>
      <c r="H977" s="2">
        <v>4934568</v>
      </c>
    </row>
    <row r="978" spans="1:8" x14ac:dyDescent="0.25">
      <c r="A978" t="s">
        <v>93</v>
      </c>
      <c r="B978">
        <v>2002</v>
      </c>
      <c r="C978" t="s">
        <v>3</v>
      </c>
      <c r="D978" t="s">
        <v>27</v>
      </c>
      <c r="E978">
        <v>8</v>
      </c>
      <c r="F978" s="4" t="s">
        <v>15</v>
      </c>
      <c r="G978">
        <v>94</v>
      </c>
      <c r="H978" s="2">
        <v>7359839</v>
      </c>
    </row>
    <row r="979" spans="1:8" x14ac:dyDescent="0.25">
      <c r="A979" t="s">
        <v>94</v>
      </c>
      <c r="B979">
        <v>2002</v>
      </c>
      <c r="C979" t="s">
        <v>2</v>
      </c>
      <c r="D979" t="s">
        <v>27</v>
      </c>
      <c r="E979">
        <v>8</v>
      </c>
      <c r="F979" s="4" t="s">
        <v>15</v>
      </c>
      <c r="G979">
        <v>455</v>
      </c>
      <c r="H979" s="2">
        <v>3526909</v>
      </c>
    </row>
    <row r="980" spans="1:8" x14ac:dyDescent="0.25">
      <c r="A980" t="s">
        <v>95</v>
      </c>
      <c r="B980">
        <v>2002</v>
      </c>
      <c r="C980" t="s">
        <v>1</v>
      </c>
      <c r="D980" t="s">
        <v>27</v>
      </c>
      <c r="E980">
        <v>8</v>
      </c>
      <c r="F980" s="4" t="s">
        <v>15</v>
      </c>
      <c r="G980">
        <v>705</v>
      </c>
      <c r="H980" s="2">
        <v>796712</v>
      </c>
    </row>
    <row r="981" spans="1:8" x14ac:dyDescent="0.25">
      <c r="A981" t="s">
        <v>96</v>
      </c>
      <c r="B981">
        <v>2002</v>
      </c>
      <c r="C981" t="s">
        <v>0</v>
      </c>
      <c r="D981" t="s">
        <v>27</v>
      </c>
      <c r="E981">
        <v>8</v>
      </c>
      <c r="F981" s="4" t="s">
        <v>15</v>
      </c>
      <c r="G981">
        <v>1492</v>
      </c>
      <c r="H981" s="2">
        <v>796712</v>
      </c>
    </row>
    <row r="982" spans="1:8" x14ac:dyDescent="0.25">
      <c r="A982" t="s">
        <v>97</v>
      </c>
      <c r="B982">
        <v>2003</v>
      </c>
      <c r="C982" t="s">
        <v>6</v>
      </c>
      <c r="D982" t="s">
        <v>27</v>
      </c>
      <c r="E982">
        <v>8</v>
      </c>
      <c r="F982" s="4" t="s">
        <v>15</v>
      </c>
      <c r="G982">
        <v>93</v>
      </c>
      <c r="H982" s="2">
        <v>2764684</v>
      </c>
    </row>
    <row r="983" spans="1:8" x14ac:dyDescent="0.25">
      <c r="A983" t="s">
        <v>98</v>
      </c>
      <c r="B983">
        <v>2003</v>
      </c>
      <c r="C983" t="s">
        <v>5</v>
      </c>
      <c r="D983" t="s">
        <v>27</v>
      </c>
      <c r="E983">
        <v>8</v>
      </c>
      <c r="F983" s="4" t="s">
        <v>15</v>
      </c>
      <c r="G983">
        <v>20</v>
      </c>
      <c r="H983" s="2">
        <v>5364597</v>
      </c>
    </row>
    <row r="984" spans="1:8" x14ac:dyDescent="0.25">
      <c r="A984" t="s">
        <v>99</v>
      </c>
      <c r="B984">
        <v>2003</v>
      </c>
      <c r="C984" t="s">
        <v>4</v>
      </c>
      <c r="D984" t="s">
        <v>27</v>
      </c>
      <c r="E984">
        <v>8</v>
      </c>
      <c r="F984" s="4" t="s">
        <v>15</v>
      </c>
      <c r="G984">
        <v>17</v>
      </c>
      <c r="H984" s="2">
        <v>5011124</v>
      </c>
    </row>
    <row r="985" spans="1:8" x14ac:dyDescent="0.25">
      <c r="A985" t="s">
        <v>100</v>
      </c>
      <c r="B985">
        <v>2003</v>
      </c>
      <c r="C985" t="s">
        <v>3</v>
      </c>
      <c r="D985" t="s">
        <v>27</v>
      </c>
      <c r="E985">
        <v>8</v>
      </c>
      <c r="F985" s="4" t="s">
        <v>15</v>
      </c>
      <c r="G985">
        <v>94</v>
      </c>
      <c r="H985" s="2">
        <v>7496056</v>
      </c>
    </row>
    <row r="986" spans="1:8" x14ac:dyDescent="0.25">
      <c r="A986" t="s">
        <v>101</v>
      </c>
      <c r="B986">
        <v>2003</v>
      </c>
      <c r="C986" t="s">
        <v>2</v>
      </c>
      <c r="D986" t="s">
        <v>27</v>
      </c>
      <c r="E986">
        <v>8</v>
      </c>
      <c r="F986" s="4" t="s">
        <v>15</v>
      </c>
      <c r="G986">
        <v>538</v>
      </c>
      <c r="H986" s="2">
        <v>3666671</v>
      </c>
    </row>
    <row r="987" spans="1:8" x14ac:dyDescent="0.25">
      <c r="A987" t="s">
        <v>102</v>
      </c>
      <c r="B987">
        <v>2003</v>
      </c>
      <c r="C987" t="s">
        <v>1</v>
      </c>
      <c r="D987" t="s">
        <v>27</v>
      </c>
      <c r="E987">
        <v>8</v>
      </c>
      <c r="F987" s="4" t="s">
        <v>15</v>
      </c>
      <c r="G987">
        <v>812</v>
      </c>
      <c r="H987" s="2">
        <v>818433</v>
      </c>
    </row>
    <row r="988" spans="1:8" x14ac:dyDescent="0.25">
      <c r="A988" t="s">
        <v>103</v>
      </c>
      <c r="B988">
        <v>2003</v>
      </c>
      <c r="C988" t="s">
        <v>0</v>
      </c>
      <c r="D988" t="s">
        <v>27</v>
      </c>
      <c r="E988">
        <v>8</v>
      </c>
      <c r="F988" s="4" t="s">
        <v>15</v>
      </c>
      <c r="G988">
        <v>1781</v>
      </c>
      <c r="H988" s="2">
        <v>818433</v>
      </c>
    </row>
    <row r="989" spans="1:8" x14ac:dyDescent="0.25">
      <c r="A989" t="s">
        <v>104</v>
      </c>
      <c r="B989">
        <v>2004</v>
      </c>
      <c r="C989" t="s">
        <v>6</v>
      </c>
      <c r="D989" t="s">
        <v>27</v>
      </c>
      <c r="E989">
        <v>8</v>
      </c>
      <c r="F989" s="4" t="s">
        <v>15</v>
      </c>
      <c r="G989">
        <v>63</v>
      </c>
      <c r="H989" s="2">
        <v>2770821</v>
      </c>
    </row>
    <row r="990" spans="1:8" x14ac:dyDescent="0.25">
      <c r="A990" t="s">
        <v>105</v>
      </c>
      <c r="B990">
        <v>2004</v>
      </c>
      <c r="C990" t="s">
        <v>5</v>
      </c>
      <c r="D990" t="s">
        <v>27</v>
      </c>
      <c r="E990">
        <v>8</v>
      </c>
      <c r="F990" s="4" t="s">
        <v>15</v>
      </c>
      <c r="G990">
        <v>18</v>
      </c>
      <c r="H990" s="2">
        <v>5372677</v>
      </c>
    </row>
    <row r="991" spans="1:8" x14ac:dyDescent="0.25">
      <c r="A991" t="s">
        <v>106</v>
      </c>
      <c r="B991">
        <v>2004</v>
      </c>
      <c r="C991" t="s">
        <v>4</v>
      </c>
      <c r="D991" t="s">
        <v>27</v>
      </c>
      <c r="E991">
        <v>8</v>
      </c>
      <c r="F991" s="4" t="s">
        <v>15</v>
      </c>
      <c r="G991">
        <v>17</v>
      </c>
      <c r="H991" s="2">
        <v>5078223</v>
      </c>
    </row>
    <row r="992" spans="1:8" x14ac:dyDescent="0.25">
      <c r="A992" t="s">
        <v>107</v>
      </c>
      <c r="B992">
        <v>2004</v>
      </c>
      <c r="C992" t="s">
        <v>3</v>
      </c>
      <c r="D992" t="s">
        <v>27</v>
      </c>
      <c r="E992">
        <v>8</v>
      </c>
      <c r="F992" s="4" t="s">
        <v>15</v>
      </c>
      <c r="G992">
        <v>88</v>
      </c>
      <c r="H992" s="2">
        <v>7631406</v>
      </c>
    </row>
    <row r="993" spans="1:8" x14ac:dyDescent="0.25">
      <c r="A993" t="s">
        <v>108</v>
      </c>
      <c r="B993">
        <v>2004</v>
      </c>
      <c r="C993" t="s">
        <v>2</v>
      </c>
      <c r="D993" t="s">
        <v>27</v>
      </c>
      <c r="E993">
        <v>8</v>
      </c>
      <c r="F993" s="4" t="s">
        <v>15</v>
      </c>
      <c r="G993">
        <v>495</v>
      </c>
      <c r="H993" s="2">
        <v>3814359</v>
      </c>
    </row>
    <row r="994" spans="1:8" x14ac:dyDescent="0.25">
      <c r="A994" t="s">
        <v>109</v>
      </c>
      <c r="B994">
        <v>2004</v>
      </c>
      <c r="C994" t="s">
        <v>1</v>
      </c>
      <c r="D994" t="s">
        <v>27</v>
      </c>
      <c r="E994">
        <v>8</v>
      </c>
      <c r="F994" s="4" t="s">
        <v>15</v>
      </c>
      <c r="G994">
        <v>727</v>
      </c>
      <c r="H994" s="2">
        <v>841739</v>
      </c>
    </row>
    <row r="995" spans="1:8" x14ac:dyDescent="0.25">
      <c r="A995" t="s">
        <v>110</v>
      </c>
      <c r="B995">
        <v>2004</v>
      </c>
      <c r="C995" t="s">
        <v>0</v>
      </c>
      <c r="D995" t="s">
        <v>27</v>
      </c>
      <c r="E995">
        <v>8</v>
      </c>
      <c r="F995" s="4" t="s">
        <v>15</v>
      </c>
      <c r="G995">
        <v>1758</v>
      </c>
      <c r="H995" s="2">
        <v>841739</v>
      </c>
    </row>
    <row r="996" spans="1:8" x14ac:dyDescent="0.25">
      <c r="A996" t="s">
        <v>111</v>
      </c>
      <c r="B996">
        <v>2005</v>
      </c>
      <c r="C996" t="s">
        <v>6</v>
      </c>
      <c r="D996" t="s">
        <v>27</v>
      </c>
      <c r="E996">
        <v>8</v>
      </c>
      <c r="F996" s="4" t="s">
        <v>15</v>
      </c>
      <c r="G996">
        <v>12</v>
      </c>
      <c r="H996" s="2">
        <v>2774961</v>
      </c>
    </row>
    <row r="997" spans="1:8" x14ac:dyDescent="0.25">
      <c r="A997" t="s">
        <v>112</v>
      </c>
      <c r="B997">
        <v>2005</v>
      </c>
      <c r="C997" t="s">
        <v>5</v>
      </c>
      <c r="D997" t="s">
        <v>27</v>
      </c>
      <c r="E997">
        <v>8</v>
      </c>
      <c r="F997" s="4" t="s">
        <v>15</v>
      </c>
      <c r="G997">
        <v>8</v>
      </c>
      <c r="H997" s="2">
        <v>5386812</v>
      </c>
    </row>
    <row r="998" spans="1:8" x14ac:dyDescent="0.25">
      <c r="A998" t="s">
        <v>113</v>
      </c>
      <c r="B998">
        <v>2005</v>
      </c>
      <c r="C998" t="s">
        <v>4</v>
      </c>
      <c r="D998" t="s">
        <v>27</v>
      </c>
      <c r="E998">
        <v>8</v>
      </c>
      <c r="F998" s="4" t="s">
        <v>15</v>
      </c>
      <c r="G998">
        <v>31</v>
      </c>
      <c r="H998" s="2">
        <v>5134473</v>
      </c>
    </row>
    <row r="999" spans="1:8" x14ac:dyDescent="0.25">
      <c r="A999" t="s">
        <v>114</v>
      </c>
      <c r="B999">
        <v>2005</v>
      </c>
      <c r="C999" t="s">
        <v>3</v>
      </c>
      <c r="D999" t="s">
        <v>27</v>
      </c>
      <c r="E999">
        <v>8</v>
      </c>
      <c r="F999" s="4" t="s">
        <v>15</v>
      </c>
      <c r="G999">
        <v>90</v>
      </c>
      <c r="H999" s="2">
        <v>7765159</v>
      </c>
    </row>
    <row r="1000" spans="1:8" x14ac:dyDescent="0.25">
      <c r="A1000" t="s">
        <v>115</v>
      </c>
      <c r="B1000">
        <v>2005</v>
      </c>
      <c r="C1000" t="s">
        <v>2</v>
      </c>
      <c r="D1000" t="s">
        <v>27</v>
      </c>
      <c r="E1000">
        <v>8</v>
      </c>
      <c r="F1000" s="4" t="s">
        <v>15</v>
      </c>
      <c r="G1000">
        <v>592</v>
      </c>
      <c r="H1000" s="2">
        <v>3970997</v>
      </c>
    </row>
    <row r="1001" spans="1:8" x14ac:dyDescent="0.25">
      <c r="A1001" t="s">
        <v>116</v>
      </c>
      <c r="B1001">
        <v>2005</v>
      </c>
      <c r="C1001" t="s">
        <v>1</v>
      </c>
      <c r="D1001" t="s">
        <v>27</v>
      </c>
      <c r="E1001">
        <v>8</v>
      </c>
      <c r="F1001" s="4" t="s">
        <v>15</v>
      </c>
      <c r="G1001">
        <v>760</v>
      </c>
      <c r="H1001" s="2">
        <v>866819</v>
      </c>
    </row>
    <row r="1002" spans="1:8" x14ac:dyDescent="0.25">
      <c r="A1002" t="s">
        <v>117</v>
      </c>
      <c r="B1002">
        <v>2005</v>
      </c>
      <c r="C1002" t="s">
        <v>0</v>
      </c>
      <c r="D1002" t="s">
        <v>27</v>
      </c>
      <c r="E1002">
        <v>8</v>
      </c>
      <c r="F1002" s="4" t="s">
        <v>15</v>
      </c>
      <c r="G1002">
        <v>1904</v>
      </c>
      <c r="H1002" s="2">
        <v>866819</v>
      </c>
    </row>
    <row r="1003" spans="1:8" x14ac:dyDescent="0.25">
      <c r="A1003" t="s">
        <v>118</v>
      </c>
      <c r="B1003">
        <v>2006</v>
      </c>
      <c r="C1003" t="s">
        <v>6</v>
      </c>
      <c r="D1003" t="s">
        <v>27</v>
      </c>
      <c r="E1003">
        <v>8</v>
      </c>
      <c r="F1003" s="4" t="s">
        <v>15</v>
      </c>
      <c r="G1003">
        <v>8</v>
      </c>
      <c r="H1003" s="2">
        <v>2777568</v>
      </c>
    </row>
    <row r="1004" spans="1:8" x14ac:dyDescent="0.25">
      <c r="A1004" t="s">
        <v>119</v>
      </c>
      <c r="B1004">
        <v>2006</v>
      </c>
      <c r="C1004" t="s">
        <v>5</v>
      </c>
      <c r="D1004" t="s">
        <v>27</v>
      </c>
      <c r="E1004">
        <v>8</v>
      </c>
      <c r="F1004" s="4" t="s">
        <v>15</v>
      </c>
      <c r="G1004">
        <v>11</v>
      </c>
      <c r="H1004" s="2">
        <v>5407717</v>
      </c>
    </row>
    <row r="1005" spans="1:8" x14ac:dyDescent="0.25">
      <c r="A1005" t="s">
        <v>120</v>
      </c>
      <c r="B1005">
        <v>2006</v>
      </c>
      <c r="C1005" t="s">
        <v>4</v>
      </c>
      <c r="D1005" t="s">
        <v>27</v>
      </c>
      <c r="E1005">
        <v>8</v>
      </c>
      <c r="F1005" s="4" t="s">
        <v>15</v>
      </c>
      <c r="G1005">
        <v>21</v>
      </c>
      <c r="H1005" s="2">
        <v>5178861</v>
      </c>
    </row>
    <row r="1006" spans="1:8" x14ac:dyDescent="0.25">
      <c r="A1006" t="s">
        <v>121</v>
      </c>
      <c r="B1006">
        <v>2006</v>
      </c>
      <c r="C1006" t="s">
        <v>3</v>
      </c>
      <c r="D1006" t="s">
        <v>27</v>
      </c>
      <c r="E1006">
        <v>8</v>
      </c>
      <c r="F1006" s="4" t="s">
        <v>15</v>
      </c>
      <c r="G1006">
        <v>93</v>
      </c>
      <c r="H1006" s="2">
        <v>7897108</v>
      </c>
    </row>
    <row r="1007" spans="1:8" x14ac:dyDescent="0.25">
      <c r="A1007" t="s">
        <v>122</v>
      </c>
      <c r="B1007">
        <v>2006</v>
      </c>
      <c r="C1007" t="s">
        <v>2</v>
      </c>
      <c r="D1007" t="s">
        <v>27</v>
      </c>
      <c r="E1007">
        <v>8</v>
      </c>
      <c r="F1007" s="4" t="s">
        <v>15</v>
      </c>
      <c r="G1007">
        <v>585</v>
      </c>
      <c r="H1007" s="2">
        <v>4136588</v>
      </c>
    </row>
    <row r="1008" spans="1:8" x14ac:dyDescent="0.25">
      <c r="A1008" t="s">
        <v>123</v>
      </c>
      <c r="B1008">
        <v>2006</v>
      </c>
      <c r="C1008" t="s">
        <v>1</v>
      </c>
      <c r="D1008" t="s">
        <v>27</v>
      </c>
      <c r="E1008">
        <v>8</v>
      </c>
      <c r="F1008" s="4" t="s">
        <v>15</v>
      </c>
      <c r="G1008">
        <v>744</v>
      </c>
      <c r="H1008" s="2">
        <v>893794</v>
      </c>
    </row>
    <row r="1009" spans="1:8" x14ac:dyDescent="0.25">
      <c r="A1009" t="s">
        <v>124</v>
      </c>
      <c r="B1009">
        <v>2006</v>
      </c>
      <c r="C1009" t="s">
        <v>0</v>
      </c>
      <c r="D1009" t="s">
        <v>27</v>
      </c>
      <c r="E1009">
        <v>8</v>
      </c>
      <c r="F1009" s="4" t="s">
        <v>15</v>
      </c>
      <c r="G1009">
        <v>1763</v>
      </c>
      <c r="H1009" s="2">
        <v>893794</v>
      </c>
    </row>
    <row r="1010" spans="1:8" x14ac:dyDescent="0.25">
      <c r="A1010" t="s">
        <v>125</v>
      </c>
      <c r="B1010">
        <v>2007</v>
      </c>
      <c r="C1010" t="s">
        <v>6</v>
      </c>
      <c r="D1010" t="s">
        <v>27</v>
      </c>
      <c r="E1010">
        <v>8</v>
      </c>
      <c r="F1010" s="4" t="s">
        <v>15</v>
      </c>
      <c r="G1010">
        <v>3</v>
      </c>
      <c r="H1010" s="2">
        <v>2778731</v>
      </c>
    </row>
    <row r="1011" spans="1:8" x14ac:dyDescent="0.25">
      <c r="A1011" t="s">
        <v>126</v>
      </c>
      <c r="B1011">
        <v>2007</v>
      </c>
      <c r="C1011" t="s">
        <v>5</v>
      </c>
      <c r="D1011" t="s">
        <v>27</v>
      </c>
      <c r="E1011">
        <v>8</v>
      </c>
      <c r="F1011" s="4" t="s">
        <v>15</v>
      </c>
      <c r="G1011">
        <v>9</v>
      </c>
      <c r="H1011" s="2">
        <v>5427910</v>
      </c>
    </row>
    <row r="1012" spans="1:8" x14ac:dyDescent="0.25">
      <c r="A1012" t="s">
        <v>127</v>
      </c>
      <c r="B1012">
        <v>2007</v>
      </c>
      <c r="C1012" t="s">
        <v>4</v>
      </c>
      <c r="D1012" t="s">
        <v>27</v>
      </c>
      <c r="E1012">
        <v>8</v>
      </c>
      <c r="F1012" s="4" t="s">
        <v>15</v>
      </c>
      <c r="G1012">
        <v>23</v>
      </c>
      <c r="H1012" s="2">
        <v>5216537</v>
      </c>
    </row>
    <row r="1013" spans="1:8" x14ac:dyDescent="0.25">
      <c r="A1013" t="s">
        <v>128</v>
      </c>
      <c r="B1013">
        <v>2007</v>
      </c>
      <c r="C1013" t="s">
        <v>3</v>
      </c>
      <c r="D1013" t="s">
        <v>27</v>
      </c>
      <c r="E1013">
        <v>8</v>
      </c>
      <c r="F1013" s="4" t="s">
        <v>15</v>
      </c>
      <c r="G1013">
        <v>90</v>
      </c>
      <c r="H1013" s="2">
        <v>8032843</v>
      </c>
    </row>
    <row r="1014" spans="1:8" x14ac:dyDescent="0.25">
      <c r="A1014" t="s">
        <v>129</v>
      </c>
      <c r="B1014">
        <v>2007</v>
      </c>
      <c r="C1014" t="s">
        <v>2</v>
      </c>
      <c r="D1014" t="s">
        <v>27</v>
      </c>
      <c r="E1014">
        <v>8</v>
      </c>
      <c r="F1014" s="4" t="s">
        <v>15</v>
      </c>
      <c r="G1014">
        <v>584</v>
      </c>
      <c r="H1014" s="2">
        <v>4307510</v>
      </c>
    </row>
    <row r="1015" spans="1:8" x14ac:dyDescent="0.25">
      <c r="A1015" t="s">
        <v>130</v>
      </c>
      <c r="B1015">
        <v>2007</v>
      </c>
      <c r="C1015" t="s">
        <v>1</v>
      </c>
      <c r="D1015" t="s">
        <v>27</v>
      </c>
      <c r="E1015">
        <v>8</v>
      </c>
      <c r="F1015" s="4" t="s">
        <v>15</v>
      </c>
      <c r="G1015">
        <v>757</v>
      </c>
      <c r="H1015" s="2">
        <v>922773</v>
      </c>
    </row>
    <row r="1016" spans="1:8" x14ac:dyDescent="0.25">
      <c r="A1016" t="s">
        <v>131</v>
      </c>
      <c r="B1016">
        <v>2007</v>
      </c>
      <c r="C1016" t="s">
        <v>0</v>
      </c>
      <c r="D1016" t="s">
        <v>27</v>
      </c>
      <c r="E1016">
        <v>8</v>
      </c>
      <c r="F1016" s="4" t="s">
        <v>15</v>
      </c>
      <c r="G1016">
        <v>1976</v>
      </c>
      <c r="H1016" s="2">
        <v>922773</v>
      </c>
    </row>
    <row r="1017" spans="1:8" x14ac:dyDescent="0.25">
      <c r="A1017" t="s">
        <v>132</v>
      </c>
      <c r="B1017">
        <v>2008</v>
      </c>
      <c r="C1017" t="s">
        <v>6</v>
      </c>
      <c r="D1017" t="s">
        <v>27</v>
      </c>
      <c r="E1017">
        <v>8</v>
      </c>
      <c r="F1017" s="4" t="s">
        <v>15</v>
      </c>
      <c r="G1017">
        <v>9</v>
      </c>
      <c r="H1017" s="2">
        <v>2778239</v>
      </c>
    </row>
    <row r="1018" spans="1:8" x14ac:dyDescent="0.25">
      <c r="A1018" t="s">
        <v>133</v>
      </c>
      <c r="B1018">
        <v>2008</v>
      </c>
      <c r="C1018" t="s">
        <v>5</v>
      </c>
      <c r="D1018" t="s">
        <v>27</v>
      </c>
      <c r="E1018">
        <v>8</v>
      </c>
      <c r="F1018" s="4" t="s">
        <v>15</v>
      </c>
      <c r="G1018">
        <v>8</v>
      </c>
      <c r="H1018" s="2">
        <v>5448390</v>
      </c>
    </row>
    <row r="1019" spans="1:8" x14ac:dyDescent="0.25">
      <c r="A1019" t="s">
        <v>134</v>
      </c>
      <c r="B1019">
        <v>2008</v>
      </c>
      <c r="C1019" t="s">
        <v>4</v>
      </c>
      <c r="D1019" t="s">
        <v>27</v>
      </c>
      <c r="E1019">
        <v>8</v>
      </c>
      <c r="F1019" s="4" t="s">
        <v>15</v>
      </c>
      <c r="G1019">
        <v>23</v>
      </c>
      <c r="H1019" s="2">
        <v>5246997</v>
      </c>
    </row>
    <row r="1020" spans="1:8" x14ac:dyDescent="0.25">
      <c r="A1020" t="s">
        <v>135</v>
      </c>
      <c r="B1020">
        <v>2008</v>
      </c>
      <c r="C1020" t="s">
        <v>3</v>
      </c>
      <c r="D1020" t="s">
        <v>27</v>
      </c>
      <c r="E1020">
        <v>8</v>
      </c>
      <c r="F1020" s="4" t="s">
        <v>15</v>
      </c>
      <c r="G1020">
        <v>103</v>
      </c>
      <c r="H1020" s="2">
        <v>8172306</v>
      </c>
    </row>
    <row r="1021" spans="1:8" x14ac:dyDescent="0.25">
      <c r="A1021" t="s">
        <v>136</v>
      </c>
      <c r="B1021">
        <v>2008</v>
      </c>
      <c r="C1021" t="s">
        <v>2</v>
      </c>
      <c r="D1021" t="s">
        <v>27</v>
      </c>
      <c r="E1021">
        <v>8</v>
      </c>
      <c r="F1021" s="4" t="s">
        <v>15</v>
      </c>
      <c r="G1021">
        <v>629</v>
      </c>
      <c r="H1021" s="2">
        <v>4483302</v>
      </c>
    </row>
    <row r="1022" spans="1:8" x14ac:dyDescent="0.25">
      <c r="A1022" t="s">
        <v>137</v>
      </c>
      <c r="B1022">
        <v>2008</v>
      </c>
      <c r="C1022" t="s">
        <v>1</v>
      </c>
      <c r="D1022" t="s">
        <v>27</v>
      </c>
      <c r="E1022">
        <v>8</v>
      </c>
      <c r="F1022" s="4" t="s">
        <v>15</v>
      </c>
      <c r="G1022">
        <v>775</v>
      </c>
      <c r="H1022" s="2">
        <v>953869</v>
      </c>
    </row>
    <row r="1023" spans="1:8" x14ac:dyDescent="0.25">
      <c r="A1023" t="s">
        <v>138</v>
      </c>
      <c r="B1023">
        <v>2008</v>
      </c>
      <c r="C1023" t="s">
        <v>0</v>
      </c>
      <c r="D1023" t="s">
        <v>27</v>
      </c>
      <c r="E1023">
        <v>8</v>
      </c>
      <c r="F1023" s="4" t="s">
        <v>15</v>
      </c>
      <c r="G1023">
        <v>2038</v>
      </c>
      <c r="H1023" s="2">
        <v>953869</v>
      </c>
    </row>
    <row r="1024" spans="1:8" x14ac:dyDescent="0.25">
      <c r="A1024" t="s">
        <v>139</v>
      </c>
      <c r="B1024">
        <v>2009</v>
      </c>
      <c r="C1024" t="s">
        <v>6</v>
      </c>
      <c r="D1024" t="s">
        <v>27</v>
      </c>
      <c r="E1024">
        <v>8</v>
      </c>
      <c r="F1024" s="4" t="s">
        <v>15</v>
      </c>
      <c r="G1024">
        <v>6</v>
      </c>
      <c r="H1024" s="2">
        <v>2775920</v>
      </c>
    </row>
    <row r="1025" spans="1:8" x14ac:dyDescent="0.25">
      <c r="A1025" t="s">
        <v>140</v>
      </c>
      <c r="B1025">
        <v>2009</v>
      </c>
      <c r="C1025" t="s">
        <v>5</v>
      </c>
      <c r="D1025" t="s">
        <v>27</v>
      </c>
      <c r="E1025">
        <v>8</v>
      </c>
      <c r="F1025" s="4" t="s">
        <v>15</v>
      </c>
      <c r="G1025">
        <v>11</v>
      </c>
      <c r="H1025" s="2">
        <v>5469822</v>
      </c>
    </row>
    <row r="1026" spans="1:8" x14ac:dyDescent="0.25">
      <c r="A1026" t="s">
        <v>141</v>
      </c>
      <c r="B1026">
        <v>2009</v>
      </c>
      <c r="C1026" t="s">
        <v>4</v>
      </c>
      <c r="D1026" t="s">
        <v>27</v>
      </c>
      <c r="E1026">
        <v>8</v>
      </c>
      <c r="F1026" s="4" t="s">
        <v>15</v>
      </c>
      <c r="G1026">
        <v>22</v>
      </c>
      <c r="H1026" s="2">
        <v>5270463</v>
      </c>
    </row>
    <row r="1027" spans="1:8" x14ac:dyDescent="0.25">
      <c r="A1027" t="s">
        <v>142</v>
      </c>
      <c r="B1027">
        <v>2009</v>
      </c>
      <c r="C1027" t="s">
        <v>3</v>
      </c>
      <c r="D1027" t="s">
        <v>27</v>
      </c>
      <c r="E1027">
        <v>8</v>
      </c>
      <c r="F1027" s="4" t="s">
        <v>15</v>
      </c>
      <c r="G1027">
        <v>106</v>
      </c>
      <c r="H1027" s="2">
        <v>8314639</v>
      </c>
    </row>
    <row r="1028" spans="1:8" x14ac:dyDescent="0.25">
      <c r="A1028" t="s">
        <v>143</v>
      </c>
      <c r="B1028">
        <v>2009</v>
      </c>
      <c r="C1028" t="s">
        <v>2</v>
      </c>
      <c r="D1028" t="s">
        <v>27</v>
      </c>
      <c r="E1028">
        <v>8</v>
      </c>
      <c r="F1028" s="4" t="s">
        <v>15</v>
      </c>
      <c r="G1028">
        <v>594</v>
      </c>
      <c r="H1028" s="2">
        <v>4663733</v>
      </c>
    </row>
    <row r="1029" spans="1:8" x14ac:dyDescent="0.25">
      <c r="A1029" t="s">
        <v>144</v>
      </c>
      <c r="B1029">
        <v>2009</v>
      </c>
      <c r="C1029" t="s">
        <v>1</v>
      </c>
      <c r="D1029" t="s">
        <v>27</v>
      </c>
      <c r="E1029">
        <v>8</v>
      </c>
      <c r="F1029" s="4" t="s">
        <v>15</v>
      </c>
      <c r="G1029">
        <v>722</v>
      </c>
      <c r="H1029" s="2">
        <v>987212</v>
      </c>
    </row>
    <row r="1030" spans="1:8" x14ac:dyDescent="0.25">
      <c r="A1030" t="s">
        <v>145</v>
      </c>
      <c r="B1030">
        <v>2009</v>
      </c>
      <c r="C1030" t="s">
        <v>0</v>
      </c>
      <c r="D1030" t="s">
        <v>27</v>
      </c>
      <c r="E1030">
        <v>8</v>
      </c>
      <c r="F1030" s="4" t="s">
        <v>15</v>
      </c>
      <c r="G1030">
        <v>1986</v>
      </c>
      <c r="H1030" s="2">
        <v>987212</v>
      </c>
    </row>
    <row r="1031" spans="1:8" x14ac:dyDescent="0.25">
      <c r="A1031" t="s">
        <v>146</v>
      </c>
      <c r="B1031">
        <v>2010</v>
      </c>
      <c r="C1031" t="s">
        <v>6</v>
      </c>
      <c r="D1031" t="s">
        <v>27</v>
      </c>
      <c r="E1031">
        <v>8</v>
      </c>
      <c r="F1031" s="4" t="s">
        <v>15</v>
      </c>
      <c r="G1031">
        <v>5</v>
      </c>
      <c r="H1031" s="2">
        <v>2771760</v>
      </c>
    </row>
    <row r="1032" spans="1:8" x14ac:dyDescent="0.25">
      <c r="A1032" t="s">
        <v>147</v>
      </c>
      <c r="B1032">
        <v>2010</v>
      </c>
      <c r="C1032" t="s">
        <v>5</v>
      </c>
      <c r="D1032" t="s">
        <v>27</v>
      </c>
      <c r="E1032">
        <v>8</v>
      </c>
      <c r="F1032" s="4" t="s">
        <v>15</v>
      </c>
      <c r="G1032">
        <v>8</v>
      </c>
      <c r="H1032" s="2">
        <v>5492408</v>
      </c>
    </row>
    <row r="1033" spans="1:8" x14ac:dyDescent="0.25">
      <c r="A1033" t="s">
        <v>148</v>
      </c>
      <c r="B1033">
        <v>2010</v>
      </c>
      <c r="C1033" t="s">
        <v>4</v>
      </c>
      <c r="D1033" t="s">
        <v>27</v>
      </c>
      <c r="E1033">
        <v>8</v>
      </c>
      <c r="F1033" s="4" t="s">
        <v>15</v>
      </c>
      <c r="G1033">
        <v>17</v>
      </c>
      <c r="H1033" s="2">
        <v>5286720</v>
      </c>
    </row>
    <row r="1034" spans="1:8" x14ac:dyDescent="0.25">
      <c r="A1034" t="s">
        <v>149</v>
      </c>
      <c r="B1034">
        <v>2010</v>
      </c>
      <c r="C1034" t="s">
        <v>3</v>
      </c>
      <c r="D1034" t="s">
        <v>27</v>
      </c>
      <c r="E1034">
        <v>8</v>
      </c>
      <c r="F1034" s="4" t="s">
        <v>15</v>
      </c>
      <c r="G1034">
        <v>82</v>
      </c>
      <c r="H1034" s="2">
        <v>8458444</v>
      </c>
    </row>
    <row r="1035" spans="1:8" x14ac:dyDescent="0.25">
      <c r="A1035" t="s">
        <v>150</v>
      </c>
      <c r="B1035">
        <v>2010</v>
      </c>
      <c r="C1035" t="s">
        <v>2</v>
      </c>
      <c r="D1035" t="s">
        <v>27</v>
      </c>
      <c r="E1035">
        <v>8</v>
      </c>
      <c r="F1035" s="4" t="s">
        <v>15</v>
      </c>
      <c r="G1035">
        <v>647</v>
      </c>
      <c r="H1035" s="2">
        <v>4849717</v>
      </c>
    </row>
    <row r="1036" spans="1:8" x14ac:dyDescent="0.25">
      <c r="A1036" t="s">
        <v>151</v>
      </c>
      <c r="B1036">
        <v>2010</v>
      </c>
      <c r="C1036" t="s">
        <v>1</v>
      </c>
      <c r="D1036" t="s">
        <v>27</v>
      </c>
      <c r="E1036">
        <v>8</v>
      </c>
      <c r="F1036" s="4" t="s">
        <v>15</v>
      </c>
      <c r="G1036">
        <v>753</v>
      </c>
      <c r="H1036" s="2">
        <v>1022974</v>
      </c>
    </row>
    <row r="1037" spans="1:8" x14ac:dyDescent="0.25">
      <c r="A1037" t="s">
        <v>152</v>
      </c>
      <c r="B1037">
        <v>2010</v>
      </c>
      <c r="C1037" t="s">
        <v>0</v>
      </c>
      <c r="D1037" t="s">
        <v>27</v>
      </c>
      <c r="E1037">
        <v>8</v>
      </c>
      <c r="F1037" s="4" t="s">
        <v>15</v>
      </c>
      <c r="G1037">
        <v>2249</v>
      </c>
      <c r="H1037" s="2">
        <v>1022974</v>
      </c>
    </row>
    <row r="1038" spans="1:8" x14ac:dyDescent="0.25">
      <c r="A1038" t="s">
        <v>153</v>
      </c>
      <c r="B1038">
        <v>2011</v>
      </c>
      <c r="C1038" t="s">
        <v>6</v>
      </c>
      <c r="D1038" t="s">
        <v>27</v>
      </c>
      <c r="E1038">
        <v>8</v>
      </c>
      <c r="F1038" s="4" t="s">
        <v>15</v>
      </c>
      <c r="G1038">
        <v>10</v>
      </c>
      <c r="H1038" s="2">
        <v>2765898</v>
      </c>
    </row>
    <row r="1039" spans="1:8" x14ac:dyDescent="0.25">
      <c r="A1039" t="s">
        <v>154</v>
      </c>
      <c r="B1039">
        <v>2011</v>
      </c>
      <c r="C1039" t="s">
        <v>5</v>
      </c>
      <c r="D1039" t="s">
        <v>27</v>
      </c>
      <c r="E1039">
        <v>8</v>
      </c>
      <c r="F1039" s="4" t="s">
        <v>15</v>
      </c>
      <c r="G1039">
        <v>16</v>
      </c>
      <c r="H1039" s="2">
        <v>5516288</v>
      </c>
    </row>
    <row r="1040" spans="1:8" x14ac:dyDescent="0.25">
      <c r="A1040" t="s">
        <v>155</v>
      </c>
      <c r="B1040">
        <v>2011</v>
      </c>
      <c r="C1040" t="s">
        <v>4</v>
      </c>
      <c r="D1040" t="s">
        <v>27</v>
      </c>
      <c r="E1040">
        <v>8</v>
      </c>
      <c r="F1040" s="4" t="s">
        <v>15</v>
      </c>
      <c r="G1040">
        <v>20</v>
      </c>
      <c r="H1040" s="2">
        <v>5296319</v>
      </c>
    </row>
    <row r="1041" spans="1:8" x14ac:dyDescent="0.25">
      <c r="A1041" t="s">
        <v>156</v>
      </c>
      <c r="B1041">
        <v>2011</v>
      </c>
      <c r="C1041" t="s">
        <v>3</v>
      </c>
      <c r="D1041" t="s">
        <v>27</v>
      </c>
      <c r="E1041">
        <v>8</v>
      </c>
      <c r="F1041" s="4" t="s">
        <v>15</v>
      </c>
      <c r="G1041">
        <v>112</v>
      </c>
      <c r="H1041" s="2">
        <v>8602515</v>
      </c>
    </row>
    <row r="1042" spans="1:8" x14ac:dyDescent="0.25">
      <c r="A1042" t="s">
        <v>157</v>
      </c>
      <c r="B1042">
        <v>2011</v>
      </c>
      <c r="C1042" t="s">
        <v>2</v>
      </c>
      <c r="D1042" t="s">
        <v>27</v>
      </c>
      <c r="E1042">
        <v>8</v>
      </c>
      <c r="F1042" s="4" t="s">
        <v>15</v>
      </c>
      <c r="G1042">
        <v>713</v>
      </c>
      <c r="H1042" s="2">
        <v>5041154</v>
      </c>
    </row>
    <row r="1043" spans="1:8" x14ac:dyDescent="0.25">
      <c r="A1043" t="s">
        <v>158</v>
      </c>
      <c r="B1043">
        <v>2011</v>
      </c>
      <c r="C1043" t="s">
        <v>1</v>
      </c>
      <c r="D1043" t="s">
        <v>27</v>
      </c>
      <c r="E1043">
        <v>8</v>
      </c>
      <c r="F1043" s="4" t="s">
        <v>15</v>
      </c>
      <c r="G1043">
        <v>808</v>
      </c>
      <c r="H1043" s="2">
        <v>1061340</v>
      </c>
    </row>
    <row r="1044" spans="1:8" x14ac:dyDescent="0.25">
      <c r="A1044" t="s">
        <v>159</v>
      </c>
      <c r="B1044">
        <v>2011</v>
      </c>
      <c r="C1044" t="s">
        <v>0</v>
      </c>
      <c r="D1044" t="s">
        <v>27</v>
      </c>
      <c r="E1044">
        <v>8</v>
      </c>
      <c r="F1044" s="4" t="s">
        <v>15</v>
      </c>
      <c r="G1044">
        <v>2425</v>
      </c>
      <c r="H1044" s="2">
        <v>1061340</v>
      </c>
    </row>
    <row r="1045" spans="1:8" x14ac:dyDescent="0.25">
      <c r="A1045" t="s">
        <v>160</v>
      </c>
      <c r="B1045">
        <v>2012</v>
      </c>
      <c r="C1045" t="s">
        <v>6</v>
      </c>
      <c r="D1045" t="s">
        <v>27</v>
      </c>
      <c r="E1045">
        <v>8</v>
      </c>
      <c r="F1045" s="4" t="s">
        <v>15</v>
      </c>
      <c r="G1045">
        <v>8</v>
      </c>
      <c r="H1045" s="2">
        <v>2759356.4495101599</v>
      </c>
    </row>
    <row r="1046" spans="1:8" x14ac:dyDescent="0.25">
      <c r="A1046" t="s">
        <v>161</v>
      </c>
      <c r="B1046">
        <v>2012</v>
      </c>
      <c r="C1046" t="s">
        <v>5</v>
      </c>
      <c r="D1046" t="s">
        <v>27</v>
      </c>
      <c r="E1046">
        <v>8</v>
      </c>
      <c r="F1046" s="4" t="s">
        <v>15</v>
      </c>
      <c r="G1046">
        <v>14</v>
      </c>
      <c r="H1046" s="2">
        <v>5537428.7927720398</v>
      </c>
    </row>
    <row r="1047" spans="1:8" x14ac:dyDescent="0.25">
      <c r="A1047" t="s">
        <v>162</v>
      </c>
      <c r="B1047">
        <v>2012</v>
      </c>
      <c r="C1047" t="s">
        <v>4</v>
      </c>
      <c r="D1047" t="s">
        <v>27</v>
      </c>
      <c r="E1047">
        <v>8</v>
      </c>
      <c r="F1047" s="4" t="s">
        <v>15</v>
      </c>
      <c r="G1047">
        <v>24</v>
      </c>
      <c r="H1047" s="2">
        <v>5307779.7280284902</v>
      </c>
    </row>
    <row r="1048" spans="1:8" x14ac:dyDescent="0.25">
      <c r="A1048" t="s">
        <v>163</v>
      </c>
      <c r="B1048">
        <v>2012</v>
      </c>
      <c r="C1048" t="s">
        <v>3</v>
      </c>
      <c r="D1048" t="s">
        <v>27</v>
      </c>
      <c r="E1048">
        <v>8</v>
      </c>
      <c r="F1048" s="4" t="s">
        <v>15</v>
      </c>
      <c r="G1048">
        <v>101</v>
      </c>
      <c r="H1048" s="2">
        <v>8748082.6996606905</v>
      </c>
    </row>
    <row r="1049" spans="1:8" x14ac:dyDescent="0.25">
      <c r="A1049" t="s">
        <v>164</v>
      </c>
      <c r="B1049">
        <v>2012</v>
      </c>
      <c r="C1049" t="s">
        <v>2</v>
      </c>
      <c r="D1049" t="s">
        <v>27</v>
      </c>
      <c r="E1049">
        <v>8</v>
      </c>
      <c r="F1049" s="4" t="s">
        <v>15</v>
      </c>
      <c r="G1049">
        <v>711</v>
      </c>
      <c r="H1049" s="2">
        <v>5230482.0778962998</v>
      </c>
    </row>
    <row r="1050" spans="1:8" x14ac:dyDescent="0.25">
      <c r="A1050" t="s">
        <v>165</v>
      </c>
      <c r="B1050">
        <v>2012</v>
      </c>
      <c r="C1050" t="s">
        <v>1</v>
      </c>
      <c r="D1050" t="s">
        <v>27</v>
      </c>
      <c r="E1050">
        <v>8</v>
      </c>
      <c r="F1050" s="4" t="s">
        <v>15</v>
      </c>
      <c r="G1050">
        <v>898</v>
      </c>
      <c r="H1050" s="2">
        <v>1102796.7939262099</v>
      </c>
    </row>
    <row r="1051" spans="1:8" x14ac:dyDescent="0.25">
      <c r="A1051" t="s">
        <v>166</v>
      </c>
      <c r="B1051">
        <v>2012</v>
      </c>
      <c r="C1051" t="s">
        <v>0</v>
      </c>
      <c r="D1051" t="s">
        <v>27</v>
      </c>
      <c r="E1051">
        <v>8</v>
      </c>
      <c r="F1051" s="4" t="s">
        <v>15</v>
      </c>
      <c r="G1051">
        <v>2360</v>
      </c>
      <c r="H1051" s="2">
        <v>1102796.7939262099</v>
      </c>
    </row>
    <row r="1052" spans="1:8" x14ac:dyDescent="0.25">
      <c r="A1052" t="s">
        <v>167</v>
      </c>
      <c r="B1052">
        <v>2013</v>
      </c>
      <c r="C1052" t="s">
        <v>6</v>
      </c>
      <c r="D1052" t="s">
        <v>27</v>
      </c>
      <c r="E1052">
        <v>8</v>
      </c>
      <c r="F1052" s="4" t="s">
        <v>15</v>
      </c>
      <c r="G1052">
        <v>12</v>
      </c>
      <c r="H1052" s="2">
        <v>2752322.19750119</v>
      </c>
    </row>
    <row r="1053" spans="1:8" x14ac:dyDescent="0.25">
      <c r="A1053" t="s">
        <v>168</v>
      </c>
      <c r="B1053">
        <v>2013</v>
      </c>
      <c r="C1053" t="s">
        <v>5</v>
      </c>
      <c r="D1053" t="s">
        <v>27</v>
      </c>
      <c r="E1053">
        <v>8</v>
      </c>
      <c r="F1053" s="4" t="s">
        <v>15</v>
      </c>
      <c r="G1053">
        <v>8</v>
      </c>
      <c r="H1053" s="2">
        <v>5554323.1251711203</v>
      </c>
    </row>
    <row r="1054" spans="1:8" x14ac:dyDescent="0.25">
      <c r="A1054" t="s">
        <v>169</v>
      </c>
      <c r="B1054">
        <v>2013</v>
      </c>
      <c r="C1054" t="s">
        <v>4</v>
      </c>
      <c r="D1054" t="s">
        <v>27</v>
      </c>
      <c r="E1054">
        <v>8</v>
      </c>
      <c r="F1054" s="4" t="s">
        <v>15</v>
      </c>
      <c r="G1054">
        <v>17</v>
      </c>
      <c r="H1054" s="2">
        <v>5323364.8480997998</v>
      </c>
    </row>
    <row r="1055" spans="1:8" x14ac:dyDescent="0.25">
      <c r="A1055" t="s">
        <v>170</v>
      </c>
      <c r="B1055">
        <v>2013</v>
      </c>
      <c r="C1055" t="s">
        <v>3</v>
      </c>
      <c r="D1055" t="s">
        <v>27</v>
      </c>
      <c r="E1055">
        <v>8</v>
      </c>
      <c r="F1055" s="4" t="s">
        <v>15</v>
      </c>
      <c r="G1055">
        <v>120</v>
      </c>
      <c r="H1055" s="2">
        <v>8893718.1904660594</v>
      </c>
    </row>
    <row r="1056" spans="1:8" x14ac:dyDescent="0.25">
      <c r="A1056" t="s">
        <v>171</v>
      </c>
      <c r="B1056">
        <v>2013</v>
      </c>
      <c r="C1056" t="s">
        <v>2</v>
      </c>
      <c r="D1056" t="s">
        <v>27</v>
      </c>
      <c r="E1056">
        <v>8</v>
      </c>
      <c r="F1056" s="4" t="s">
        <v>15</v>
      </c>
      <c r="G1056">
        <v>771</v>
      </c>
      <c r="H1056" s="2">
        <v>5415783.9591287402</v>
      </c>
    </row>
    <row r="1057" spans="1:8" x14ac:dyDescent="0.25">
      <c r="A1057" t="s">
        <v>172</v>
      </c>
      <c r="B1057">
        <v>2013</v>
      </c>
      <c r="C1057" t="s">
        <v>1</v>
      </c>
      <c r="D1057" t="s">
        <v>27</v>
      </c>
      <c r="E1057">
        <v>8</v>
      </c>
      <c r="F1057" s="4" t="s">
        <v>15</v>
      </c>
      <c r="G1057">
        <v>938</v>
      </c>
      <c r="H1057" s="2">
        <v>1147296.6505007599</v>
      </c>
    </row>
    <row r="1058" spans="1:8" x14ac:dyDescent="0.25">
      <c r="A1058" t="s">
        <v>173</v>
      </c>
      <c r="B1058">
        <v>2013</v>
      </c>
      <c r="C1058" t="s">
        <v>0</v>
      </c>
      <c r="D1058" t="s">
        <v>27</v>
      </c>
      <c r="E1058">
        <v>8</v>
      </c>
      <c r="F1058" s="4" t="s">
        <v>15</v>
      </c>
      <c r="G1058">
        <v>2467</v>
      </c>
      <c r="H1058" s="2">
        <v>1147296.6505007599</v>
      </c>
    </row>
    <row r="1059" spans="1:8" x14ac:dyDescent="0.25">
      <c r="A1059" t="s">
        <v>174</v>
      </c>
      <c r="B1059">
        <v>2014</v>
      </c>
      <c r="C1059" t="s">
        <v>6</v>
      </c>
      <c r="D1059" t="s">
        <v>27</v>
      </c>
      <c r="E1059">
        <v>8</v>
      </c>
      <c r="F1059" s="4" t="s">
        <v>15</v>
      </c>
      <c r="G1059">
        <v>7</v>
      </c>
      <c r="H1059" s="2">
        <v>2744697</v>
      </c>
    </row>
    <row r="1060" spans="1:8" x14ac:dyDescent="0.25">
      <c r="A1060" t="s">
        <v>175</v>
      </c>
      <c r="B1060">
        <v>2014</v>
      </c>
      <c r="C1060" t="s">
        <v>5</v>
      </c>
      <c r="D1060" t="s">
        <v>27</v>
      </c>
      <c r="E1060">
        <v>8</v>
      </c>
      <c r="F1060" s="4" t="s">
        <v>15</v>
      </c>
      <c r="G1060">
        <v>7</v>
      </c>
      <c r="H1060" s="2">
        <v>5566437</v>
      </c>
    </row>
    <row r="1061" spans="1:8" x14ac:dyDescent="0.25">
      <c r="A1061" t="s">
        <v>176</v>
      </c>
      <c r="B1061">
        <v>2014</v>
      </c>
      <c r="C1061" t="s">
        <v>4</v>
      </c>
      <c r="D1061" t="s">
        <v>27</v>
      </c>
      <c r="E1061">
        <v>8</v>
      </c>
      <c r="F1061" s="4" t="s">
        <v>15</v>
      </c>
      <c r="G1061">
        <v>22</v>
      </c>
      <c r="H1061" s="2">
        <v>5343109</v>
      </c>
    </row>
    <row r="1062" spans="1:8" x14ac:dyDescent="0.25">
      <c r="A1062" t="s">
        <v>177</v>
      </c>
      <c r="B1062">
        <v>2014</v>
      </c>
      <c r="C1062" t="s">
        <v>3</v>
      </c>
      <c r="D1062" t="s">
        <v>27</v>
      </c>
      <c r="E1062">
        <v>8</v>
      </c>
      <c r="F1062" s="4" t="s">
        <v>15</v>
      </c>
      <c r="G1062">
        <v>82</v>
      </c>
      <c r="H1062" s="2">
        <v>9037113</v>
      </c>
    </row>
    <row r="1063" spans="1:8" x14ac:dyDescent="0.25">
      <c r="A1063" t="s">
        <v>178</v>
      </c>
      <c r="B1063">
        <v>2014</v>
      </c>
      <c r="C1063" t="s">
        <v>2</v>
      </c>
      <c r="D1063" t="s">
        <v>27</v>
      </c>
      <c r="E1063">
        <v>8</v>
      </c>
      <c r="F1063" s="4" t="s">
        <v>15</v>
      </c>
      <c r="G1063">
        <v>799</v>
      </c>
      <c r="H1063" s="2">
        <v>5597164</v>
      </c>
    </row>
    <row r="1064" spans="1:8" x14ac:dyDescent="0.25">
      <c r="A1064" t="s">
        <v>179</v>
      </c>
      <c r="B1064">
        <v>2014</v>
      </c>
      <c r="C1064" t="s">
        <v>1</v>
      </c>
      <c r="D1064" t="s">
        <v>27</v>
      </c>
      <c r="E1064">
        <v>8</v>
      </c>
      <c r="F1064" s="4" t="s">
        <v>15</v>
      </c>
      <c r="G1064">
        <v>1030</v>
      </c>
      <c r="H1064" s="2">
        <v>1194627</v>
      </c>
    </row>
    <row r="1065" spans="1:8" x14ac:dyDescent="0.25">
      <c r="A1065" t="s">
        <v>180</v>
      </c>
      <c r="B1065">
        <v>2014</v>
      </c>
      <c r="C1065" t="s">
        <v>0</v>
      </c>
      <c r="D1065" t="s">
        <v>27</v>
      </c>
      <c r="E1065">
        <v>8</v>
      </c>
      <c r="F1065" s="4" t="s">
        <v>15</v>
      </c>
      <c r="G1065">
        <v>2954</v>
      </c>
      <c r="H1065" s="2">
        <v>1194627</v>
      </c>
    </row>
    <row r="1066" spans="1:8" x14ac:dyDescent="0.25">
      <c r="A1066" t="s">
        <v>48</v>
      </c>
      <c r="B1066">
        <v>1996</v>
      </c>
      <c r="C1066" t="s">
        <v>6</v>
      </c>
      <c r="D1066" t="s">
        <v>27</v>
      </c>
      <c r="E1066">
        <v>9</v>
      </c>
      <c r="F1066" s="4" t="s">
        <v>14</v>
      </c>
      <c r="G1066">
        <v>877</v>
      </c>
      <c r="H1066" s="2">
        <v>2669011.0638103201</v>
      </c>
    </row>
    <row r="1067" spans="1:8" x14ac:dyDescent="0.25">
      <c r="A1067" t="s">
        <v>49</v>
      </c>
      <c r="B1067">
        <v>1996</v>
      </c>
      <c r="C1067" t="s">
        <v>5</v>
      </c>
      <c r="D1067" t="s">
        <v>27</v>
      </c>
      <c r="E1067">
        <v>9</v>
      </c>
      <c r="F1067" s="4" t="s">
        <v>14</v>
      </c>
      <c r="G1067">
        <v>82</v>
      </c>
      <c r="H1067" s="2">
        <v>5336689.2615659405</v>
      </c>
    </row>
    <row r="1068" spans="1:8" x14ac:dyDescent="0.25">
      <c r="A1068" t="s">
        <v>50</v>
      </c>
      <c r="B1068">
        <v>1996</v>
      </c>
      <c r="C1068" t="s">
        <v>4</v>
      </c>
      <c r="D1068" t="s">
        <v>27</v>
      </c>
      <c r="E1068">
        <v>9</v>
      </c>
      <c r="F1068" s="4" t="s">
        <v>14</v>
      </c>
      <c r="G1068">
        <v>90</v>
      </c>
      <c r="H1068" s="2">
        <v>4328734.7335640304</v>
      </c>
    </row>
    <row r="1069" spans="1:8" x14ac:dyDescent="0.25">
      <c r="A1069" t="s">
        <v>51</v>
      </c>
      <c r="B1069">
        <v>1996</v>
      </c>
      <c r="C1069" t="s">
        <v>3</v>
      </c>
      <c r="D1069" t="s">
        <v>27</v>
      </c>
      <c r="E1069">
        <v>9</v>
      </c>
      <c r="F1069" s="4" t="s">
        <v>14</v>
      </c>
      <c r="G1069">
        <v>191</v>
      </c>
      <c r="H1069" s="2">
        <v>6500086.9398599695</v>
      </c>
    </row>
    <row r="1070" spans="1:8" x14ac:dyDescent="0.25">
      <c r="A1070" t="s">
        <v>52</v>
      </c>
      <c r="B1070">
        <v>1996</v>
      </c>
      <c r="C1070" t="s">
        <v>2</v>
      </c>
      <c r="D1070" t="s">
        <v>27</v>
      </c>
      <c r="E1070">
        <v>9</v>
      </c>
      <c r="F1070" s="4" t="s">
        <v>14</v>
      </c>
      <c r="G1070">
        <v>247</v>
      </c>
      <c r="H1070" s="2">
        <v>2862216.4853526298</v>
      </c>
    </row>
    <row r="1071" spans="1:8" x14ac:dyDescent="0.25">
      <c r="A1071" t="s">
        <v>53</v>
      </c>
      <c r="B1071">
        <v>1996</v>
      </c>
      <c r="C1071" t="s">
        <v>1</v>
      </c>
      <c r="D1071" t="s">
        <v>27</v>
      </c>
      <c r="E1071">
        <v>9</v>
      </c>
      <c r="F1071" s="4" t="s">
        <v>14</v>
      </c>
      <c r="G1071">
        <v>226</v>
      </c>
      <c r="H1071" s="2">
        <v>710343.28776711202</v>
      </c>
    </row>
    <row r="1072" spans="1:8" x14ac:dyDescent="0.25">
      <c r="A1072" t="s">
        <v>54</v>
      </c>
      <c r="B1072">
        <v>1996</v>
      </c>
      <c r="C1072" t="s">
        <v>0</v>
      </c>
      <c r="D1072" t="s">
        <v>27</v>
      </c>
      <c r="E1072">
        <v>9</v>
      </c>
      <c r="F1072" s="4" t="s">
        <v>14</v>
      </c>
      <c r="G1072">
        <v>974</v>
      </c>
      <c r="H1072" s="2">
        <v>710343.28776711202</v>
      </c>
    </row>
    <row r="1073" spans="1:8" x14ac:dyDescent="0.25">
      <c r="A1073" t="s">
        <v>55</v>
      </c>
      <c r="B1073">
        <v>1997</v>
      </c>
      <c r="C1073" t="s">
        <v>6</v>
      </c>
      <c r="D1073" t="s">
        <v>27</v>
      </c>
      <c r="E1073">
        <v>9</v>
      </c>
      <c r="F1073" s="4" t="s">
        <v>14</v>
      </c>
      <c r="G1073">
        <v>885</v>
      </c>
      <c r="H1073" s="2">
        <v>2689637.03828619</v>
      </c>
    </row>
    <row r="1074" spans="1:8" x14ac:dyDescent="0.25">
      <c r="A1074" t="s">
        <v>56</v>
      </c>
      <c r="B1074">
        <v>1997</v>
      </c>
      <c r="C1074" t="s">
        <v>5</v>
      </c>
      <c r="D1074" t="s">
        <v>27</v>
      </c>
      <c r="E1074">
        <v>9</v>
      </c>
      <c r="F1074" s="4" t="s">
        <v>14</v>
      </c>
      <c r="G1074">
        <v>71</v>
      </c>
      <c r="H1074" s="2">
        <v>5352218.1569395596</v>
      </c>
    </row>
    <row r="1075" spans="1:8" x14ac:dyDescent="0.25">
      <c r="A1075" t="s">
        <v>57</v>
      </c>
      <c r="B1075">
        <v>1997</v>
      </c>
      <c r="C1075" t="s">
        <v>4</v>
      </c>
      <c r="D1075" t="s">
        <v>27</v>
      </c>
      <c r="E1075">
        <v>9</v>
      </c>
      <c r="F1075" s="4" t="s">
        <v>14</v>
      </c>
      <c r="G1075">
        <v>83</v>
      </c>
      <c r="H1075" s="2">
        <v>4441903.2401384199</v>
      </c>
    </row>
    <row r="1076" spans="1:8" x14ac:dyDescent="0.25">
      <c r="A1076" t="s">
        <v>58</v>
      </c>
      <c r="B1076">
        <v>1997</v>
      </c>
      <c r="C1076" t="s">
        <v>3</v>
      </c>
      <c r="D1076" t="s">
        <v>27</v>
      </c>
      <c r="E1076">
        <v>9</v>
      </c>
      <c r="F1076" s="4" t="s">
        <v>14</v>
      </c>
      <c r="G1076">
        <v>209</v>
      </c>
      <c r="H1076" s="2">
        <v>6652916.9639159804</v>
      </c>
    </row>
    <row r="1077" spans="1:8" x14ac:dyDescent="0.25">
      <c r="A1077" t="s">
        <v>59</v>
      </c>
      <c r="B1077">
        <v>1997</v>
      </c>
      <c r="C1077" t="s">
        <v>2</v>
      </c>
      <c r="D1077" t="s">
        <v>27</v>
      </c>
      <c r="E1077">
        <v>9</v>
      </c>
      <c r="F1077" s="4" t="s">
        <v>14</v>
      </c>
      <c r="G1077">
        <v>245</v>
      </c>
      <c r="H1077" s="2">
        <v>2950439.89121158</v>
      </c>
    </row>
    <row r="1078" spans="1:8" x14ac:dyDescent="0.25">
      <c r="A1078" t="s">
        <v>60</v>
      </c>
      <c r="B1078">
        <v>1997</v>
      </c>
      <c r="C1078" t="s">
        <v>1</v>
      </c>
      <c r="D1078" t="s">
        <v>27</v>
      </c>
      <c r="E1078">
        <v>9</v>
      </c>
      <c r="F1078" s="4" t="s">
        <v>14</v>
      </c>
      <c r="G1078">
        <v>265</v>
      </c>
      <c r="H1078" s="2">
        <v>717390.37266026705</v>
      </c>
    </row>
    <row r="1079" spans="1:8" x14ac:dyDescent="0.25">
      <c r="A1079" t="s">
        <v>61</v>
      </c>
      <c r="B1079">
        <v>1997</v>
      </c>
      <c r="C1079" t="s">
        <v>0</v>
      </c>
      <c r="D1079" t="s">
        <v>27</v>
      </c>
      <c r="E1079">
        <v>9</v>
      </c>
      <c r="F1079" s="4" t="s">
        <v>14</v>
      </c>
      <c r="G1079">
        <v>964</v>
      </c>
      <c r="H1079" s="2">
        <v>717390.37266026705</v>
      </c>
    </row>
    <row r="1080" spans="1:8" x14ac:dyDescent="0.25">
      <c r="A1080" t="s">
        <v>62</v>
      </c>
      <c r="B1080">
        <v>1998</v>
      </c>
      <c r="C1080" t="s">
        <v>6</v>
      </c>
      <c r="D1080" t="s">
        <v>27</v>
      </c>
      <c r="E1080">
        <v>9</v>
      </c>
      <c r="F1080" s="4" t="s">
        <v>14</v>
      </c>
      <c r="G1080">
        <v>947</v>
      </c>
      <c r="H1080" s="2">
        <v>2707580.5191430999</v>
      </c>
    </row>
    <row r="1081" spans="1:8" x14ac:dyDescent="0.25">
      <c r="A1081" t="s">
        <v>63</v>
      </c>
      <c r="B1081">
        <v>1998</v>
      </c>
      <c r="C1081" t="s">
        <v>5</v>
      </c>
      <c r="D1081" t="s">
        <v>27</v>
      </c>
      <c r="E1081">
        <v>9</v>
      </c>
      <c r="F1081" s="4" t="s">
        <v>14</v>
      </c>
      <c r="G1081">
        <v>66</v>
      </c>
      <c r="H1081" s="2">
        <v>5360232.5784697803</v>
      </c>
    </row>
    <row r="1082" spans="1:8" x14ac:dyDescent="0.25">
      <c r="A1082" t="s">
        <v>64</v>
      </c>
      <c r="B1082">
        <v>1998</v>
      </c>
      <c r="C1082" t="s">
        <v>4</v>
      </c>
      <c r="D1082" t="s">
        <v>27</v>
      </c>
      <c r="E1082">
        <v>9</v>
      </c>
      <c r="F1082" s="4" t="s">
        <v>14</v>
      </c>
      <c r="G1082">
        <v>74</v>
      </c>
      <c r="H1082" s="2">
        <v>4551586.6200692104</v>
      </c>
    </row>
    <row r="1083" spans="1:8" x14ac:dyDescent="0.25">
      <c r="A1083" t="s">
        <v>65</v>
      </c>
      <c r="B1083">
        <v>1998</v>
      </c>
      <c r="C1083" t="s">
        <v>3</v>
      </c>
      <c r="D1083" t="s">
        <v>27</v>
      </c>
      <c r="E1083">
        <v>9</v>
      </c>
      <c r="F1083" s="4" t="s">
        <v>14</v>
      </c>
      <c r="G1083">
        <v>205</v>
      </c>
      <c r="H1083" s="2">
        <v>6800752.4819579897</v>
      </c>
    </row>
    <row r="1084" spans="1:8" x14ac:dyDescent="0.25">
      <c r="A1084" t="s">
        <v>66</v>
      </c>
      <c r="B1084">
        <v>1998</v>
      </c>
      <c r="C1084" t="s">
        <v>2</v>
      </c>
      <c r="D1084" t="s">
        <v>27</v>
      </c>
      <c r="E1084">
        <v>9</v>
      </c>
      <c r="F1084" s="4" t="s">
        <v>14</v>
      </c>
      <c r="G1084">
        <v>280</v>
      </c>
      <c r="H1084" s="2">
        <v>3048176.4456057898</v>
      </c>
    </row>
    <row r="1085" spans="1:8" x14ac:dyDescent="0.25">
      <c r="A1085" t="s">
        <v>67</v>
      </c>
      <c r="B1085">
        <v>1998</v>
      </c>
      <c r="C1085" t="s">
        <v>1</v>
      </c>
      <c r="D1085" t="s">
        <v>27</v>
      </c>
      <c r="E1085">
        <v>9</v>
      </c>
      <c r="F1085" s="4" t="s">
        <v>14</v>
      </c>
      <c r="G1085">
        <v>299</v>
      </c>
      <c r="H1085" s="2">
        <v>727932.186330133</v>
      </c>
    </row>
    <row r="1086" spans="1:8" x14ac:dyDescent="0.25">
      <c r="A1086" t="s">
        <v>68</v>
      </c>
      <c r="B1086">
        <v>1998</v>
      </c>
      <c r="C1086" t="s">
        <v>0</v>
      </c>
      <c r="D1086" t="s">
        <v>27</v>
      </c>
      <c r="E1086">
        <v>9</v>
      </c>
      <c r="F1086" s="4" t="s">
        <v>14</v>
      </c>
      <c r="G1086">
        <v>1110</v>
      </c>
      <c r="H1086" s="2">
        <v>727932.186330133</v>
      </c>
    </row>
    <row r="1087" spans="1:8" x14ac:dyDescent="0.25">
      <c r="A1087" t="s">
        <v>69</v>
      </c>
      <c r="B1087">
        <v>1999</v>
      </c>
      <c r="C1087" t="s">
        <v>6</v>
      </c>
      <c r="D1087" t="s">
        <v>27</v>
      </c>
      <c r="E1087">
        <v>9</v>
      </c>
      <c r="F1087" s="4" t="s">
        <v>14</v>
      </c>
      <c r="G1087">
        <v>786</v>
      </c>
      <c r="H1087" s="2">
        <v>2723058.5063810302</v>
      </c>
    </row>
    <row r="1088" spans="1:8" x14ac:dyDescent="0.25">
      <c r="A1088" t="s">
        <v>70</v>
      </c>
      <c r="B1088">
        <v>1999</v>
      </c>
      <c r="C1088" t="s">
        <v>5</v>
      </c>
      <c r="D1088" t="s">
        <v>27</v>
      </c>
      <c r="E1088">
        <v>9</v>
      </c>
      <c r="F1088" s="4" t="s">
        <v>14</v>
      </c>
      <c r="G1088">
        <v>70</v>
      </c>
      <c r="H1088" s="2">
        <v>5362927.5261565903</v>
      </c>
    </row>
    <row r="1089" spans="1:8" x14ac:dyDescent="0.25">
      <c r="A1089" t="s">
        <v>71</v>
      </c>
      <c r="B1089">
        <v>1999</v>
      </c>
      <c r="C1089" t="s">
        <v>4</v>
      </c>
      <c r="D1089" t="s">
        <v>27</v>
      </c>
      <c r="E1089">
        <v>9</v>
      </c>
      <c r="F1089" s="4" t="s">
        <v>14</v>
      </c>
      <c r="G1089">
        <v>73</v>
      </c>
      <c r="H1089" s="2">
        <v>4656740.8733564001</v>
      </c>
    </row>
    <row r="1090" spans="1:8" x14ac:dyDescent="0.25">
      <c r="A1090" t="s">
        <v>72</v>
      </c>
      <c r="B1090">
        <v>1999</v>
      </c>
      <c r="C1090" t="s">
        <v>3</v>
      </c>
      <c r="D1090" t="s">
        <v>27</v>
      </c>
      <c r="E1090">
        <v>9</v>
      </c>
      <c r="F1090" s="4" t="s">
        <v>14</v>
      </c>
      <c r="G1090">
        <v>214</v>
      </c>
      <c r="H1090" s="2">
        <v>6944474.4939860003</v>
      </c>
    </row>
    <row r="1091" spans="1:8" x14ac:dyDescent="0.25">
      <c r="A1091" t="s">
        <v>73</v>
      </c>
      <c r="B1091">
        <v>1999</v>
      </c>
      <c r="C1091" t="s">
        <v>2</v>
      </c>
      <c r="D1091" t="s">
        <v>27</v>
      </c>
      <c r="E1091">
        <v>9</v>
      </c>
      <c r="F1091" s="4" t="s">
        <v>14</v>
      </c>
      <c r="G1091">
        <v>285</v>
      </c>
      <c r="H1091" s="2">
        <v>3155060.14853526</v>
      </c>
    </row>
    <row r="1092" spans="1:8" x14ac:dyDescent="0.25">
      <c r="A1092" t="s">
        <v>74</v>
      </c>
      <c r="B1092">
        <v>1999</v>
      </c>
      <c r="C1092" t="s">
        <v>1</v>
      </c>
      <c r="D1092" t="s">
        <v>27</v>
      </c>
      <c r="E1092">
        <v>9</v>
      </c>
      <c r="F1092" s="4" t="s">
        <v>14</v>
      </c>
      <c r="G1092">
        <v>304</v>
      </c>
      <c r="H1092" s="2">
        <v>741553.72877671104</v>
      </c>
    </row>
    <row r="1093" spans="1:8" x14ac:dyDescent="0.25">
      <c r="A1093" t="s">
        <v>75</v>
      </c>
      <c r="B1093">
        <v>1999</v>
      </c>
      <c r="C1093" t="s">
        <v>0</v>
      </c>
      <c r="D1093" t="s">
        <v>27</v>
      </c>
      <c r="E1093">
        <v>9</v>
      </c>
      <c r="F1093" s="4" t="s">
        <v>14</v>
      </c>
      <c r="G1093">
        <v>1154</v>
      </c>
      <c r="H1093" s="2">
        <v>741553.72877671104</v>
      </c>
    </row>
    <row r="1094" spans="1:8" x14ac:dyDescent="0.25">
      <c r="A1094" t="s">
        <v>76</v>
      </c>
      <c r="B1094">
        <v>2000</v>
      </c>
      <c r="C1094" t="s">
        <v>6</v>
      </c>
      <c r="D1094" t="s">
        <v>27</v>
      </c>
      <c r="E1094">
        <v>9</v>
      </c>
      <c r="F1094" s="4" t="s">
        <v>14</v>
      </c>
      <c r="G1094">
        <v>664</v>
      </c>
      <c r="H1094" s="2">
        <v>2736288</v>
      </c>
    </row>
    <row r="1095" spans="1:8" x14ac:dyDescent="0.25">
      <c r="A1095" t="s">
        <v>77</v>
      </c>
      <c r="B1095">
        <v>2000</v>
      </c>
      <c r="C1095" t="s">
        <v>5</v>
      </c>
      <c r="D1095" t="s">
        <v>27</v>
      </c>
      <c r="E1095">
        <v>9</v>
      </c>
      <c r="F1095" s="4" t="s">
        <v>14</v>
      </c>
      <c r="G1095">
        <v>76</v>
      </c>
      <c r="H1095" s="2">
        <v>5362498</v>
      </c>
    </row>
    <row r="1096" spans="1:8" x14ac:dyDescent="0.25">
      <c r="A1096" t="s">
        <v>78</v>
      </c>
      <c r="B1096">
        <v>2000</v>
      </c>
      <c r="C1096" t="s">
        <v>4</v>
      </c>
      <c r="D1096" t="s">
        <v>27</v>
      </c>
      <c r="E1096">
        <v>9</v>
      </c>
      <c r="F1096" s="4" t="s">
        <v>14</v>
      </c>
      <c r="G1096">
        <v>85</v>
      </c>
      <c r="H1096" s="2">
        <v>4756322</v>
      </c>
    </row>
    <row r="1097" spans="1:8" x14ac:dyDescent="0.25">
      <c r="A1097" t="s">
        <v>79</v>
      </c>
      <c r="B1097">
        <v>2000</v>
      </c>
      <c r="C1097" t="s">
        <v>3</v>
      </c>
      <c r="D1097" t="s">
        <v>27</v>
      </c>
      <c r="E1097">
        <v>9</v>
      </c>
      <c r="F1097" s="4" t="s">
        <v>14</v>
      </c>
      <c r="G1097">
        <v>164</v>
      </c>
      <c r="H1097" s="2">
        <v>7084964</v>
      </c>
    </row>
    <row r="1098" spans="1:8" x14ac:dyDescent="0.25">
      <c r="A1098" t="s">
        <v>80</v>
      </c>
      <c r="B1098">
        <v>2000</v>
      </c>
      <c r="C1098" t="s">
        <v>2</v>
      </c>
      <c r="D1098" t="s">
        <v>27</v>
      </c>
      <c r="E1098">
        <v>9</v>
      </c>
      <c r="F1098" s="4" t="s">
        <v>14</v>
      </c>
      <c r="G1098">
        <v>233</v>
      </c>
      <c r="H1098" s="2">
        <v>3270725</v>
      </c>
    </row>
    <row r="1099" spans="1:8" x14ac:dyDescent="0.25">
      <c r="A1099" t="s">
        <v>81</v>
      </c>
      <c r="B1099">
        <v>2000</v>
      </c>
      <c r="C1099" t="s">
        <v>1</v>
      </c>
      <c r="D1099" t="s">
        <v>27</v>
      </c>
      <c r="E1099">
        <v>9</v>
      </c>
      <c r="F1099" s="4" t="s">
        <v>14</v>
      </c>
      <c r="G1099">
        <v>248</v>
      </c>
      <c r="H1099" s="2">
        <v>757840</v>
      </c>
    </row>
    <row r="1100" spans="1:8" x14ac:dyDescent="0.25">
      <c r="A1100" t="s">
        <v>82</v>
      </c>
      <c r="B1100">
        <v>2000</v>
      </c>
      <c r="C1100" t="s">
        <v>0</v>
      </c>
      <c r="D1100" t="s">
        <v>27</v>
      </c>
      <c r="E1100">
        <v>9</v>
      </c>
      <c r="F1100" s="4" t="s">
        <v>14</v>
      </c>
      <c r="G1100">
        <v>921</v>
      </c>
      <c r="H1100" s="2">
        <v>757840</v>
      </c>
    </row>
    <row r="1101" spans="1:8" x14ac:dyDescent="0.25">
      <c r="A1101" t="s">
        <v>83</v>
      </c>
      <c r="B1101">
        <v>2001</v>
      </c>
      <c r="C1101" t="s">
        <v>6</v>
      </c>
      <c r="D1101" t="s">
        <v>27</v>
      </c>
      <c r="E1101">
        <v>9</v>
      </c>
      <c r="F1101" s="4" t="s">
        <v>14</v>
      </c>
      <c r="G1101">
        <v>819</v>
      </c>
      <c r="H1101" s="2">
        <v>2747486</v>
      </c>
    </row>
    <row r="1102" spans="1:8" x14ac:dyDescent="0.25">
      <c r="A1102" t="s">
        <v>84</v>
      </c>
      <c r="B1102">
        <v>2001</v>
      </c>
      <c r="C1102" t="s">
        <v>5</v>
      </c>
      <c r="D1102" t="s">
        <v>27</v>
      </c>
      <c r="E1102">
        <v>9</v>
      </c>
      <c r="F1102" s="4" t="s">
        <v>14</v>
      </c>
      <c r="G1102">
        <v>81</v>
      </c>
      <c r="H1102" s="2">
        <v>5361139</v>
      </c>
    </row>
    <row r="1103" spans="1:8" x14ac:dyDescent="0.25">
      <c r="A1103" t="s">
        <v>85</v>
      </c>
      <c r="B1103">
        <v>2001</v>
      </c>
      <c r="C1103" t="s">
        <v>4</v>
      </c>
      <c r="D1103" t="s">
        <v>27</v>
      </c>
      <c r="E1103">
        <v>9</v>
      </c>
      <c r="F1103" s="4" t="s">
        <v>14</v>
      </c>
      <c r="G1103">
        <v>81</v>
      </c>
      <c r="H1103" s="2">
        <v>4849286</v>
      </c>
    </row>
    <row r="1104" spans="1:8" x14ac:dyDescent="0.25">
      <c r="A1104" t="s">
        <v>86</v>
      </c>
      <c r="B1104">
        <v>2001</v>
      </c>
      <c r="C1104" t="s">
        <v>3</v>
      </c>
      <c r="D1104" t="s">
        <v>27</v>
      </c>
      <c r="E1104">
        <v>9</v>
      </c>
      <c r="F1104" s="4" t="s">
        <v>14</v>
      </c>
      <c r="G1104">
        <v>210</v>
      </c>
      <c r="H1104" s="2">
        <v>7223102</v>
      </c>
    </row>
    <row r="1105" spans="1:8" x14ac:dyDescent="0.25">
      <c r="A1105" t="s">
        <v>87</v>
      </c>
      <c r="B1105">
        <v>2001</v>
      </c>
      <c r="C1105" t="s">
        <v>2</v>
      </c>
      <c r="D1105" t="s">
        <v>27</v>
      </c>
      <c r="E1105">
        <v>9</v>
      </c>
      <c r="F1105" s="4" t="s">
        <v>14</v>
      </c>
      <c r="G1105">
        <v>298</v>
      </c>
      <c r="H1105" s="2">
        <v>3394805</v>
      </c>
    </row>
    <row r="1106" spans="1:8" x14ac:dyDescent="0.25">
      <c r="A1106" t="s">
        <v>88</v>
      </c>
      <c r="B1106">
        <v>2001</v>
      </c>
      <c r="C1106" t="s">
        <v>1</v>
      </c>
      <c r="D1106" t="s">
        <v>27</v>
      </c>
      <c r="E1106">
        <v>9</v>
      </c>
      <c r="F1106" s="4" t="s">
        <v>14</v>
      </c>
      <c r="G1106">
        <v>300</v>
      </c>
      <c r="H1106" s="2">
        <v>776376</v>
      </c>
    </row>
    <row r="1107" spans="1:8" x14ac:dyDescent="0.25">
      <c r="A1107" t="s">
        <v>89</v>
      </c>
      <c r="B1107">
        <v>2001</v>
      </c>
      <c r="C1107" t="s">
        <v>0</v>
      </c>
      <c r="D1107" t="s">
        <v>27</v>
      </c>
      <c r="E1107">
        <v>9</v>
      </c>
      <c r="F1107" s="4" t="s">
        <v>14</v>
      </c>
      <c r="G1107">
        <v>1149</v>
      </c>
      <c r="H1107" s="2">
        <v>776376</v>
      </c>
    </row>
    <row r="1108" spans="1:8" x14ac:dyDescent="0.25">
      <c r="A1108" t="s">
        <v>90</v>
      </c>
      <c r="B1108">
        <v>2002</v>
      </c>
      <c r="C1108" t="s">
        <v>6</v>
      </c>
      <c r="D1108" t="s">
        <v>27</v>
      </c>
      <c r="E1108">
        <v>9</v>
      </c>
      <c r="F1108" s="4" t="s">
        <v>14</v>
      </c>
      <c r="G1108">
        <v>595</v>
      </c>
      <c r="H1108" s="2">
        <v>2756879</v>
      </c>
    </row>
    <row r="1109" spans="1:8" x14ac:dyDescent="0.25">
      <c r="A1109" t="s">
        <v>91</v>
      </c>
      <c r="B1109">
        <v>2002</v>
      </c>
      <c r="C1109" t="s">
        <v>5</v>
      </c>
      <c r="D1109" t="s">
        <v>27</v>
      </c>
      <c r="E1109">
        <v>9</v>
      </c>
      <c r="F1109" s="4" t="s">
        <v>14</v>
      </c>
      <c r="G1109">
        <v>66</v>
      </c>
      <c r="H1109" s="2">
        <v>5361107</v>
      </c>
    </row>
    <row r="1110" spans="1:8" x14ac:dyDescent="0.25">
      <c r="A1110" t="s">
        <v>92</v>
      </c>
      <c r="B1110">
        <v>2002</v>
      </c>
      <c r="C1110" t="s">
        <v>4</v>
      </c>
      <c r="D1110" t="s">
        <v>27</v>
      </c>
      <c r="E1110">
        <v>9</v>
      </c>
      <c r="F1110" s="4" t="s">
        <v>14</v>
      </c>
      <c r="G1110">
        <v>80</v>
      </c>
      <c r="H1110" s="2">
        <v>4934568</v>
      </c>
    </row>
    <row r="1111" spans="1:8" x14ac:dyDescent="0.25">
      <c r="A1111" t="s">
        <v>93</v>
      </c>
      <c r="B1111">
        <v>2002</v>
      </c>
      <c r="C1111" t="s">
        <v>3</v>
      </c>
      <c r="D1111" t="s">
        <v>27</v>
      </c>
      <c r="E1111">
        <v>9</v>
      </c>
      <c r="F1111" s="4" t="s">
        <v>14</v>
      </c>
      <c r="G1111">
        <v>188</v>
      </c>
      <c r="H1111" s="2">
        <v>7359839</v>
      </c>
    </row>
    <row r="1112" spans="1:8" x14ac:dyDescent="0.25">
      <c r="A1112" t="s">
        <v>94</v>
      </c>
      <c r="B1112">
        <v>2002</v>
      </c>
      <c r="C1112" t="s">
        <v>2</v>
      </c>
      <c r="D1112" t="s">
        <v>27</v>
      </c>
      <c r="E1112">
        <v>9</v>
      </c>
      <c r="F1112" s="4" t="s">
        <v>14</v>
      </c>
      <c r="G1112">
        <v>280</v>
      </c>
      <c r="H1112" s="2">
        <v>3526909</v>
      </c>
    </row>
    <row r="1113" spans="1:8" x14ac:dyDescent="0.25">
      <c r="A1113" t="s">
        <v>95</v>
      </c>
      <c r="B1113">
        <v>2002</v>
      </c>
      <c r="C1113" t="s">
        <v>1</v>
      </c>
      <c r="D1113" t="s">
        <v>27</v>
      </c>
      <c r="E1113">
        <v>9</v>
      </c>
      <c r="F1113" s="4" t="s">
        <v>14</v>
      </c>
      <c r="G1113">
        <v>265</v>
      </c>
      <c r="H1113" s="2">
        <v>796712</v>
      </c>
    </row>
    <row r="1114" spans="1:8" x14ac:dyDescent="0.25">
      <c r="A1114" t="s">
        <v>96</v>
      </c>
      <c r="B1114">
        <v>2002</v>
      </c>
      <c r="C1114" t="s">
        <v>0</v>
      </c>
      <c r="D1114" t="s">
        <v>27</v>
      </c>
      <c r="E1114">
        <v>9</v>
      </c>
      <c r="F1114" s="4" t="s">
        <v>14</v>
      </c>
      <c r="G1114">
        <v>977</v>
      </c>
      <c r="H1114" s="2">
        <v>796712</v>
      </c>
    </row>
    <row r="1115" spans="1:8" x14ac:dyDescent="0.25">
      <c r="A1115" t="s">
        <v>97</v>
      </c>
      <c r="B1115">
        <v>2003</v>
      </c>
      <c r="C1115" t="s">
        <v>6</v>
      </c>
      <c r="D1115" t="s">
        <v>27</v>
      </c>
      <c r="E1115">
        <v>9</v>
      </c>
      <c r="F1115" s="4" t="s">
        <v>14</v>
      </c>
      <c r="G1115">
        <v>878</v>
      </c>
      <c r="H1115" s="2">
        <v>2764684</v>
      </c>
    </row>
    <row r="1116" spans="1:8" x14ac:dyDescent="0.25">
      <c r="A1116" t="s">
        <v>98</v>
      </c>
      <c r="B1116">
        <v>2003</v>
      </c>
      <c r="C1116" t="s">
        <v>5</v>
      </c>
      <c r="D1116" t="s">
        <v>27</v>
      </c>
      <c r="E1116">
        <v>9</v>
      </c>
      <c r="F1116" s="4" t="s">
        <v>14</v>
      </c>
      <c r="G1116">
        <v>93</v>
      </c>
      <c r="H1116" s="2">
        <v>5364597</v>
      </c>
    </row>
    <row r="1117" spans="1:8" x14ac:dyDescent="0.25">
      <c r="A1117" t="s">
        <v>99</v>
      </c>
      <c r="B1117">
        <v>2003</v>
      </c>
      <c r="C1117" t="s">
        <v>4</v>
      </c>
      <c r="D1117" t="s">
        <v>27</v>
      </c>
      <c r="E1117">
        <v>9</v>
      </c>
      <c r="F1117" s="4" t="s">
        <v>14</v>
      </c>
      <c r="G1117">
        <v>85</v>
      </c>
      <c r="H1117" s="2">
        <v>5011124</v>
      </c>
    </row>
    <row r="1118" spans="1:8" x14ac:dyDescent="0.25">
      <c r="A1118" t="s">
        <v>100</v>
      </c>
      <c r="B1118">
        <v>2003</v>
      </c>
      <c r="C1118" t="s">
        <v>3</v>
      </c>
      <c r="D1118" t="s">
        <v>27</v>
      </c>
      <c r="E1118">
        <v>9</v>
      </c>
      <c r="F1118" s="4" t="s">
        <v>14</v>
      </c>
      <c r="G1118">
        <v>240</v>
      </c>
      <c r="H1118" s="2">
        <v>7496056</v>
      </c>
    </row>
    <row r="1119" spans="1:8" x14ac:dyDescent="0.25">
      <c r="A1119" t="s">
        <v>101</v>
      </c>
      <c r="B1119">
        <v>2003</v>
      </c>
      <c r="C1119" t="s">
        <v>2</v>
      </c>
      <c r="D1119" t="s">
        <v>27</v>
      </c>
      <c r="E1119">
        <v>9</v>
      </c>
      <c r="F1119" s="4" t="s">
        <v>14</v>
      </c>
      <c r="G1119">
        <v>332</v>
      </c>
      <c r="H1119" s="2">
        <v>3666671</v>
      </c>
    </row>
    <row r="1120" spans="1:8" x14ac:dyDescent="0.25">
      <c r="A1120" t="s">
        <v>102</v>
      </c>
      <c r="B1120">
        <v>2003</v>
      </c>
      <c r="C1120" t="s">
        <v>1</v>
      </c>
      <c r="D1120" t="s">
        <v>27</v>
      </c>
      <c r="E1120">
        <v>9</v>
      </c>
      <c r="F1120" s="4" t="s">
        <v>14</v>
      </c>
      <c r="G1120">
        <v>306</v>
      </c>
      <c r="H1120" s="2">
        <v>818433</v>
      </c>
    </row>
    <row r="1121" spans="1:8" x14ac:dyDescent="0.25">
      <c r="A1121" t="s">
        <v>103</v>
      </c>
      <c r="B1121">
        <v>2003</v>
      </c>
      <c r="C1121" t="s">
        <v>0</v>
      </c>
      <c r="D1121" t="s">
        <v>27</v>
      </c>
      <c r="E1121">
        <v>9</v>
      </c>
      <c r="F1121" s="4" t="s">
        <v>14</v>
      </c>
      <c r="G1121">
        <v>1362</v>
      </c>
      <c r="H1121" s="2">
        <v>818433</v>
      </c>
    </row>
    <row r="1122" spans="1:8" x14ac:dyDescent="0.25">
      <c r="A1122" t="s">
        <v>104</v>
      </c>
      <c r="B1122">
        <v>2004</v>
      </c>
      <c r="C1122" t="s">
        <v>6</v>
      </c>
      <c r="D1122" t="s">
        <v>27</v>
      </c>
      <c r="E1122">
        <v>9</v>
      </c>
      <c r="F1122" s="4" t="s">
        <v>14</v>
      </c>
      <c r="G1122">
        <v>696</v>
      </c>
      <c r="H1122" s="2">
        <v>2770821</v>
      </c>
    </row>
    <row r="1123" spans="1:8" x14ac:dyDescent="0.25">
      <c r="A1123" t="s">
        <v>105</v>
      </c>
      <c r="B1123">
        <v>2004</v>
      </c>
      <c r="C1123" t="s">
        <v>5</v>
      </c>
      <c r="D1123" t="s">
        <v>27</v>
      </c>
      <c r="E1123">
        <v>9</v>
      </c>
      <c r="F1123" s="4" t="s">
        <v>14</v>
      </c>
      <c r="G1123">
        <v>63</v>
      </c>
      <c r="H1123" s="2">
        <v>5372677</v>
      </c>
    </row>
    <row r="1124" spans="1:8" x14ac:dyDescent="0.25">
      <c r="A1124" t="s">
        <v>106</v>
      </c>
      <c r="B1124">
        <v>2004</v>
      </c>
      <c r="C1124" t="s">
        <v>4</v>
      </c>
      <c r="D1124" t="s">
        <v>27</v>
      </c>
      <c r="E1124">
        <v>9</v>
      </c>
      <c r="F1124" s="4" t="s">
        <v>14</v>
      </c>
      <c r="G1124">
        <v>88</v>
      </c>
      <c r="H1124" s="2">
        <v>5078223</v>
      </c>
    </row>
    <row r="1125" spans="1:8" x14ac:dyDescent="0.25">
      <c r="A1125" t="s">
        <v>107</v>
      </c>
      <c r="B1125">
        <v>2004</v>
      </c>
      <c r="C1125" t="s">
        <v>3</v>
      </c>
      <c r="D1125" t="s">
        <v>27</v>
      </c>
      <c r="E1125">
        <v>9</v>
      </c>
      <c r="F1125" s="4" t="s">
        <v>14</v>
      </c>
      <c r="G1125">
        <v>198</v>
      </c>
      <c r="H1125" s="2">
        <v>7631406</v>
      </c>
    </row>
    <row r="1126" spans="1:8" x14ac:dyDescent="0.25">
      <c r="A1126" t="s">
        <v>108</v>
      </c>
      <c r="B1126">
        <v>2004</v>
      </c>
      <c r="C1126" t="s">
        <v>2</v>
      </c>
      <c r="D1126" t="s">
        <v>27</v>
      </c>
      <c r="E1126">
        <v>9</v>
      </c>
      <c r="F1126" s="4" t="s">
        <v>14</v>
      </c>
      <c r="G1126">
        <v>320</v>
      </c>
      <c r="H1126" s="2">
        <v>3814359</v>
      </c>
    </row>
    <row r="1127" spans="1:8" x14ac:dyDescent="0.25">
      <c r="A1127" t="s">
        <v>109</v>
      </c>
      <c r="B1127">
        <v>2004</v>
      </c>
      <c r="C1127" t="s">
        <v>1</v>
      </c>
      <c r="D1127" t="s">
        <v>27</v>
      </c>
      <c r="E1127">
        <v>9</v>
      </c>
      <c r="F1127" s="4" t="s">
        <v>14</v>
      </c>
      <c r="G1127">
        <v>274</v>
      </c>
      <c r="H1127" s="2">
        <v>841739</v>
      </c>
    </row>
    <row r="1128" spans="1:8" x14ac:dyDescent="0.25">
      <c r="A1128" t="s">
        <v>110</v>
      </c>
      <c r="B1128">
        <v>2004</v>
      </c>
      <c r="C1128" t="s">
        <v>0</v>
      </c>
      <c r="D1128" t="s">
        <v>27</v>
      </c>
      <c r="E1128">
        <v>9</v>
      </c>
      <c r="F1128" s="4" t="s">
        <v>14</v>
      </c>
      <c r="G1128">
        <v>1244</v>
      </c>
      <c r="H1128" s="2">
        <v>841739</v>
      </c>
    </row>
    <row r="1129" spans="1:8" x14ac:dyDescent="0.25">
      <c r="A1129" t="s">
        <v>111</v>
      </c>
      <c r="B1129">
        <v>2005</v>
      </c>
      <c r="C1129" t="s">
        <v>6</v>
      </c>
      <c r="D1129" t="s">
        <v>27</v>
      </c>
      <c r="E1129">
        <v>9</v>
      </c>
      <c r="F1129" s="4" t="s">
        <v>14</v>
      </c>
      <c r="G1129">
        <v>478</v>
      </c>
      <c r="H1129" s="2">
        <v>2774961</v>
      </c>
    </row>
    <row r="1130" spans="1:8" x14ac:dyDescent="0.25">
      <c r="A1130" t="s">
        <v>112</v>
      </c>
      <c r="B1130">
        <v>2005</v>
      </c>
      <c r="C1130" t="s">
        <v>5</v>
      </c>
      <c r="D1130" t="s">
        <v>27</v>
      </c>
      <c r="E1130">
        <v>9</v>
      </c>
      <c r="F1130" s="4" t="s">
        <v>14</v>
      </c>
      <c r="G1130">
        <v>66</v>
      </c>
      <c r="H1130" s="2">
        <v>5386812</v>
      </c>
    </row>
    <row r="1131" spans="1:8" x14ac:dyDescent="0.25">
      <c r="A1131" t="s">
        <v>113</v>
      </c>
      <c r="B1131">
        <v>2005</v>
      </c>
      <c r="C1131" t="s">
        <v>4</v>
      </c>
      <c r="D1131" t="s">
        <v>27</v>
      </c>
      <c r="E1131">
        <v>9</v>
      </c>
      <c r="F1131" s="4" t="s">
        <v>14</v>
      </c>
      <c r="G1131">
        <v>64</v>
      </c>
      <c r="H1131" s="2">
        <v>5134473</v>
      </c>
    </row>
    <row r="1132" spans="1:8" x14ac:dyDescent="0.25">
      <c r="A1132" t="s">
        <v>114</v>
      </c>
      <c r="B1132">
        <v>2005</v>
      </c>
      <c r="C1132" t="s">
        <v>3</v>
      </c>
      <c r="D1132" t="s">
        <v>27</v>
      </c>
      <c r="E1132">
        <v>9</v>
      </c>
      <c r="F1132" s="4" t="s">
        <v>14</v>
      </c>
      <c r="G1132">
        <v>206</v>
      </c>
      <c r="H1132" s="2">
        <v>7765159</v>
      </c>
    </row>
    <row r="1133" spans="1:8" x14ac:dyDescent="0.25">
      <c r="A1133" t="s">
        <v>115</v>
      </c>
      <c r="B1133">
        <v>2005</v>
      </c>
      <c r="C1133" t="s">
        <v>2</v>
      </c>
      <c r="D1133" t="s">
        <v>27</v>
      </c>
      <c r="E1133">
        <v>9</v>
      </c>
      <c r="F1133" s="4" t="s">
        <v>14</v>
      </c>
      <c r="G1133">
        <v>295</v>
      </c>
      <c r="H1133" s="2">
        <v>3970997</v>
      </c>
    </row>
    <row r="1134" spans="1:8" x14ac:dyDescent="0.25">
      <c r="A1134" t="s">
        <v>116</v>
      </c>
      <c r="B1134">
        <v>2005</v>
      </c>
      <c r="C1134" t="s">
        <v>1</v>
      </c>
      <c r="D1134" t="s">
        <v>27</v>
      </c>
      <c r="E1134">
        <v>9</v>
      </c>
      <c r="F1134" s="4" t="s">
        <v>14</v>
      </c>
      <c r="G1134">
        <v>251</v>
      </c>
      <c r="H1134" s="2">
        <v>866819</v>
      </c>
    </row>
    <row r="1135" spans="1:8" x14ac:dyDescent="0.25">
      <c r="A1135" t="s">
        <v>117</v>
      </c>
      <c r="B1135">
        <v>2005</v>
      </c>
      <c r="C1135" t="s">
        <v>0</v>
      </c>
      <c r="D1135" t="s">
        <v>27</v>
      </c>
      <c r="E1135">
        <v>9</v>
      </c>
      <c r="F1135" s="4" t="s">
        <v>14</v>
      </c>
      <c r="G1135">
        <v>1299</v>
      </c>
      <c r="H1135" s="2">
        <v>866819</v>
      </c>
    </row>
    <row r="1136" spans="1:8" x14ac:dyDescent="0.25">
      <c r="A1136" t="s">
        <v>118</v>
      </c>
      <c r="B1136">
        <v>2006</v>
      </c>
      <c r="C1136" t="s">
        <v>6</v>
      </c>
      <c r="D1136" t="s">
        <v>27</v>
      </c>
      <c r="E1136">
        <v>9</v>
      </c>
      <c r="F1136" s="4" t="s">
        <v>14</v>
      </c>
      <c r="G1136">
        <v>485</v>
      </c>
      <c r="H1136" s="2">
        <v>2777568</v>
      </c>
    </row>
    <row r="1137" spans="1:8" x14ac:dyDescent="0.25">
      <c r="A1137" t="s">
        <v>119</v>
      </c>
      <c r="B1137">
        <v>2006</v>
      </c>
      <c r="C1137" t="s">
        <v>5</v>
      </c>
      <c r="D1137" t="s">
        <v>27</v>
      </c>
      <c r="E1137">
        <v>9</v>
      </c>
      <c r="F1137" s="4" t="s">
        <v>14</v>
      </c>
      <c r="G1137">
        <v>84</v>
      </c>
      <c r="H1137" s="2">
        <v>5407717</v>
      </c>
    </row>
    <row r="1138" spans="1:8" x14ac:dyDescent="0.25">
      <c r="A1138" t="s">
        <v>120</v>
      </c>
      <c r="B1138">
        <v>2006</v>
      </c>
      <c r="C1138" t="s">
        <v>4</v>
      </c>
      <c r="D1138" t="s">
        <v>27</v>
      </c>
      <c r="E1138">
        <v>9</v>
      </c>
      <c r="F1138" s="4" t="s">
        <v>14</v>
      </c>
      <c r="G1138">
        <v>89</v>
      </c>
      <c r="H1138" s="2">
        <v>5178861</v>
      </c>
    </row>
    <row r="1139" spans="1:8" x14ac:dyDescent="0.25">
      <c r="A1139" t="s">
        <v>121</v>
      </c>
      <c r="B1139">
        <v>2006</v>
      </c>
      <c r="C1139" t="s">
        <v>3</v>
      </c>
      <c r="D1139" t="s">
        <v>27</v>
      </c>
      <c r="E1139">
        <v>9</v>
      </c>
      <c r="F1139" s="4" t="s">
        <v>14</v>
      </c>
      <c r="G1139">
        <v>222</v>
      </c>
      <c r="H1139" s="2">
        <v>7897108</v>
      </c>
    </row>
    <row r="1140" spans="1:8" x14ac:dyDescent="0.25">
      <c r="A1140" t="s">
        <v>122</v>
      </c>
      <c r="B1140">
        <v>2006</v>
      </c>
      <c r="C1140" t="s">
        <v>2</v>
      </c>
      <c r="D1140" t="s">
        <v>27</v>
      </c>
      <c r="E1140">
        <v>9</v>
      </c>
      <c r="F1140" s="4" t="s">
        <v>14</v>
      </c>
      <c r="G1140">
        <v>347</v>
      </c>
      <c r="H1140" s="2">
        <v>4136588</v>
      </c>
    </row>
    <row r="1141" spans="1:8" x14ac:dyDescent="0.25">
      <c r="A1141" t="s">
        <v>123</v>
      </c>
      <c r="B1141">
        <v>2006</v>
      </c>
      <c r="C1141" t="s">
        <v>1</v>
      </c>
      <c r="D1141" t="s">
        <v>27</v>
      </c>
      <c r="E1141">
        <v>9</v>
      </c>
      <c r="F1141" s="4" t="s">
        <v>14</v>
      </c>
      <c r="G1141">
        <v>313</v>
      </c>
      <c r="H1141" s="2">
        <v>893794</v>
      </c>
    </row>
    <row r="1142" spans="1:8" x14ac:dyDescent="0.25">
      <c r="A1142" t="s">
        <v>124</v>
      </c>
      <c r="B1142">
        <v>2006</v>
      </c>
      <c r="C1142" t="s">
        <v>0</v>
      </c>
      <c r="D1142" t="s">
        <v>27</v>
      </c>
      <c r="E1142">
        <v>9</v>
      </c>
      <c r="F1142" s="4" t="s">
        <v>14</v>
      </c>
      <c r="G1142">
        <v>1316</v>
      </c>
      <c r="H1142" s="2">
        <v>893794</v>
      </c>
    </row>
    <row r="1143" spans="1:8" x14ac:dyDescent="0.25">
      <c r="A1143" t="s">
        <v>125</v>
      </c>
      <c r="B1143">
        <v>2007</v>
      </c>
      <c r="C1143" t="s">
        <v>6</v>
      </c>
      <c r="D1143" t="s">
        <v>27</v>
      </c>
      <c r="E1143">
        <v>9</v>
      </c>
      <c r="F1143" s="4" t="s">
        <v>14</v>
      </c>
      <c r="G1143">
        <v>505</v>
      </c>
      <c r="H1143" s="2">
        <v>2778731</v>
      </c>
    </row>
    <row r="1144" spans="1:8" x14ac:dyDescent="0.25">
      <c r="A1144" t="s">
        <v>126</v>
      </c>
      <c r="B1144">
        <v>2007</v>
      </c>
      <c r="C1144" t="s">
        <v>5</v>
      </c>
      <c r="D1144" t="s">
        <v>27</v>
      </c>
      <c r="E1144">
        <v>9</v>
      </c>
      <c r="F1144" s="4" t="s">
        <v>14</v>
      </c>
      <c r="G1144">
        <v>84</v>
      </c>
      <c r="H1144" s="2">
        <v>5427910</v>
      </c>
    </row>
    <row r="1145" spans="1:8" x14ac:dyDescent="0.25">
      <c r="A1145" t="s">
        <v>127</v>
      </c>
      <c r="B1145">
        <v>2007</v>
      </c>
      <c r="C1145" t="s">
        <v>4</v>
      </c>
      <c r="D1145" t="s">
        <v>27</v>
      </c>
      <c r="E1145">
        <v>9</v>
      </c>
      <c r="F1145" s="4" t="s">
        <v>14</v>
      </c>
      <c r="G1145">
        <v>57</v>
      </c>
      <c r="H1145" s="2">
        <v>5216537</v>
      </c>
    </row>
    <row r="1146" spans="1:8" x14ac:dyDescent="0.25">
      <c r="A1146" t="s">
        <v>128</v>
      </c>
      <c r="B1146">
        <v>2007</v>
      </c>
      <c r="C1146" t="s">
        <v>3</v>
      </c>
      <c r="D1146" t="s">
        <v>27</v>
      </c>
      <c r="E1146">
        <v>9</v>
      </c>
      <c r="F1146" s="4" t="s">
        <v>14</v>
      </c>
      <c r="G1146">
        <v>218</v>
      </c>
      <c r="H1146" s="2">
        <v>8032843</v>
      </c>
    </row>
    <row r="1147" spans="1:8" x14ac:dyDescent="0.25">
      <c r="A1147" t="s">
        <v>129</v>
      </c>
      <c r="B1147">
        <v>2007</v>
      </c>
      <c r="C1147" t="s">
        <v>2</v>
      </c>
      <c r="D1147" t="s">
        <v>27</v>
      </c>
      <c r="E1147">
        <v>9</v>
      </c>
      <c r="F1147" s="4" t="s">
        <v>14</v>
      </c>
      <c r="G1147">
        <v>384</v>
      </c>
      <c r="H1147" s="2">
        <v>4307510</v>
      </c>
    </row>
    <row r="1148" spans="1:8" x14ac:dyDescent="0.25">
      <c r="A1148" t="s">
        <v>130</v>
      </c>
      <c r="B1148">
        <v>2007</v>
      </c>
      <c r="C1148" t="s">
        <v>1</v>
      </c>
      <c r="D1148" t="s">
        <v>27</v>
      </c>
      <c r="E1148">
        <v>9</v>
      </c>
      <c r="F1148" s="4" t="s">
        <v>14</v>
      </c>
      <c r="G1148">
        <v>334</v>
      </c>
      <c r="H1148" s="2">
        <v>922773</v>
      </c>
    </row>
    <row r="1149" spans="1:8" x14ac:dyDescent="0.25">
      <c r="A1149" t="s">
        <v>131</v>
      </c>
      <c r="B1149">
        <v>2007</v>
      </c>
      <c r="C1149" t="s">
        <v>0</v>
      </c>
      <c r="D1149" t="s">
        <v>27</v>
      </c>
      <c r="E1149">
        <v>9</v>
      </c>
      <c r="F1149" s="4" t="s">
        <v>14</v>
      </c>
      <c r="G1149">
        <v>1483</v>
      </c>
      <c r="H1149" s="2">
        <v>922773</v>
      </c>
    </row>
    <row r="1150" spans="1:8" x14ac:dyDescent="0.25">
      <c r="A1150" t="s">
        <v>132</v>
      </c>
      <c r="B1150">
        <v>2008</v>
      </c>
      <c r="C1150" t="s">
        <v>6</v>
      </c>
      <c r="D1150" t="s">
        <v>27</v>
      </c>
      <c r="E1150">
        <v>9</v>
      </c>
      <c r="F1150" s="4" t="s">
        <v>14</v>
      </c>
      <c r="G1150">
        <v>473</v>
      </c>
      <c r="H1150" s="2">
        <v>2778239</v>
      </c>
    </row>
    <row r="1151" spans="1:8" x14ac:dyDescent="0.25">
      <c r="A1151" t="s">
        <v>133</v>
      </c>
      <c r="B1151">
        <v>2008</v>
      </c>
      <c r="C1151" t="s">
        <v>5</v>
      </c>
      <c r="D1151" t="s">
        <v>27</v>
      </c>
      <c r="E1151">
        <v>9</v>
      </c>
      <c r="F1151" s="4" t="s">
        <v>14</v>
      </c>
      <c r="G1151">
        <v>65</v>
      </c>
      <c r="H1151" s="2">
        <v>5448390</v>
      </c>
    </row>
    <row r="1152" spans="1:8" x14ac:dyDescent="0.25">
      <c r="A1152" t="s">
        <v>134</v>
      </c>
      <c r="B1152">
        <v>2008</v>
      </c>
      <c r="C1152" t="s">
        <v>4</v>
      </c>
      <c r="D1152" t="s">
        <v>27</v>
      </c>
      <c r="E1152">
        <v>9</v>
      </c>
      <c r="F1152" s="4" t="s">
        <v>14</v>
      </c>
      <c r="G1152">
        <v>75</v>
      </c>
      <c r="H1152" s="2">
        <v>5246997</v>
      </c>
    </row>
    <row r="1153" spans="1:8" x14ac:dyDescent="0.25">
      <c r="A1153" t="s">
        <v>135</v>
      </c>
      <c r="B1153">
        <v>2008</v>
      </c>
      <c r="C1153" t="s">
        <v>3</v>
      </c>
      <c r="D1153" t="s">
        <v>27</v>
      </c>
      <c r="E1153">
        <v>9</v>
      </c>
      <c r="F1153" s="4" t="s">
        <v>14</v>
      </c>
      <c r="G1153">
        <v>237</v>
      </c>
      <c r="H1153" s="2">
        <v>8172306</v>
      </c>
    </row>
    <row r="1154" spans="1:8" x14ac:dyDescent="0.25">
      <c r="A1154" t="s">
        <v>136</v>
      </c>
      <c r="B1154">
        <v>2008</v>
      </c>
      <c r="C1154" t="s">
        <v>2</v>
      </c>
      <c r="D1154" t="s">
        <v>27</v>
      </c>
      <c r="E1154">
        <v>9</v>
      </c>
      <c r="F1154" s="4" t="s">
        <v>14</v>
      </c>
      <c r="G1154">
        <v>365</v>
      </c>
      <c r="H1154" s="2">
        <v>4483302</v>
      </c>
    </row>
    <row r="1155" spans="1:8" x14ac:dyDescent="0.25">
      <c r="A1155" t="s">
        <v>137</v>
      </c>
      <c r="B1155">
        <v>2008</v>
      </c>
      <c r="C1155" t="s">
        <v>1</v>
      </c>
      <c r="D1155" t="s">
        <v>27</v>
      </c>
      <c r="E1155">
        <v>9</v>
      </c>
      <c r="F1155" s="4" t="s">
        <v>14</v>
      </c>
      <c r="G1155">
        <v>307</v>
      </c>
      <c r="H1155" s="2">
        <v>953869</v>
      </c>
    </row>
    <row r="1156" spans="1:8" x14ac:dyDescent="0.25">
      <c r="A1156" t="s">
        <v>138</v>
      </c>
      <c r="B1156">
        <v>2008</v>
      </c>
      <c r="C1156" t="s">
        <v>0</v>
      </c>
      <c r="D1156" t="s">
        <v>27</v>
      </c>
      <c r="E1156">
        <v>9</v>
      </c>
      <c r="F1156" s="4" t="s">
        <v>14</v>
      </c>
      <c r="G1156">
        <v>1614</v>
      </c>
      <c r="H1156" s="2">
        <v>953869</v>
      </c>
    </row>
    <row r="1157" spans="1:8" x14ac:dyDescent="0.25">
      <c r="A1157" t="s">
        <v>139</v>
      </c>
      <c r="B1157">
        <v>2009</v>
      </c>
      <c r="C1157" t="s">
        <v>6</v>
      </c>
      <c r="D1157" t="s">
        <v>27</v>
      </c>
      <c r="E1157">
        <v>9</v>
      </c>
      <c r="F1157" s="4" t="s">
        <v>14</v>
      </c>
      <c r="G1157">
        <v>493</v>
      </c>
      <c r="H1157" s="2">
        <v>2775920</v>
      </c>
    </row>
    <row r="1158" spans="1:8" x14ac:dyDescent="0.25">
      <c r="A1158" t="s">
        <v>140</v>
      </c>
      <c r="B1158">
        <v>2009</v>
      </c>
      <c r="C1158" t="s">
        <v>5</v>
      </c>
      <c r="D1158" t="s">
        <v>27</v>
      </c>
      <c r="E1158">
        <v>9</v>
      </c>
      <c r="F1158" s="4" t="s">
        <v>14</v>
      </c>
      <c r="G1158">
        <v>81</v>
      </c>
      <c r="H1158" s="2">
        <v>5469822</v>
      </c>
    </row>
    <row r="1159" spans="1:8" x14ac:dyDescent="0.25">
      <c r="A1159" t="s">
        <v>141</v>
      </c>
      <c r="B1159">
        <v>2009</v>
      </c>
      <c r="C1159" t="s">
        <v>4</v>
      </c>
      <c r="D1159" t="s">
        <v>27</v>
      </c>
      <c r="E1159">
        <v>9</v>
      </c>
      <c r="F1159" s="4" t="s">
        <v>14</v>
      </c>
      <c r="G1159">
        <v>121</v>
      </c>
      <c r="H1159" s="2">
        <v>5270463</v>
      </c>
    </row>
    <row r="1160" spans="1:8" x14ac:dyDescent="0.25">
      <c r="A1160" t="s">
        <v>142</v>
      </c>
      <c r="B1160">
        <v>2009</v>
      </c>
      <c r="C1160" t="s">
        <v>3</v>
      </c>
      <c r="D1160" t="s">
        <v>27</v>
      </c>
      <c r="E1160">
        <v>9</v>
      </c>
      <c r="F1160" s="4" t="s">
        <v>14</v>
      </c>
      <c r="G1160">
        <v>368</v>
      </c>
      <c r="H1160" s="2">
        <v>8314639</v>
      </c>
    </row>
    <row r="1161" spans="1:8" x14ac:dyDescent="0.25">
      <c r="A1161" t="s">
        <v>143</v>
      </c>
      <c r="B1161">
        <v>2009</v>
      </c>
      <c r="C1161" t="s">
        <v>2</v>
      </c>
      <c r="D1161" t="s">
        <v>27</v>
      </c>
      <c r="E1161">
        <v>9</v>
      </c>
      <c r="F1161" s="4" t="s">
        <v>14</v>
      </c>
      <c r="G1161">
        <v>432</v>
      </c>
      <c r="H1161" s="2">
        <v>4663733</v>
      </c>
    </row>
    <row r="1162" spans="1:8" x14ac:dyDescent="0.25">
      <c r="A1162" t="s">
        <v>144</v>
      </c>
      <c r="B1162">
        <v>2009</v>
      </c>
      <c r="C1162" t="s">
        <v>1</v>
      </c>
      <c r="D1162" t="s">
        <v>27</v>
      </c>
      <c r="E1162">
        <v>9</v>
      </c>
      <c r="F1162" s="4" t="s">
        <v>14</v>
      </c>
      <c r="G1162">
        <v>325</v>
      </c>
      <c r="H1162" s="2">
        <v>987212</v>
      </c>
    </row>
    <row r="1163" spans="1:8" x14ac:dyDescent="0.25">
      <c r="A1163" t="s">
        <v>145</v>
      </c>
      <c r="B1163">
        <v>2009</v>
      </c>
      <c r="C1163" t="s">
        <v>0</v>
      </c>
      <c r="D1163" t="s">
        <v>27</v>
      </c>
      <c r="E1163">
        <v>9</v>
      </c>
      <c r="F1163" s="4" t="s">
        <v>14</v>
      </c>
      <c r="G1163">
        <v>1556</v>
      </c>
      <c r="H1163" s="2">
        <v>987212</v>
      </c>
    </row>
    <row r="1164" spans="1:8" x14ac:dyDescent="0.25">
      <c r="A1164" t="s">
        <v>146</v>
      </c>
      <c r="B1164">
        <v>2010</v>
      </c>
      <c r="C1164" t="s">
        <v>6</v>
      </c>
      <c r="D1164" t="s">
        <v>27</v>
      </c>
      <c r="E1164">
        <v>9</v>
      </c>
      <c r="F1164" s="4" t="s">
        <v>14</v>
      </c>
      <c r="G1164">
        <v>463</v>
      </c>
      <c r="H1164" s="2">
        <v>2771760</v>
      </c>
    </row>
    <row r="1165" spans="1:8" x14ac:dyDescent="0.25">
      <c r="A1165" t="s">
        <v>147</v>
      </c>
      <c r="B1165">
        <v>2010</v>
      </c>
      <c r="C1165" t="s">
        <v>5</v>
      </c>
      <c r="D1165" t="s">
        <v>27</v>
      </c>
      <c r="E1165">
        <v>9</v>
      </c>
      <c r="F1165" s="4" t="s">
        <v>14</v>
      </c>
      <c r="G1165">
        <v>77</v>
      </c>
      <c r="H1165" s="2">
        <v>5492408</v>
      </c>
    </row>
    <row r="1166" spans="1:8" x14ac:dyDescent="0.25">
      <c r="A1166" t="s">
        <v>148</v>
      </c>
      <c r="B1166">
        <v>2010</v>
      </c>
      <c r="C1166" t="s">
        <v>4</v>
      </c>
      <c r="D1166" t="s">
        <v>27</v>
      </c>
      <c r="E1166">
        <v>9</v>
      </c>
      <c r="F1166" s="4" t="s">
        <v>14</v>
      </c>
      <c r="G1166">
        <v>93</v>
      </c>
      <c r="H1166" s="2">
        <v>5286720</v>
      </c>
    </row>
    <row r="1167" spans="1:8" x14ac:dyDescent="0.25">
      <c r="A1167" t="s">
        <v>149</v>
      </c>
      <c r="B1167">
        <v>2010</v>
      </c>
      <c r="C1167" t="s">
        <v>3</v>
      </c>
      <c r="D1167" t="s">
        <v>27</v>
      </c>
      <c r="E1167">
        <v>9</v>
      </c>
      <c r="F1167" s="4" t="s">
        <v>14</v>
      </c>
      <c r="G1167">
        <v>256</v>
      </c>
      <c r="H1167" s="2">
        <v>8458444</v>
      </c>
    </row>
    <row r="1168" spans="1:8" x14ac:dyDescent="0.25">
      <c r="A1168" t="s">
        <v>150</v>
      </c>
      <c r="B1168">
        <v>2010</v>
      </c>
      <c r="C1168" t="s">
        <v>2</v>
      </c>
      <c r="D1168" t="s">
        <v>27</v>
      </c>
      <c r="E1168">
        <v>9</v>
      </c>
      <c r="F1168" s="4" t="s">
        <v>14</v>
      </c>
      <c r="G1168">
        <v>414</v>
      </c>
      <c r="H1168" s="2">
        <v>4849717</v>
      </c>
    </row>
    <row r="1169" spans="1:8" x14ac:dyDescent="0.25">
      <c r="A1169" t="s">
        <v>151</v>
      </c>
      <c r="B1169">
        <v>2010</v>
      </c>
      <c r="C1169" t="s">
        <v>1</v>
      </c>
      <c r="D1169" t="s">
        <v>27</v>
      </c>
      <c r="E1169">
        <v>9</v>
      </c>
      <c r="F1169" s="4" t="s">
        <v>14</v>
      </c>
      <c r="G1169">
        <v>379</v>
      </c>
      <c r="H1169" s="2">
        <v>1022974</v>
      </c>
    </row>
    <row r="1170" spans="1:8" x14ac:dyDescent="0.25">
      <c r="A1170" t="s">
        <v>152</v>
      </c>
      <c r="B1170">
        <v>2010</v>
      </c>
      <c r="C1170" t="s">
        <v>0</v>
      </c>
      <c r="D1170" t="s">
        <v>27</v>
      </c>
      <c r="E1170">
        <v>9</v>
      </c>
      <c r="F1170" s="4" t="s">
        <v>14</v>
      </c>
      <c r="G1170">
        <v>1911</v>
      </c>
      <c r="H1170" s="2">
        <v>1022974</v>
      </c>
    </row>
    <row r="1171" spans="1:8" x14ac:dyDescent="0.25">
      <c r="A1171" t="s">
        <v>153</v>
      </c>
      <c r="B1171">
        <v>2011</v>
      </c>
      <c r="C1171" t="s">
        <v>6</v>
      </c>
      <c r="D1171" t="s">
        <v>27</v>
      </c>
      <c r="E1171">
        <v>9</v>
      </c>
      <c r="F1171" s="4" t="s">
        <v>14</v>
      </c>
      <c r="G1171">
        <v>446</v>
      </c>
      <c r="H1171" s="2">
        <v>2765898</v>
      </c>
    </row>
    <row r="1172" spans="1:8" x14ac:dyDescent="0.25">
      <c r="A1172" t="s">
        <v>154</v>
      </c>
      <c r="B1172">
        <v>2011</v>
      </c>
      <c r="C1172" t="s">
        <v>5</v>
      </c>
      <c r="D1172" t="s">
        <v>27</v>
      </c>
      <c r="E1172">
        <v>9</v>
      </c>
      <c r="F1172" s="4" t="s">
        <v>14</v>
      </c>
      <c r="G1172">
        <v>71</v>
      </c>
      <c r="H1172" s="2">
        <v>5516288</v>
      </c>
    </row>
    <row r="1173" spans="1:8" x14ac:dyDescent="0.25">
      <c r="A1173" t="s">
        <v>155</v>
      </c>
      <c r="B1173">
        <v>2011</v>
      </c>
      <c r="C1173" t="s">
        <v>4</v>
      </c>
      <c r="D1173" t="s">
        <v>27</v>
      </c>
      <c r="E1173">
        <v>9</v>
      </c>
      <c r="F1173" s="4" t="s">
        <v>14</v>
      </c>
      <c r="G1173">
        <v>100</v>
      </c>
      <c r="H1173" s="2">
        <v>5296319</v>
      </c>
    </row>
    <row r="1174" spans="1:8" x14ac:dyDescent="0.25">
      <c r="A1174" t="s">
        <v>156</v>
      </c>
      <c r="B1174">
        <v>2011</v>
      </c>
      <c r="C1174" t="s">
        <v>3</v>
      </c>
      <c r="D1174" t="s">
        <v>27</v>
      </c>
      <c r="E1174">
        <v>9</v>
      </c>
      <c r="F1174" s="4" t="s">
        <v>14</v>
      </c>
      <c r="G1174">
        <v>277</v>
      </c>
      <c r="H1174" s="2">
        <v>8602515</v>
      </c>
    </row>
    <row r="1175" spans="1:8" x14ac:dyDescent="0.25">
      <c r="A1175" t="s">
        <v>157</v>
      </c>
      <c r="B1175">
        <v>2011</v>
      </c>
      <c r="C1175" t="s">
        <v>2</v>
      </c>
      <c r="D1175" t="s">
        <v>27</v>
      </c>
      <c r="E1175">
        <v>9</v>
      </c>
      <c r="F1175" s="4" t="s">
        <v>14</v>
      </c>
      <c r="G1175">
        <v>487</v>
      </c>
      <c r="H1175" s="2">
        <v>5041154</v>
      </c>
    </row>
    <row r="1176" spans="1:8" x14ac:dyDescent="0.25">
      <c r="A1176" t="s">
        <v>158</v>
      </c>
      <c r="B1176">
        <v>2011</v>
      </c>
      <c r="C1176" t="s">
        <v>1</v>
      </c>
      <c r="D1176" t="s">
        <v>27</v>
      </c>
      <c r="E1176">
        <v>9</v>
      </c>
      <c r="F1176" s="4" t="s">
        <v>14</v>
      </c>
      <c r="G1176">
        <v>417</v>
      </c>
      <c r="H1176" s="2">
        <v>1061340</v>
      </c>
    </row>
    <row r="1177" spans="1:8" x14ac:dyDescent="0.25">
      <c r="A1177" t="s">
        <v>159</v>
      </c>
      <c r="B1177">
        <v>2011</v>
      </c>
      <c r="C1177" t="s">
        <v>0</v>
      </c>
      <c r="D1177" t="s">
        <v>27</v>
      </c>
      <c r="E1177">
        <v>9</v>
      </c>
      <c r="F1177" s="4" t="s">
        <v>14</v>
      </c>
      <c r="G1177">
        <v>2030</v>
      </c>
      <c r="H1177" s="2">
        <v>1061340</v>
      </c>
    </row>
    <row r="1178" spans="1:8" x14ac:dyDescent="0.25">
      <c r="A1178" t="s">
        <v>160</v>
      </c>
      <c r="B1178">
        <v>2012</v>
      </c>
      <c r="C1178" t="s">
        <v>6</v>
      </c>
      <c r="D1178" t="s">
        <v>27</v>
      </c>
      <c r="E1178">
        <v>9</v>
      </c>
      <c r="F1178" s="4" t="s">
        <v>14</v>
      </c>
      <c r="G1178">
        <v>446</v>
      </c>
      <c r="H1178" s="2">
        <v>2759356.4495101599</v>
      </c>
    </row>
    <row r="1179" spans="1:8" x14ac:dyDescent="0.25">
      <c r="A1179" t="s">
        <v>161</v>
      </c>
      <c r="B1179">
        <v>2012</v>
      </c>
      <c r="C1179" t="s">
        <v>5</v>
      </c>
      <c r="D1179" t="s">
        <v>27</v>
      </c>
      <c r="E1179">
        <v>9</v>
      </c>
      <c r="F1179" s="4" t="s">
        <v>14</v>
      </c>
      <c r="G1179">
        <v>58</v>
      </c>
      <c r="H1179" s="2">
        <v>5537428.7927720398</v>
      </c>
    </row>
    <row r="1180" spans="1:8" x14ac:dyDescent="0.25">
      <c r="A1180" t="s">
        <v>162</v>
      </c>
      <c r="B1180">
        <v>2012</v>
      </c>
      <c r="C1180" t="s">
        <v>4</v>
      </c>
      <c r="D1180" t="s">
        <v>27</v>
      </c>
      <c r="E1180">
        <v>9</v>
      </c>
      <c r="F1180" s="4" t="s">
        <v>14</v>
      </c>
      <c r="G1180">
        <v>80</v>
      </c>
      <c r="H1180" s="2">
        <v>5307779.7280284902</v>
      </c>
    </row>
    <row r="1181" spans="1:8" x14ac:dyDescent="0.25">
      <c r="A1181" t="s">
        <v>163</v>
      </c>
      <c r="B1181">
        <v>2012</v>
      </c>
      <c r="C1181" t="s">
        <v>3</v>
      </c>
      <c r="D1181" t="s">
        <v>27</v>
      </c>
      <c r="E1181">
        <v>9</v>
      </c>
      <c r="F1181" s="4" t="s">
        <v>14</v>
      </c>
      <c r="G1181">
        <v>247</v>
      </c>
      <c r="H1181" s="2">
        <v>8748082.6996606905</v>
      </c>
    </row>
    <row r="1182" spans="1:8" x14ac:dyDescent="0.25">
      <c r="A1182" t="s">
        <v>164</v>
      </c>
      <c r="B1182">
        <v>2012</v>
      </c>
      <c r="C1182" t="s">
        <v>2</v>
      </c>
      <c r="D1182" t="s">
        <v>27</v>
      </c>
      <c r="E1182">
        <v>9</v>
      </c>
      <c r="F1182" s="4" t="s">
        <v>14</v>
      </c>
      <c r="G1182">
        <v>525</v>
      </c>
      <c r="H1182" s="2">
        <v>5230482.0778962998</v>
      </c>
    </row>
    <row r="1183" spans="1:8" x14ac:dyDescent="0.25">
      <c r="A1183" t="s">
        <v>165</v>
      </c>
      <c r="B1183">
        <v>2012</v>
      </c>
      <c r="C1183" t="s">
        <v>1</v>
      </c>
      <c r="D1183" t="s">
        <v>27</v>
      </c>
      <c r="E1183">
        <v>9</v>
      </c>
      <c r="F1183" s="4" t="s">
        <v>14</v>
      </c>
      <c r="G1183">
        <v>436</v>
      </c>
      <c r="H1183" s="2">
        <v>1102796.7939262099</v>
      </c>
    </row>
    <row r="1184" spans="1:8" x14ac:dyDescent="0.25">
      <c r="A1184" t="s">
        <v>166</v>
      </c>
      <c r="B1184">
        <v>2012</v>
      </c>
      <c r="C1184" t="s">
        <v>0</v>
      </c>
      <c r="D1184" t="s">
        <v>27</v>
      </c>
      <c r="E1184">
        <v>9</v>
      </c>
      <c r="F1184" s="4" t="s">
        <v>14</v>
      </c>
      <c r="G1184">
        <v>1987</v>
      </c>
      <c r="H1184" s="2">
        <v>1102796.7939262099</v>
      </c>
    </row>
    <row r="1185" spans="1:8" x14ac:dyDescent="0.25">
      <c r="A1185" t="s">
        <v>167</v>
      </c>
      <c r="B1185">
        <v>2013</v>
      </c>
      <c r="C1185" t="s">
        <v>6</v>
      </c>
      <c r="D1185" t="s">
        <v>27</v>
      </c>
      <c r="E1185">
        <v>9</v>
      </c>
      <c r="F1185" s="4" t="s">
        <v>14</v>
      </c>
      <c r="G1185">
        <v>487</v>
      </c>
      <c r="H1185" s="2">
        <v>2752322.19750119</v>
      </c>
    </row>
    <row r="1186" spans="1:8" x14ac:dyDescent="0.25">
      <c r="A1186" t="s">
        <v>168</v>
      </c>
      <c r="B1186">
        <v>2013</v>
      </c>
      <c r="C1186" t="s">
        <v>5</v>
      </c>
      <c r="D1186" t="s">
        <v>27</v>
      </c>
      <c r="E1186">
        <v>9</v>
      </c>
      <c r="F1186" s="4" t="s">
        <v>14</v>
      </c>
      <c r="G1186">
        <v>87</v>
      </c>
      <c r="H1186" s="2">
        <v>5554323.1251711203</v>
      </c>
    </row>
    <row r="1187" spans="1:8" x14ac:dyDescent="0.25">
      <c r="A1187" t="s">
        <v>169</v>
      </c>
      <c r="B1187">
        <v>2013</v>
      </c>
      <c r="C1187" t="s">
        <v>4</v>
      </c>
      <c r="D1187" t="s">
        <v>27</v>
      </c>
      <c r="E1187">
        <v>9</v>
      </c>
      <c r="F1187" s="4" t="s">
        <v>14</v>
      </c>
      <c r="G1187">
        <v>107</v>
      </c>
      <c r="H1187" s="2">
        <v>5323364.8480997998</v>
      </c>
    </row>
    <row r="1188" spans="1:8" x14ac:dyDescent="0.25">
      <c r="A1188" t="s">
        <v>170</v>
      </c>
      <c r="B1188">
        <v>2013</v>
      </c>
      <c r="C1188" t="s">
        <v>3</v>
      </c>
      <c r="D1188" t="s">
        <v>27</v>
      </c>
      <c r="E1188">
        <v>9</v>
      </c>
      <c r="F1188" s="4" t="s">
        <v>14</v>
      </c>
      <c r="G1188">
        <v>456</v>
      </c>
      <c r="H1188" s="2">
        <v>8893718.1904660594</v>
      </c>
    </row>
    <row r="1189" spans="1:8" x14ac:dyDescent="0.25">
      <c r="A1189" t="s">
        <v>171</v>
      </c>
      <c r="B1189">
        <v>2013</v>
      </c>
      <c r="C1189" t="s">
        <v>2</v>
      </c>
      <c r="D1189" t="s">
        <v>27</v>
      </c>
      <c r="E1189">
        <v>9</v>
      </c>
      <c r="F1189" s="4" t="s">
        <v>14</v>
      </c>
      <c r="G1189">
        <v>781</v>
      </c>
      <c r="H1189" s="2">
        <v>5415783.9591287402</v>
      </c>
    </row>
    <row r="1190" spans="1:8" x14ac:dyDescent="0.25">
      <c r="A1190" t="s">
        <v>172</v>
      </c>
      <c r="B1190">
        <v>2013</v>
      </c>
      <c r="C1190" t="s">
        <v>1</v>
      </c>
      <c r="D1190" t="s">
        <v>27</v>
      </c>
      <c r="E1190">
        <v>9</v>
      </c>
      <c r="F1190" s="4" t="s">
        <v>14</v>
      </c>
      <c r="G1190">
        <v>520</v>
      </c>
      <c r="H1190" s="2">
        <v>1147296.6505007599</v>
      </c>
    </row>
    <row r="1191" spans="1:8" x14ac:dyDescent="0.25">
      <c r="A1191" t="s">
        <v>173</v>
      </c>
      <c r="B1191">
        <v>2013</v>
      </c>
      <c r="C1191" t="s">
        <v>0</v>
      </c>
      <c r="D1191" t="s">
        <v>27</v>
      </c>
      <c r="E1191">
        <v>9</v>
      </c>
      <c r="F1191" s="4" t="s">
        <v>14</v>
      </c>
      <c r="G1191">
        <v>2115</v>
      </c>
      <c r="H1191" s="2">
        <v>1147296.6505007599</v>
      </c>
    </row>
    <row r="1192" spans="1:8" x14ac:dyDescent="0.25">
      <c r="A1192" t="s">
        <v>174</v>
      </c>
      <c r="B1192">
        <v>2014</v>
      </c>
      <c r="C1192" t="s">
        <v>6</v>
      </c>
      <c r="D1192" t="s">
        <v>27</v>
      </c>
      <c r="E1192">
        <v>9</v>
      </c>
      <c r="F1192" s="4" t="s">
        <v>14</v>
      </c>
      <c r="G1192">
        <v>455</v>
      </c>
      <c r="H1192" s="2">
        <v>2744697</v>
      </c>
    </row>
    <row r="1193" spans="1:8" x14ac:dyDescent="0.25">
      <c r="A1193" t="s">
        <v>175</v>
      </c>
      <c r="B1193">
        <v>2014</v>
      </c>
      <c r="C1193" t="s">
        <v>5</v>
      </c>
      <c r="D1193" t="s">
        <v>27</v>
      </c>
      <c r="E1193">
        <v>9</v>
      </c>
      <c r="F1193" s="4" t="s">
        <v>14</v>
      </c>
      <c r="G1193">
        <v>82</v>
      </c>
      <c r="H1193" s="2">
        <v>5566437</v>
      </c>
    </row>
    <row r="1194" spans="1:8" x14ac:dyDescent="0.25">
      <c r="A1194" t="s">
        <v>176</v>
      </c>
      <c r="B1194">
        <v>2014</v>
      </c>
      <c r="C1194" t="s">
        <v>4</v>
      </c>
      <c r="D1194" t="s">
        <v>27</v>
      </c>
      <c r="E1194">
        <v>9</v>
      </c>
      <c r="F1194" s="4" t="s">
        <v>14</v>
      </c>
      <c r="G1194">
        <v>95</v>
      </c>
      <c r="H1194" s="2">
        <v>5343109</v>
      </c>
    </row>
    <row r="1195" spans="1:8" x14ac:dyDescent="0.25">
      <c r="A1195" t="s">
        <v>177</v>
      </c>
      <c r="B1195">
        <v>2014</v>
      </c>
      <c r="C1195" t="s">
        <v>3</v>
      </c>
      <c r="D1195" t="s">
        <v>27</v>
      </c>
      <c r="E1195">
        <v>9</v>
      </c>
      <c r="F1195" s="4" t="s">
        <v>14</v>
      </c>
      <c r="G1195">
        <v>293</v>
      </c>
      <c r="H1195" s="2">
        <v>9037113</v>
      </c>
    </row>
    <row r="1196" spans="1:8" x14ac:dyDescent="0.25">
      <c r="A1196" t="s">
        <v>178</v>
      </c>
      <c r="B1196">
        <v>2014</v>
      </c>
      <c r="C1196" t="s">
        <v>2</v>
      </c>
      <c r="D1196" t="s">
        <v>27</v>
      </c>
      <c r="E1196">
        <v>9</v>
      </c>
      <c r="F1196" s="4" t="s">
        <v>14</v>
      </c>
      <c r="G1196">
        <v>662</v>
      </c>
      <c r="H1196" s="2">
        <v>5597164</v>
      </c>
    </row>
    <row r="1197" spans="1:8" x14ac:dyDescent="0.25">
      <c r="A1197" t="s">
        <v>179</v>
      </c>
      <c r="B1197">
        <v>2014</v>
      </c>
      <c r="C1197" t="s">
        <v>1</v>
      </c>
      <c r="D1197" t="s">
        <v>27</v>
      </c>
      <c r="E1197">
        <v>9</v>
      </c>
      <c r="F1197" s="4" t="s">
        <v>14</v>
      </c>
      <c r="G1197">
        <v>544</v>
      </c>
      <c r="H1197" s="2">
        <v>1194627</v>
      </c>
    </row>
    <row r="1198" spans="1:8" x14ac:dyDescent="0.25">
      <c r="A1198" t="s">
        <v>180</v>
      </c>
      <c r="B1198">
        <v>2014</v>
      </c>
      <c r="C1198" t="s">
        <v>0</v>
      </c>
      <c r="D1198" t="s">
        <v>27</v>
      </c>
      <c r="E1198">
        <v>9</v>
      </c>
      <c r="F1198" s="4" t="s">
        <v>14</v>
      </c>
      <c r="G1198">
        <v>2648</v>
      </c>
      <c r="H1198" s="2">
        <v>1194627</v>
      </c>
    </row>
    <row r="1199" spans="1:8" x14ac:dyDescent="0.25">
      <c r="A1199" t="s">
        <v>48</v>
      </c>
      <c r="B1199">
        <v>1996</v>
      </c>
      <c r="C1199" t="s">
        <v>6</v>
      </c>
      <c r="D1199" t="s">
        <v>27</v>
      </c>
      <c r="E1199">
        <v>10</v>
      </c>
      <c r="F1199" s="4" t="s">
        <v>7</v>
      </c>
      <c r="G1199">
        <v>35</v>
      </c>
      <c r="H1199" s="2">
        <v>2669011.0638103201</v>
      </c>
    </row>
    <row r="1200" spans="1:8" x14ac:dyDescent="0.25">
      <c r="A1200" t="s">
        <v>49</v>
      </c>
      <c r="B1200">
        <v>1996</v>
      </c>
      <c r="C1200" t="s">
        <v>5</v>
      </c>
      <c r="D1200" t="s">
        <v>27</v>
      </c>
      <c r="E1200">
        <v>10</v>
      </c>
      <c r="F1200" s="4" t="s">
        <v>7</v>
      </c>
      <c r="G1200">
        <v>18</v>
      </c>
      <c r="H1200" s="2">
        <v>5336689.2615659405</v>
      </c>
    </row>
    <row r="1201" spans="1:8" x14ac:dyDescent="0.25">
      <c r="A1201" t="s">
        <v>50</v>
      </c>
      <c r="B1201">
        <v>1996</v>
      </c>
      <c r="C1201" t="s">
        <v>4</v>
      </c>
      <c r="D1201" t="s">
        <v>27</v>
      </c>
      <c r="E1201">
        <v>10</v>
      </c>
      <c r="F1201" s="4" t="s">
        <v>7</v>
      </c>
      <c r="G1201">
        <v>34</v>
      </c>
      <c r="H1201" s="2">
        <v>4328734.7335640304</v>
      </c>
    </row>
    <row r="1202" spans="1:8" x14ac:dyDescent="0.25">
      <c r="A1202" t="s">
        <v>51</v>
      </c>
      <c r="B1202">
        <v>1996</v>
      </c>
      <c r="C1202" t="s">
        <v>3</v>
      </c>
      <c r="D1202" t="s">
        <v>27</v>
      </c>
      <c r="E1202">
        <v>10</v>
      </c>
      <c r="F1202" s="4" t="s">
        <v>7</v>
      </c>
      <c r="G1202">
        <v>267</v>
      </c>
      <c r="H1202" s="2">
        <v>6500086.9398599695</v>
      </c>
    </row>
    <row r="1203" spans="1:8" x14ac:dyDescent="0.25">
      <c r="A1203" t="s">
        <v>52</v>
      </c>
      <c r="B1203">
        <v>1996</v>
      </c>
      <c r="C1203" t="s">
        <v>2</v>
      </c>
      <c r="D1203" t="s">
        <v>27</v>
      </c>
      <c r="E1203">
        <v>10</v>
      </c>
      <c r="F1203" s="4" t="s">
        <v>7</v>
      </c>
      <c r="G1203">
        <v>791</v>
      </c>
      <c r="H1203" s="2">
        <v>2862216.4853526298</v>
      </c>
    </row>
    <row r="1204" spans="1:8" x14ac:dyDescent="0.25">
      <c r="A1204" t="s">
        <v>53</v>
      </c>
      <c r="B1204">
        <v>1996</v>
      </c>
      <c r="C1204" t="s">
        <v>1</v>
      </c>
      <c r="D1204" t="s">
        <v>27</v>
      </c>
      <c r="E1204">
        <v>10</v>
      </c>
      <c r="F1204" s="4" t="s">
        <v>7</v>
      </c>
      <c r="G1204">
        <v>406</v>
      </c>
      <c r="H1204" s="2">
        <v>710343.28776711202</v>
      </c>
    </row>
    <row r="1205" spans="1:8" x14ac:dyDescent="0.25">
      <c r="A1205" t="s">
        <v>54</v>
      </c>
      <c r="B1205">
        <v>1996</v>
      </c>
      <c r="C1205" t="s">
        <v>0</v>
      </c>
      <c r="D1205" t="s">
        <v>27</v>
      </c>
      <c r="E1205">
        <v>10</v>
      </c>
      <c r="F1205" s="4" t="s">
        <v>7</v>
      </c>
      <c r="G1205">
        <v>279</v>
      </c>
      <c r="H1205" s="2">
        <v>710343.28776711202</v>
      </c>
    </row>
    <row r="1206" spans="1:8" x14ac:dyDescent="0.25">
      <c r="A1206" t="s">
        <v>55</v>
      </c>
      <c r="B1206">
        <v>1997</v>
      </c>
      <c r="C1206" t="s">
        <v>6</v>
      </c>
      <c r="D1206" t="s">
        <v>27</v>
      </c>
      <c r="E1206">
        <v>10</v>
      </c>
      <c r="F1206" s="4" t="s">
        <v>7</v>
      </c>
      <c r="G1206">
        <v>34</v>
      </c>
      <c r="H1206" s="2">
        <v>2689637.03828619</v>
      </c>
    </row>
    <row r="1207" spans="1:8" x14ac:dyDescent="0.25">
      <c r="A1207" t="s">
        <v>56</v>
      </c>
      <c r="B1207">
        <v>1997</v>
      </c>
      <c r="C1207" t="s">
        <v>5</v>
      </c>
      <c r="D1207" t="s">
        <v>27</v>
      </c>
      <c r="E1207">
        <v>10</v>
      </c>
      <c r="F1207" s="4" t="s">
        <v>7</v>
      </c>
      <c r="G1207">
        <v>19</v>
      </c>
      <c r="H1207" s="2">
        <v>5352218.1569395596</v>
      </c>
    </row>
    <row r="1208" spans="1:8" x14ac:dyDescent="0.25">
      <c r="A1208" t="s">
        <v>57</v>
      </c>
      <c r="B1208">
        <v>1997</v>
      </c>
      <c r="C1208" t="s">
        <v>4</v>
      </c>
      <c r="D1208" t="s">
        <v>27</v>
      </c>
      <c r="E1208">
        <v>10</v>
      </c>
      <c r="F1208" s="4" t="s">
        <v>7</v>
      </c>
      <c r="G1208">
        <v>25</v>
      </c>
      <c r="H1208" s="2">
        <v>4441903.2401384199</v>
      </c>
    </row>
    <row r="1209" spans="1:8" x14ac:dyDescent="0.25">
      <c r="A1209" t="s">
        <v>58</v>
      </c>
      <c r="B1209">
        <v>1997</v>
      </c>
      <c r="C1209" t="s">
        <v>3</v>
      </c>
      <c r="D1209" t="s">
        <v>27</v>
      </c>
      <c r="E1209">
        <v>10</v>
      </c>
      <c r="F1209" s="4" t="s">
        <v>7</v>
      </c>
      <c r="G1209">
        <v>262</v>
      </c>
      <c r="H1209" s="2">
        <v>6652916.9639159804</v>
      </c>
    </row>
    <row r="1210" spans="1:8" x14ac:dyDescent="0.25">
      <c r="A1210" t="s">
        <v>59</v>
      </c>
      <c r="B1210">
        <v>1997</v>
      </c>
      <c r="C1210" t="s">
        <v>2</v>
      </c>
      <c r="D1210" t="s">
        <v>27</v>
      </c>
      <c r="E1210">
        <v>10</v>
      </c>
      <c r="F1210" s="4" t="s">
        <v>7</v>
      </c>
      <c r="G1210">
        <v>784</v>
      </c>
      <c r="H1210" s="2">
        <v>2950439.89121158</v>
      </c>
    </row>
    <row r="1211" spans="1:8" x14ac:dyDescent="0.25">
      <c r="A1211" t="s">
        <v>60</v>
      </c>
      <c r="B1211">
        <v>1997</v>
      </c>
      <c r="C1211" t="s">
        <v>1</v>
      </c>
      <c r="D1211" t="s">
        <v>27</v>
      </c>
      <c r="E1211">
        <v>10</v>
      </c>
      <c r="F1211" s="4" t="s">
        <v>7</v>
      </c>
      <c r="G1211">
        <v>386</v>
      </c>
      <c r="H1211" s="2">
        <v>717390.37266026705</v>
      </c>
    </row>
    <row r="1212" spans="1:8" x14ac:dyDescent="0.25">
      <c r="A1212" t="s">
        <v>61</v>
      </c>
      <c r="B1212">
        <v>1997</v>
      </c>
      <c r="C1212" t="s">
        <v>0</v>
      </c>
      <c r="D1212" t="s">
        <v>27</v>
      </c>
      <c r="E1212">
        <v>10</v>
      </c>
      <c r="F1212" s="4" t="s">
        <v>7</v>
      </c>
      <c r="G1212">
        <v>291</v>
      </c>
      <c r="H1212" s="2">
        <v>717390.37266026705</v>
      </c>
    </row>
    <row r="1213" spans="1:8" x14ac:dyDescent="0.25">
      <c r="A1213" t="s">
        <v>62</v>
      </c>
      <c r="B1213">
        <v>1998</v>
      </c>
      <c r="C1213" t="s">
        <v>6</v>
      </c>
      <c r="D1213" t="s">
        <v>27</v>
      </c>
      <c r="E1213">
        <v>10</v>
      </c>
      <c r="F1213" s="4" t="s">
        <v>7</v>
      </c>
      <c r="G1213">
        <v>21</v>
      </c>
      <c r="H1213" s="2">
        <v>2707580.5191430999</v>
      </c>
    </row>
    <row r="1214" spans="1:8" x14ac:dyDescent="0.25">
      <c r="A1214" t="s">
        <v>63</v>
      </c>
      <c r="B1214">
        <v>1998</v>
      </c>
      <c r="C1214" t="s">
        <v>5</v>
      </c>
      <c r="D1214" t="s">
        <v>27</v>
      </c>
      <c r="E1214">
        <v>10</v>
      </c>
      <c r="F1214" s="4" t="s">
        <v>7</v>
      </c>
      <c r="G1214">
        <v>13</v>
      </c>
      <c r="H1214" s="2">
        <v>5360232.5784697803</v>
      </c>
    </row>
    <row r="1215" spans="1:8" x14ac:dyDescent="0.25">
      <c r="A1215" t="s">
        <v>64</v>
      </c>
      <c r="B1215">
        <v>1998</v>
      </c>
      <c r="C1215" t="s">
        <v>4</v>
      </c>
      <c r="D1215" t="s">
        <v>27</v>
      </c>
      <c r="E1215">
        <v>10</v>
      </c>
      <c r="F1215" s="4" t="s">
        <v>7</v>
      </c>
      <c r="G1215">
        <v>23</v>
      </c>
      <c r="H1215" s="2">
        <v>4551586.6200692104</v>
      </c>
    </row>
    <row r="1216" spans="1:8" x14ac:dyDescent="0.25">
      <c r="A1216" t="s">
        <v>65</v>
      </c>
      <c r="B1216">
        <v>1998</v>
      </c>
      <c r="C1216" t="s">
        <v>3</v>
      </c>
      <c r="D1216" t="s">
        <v>27</v>
      </c>
      <c r="E1216">
        <v>10</v>
      </c>
      <c r="F1216" s="4" t="s">
        <v>7</v>
      </c>
      <c r="G1216">
        <v>316</v>
      </c>
      <c r="H1216" s="2">
        <v>6800752.4819579897</v>
      </c>
    </row>
    <row r="1217" spans="1:8" x14ac:dyDescent="0.25">
      <c r="A1217" t="s">
        <v>66</v>
      </c>
      <c r="B1217">
        <v>1998</v>
      </c>
      <c r="C1217" t="s">
        <v>2</v>
      </c>
      <c r="D1217" t="s">
        <v>27</v>
      </c>
      <c r="E1217">
        <v>10</v>
      </c>
      <c r="F1217" s="4" t="s">
        <v>7</v>
      </c>
      <c r="G1217">
        <v>896</v>
      </c>
      <c r="H1217" s="2">
        <v>3048176.4456057898</v>
      </c>
    </row>
    <row r="1218" spans="1:8" x14ac:dyDescent="0.25">
      <c r="A1218" t="s">
        <v>67</v>
      </c>
      <c r="B1218">
        <v>1998</v>
      </c>
      <c r="C1218" t="s">
        <v>1</v>
      </c>
      <c r="D1218" t="s">
        <v>27</v>
      </c>
      <c r="E1218">
        <v>10</v>
      </c>
      <c r="F1218" s="4" t="s">
        <v>7</v>
      </c>
      <c r="G1218">
        <v>398</v>
      </c>
      <c r="H1218" s="2">
        <v>727932.186330133</v>
      </c>
    </row>
    <row r="1219" spans="1:8" x14ac:dyDescent="0.25">
      <c r="A1219" t="s">
        <v>68</v>
      </c>
      <c r="B1219">
        <v>1998</v>
      </c>
      <c r="C1219" t="s">
        <v>0</v>
      </c>
      <c r="D1219" t="s">
        <v>27</v>
      </c>
      <c r="E1219">
        <v>10</v>
      </c>
      <c r="F1219" s="4" t="s">
        <v>7</v>
      </c>
      <c r="G1219">
        <v>287</v>
      </c>
      <c r="H1219" s="2">
        <v>727932.186330133</v>
      </c>
    </row>
    <row r="1220" spans="1:8" x14ac:dyDescent="0.25">
      <c r="A1220" t="s">
        <v>69</v>
      </c>
      <c r="B1220">
        <v>1999</v>
      </c>
      <c r="C1220" t="s">
        <v>6</v>
      </c>
      <c r="D1220" t="s">
        <v>27</v>
      </c>
      <c r="E1220">
        <v>10</v>
      </c>
      <c r="F1220" s="4" t="s">
        <v>7</v>
      </c>
      <c r="G1220">
        <v>21</v>
      </c>
      <c r="H1220" s="2">
        <v>2723058.5063810302</v>
      </c>
    </row>
    <row r="1221" spans="1:8" x14ac:dyDescent="0.25">
      <c r="A1221" t="s">
        <v>70</v>
      </c>
      <c r="B1221">
        <v>1999</v>
      </c>
      <c r="C1221" t="s">
        <v>5</v>
      </c>
      <c r="D1221" t="s">
        <v>27</v>
      </c>
      <c r="E1221">
        <v>10</v>
      </c>
      <c r="F1221" s="4" t="s">
        <v>7</v>
      </c>
      <c r="G1221">
        <v>15</v>
      </c>
      <c r="H1221" s="2">
        <v>5362927.5261565903</v>
      </c>
    </row>
    <row r="1222" spans="1:8" x14ac:dyDescent="0.25">
      <c r="A1222" t="s">
        <v>71</v>
      </c>
      <c r="B1222">
        <v>1999</v>
      </c>
      <c r="C1222" t="s">
        <v>4</v>
      </c>
      <c r="D1222" t="s">
        <v>27</v>
      </c>
      <c r="E1222">
        <v>10</v>
      </c>
      <c r="F1222" s="4" t="s">
        <v>7</v>
      </c>
      <c r="G1222">
        <v>30</v>
      </c>
      <c r="H1222" s="2">
        <v>4656740.8733564001</v>
      </c>
    </row>
    <row r="1223" spans="1:8" x14ac:dyDescent="0.25">
      <c r="A1223" t="s">
        <v>72</v>
      </c>
      <c r="B1223">
        <v>1999</v>
      </c>
      <c r="C1223" t="s">
        <v>3</v>
      </c>
      <c r="D1223" t="s">
        <v>27</v>
      </c>
      <c r="E1223">
        <v>10</v>
      </c>
      <c r="F1223" s="4" t="s">
        <v>7</v>
      </c>
      <c r="G1223">
        <v>314</v>
      </c>
      <c r="H1223" s="2">
        <v>6944474.4939860003</v>
      </c>
    </row>
    <row r="1224" spans="1:8" x14ac:dyDescent="0.25">
      <c r="A1224" t="s">
        <v>73</v>
      </c>
      <c r="B1224">
        <v>1999</v>
      </c>
      <c r="C1224" t="s">
        <v>2</v>
      </c>
      <c r="D1224" t="s">
        <v>27</v>
      </c>
      <c r="E1224">
        <v>10</v>
      </c>
      <c r="F1224" s="4" t="s">
        <v>7</v>
      </c>
      <c r="G1224">
        <v>919</v>
      </c>
      <c r="H1224" s="2">
        <v>3155060.14853526</v>
      </c>
    </row>
    <row r="1225" spans="1:8" x14ac:dyDescent="0.25">
      <c r="A1225" t="s">
        <v>74</v>
      </c>
      <c r="B1225">
        <v>1999</v>
      </c>
      <c r="C1225" t="s">
        <v>1</v>
      </c>
      <c r="D1225" t="s">
        <v>27</v>
      </c>
      <c r="E1225">
        <v>10</v>
      </c>
      <c r="F1225" s="4" t="s">
        <v>7</v>
      </c>
      <c r="G1225">
        <v>429</v>
      </c>
      <c r="H1225" s="2">
        <v>741553.72877671104</v>
      </c>
    </row>
    <row r="1226" spans="1:8" x14ac:dyDescent="0.25">
      <c r="A1226" t="s">
        <v>75</v>
      </c>
      <c r="B1226">
        <v>1999</v>
      </c>
      <c r="C1226" t="s">
        <v>0</v>
      </c>
      <c r="D1226" t="s">
        <v>27</v>
      </c>
      <c r="E1226">
        <v>10</v>
      </c>
      <c r="F1226" s="4" t="s">
        <v>7</v>
      </c>
      <c r="G1226">
        <v>285</v>
      </c>
      <c r="H1226" s="2">
        <v>741553.72877671104</v>
      </c>
    </row>
    <row r="1227" spans="1:8" x14ac:dyDescent="0.25">
      <c r="A1227" t="s">
        <v>76</v>
      </c>
      <c r="B1227">
        <v>2000</v>
      </c>
      <c r="C1227" t="s">
        <v>6</v>
      </c>
      <c r="D1227" t="s">
        <v>27</v>
      </c>
      <c r="E1227">
        <v>10</v>
      </c>
      <c r="F1227" s="4" t="s">
        <v>7</v>
      </c>
      <c r="G1227">
        <v>31</v>
      </c>
      <c r="H1227" s="2">
        <v>2736288</v>
      </c>
    </row>
    <row r="1228" spans="1:8" x14ac:dyDescent="0.25">
      <c r="A1228" t="s">
        <v>77</v>
      </c>
      <c r="B1228">
        <v>2000</v>
      </c>
      <c r="C1228" t="s">
        <v>5</v>
      </c>
      <c r="D1228" t="s">
        <v>27</v>
      </c>
      <c r="E1228">
        <v>10</v>
      </c>
      <c r="F1228" s="4" t="s">
        <v>7</v>
      </c>
      <c r="G1228">
        <v>15</v>
      </c>
      <c r="H1228" s="2">
        <v>5362498</v>
      </c>
    </row>
    <row r="1229" spans="1:8" x14ac:dyDescent="0.25">
      <c r="A1229" t="s">
        <v>78</v>
      </c>
      <c r="B1229">
        <v>2000</v>
      </c>
      <c r="C1229" t="s">
        <v>4</v>
      </c>
      <c r="D1229" t="s">
        <v>27</v>
      </c>
      <c r="E1229">
        <v>10</v>
      </c>
      <c r="F1229" s="4" t="s">
        <v>7</v>
      </c>
      <c r="G1229">
        <v>20</v>
      </c>
      <c r="H1229" s="2">
        <v>4756322</v>
      </c>
    </row>
    <row r="1230" spans="1:8" x14ac:dyDescent="0.25">
      <c r="A1230" t="s">
        <v>79</v>
      </c>
      <c r="B1230">
        <v>2000</v>
      </c>
      <c r="C1230" t="s">
        <v>3</v>
      </c>
      <c r="D1230" t="s">
        <v>27</v>
      </c>
      <c r="E1230">
        <v>10</v>
      </c>
      <c r="F1230" s="4" t="s">
        <v>7</v>
      </c>
      <c r="G1230">
        <v>332</v>
      </c>
      <c r="H1230" s="2">
        <v>7084964</v>
      </c>
    </row>
    <row r="1231" spans="1:8" x14ac:dyDescent="0.25">
      <c r="A1231" t="s">
        <v>80</v>
      </c>
      <c r="B1231">
        <v>2000</v>
      </c>
      <c r="C1231" t="s">
        <v>2</v>
      </c>
      <c r="D1231" t="s">
        <v>27</v>
      </c>
      <c r="E1231">
        <v>10</v>
      </c>
      <c r="F1231" s="4" t="s">
        <v>7</v>
      </c>
      <c r="G1231">
        <v>1017</v>
      </c>
      <c r="H1231" s="2">
        <v>3270725</v>
      </c>
    </row>
    <row r="1232" spans="1:8" x14ac:dyDescent="0.25">
      <c r="A1232" t="s">
        <v>81</v>
      </c>
      <c r="B1232">
        <v>2000</v>
      </c>
      <c r="C1232" t="s">
        <v>1</v>
      </c>
      <c r="D1232" t="s">
        <v>27</v>
      </c>
      <c r="E1232">
        <v>10</v>
      </c>
      <c r="F1232" s="4" t="s">
        <v>7</v>
      </c>
      <c r="G1232">
        <v>392</v>
      </c>
      <c r="H1232" s="2">
        <v>757840</v>
      </c>
    </row>
    <row r="1233" spans="1:8" x14ac:dyDescent="0.25">
      <c r="A1233" t="s">
        <v>82</v>
      </c>
      <c r="B1233">
        <v>2000</v>
      </c>
      <c r="C1233" t="s">
        <v>0</v>
      </c>
      <c r="D1233" t="s">
        <v>27</v>
      </c>
      <c r="E1233">
        <v>10</v>
      </c>
      <c r="F1233" s="4" t="s">
        <v>7</v>
      </c>
      <c r="G1233">
        <v>311</v>
      </c>
      <c r="H1233" s="2">
        <v>757840</v>
      </c>
    </row>
    <row r="1234" spans="1:8" x14ac:dyDescent="0.25">
      <c r="A1234" t="s">
        <v>83</v>
      </c>
      <c r="B1234">
        <v>2001</v>
      </c>
      <c r="C1234" t="s">
        <v>6</v>
      </c>
      <c r="D1234" t="s">
        <v>27</v>
      </c>
      <c r="E1234">
        <v>10</v>
      </c>
      <c r="F1234" s="4" t="s">
        <v>7</v>
      </c>
      <c r="G1234">
        <v>29</v>
      </c>
      <c r="H1234" s="2">
        <v>2747486</v>
      </c>
    </row>
    <row r="1235" spans="1:8" x14ac:dyDescent="0.25">
      <c r="A1235" t="s">
        <v>84</v>
      </c>
      <c r="B1235">
        <v>2001</v>
      </c>
      <c r="C1235" t="s">
        <v>5</v>
      </c>
      <c r="D1235" t="s">
        <v>27</v>
      </c>
      <c r="E1235">
        <v>10</v>
      </c>
      <c r="F1235" s="4" t="s">
        <v>7</v>
      </c>
      <c r="G1235">
        <v>19</v>
      </c>
      <c r="H1235" s="2">
        <v>5361139</v>
      </c>
    </row>
    <row r="1236" spans="1:8" x14ac:dyDescent="0.25">
      <c r="A1236" t="s">
        <v>85</v>
      </c>
      <c r="B1236">
        <v>2001</v>
      </c>
      <c r="C1236" t="s">
        <v>4</v>
      </c>
      <c r="D1236" t="s">
        <v>27</v>
      </c>
      <c r="E1236">
        <v>10</v>
      </c>
      <c r="F1236" s="4" t="s">
        <v>7</v>
      </c>
      <c r="G1236">
        <v>24</v>
      </c>
      <c r="H1236" s="2">
        <v>4849286</v>
      </c>
    </row>
    <row r="1237" spans="1:8" x14ac:dyDescent="0.25">
      <c r="A1237" t="s">
        <v>86</v>
      </c>
      <c r="B1237">
        <v>2001</v>
      </c>
      <c r="C1237" t="s">
        <v>3</v>
      </c>
      <c r="D1237" t="s">
        <v>27</v>
      </c>
      <c r="E1237">
        <v>10</v>
      </c>
      <c r="F1237" s="4" t="s">
        <v>7</v>
      </c>
      <c r="G1237">
        <v>380</v>
      </c>
      <c r="H1237" s="2">
        <v>7223102</v>
      </c>
    </row>
    <row r="1238" spans="1:8" x14ac:dyDescent="0.25">
      <c r="A1238" t="s">
        <v>87</v>
      </c>
      <c r="B1238">
        <v>2001</v>
      </c>
      <c r="C1238" t="s">
        <v>2</v>
      </c>
      <c r="D1238" t="s">
        <v>27</v>
      </c>
      <c r="E1238">
        <v>10</v>
      </c>
      <c r="F1238" s="4" t="s">
        <v>7</v>
      </c>
      <c r="G1238">
        <v>1119</v>
      </c>
      <c r="H1238" s="2">
        <v>3394805</v>
      </c>
    </row>
    <row r="1239" spans="1:8" x14ac:dyDescent="0.25">
      <c r="A1239" t="s">
        <v>88</v>
      </c>
      <c r="B1239">
        <v>2001</v>
      </c>
      <c r="C1239" t="s">
        <v>1</v>
      </c>
      <c r="D1239" t="s">
        <v>27</v>
      </c>
      <c r="E1239">
        <v>10</v>
      </c>
      <c r="F1239" s="4" t="s">
        <v>7</v>
      </c>
      <c r="G1239">
        <v>424</v>
      </c>
      <c r="H1239" s="2">
        <v>776376</v>
      </c>
    </row>
    <row r="1240" spans="1:8" x14ac:dyDescent="0.25">
      <c r="A1240" t="s">
        <v>89</v>
      </c>
      <c r="B1240">
        <v>2001</v>
      </c>
      <c r="C1240" t="s">
        <v>0</v>
      </c>
      <c r="D1240" t="s">
        <v>27</v>
      </c>
      <c r="E1240">
        <v>10</v>
      </c>
      <c r="F1240" s="4" t="s">
        <v>7</v>
      </c>
      <c r="G1240">
        <v>276</v>
      </c>
      <c r="H1240" s="2">
        <v>776376</v>
      </c>
    </row>
    <row r="1241" spans="1:8" x14ac:dyDescent="0.25">
      <c r="A1241" t="s">
        <v>90</v>
      </c>
      <c r="B1241">
        <v>2002</v>
      </c>
      <c r="C1241" t="s">
        <v>6</v>
      </c>
      <c r="D1241" t="s">
        <v>27</v>
      </c>
      <c r="E1241">
        <v>10</v>
      </c>
      <c r="F1241" s="4" t="s">
        <v>7</v>
      </c>
      <c r="G1241">
        <v>20</v>
      </c>
      <c r="H1241" s="2">
        <v>2756879</v>
      </c>
    </row>
    <row r="1242" spans="1:8" x14ac:dyDescent="0.25">
      <c r="A1242" t="s">
        <v>91</v>
      </c>
      <c r="B1242">
        <v>2002</v>
      </c>
      <c r="C1242" t="s">
        <v>5</v>
      </c>
      <c r="D1242" t="s">
        <v>27</v>
      </c>
      <c r="E1242">
        <v>10</v>
      </c>
      <c r="F1242" s="4" t="s">
        <v>7</v>
      </c>
      <c r="G1242">
        <v>13</v>
      </c>
      <c r="H1242" s="2">
        <v>5361107</v>
      </c>
    </row>
    <row r="1243" spans="1:8" x14ac:dyDescent="0.25">
      <c r="A1243" t="s">
        <v>92</v>
      </c>
      <c r="B1243">
        <v>2002</v>
      </c>
      <c r="C1243" t="s">
        <v>4</v>
      </c>
      <c r="D1243" t="s">
        <v>27</v>
      </c>
      <c r="E1243">
        <v>10</v>
      </c>
      <c r="F1243" s="4" t="s">
        <v>7</v>
      </c>
      <c r="G1243">
        <v>28</v>
      </c>
      <c r="H1243" s="2">
        <v>4934568</v>
      </c>
    </row>
    <row r="1244" spans="1:8" x14ac:dyDescent="0.25">
      <c r="A1244" t="s">
        <v>93</v>
      </c>
      <c r="B1244">
        <v>2002</v>
      </c>
      <c r="C1244" t="s">
        <v>3</v>
      </c>
      <c r="D1244" t="s">
        <v>27</v>
      </c>
      <c r="E1244">
        <v>10</v>
      </c>
      <c r="F1244" s="4" t="s">
        <v>7</v>
      </c>
      <c r="G1244">
        <v>309</v>
      </c>
      <c r="H1244" s="2">
        <v>7359839</v>
      </c>
    </row>
    <row r="1245" spans="1:8" x14ac:dyDescent="0.25">
      <c r="A1245" t="s">
        <v>94</v>
      </c>
      <c r="B1245">
        <v>2002</v>
      </c>
      <c r="C1245" t="s">
        <v>2</v>
      </c>
      <c r="D1245" t="s">
        <v>27</v>
      </c>
      <c r="E1245">
        <v>10</v>
      </c>
      <c r="F1245" s="4" t="s">
        <v>7</v>
      </c>
      <c r="G1245">
        <v>1156</v>
      </c>
      <c r="H1245" s="2">
        <v>3526909</v>
      </c>
    </row>
    <row r="1246" spans="1:8" x14ac:dyDescent="0.25">
      <c r="A1246" t="s">
        <v>95</v>
      </c>
      <c r="B1246">
        <v>2002</v>
      </c>
      <c r="C1246" t="s">
        <v>1</v>
      </c>
      <c r="D1246" t="s">
        <v>27</v>
      </c>
      <c r="E1246">
        <v>10</v>
      </c>
      <c r="F1246" s="4" t="s">
        <v>7</v>
      </c>
      <c r="G1246">
        <v>484</v>
      </c>
      <c r="H1246" s="2">
        <v>796712</v>
      </c>
    </row>
    <row r="1247" spans="1:8" x14ac:dyDescent="0.25">
      <c r="A1247" t="s">
        <v>96</v>
      </c>
      <c r="B1247">
        <v>2002</v>
      </c>
      <c r="C1247" t="s">
        <v>0</v>
      </c>
      <c r="D1247" t="s">
        <v>27</v>
      </c>
      <c r="E1247">
        <v>10</v>
      </c>
      <c r="F1247" s="4" t="s">
        <v>7</v>
      </c>
      <c r="G1247">
        <v>332</v>
      </c>
      <c r="H1247" s="2">
        <v>796712</v>
      </c>
    </row>
    <row r="1248" spans="1:8" x14ac:dyDescent="0.25">
      <c r="A1248" t="s">
        <v>97</v>
      </c>
      <c r="B1248">
        <v>2003</v>
      </c>
      <c r="C1248" t="s">
        <v>6</v>
      </c>
      <c r="D1248" t="s">
        <v>27</v>
      </c>
      <c r="E1248">
        <v>10</v>
      </c>
      <c r="F1248" s="4" t="s">
        <v>7</v>
      </c>
      <c r="G1248">
        <v>33</v>
      </c>
      <c r="H1248" s="2">
        <v>2764684</v>
      </c>
    </row>
    <row r="1249" spans="1:8" x14ac:dyDescent="0.25">
      <c r="A1249" t="s">
        <v>98</v>
      </c>
      <c r="B1249">
        <v>2003</v>
      </c>
      <c r="C1249" t="s">
        <v>5</v>
      </c>
      <c r="D1249" t="s">
        <v>27</v>
      </c>
      <c r="E1249">
        <v>10</v>
      </c>
      <c r="F1249" s="4" t="s">
        <v>7</v>
      </c>
      <c r="G1249">
        <v>20</v>
      </c>
      <c r="H1249" s="2">
        <v>5364597</v>
      </c>
    </row>
    <row r="1250" spans="1:8" x14ac:dyDescent="0.25">
      <c r="A1250" t="s">
        <v>99</v>
      </c>
      <c r="B1250">
        <v>2003</v>
      </c>
      <c r="C1250" t="s">
        <v>4</v>
      </c>
      <c r="D1250" t="s">
        <v>27</v>
      </c>
      <c r="E1250">
        <v>10</v>
      </c>
      <c r="F1250" s="4" t="s">
        <v>7</v>
      </c>
      <c r="G1250">
        <v>30</v>
      </c>
      <c r="H1250" s="2">
        <v>5011124</v>
      </c>
    </row>
    <row r="1251" spans="1:8" x14ac:dyDescent="0.25">
      <c r="A1251" t="s">
        <v>100</v>
      </c>
      <c r="B1251">
        <v>2003</v>
      </c>
      <c r="C1251" t="s">
        <v>3</v>
      </c>
      <c r="D1251" t="s">
        <v>27</v>
      </c>
      <c r="E1251">
        <v>10</v>
      </c>
      <c r="F1251" s="4" t="s">
        <v>7</v>
      </c>
      <c r="G1251">
        <v>301</v>
      </c>
      <c r="H1251" s="2">
        <v>7496056</v>
      </c>
    </row>
    <row r="1252" spans="1:8" x14ac:dyDescent="0.25">
      <c r="A1252" t="s">
        <v>101</v>
      </c>
      <c r="B1252">
        <v>2003</v>
      </c>
      <c r="C1252" t="s">
        <v>2</v>
      </c>
      <c r="D1252" t="s">
        <v>27</v>
      </c>
      <c r="E1252">
        <v>10</v>
      </c>
      <c r="F1252" s="4" t="s">
        <v>7</v>
      </c>
      <c r="G1252">
        <v>1037</v>
      </c>
      <c r="H1252" s="2">
        <v>3666671</v>
      </c>
    </row>
    <row r="1253" spans="1:8" x14ac:dyDescent="0.25">
      <c r="A1253" t="s">
        <v>102</v>
      </c>
      <c r="B1253">
        <v>2003</v>
      </c>
      <c r="C1253" t="s">
        <v>1</v>
      </c>
      <c r="D1253" t="s">
        <v>27</v>
      </c>
      <c r="E1253">
        <v>10</v>
      </c>
      <c r="F1253" s="4" t="s">
        <v>7</v>
      </c>
      <c r="G1253">
        <v>483</v>
      </c>
      <c r="H1253" s="2">
        <v>818433</v>
      </c>
    </row>
    <row r="1254" spans="1:8" x14ac:dyDescent="0.25">
      <c r="A1254" t="s">
        <v>103</v>
      </c>
      <c r="B1254">
        <v>2003</v>
      </c>
      <c r="C1254" t="s">
        <v>0</v>
      </c>
      <c r="D1254" t="s">
        <v>27</v>
      </c>
      <c r="E1254">
        <v>10</v>
      </c>
      <c r="F1254" s="4" t="s">
        <v>7</v>
      </c>
      <c r="G1254">
        <v>333</v>
      </c>
      <c r="H1254" s="2">
        <v>818433</v>
      </c>
    </row>
    <row r="1255" spans="1:8" x14ac:dyDescent="0.25">
      <c r="A1255" t="s">
        <v>104</v>
      </c>
      <c r="B1255">
        <v>2004</v>
      </c>
      <c r="C1255" t="s">
        <v>6</v>
      </c>
      <c r="D1255" t="s">
        <v>27</v>
      </c>
      <c r="E1255">
        <v>10</v>
      </c>
      <c r="F1255" s="4" t="s">
        <v>7</v>
      </c>
      <c r="G1255">
        <v>11</v>
      </c>
      <c r="H1255" s="2">
        <v>2770821</v>
      </c>
    </row>
    <row r="1256" spans="1:8" x14ac:dyDescent="0.25">
      <c r="A1256" t="s">
        <v>105</v>
      </c>
      <c r="B1256">
        <v>2004</v>
      </c>
      <c r="C1256" t="s">
        <v>5</v>
      </c>
      <c r="D1256" t="s">
        <v>27</v>
      </c>
      <c r="E1256">
        <v>10</v>
      </c>
      <c r="F1256" s="4" t="s">
        <v>7</v>
      </c>
      <c r="G1256">
        <v>18</v>
      </c>
      <c r="H1256" s="2">
        <v>5372677</v>
      </c>
    </row>
    <row r="1257" spans="1:8" x14ac:dyDescent="0.25">
      <c r="A1257" t="s">
        <v>106</v>
      </c>
      <c r="B1257">
        <v>2004</v>
      </c>
      <c r="C1257" t="s">
        <v>4</v>
      </c>
      <c r="D1257" t="s">
        <v>27</v>
      </c>
      <c r="E1257">
        <v>10</v>
      </c>
      <c r="F1257" s="4" t="s">
        <v>7</v>
      </c>
      <c r="G1257">
        <v>25</v>
      </c>
      <c r="H1257" s="2">
        <v>5078223</v>
      </c>
    </row>
    <row r="1258" spans="1:8" x14ac:dyDescent="0.25">
      <c r="A1258" t="s">
        <v>107</v>
      </c>
      <c r="B1258">
        <v>2004</v>
      </c>
      <c r="C1258" t="s">
        <v>3</v>
      </c>
      <c r="D1258" t="s">
        <v>27</v>
      </c>
      <c r="E1258">
        <v>10</v>
      </c>
      <c r="F1258" s="4" t="s">
        <v>7</v>
      </c>
      <c r="G1258">
        <v>281</v>
      </c>
      <c r="H1258" s="2">
        <v>7631406</v>
      </c>
    </row>
    <row r="1259" spans="1:8" x14ac:dyDescent="0.25">
      <c r="A1259" t="s">
        <v>108</v>
      </c>
      <c r="B1259">
        <v>2004</v>
      </c>
      <c r="C1259" t="s">
        <v>2</v>
      </c>
      <c r="D1259" t="s">
        <v>27</v>
      </c>
      <c r="E1259">
        <v>10</v>
      </c>
      <c r="F1259" s="4" t="s">
        <v>7</v>
      </c>
      <c r="G1259">
        <v>1059</v>
      </c>
      <c r="H1259" s="2">
        <v>3814359</v>
      </c>
    </row>
    <row r="1260" spans="1:8" x14ac:dyDescent="0.25">
      <c r="A1260" t="s">
        <v>109</v>
      </c>
      <c r="B1260">
        <v>2004</v>
      </c>
      <c r="C1260" t="s">
        <v>1</v>
      </c>
      <c r="D1260" t="s">
        <v>27</v>
      </c>
      <c r="E1260">
        <v>10</v>
      </c>
      <c r="F1260" s="4" t="s">
        <v>7</v>
      </c>
      <c r="G1260">
        <v>475</v>
      </c>
      <c r="H1260" s="2">
        <v>841739</v>
      </c>
    </row>
    <row r="1261" spans="1:8" x14ac:dyDescent="0.25">
      <c r="A1261" t="s">
        <v>110</v>
      </c>
      <c r="B1261">
        <v>2004</v>
      </c>
      <c r="C1261" t="s">
        <v>0</v>
      </c>
      <c r="D1261" t="s">
        <v>27</v>
      </c>
      <c r="E1261">
        <v>10</v>
      </c>
      <c r="F1261" s="4" t="s">
        <v>7</v>
      </c>
      <c r="G1261">
        <v>340</v>
      </c>
      <c r="H1261" s="2">
        <v>841739</v>
      </c>
    </row>
    <row r="1262" spans="1:8" x14ac:dyDescent="0.25">
      <c r="A1262" t="s">
        <v>111</v>
      </c>
      <c r="B1262">
        <v>2005</v>
      </c>
      <c r="C1262" t="s">
        <v>6</v>
      </c>
      <c r="D1262" t="s">
        <v>27</v>
      </c>
      <c r="E1262">
        <v>10</v>
      </c>
      <c r="F1262" s="4" t="s">
        <v>7</v>
      </c>
      <c r="G1262">
        <v>15</v>
      </c>
      <c r="H1262" s="2">
        <v>2774961</v>
      </c>
    </row>
    <row r="1263" spans="1:8" x14ac:dyDescent="0.25">
      <c r="A1263" t="s">
        <v>112</v>
      </c>
      <c r="B1263">
        <v>2005</v>
      </c>
      <c r="C1263" t="s">
        <v>5</v>
      </c>
      <c r="D1263" t="s">
        <v>27</v>
      </c>
      <c r="E1263">
        <v>10</v>
      </c>
      <c r="F1263" s="4" t="s">
        <v>7</v>
      </c>
      <c r="G1263">
        <v>15</v>
      </c>
      <c r="H1263" s="2">
        <v>5386812</v>
      </c>
    </row>
    <row r="1264" spans="1:8" x14ac:dyDescent="0.25">
      <c r="A1264" t="s">
        <v>113</v>
      </c>
      <c r="B1264">
        <v>2005</v>
      </c>
      <c r="C1264" t="s">
        <v>4</v>
      </c>
      <c r="D1264" t="s">
        <v>27</v>
      </c>
      <c r="E1264">
        <v>10</v>
      </c>
      <c r="F1264" s="4" t="s">
        <v>7</v>
      </c>
      <c r="G1264">
        <v>27</v>
      </c>
      <c r="H1264" s="2">
        <v>5134473</v>
      </c>
    </row>
    <row r="1265" spans="1:8" x14ac:dyDescent="0.25">
      <c r="A1265" t="s">
        <v>114</v>
      </c>
      <c r="B1265">
        <v>2005</v>
      </c>
      <c r="C1265" t="s">
        <v>3</v>
      </c>
      <c r="D1265" t="s">
        <v>27</v>
      </c>
      <c r="E1265">
        <v>10</v>
      </c>
      <c r="F1265" s="4" t="s">
        <v>7</v>
      </c>
      <c r="G1265">
        <v>313</v>
      </c>
      <c r="H1265" s="2">
        <v>7765159</v>
      </c>
    </row>
    <row r="1266" spans="1:8" x14ac:dyDescent="0.25">
      <c r="A1266" t="s">
        <v>115</v>
      </c>
      <c r="B1266">
        <v>2005</v>
      </c>
      <c r="C1266" t="s">
        <v>2</v>
      </c>
      <c r="D1266" t="s">
        <v>27</v>
      </c>
      <c r="E1266">
        <v>10</v>
      </c>
      <c r="F1266" s="4" t="s">
        <v>7</v>
      </c>
      <c r="G1266">
        <v>1220</v>
      </c>
      <c r="H1266" s="2">
        <v>3970997</v>
      </c>
    </row>
    <row r="1267" spans="1:8" x14ac:dyDescent="0.25">
      <c r="A1267" t="s">
        <v>116</v>
      </c>
      <c r="B1267">
        <v>2005</v>
      </c>
      <c r="C1267" t="s">
        <v>1</v>
      </c>
      <c r="D1267" t="s">
        <v>27</v>
      </c>
      <c r="E1267">
        <v>10</v>
      </c>
      <c r="F1267" s="4" t="s">
        <v>7</v>
      </c>
      <c r="G1267">
        <v>496</v>
      </c>
      <c r="H1267" s="2">
        <v>866819</v>
      </c>
    </row>
    <row r="1268" spans="1:8" x14ac:dyDescent="0.25">
      <c r="A1268" t="s">
        <v>117</v>
      </c>
      <c r="B1268">
        <v>2005</v>
      </c>
      <c r="C1268" t="s">
        <v>0</v>
      </c>
      <c r="D1268" t="s">
        <v>27</v>
      </c>
      <c r="E1268">
        <v>10</v>
      </c>
      <c r="F1268" s="4" t="s">
        <v>7</v>
      </c>
      <c r="G1268">
        <v>363</v>
      </c>
      <c r="H1268" s="2">
        <v>866819</v>
      </c>
    </row>
    <row r="1269" spans="1:8" x14ac:dyDescent="0.25">
      <c r="A1269" t="s">
        <v>118</v>
      </c>
      <c r="B1269">
        <v>2006</v>
      </c>
      <c r="C1269" t="s">
        <v>6</v>
      </c>
      <c r="D1269" t="s">
        <v>27</v>
      </c>
      <c r="E1269">
        <v>10</v>
      </c>
      <c r="F1269" s="4" t="s">
        <v>7</v>
      </c>
      <c r="G1269">
        <v>16</v>
      </c>
      <c r="H1269" s="2">
        <v>2777568</v>
      </c>
    </row>
    <row r="1270" spans="1:8" x14ac:dyDescent="0.25">
      <c r="A1270" t="s">
        <v>119</v>
      </c>
      <c r="B1270">
        <v>2006</v>
      </c>
      <c r="C1270" t="s">
        <v>5</v>
      </c>
      <c r="D1270" t="s">
        <v>27</v>
      </c>
      <c r="E1270">
        <v>10</v>
      </c>
      <c r="F1270" s="4" t="s">
        <v>7</v>
      </c>
      <c r="G1270">
        <v>14</v>
      </c>
      <c r="H1270" s="2">
        <v>5407717</v>
      </c>
    </row>
    <row r="1271" spans="1:8" x14ac:dyDescent="0.25">
      <c r="A1271" t="s">
        <v>120</v>
      </c>
      <c r="B1271">
        <v>2006</v>
      </c>
      <c r="C1271" t="s">
        <v>4</v>
      </c>
      <c r="D1271" t="s">
        <v>27</v>
      </c>
      <c r="E1271">
        <v>10</v>
      </c>
      <c r="F1271" s="4" t="s">
        <v>7</v>
      </c>
      <c r="G1271">
        <v>24</v>
      </c>
      <c r="H1271" s="2">
        <v>5178861</v>
      </c>
    </row>
    <row r="1272" spans="1:8" x14ac:dyDescent="0.25">
      <c r="A1272" t="s">
        <v>121</v>
      </c>
      <c r="B1272">
        <v>2006</v>
      </c>
      <c r="C1272" t="s">
        <v>3</v>
      </c>
      <c r="D1272" t="s">
        <v>27</v>
      </c>
      <c r="E1272">
        <v>10</v>
      </c>
      <c r="F1272" s="4" t="s">
        <v>7</v>
      </c>
      <c r="G1272">
        <v>316</v>
      </c>
      <c r="H1272" s="2">
        <v>7897108</v>
      </c>
    </row>
    <row r="1273" spans="1:8" x14ac:dyDescent="0.25">
      <c r="A1273" t="s">
        <v>122</v>
      </c>
      <c r="B1273">
        <v>2006</v>
      </c>
      <c r="C1273" t="s">
        <v>2</v>
      </c>
      <c r="D1273" t="s">
        <v>27</v>
      </c>
      <c r="E1273">
        <v>10</v>
      </c>
      <c r="F1273" s="4" t="s">
        <v>7</v>
      </c>
      <c r="G1273">
        <v>1283</v>
      </c>
      <c r="H1273" s="2">
        <v>4136588</v>
      </c>
    </row>
    <row r="1274" spans="1:8" x14ac:dyDescent="0.25">
      <c r="A1274" t="s">
        <v>123</v>
      </c>
      <c r="B1274">
        <v>2006</v>
      </c>
      <c r="C1274" t="s">
        <v>1</v>
      </c>
      <c r="D1274" t="s">
        <v>27</v>
      </c>
      <c r="E1274">
        <v>10</v>
      </c>
      <c r="F1274" s="4" t="s">
        <v>7</v>
      </c>
      <c r="G1274">
        <v>463</v>
      </c>
      <c r="H1274" s="2">
        <v>893794</v>
      </c>
    </row>
    <row r="1275" spans="1:8" x14ac:dyDescent="0.25">
      <c r="A1275" t="s">
        <v>124</v>
      </c>
      <c r="B1275">
        <v>2006</v>
      </c>
      <c r="C1275" t="s">
        <v>0</v>
      </c>
      <c r="D1275" t="s">
        <v>27</v>
      </c>
      <c r="E1275">
        <v>10</v>
      </c>
      <c r="F1275" s="4" t="s">
        <v>7</v>
      </c>
      <c r="G1275">
        <v>367</v>
      </c>
      <c r="H1275" s="2">
        <v>893794</v>
      </c>
    </row>
    <row r="1276" spans="1:8" x14ac:dyDescent="0.25">
      <c r="A1276" t="s">
        <v>125</v>
      </c>
      <c r="B1276">
        <v>2007</v>
      </c>
      <c r="C1276" t="s">
        <v>6</v>
      </c>
      <c r="D1276" t="s">
        <v>27</v>
      </c>
      <c r="E1276">
        <v>10</v>
      </c>
      <c r="F1276" s="4" t="s">
        <v>7</v>
      </c>
      <c r="G1276">
        <v>12</v>
      </c>
      <c r="H1276" s="2">
        <v>2778731</v>
      </c>
    </row>
    <row r="1277" spans="1:8" x14ac:dyDescent="0.25">
      <c r="A1277" t="s">
        <v>126</v>
      </c>
      <c r="B1277">
        <v>2007</v>
      </c>
      <c r="C1277" t="s">
        <v>5</v>
      </c>
      <c r="D1277" t="s">
        <v>27</v>
      </c>
      <c r="E1277">
        <v>10</v>
      </c>
      <c r="F1277" s="4" t="s">
        <v>7</v>
      </c>
      <c r="G1277">
        <v>16</v>
      </c>
      <c r="H1277" s="2">
        <v>5427910</v>
      </c>
    </row>
    <row r="1278" spans="1:8" x14ac:dyDescent="0.25">
      <c r="A1278" t="s">
        <v>127</v>
      </c>
      <c r="B1278">
        <v>2007</v>
      </c>
      <c r="C1278" t="s">
        <v>4</v>
      </c>
      <c r="D1278" t="s">
        <v>27</v>
      </c>
      <c r="E1278">
        <v>10</v>
      </c>
      <c r="F1278" s="4" t="s">
        <v>7</v>
      </c>
      <c r="G1278">
        <v>27</v>
      </c>
      <c r="H1278" s="2">
        <v>5216537</v>
      </c>
    </row>
    <row r="1279" spans="1:8" x14ac:dyDescent="0.25">
      <c r="A1279" t="s">
        <v>128</v>
      </c>
      <c r="B1279">
        <v>2007</v>
      </c>
      <c r="C1279" t="s">
        <v>3</v>
      </c>
      <c r="D1279" t="s">
        <v>27</v>
      </c>
      <c r="E1279">
        <v>10</v>
      </c>
      <c r="F1279" s="4" t="s">
        <v>7</v>
      </c>
      <c r="G1279">
        <v>387</v>
      </c>
      <c r="H1279" s="2">
        <v>8032843</v>
      </c>
    </row>
    <row r="1280" spans="1:8" x14ac:dyDescent="0.25">
      <c r="A1280" t="s">
        <v>129</v>
      </c>
      <c r="B1280">
        <v>2007</v>
      </c>
      <c r="C1280" t="s">
        <v>2</v>
      </c>
      <c r="D1280" t="s">
        <v>27</v>
      </c>
      <c r="E1280">
        <v>10</v>
      </c>
      <c r="F1280" s="4" t="s">
        <v>7</v>
      </c>
      <c r="G1280">
        <v>1443</v>
      </c>
      <c r="H1280" s="2">
        <v>4307510</v>
      </c>
    </row>
    <row r="1281" spans="1:8" x14ac:dyDescent="0.25">
      <c r="A1281" t="s">
        <v>130</v>
      </c>
      <c r="B1281">
        <v>2007</v>
      </c>
      <c r="C1281" t="s">
        <v>1</v>
      </c>
      <c r="D1281" t="s">
        <v>27</v>
      </c>
      <c r="E1281">
        <v>10</v>
      </c>
      <c r="F1281" s="4" t="s">
        <v>7</v>
      </c>
      <c r="G1281">
        <v>507</v>
      </c>
      <c r="H1281" s="2">
        <v>922773</v>
      </c>
    </row>
    <row r="1282" spans="1:8" x14ac:dyDescent="0.25">
      <c r="A1282" t="s">
        <v>131</v>
      </c>
      <c r="B1282">
        <v>2007</v>
      </c>
      <c r="C1282" t="s">
        <v>0</v>
      </c>
      <c r="D1282" t="s">
        <v>27</v>
      </c>
      <c r="E1282">
        <v>10</v>
      </c>
      <c r="F1282" s="4" t="s">
        <v>7</v>
      </c>
      <c r="G1282">
        <v>393</v>
      </c>
      <c r="H1282" s="2">
        <v>922773</v>
      </c>
    </row>
    <row r="1283" spans="1:8" x14ac:dyDescent="0.25">
      <c r="A1283" t="s">
        <v>132</v>
      </c>
      <c r="B1283">
        <v>2008</v>
      </c>
      <c r="C1283" t="s">
        <v>6</v>
      </c>
      <c r="D1283" t="s">
        <v>27</v>
      </c>
      <c r="E1283">
        <v>10</v>
      </c>
      <c r="F1283" s="4" t="s">
        <v>7</v>
      </c>
      <c r="G1283">
        <v>9</v>
      </c>
      <c r="H1283" s="2">
        <v>2778239</v>
      </c>
    </row>
    <row r="1284" spans="1:8" x14ac:dyDescent="0.25">
      <c r="A1284" t="s">
        <v>133</v>
      </c>
      <c r="B1284">
        <v>2008</v>
      </c>
      <c r="C1284" t="s">
        <v>5</v>
      </c>
      <c r="D1284" t="s">
        <v>27</v>
      </c>
      <c r="E1284">
        <v>10</v>
      </c>
      <c r="F1284" s="4" t="s">
        <v>7</v>
      </c>
      <c r="G1284">
        <v>12</v>
      </c>
      <c r="H1284" s="2">
        <v>5448390</v>
      </c>
    </row>
    <row r="1285" spans="1:8" x14ac:dyDescent="0.25">
      <c r="A1285" t="s">
        <v>134</v>
      </c>
      <c r="B1285">
        <v>2008</v>
      </c>
      <c r="C1285" t="s">
        <v>4</v>
      </c>
      <c r="D1285" t="s">
        <v>27</v>
      </c>
      <c r="E1285">
        <v>10</v>
      </c>
      <c r="F1285" s="4" t="s">
        <v>7</v>
      </c>
      <c r="G1285">
        <v>32</v>
      </c>
      <c r="H1285" s="2">
        <v>5246997</v>
      </c>
    </row>
    <row r="1286" spans="1:8" x14ac:dyDescent="0.25">
      <c r="A1286" t="s">
        <v>135</v>
      </c>
      <c r="B1286">
        <v>2008</v>
      </c>
      <c r="C1286" t="s">
        <v>3</v>
      </c>
      <c r="D1286" t="s">
        <v>27</v>
      </c>
      <c r="E1286">
        <v>10</v>
      </c>
      <c r="F1286" s="4" t="s">
        <v>7</v>
      </c>
      <c r="G1286">
        <v>357</v>
      </c>
      <c r="H1286" s="2">
        <v>8172306</v>
      </c>
    </row>
    <row r="1287" spans="1:8" x14ac:dyDescent="0.25">
      <c r="A1287" t="s">
        <v>136</v>
      </c>
      <c r="B1287">
        <v>2008</v>
      </c>
      <c r="C1287" t="s">
        <v>2</v>
      </c>
      <c r="D1287" t="s">
        <v>27</v>
      </c>
      <c r="E1287">
        <v>10</v>
      </c>
      <c r="F1287" s="4" t="s">
        <v>7</v>
      </c>
      <c r="G1287">
        <v>1465</v>
      </c>
      <c r="H1287" s="2">
        <v>4483302</v>
      </c>
    </row>
    <row r="1288" spans="1:8" x14ac:dyDescent="0.25">
      <c r="A1288" t="s">
        <v>137</v>
      </c>
      <c r="B1288">
        <v>2008</v>
      </c>
      <c r="C1288" t="s">
        <v>1</v>
      </c>
      <c r="D1288" t="s">
        <v>27</v>
      </c>
      <c r="E1288">
        <v>10</v>
      </c>
      <c r="F1288" s="4" t="s">
        <v>7</v>
      </c>
      <c r="G1288">
        <v>560</v>
      </c>
      <c r="H1288" s="2">
        <v>953869</v>
      </c>
    </row>
    <row r="1289" spans="1:8" x14ac:dyDescent="0.25">
      <c r="A1289" t="s">
        <v>138</v>
      </c>
      <c r="B1289">
        <v>2008</v>
      </c>
      <c r="C1289" t="s">
        <v>0</v>
      </c>
      <c r="D1289" t="s">
        <v>27</v>
      </c>
      <c r="E1289">
        <v>10</v>
      </c>
      <c r="F1289" s="4" t="s">
        <v>7</v>
      </c>
      <c r="G1289">
        <v>434</v>
      </c>
      <c r="H1289" s="2">
        <v>953869</v>
      </c>
    </row>
    <row r="1290" spans="1:8" x14ac:dyDescent="0.25">
      <c r="A1290" t="s">
        <v>139</v>
      </c>
      <c r="B1290">
        <v>2009</v>
      </c>
      <c r="C1290" t="s">
        <v>6</v>
      </c>
      <c r="D1290" t="s">
        <v>27</v>
      </c>
      <c r="E1290">
        <v>10</v>
      </c>
      <c r="F1290" s="4" t="s">
        <v>7</v>
      </c>
      <c r="G1290">
        <v>11</v>
      </c>
      <c r="H1290" s="2">
        <v>2775920</v>
      </c>
    </row>
    <row r="1291" spans="1:8" x14ac:dyDescent="0.25">
      <c r="A1291" t="s">
        <v>140</v>
      </c>
      <c r="B1291">
        <v>2009</v>
      </c>
      <c r="C1291" t="s">
        <v>5</v>
      </c>
      <c r="D1291" t="s">
        <v>27</v>
      </c>
      <c r="E1291">
        <v>10</v>
      </c>
      <c r="F1291" s="4" t="s">
        <v>7</v>
      </c>
      <c r="G1291">
        <v>12</v>
      </c>
      <c r="H1291" s="2">
        <v>5469822</v>
      </c>
    </row>
    <row r="1292" spans="1:8" x14ac:dyDescent="0.25">
      <c r="A1292" t="s">
        <v>141</v>
      </c>
      <c r="B1292">
        <v>2009</v>
      </c>
      <c r="C1292" t="s">
        <v>4</v>
      </c>
      <c r="D1292" t="s">
        <v>27</v>
      </c>
      <c r="E1292">
        <v>10</v>
      </c>
      <c r="F1292" s="4" t="s">
        <v>7</v>
      </c>
      <c r="G1292">
        <v>28</v>
      </c>
      <c r="H1292" s="2">
        <v>5270463</v>
      </c>
    </row>
    <row r="1293" spans="1:8" x14ac:dyDescent="0.25">
      <c r="A1293" t="s">
        <v>142</v>
      </c>
      <c r="B1293">
        <v>2009</v>
      </c>
      <c r="C1293" t="s">
        <v>3</v>
      </c>
      <c r="D1293" t="s">
        <v>27</v>
      </c>
      <c r="E1293">
        <v>10</v>
      </c>
      <c r="F1293" s="4" t="s">
        <v>7</v>
      </c>
      <c r="G1293">
        <v>346</v>
      </c>
      <c r="H1293" s="2">
        <v>8314639</v>
      </c>
    </row>
    <row r="1294" spans="1:8" x14ac:dyDescent="0.25">
      <c r="A1294" t="s">
        <v>143</v>
      </c>
      <c r="B1294">
        <v>2009</v>
      </c>
      <c r="C1294" t="s">
        <v>2</v>
      </c>
      <c r="D1294" t="s">
        <v>27</v>
      </c>
      <c r="E1294">
        <v>10</v>
      </c>
      <c r="F1294" s="4" t="s">
        <v>7</v>
      </c>
      <c r="G1294">
        <v>1529</v>
      </c>
      <c r="H1294" s="2">
        <v>4663733</v>
      </c>
    </row>
    <row r="1295" spans="1:8" x14ac:dyDescent="0.25">
      <c r="A1295" t="s">
        <v>144</v>
      </c>
      <c r="B1295">
        <v>2009</v>
      </c>
      <c r="C1295" t="s">
        <v>1</v>
      </c>
      <c r="D1295" t="s">
        <v>27</v>
      </c>
      <c r="E1295">
        <v>10</v>
      </c>
      <c r="F1295" s="4" t="s">
        <v>7</v>
      </c>
      <c r="G1295">
        <v>525</v>
      </c>
      <c r="H1295" s="2">
        <v>987212</v>
      </c>
    </row>
    <row r="1296" spans="1:8" x14ac:dyDescent="0.25">
      <c r="A1296" t="s">
        <v>145</v>
      </c>
      <c r="B1296">
        <v>2009</v>
      </c>
      <c r="C1296" t="s">
        <v>0</v>
      </c>
      <c r="D1296" t="s">
        <v>27</v>
      </c>
      <c r="E1296">
        <v>10</v>
      </c>
      <c r="F1296" s="4" t="s">
        <v>7</v>
      </c>
      <c r="G1296">
        <v>444</v>
      </c>
      <c r="H1296" s="2">
        <v>987212</v>
      </c>
    </row>
    <row r="1297" spans="1:8" x14ac:dyDescent="0.25">
      <c r="A1297" t="s">
        <v>146</v>
      </c>
      <c r="B1297">
        <v>2010</v>
      </c>
      <c r="C1297" t="s">
        <v>6</v>
      </c>
      <c r="D1297" t="s">
        <v>27</v>
      </c>
      <c r="E1297">
        <v>10</v>
      </c>
      <c r="F1297" s="4" t="s">
        <v>7</v>
      </c>
      <c r="G1297">
        <v>13</v>
      </c>
      <c r="H1297" s="2">
        <v>2771760</v>
      </c>
    </row>
    <row r="1298" spans="1:8" x14ac:dyDescent="0.25">
      <c r="A1298" t="s">
        <v>147</v>
      </c>
      <c r="B1298">
        <v>2010</v>
      </c>
      <c r="C1298" t="s">
        <v>5</v>
      </c>
      <c r="D1298" t="s">
        <v>27</v>
      </c>
      <c r="E1298">
        <v>10</v>
      </c>
      <c r="F1298" s="4" t="s">
        <v>7</v>
      </c>
      <c r="G1298">
        <v>13</v>
      </c>
      <c r="H1298" s="2">
        <v>5492408</v>
      </c>
    </row>
    <row r="1299" spans="1:8" x14ac:dyDescent="0.25">
      <c r="A1299" t="s">
        <v>148</v>
      </c>
      <c r="B1299">
        <v>2010</v>
      </c>
      <c r="C1299" t="s">
        <v>4</v>
      </c>
      <c r="D1299" t="s">
        <v>27</v>
      </c>
      <c r="E1299">
        <v>10</v>
      </c>
      <c r="F1299" s="4" t="s">
        <v>7</v>
      </c>
      <c r="G1299">
        <v>27</v>
      </c>
      <c r="H1299" s="2">
        <v>5286720</v>
      </c>
    </row>
    <row r="1300" spans="1:8" x14ac:dyDescent="0.25">
      <c r="A1300" t="s">
        <v>149</v>
      </c>
      <c r="B1300">
        <v>2010</v>
      </c>
      <c r="C1300" t="s">
        <v>3</v>
      </c>
      <c r="D1300" t="s">
        <v>27</v>
      </c>
      <c r="E1300">
        <v>10</v>
      </c>
      <c r="F1300" s="4" t="s">
        <v>7</v>
      </c>
      <c r="G1300">
        <v>316</v>
      </c>
      <c r="H1300" s="2">
        <v>8458444</v>
      </c>
    </row>
    <row r="1301" spans="1:8" x14ac:dyDescent="0.25">
      <c r="A1301" t="s">
        <v>150</v>
      </c>
      <c r="B1301">
        <v>2010</v>
      </c>
      <c r="C1301" t="s">
        <v>2</v>
      </c>
      <c r="D1301" t="s">
        <v>27</v>
      </c>
      <c r="E1301">
        <v>10</v>
      </c>
      <c r="F1301" s="4" t="s">
        <v>7</v>
      </c>
      <c r="G1301">
        <v>1365</v>
      </c>
      <c r="H1301" s="2">
        <v>4849717</v>
      </c>
    </row>
    <row r="1302" spans="1:8" x14ac:dyDescent="0.25">
      <c r="A1302" t="s">
        <v>151</v>
      </c>
      <c r="B1302">
        <v>2010</v>
      </c>
      <c r="C1302" t="s">
        <v>1</v>
      </c>
      <c r="D1302" t="s">
        <v>27</v>
      </c>
      <c r="E1302">
        <v>10</v>
      </c>
      <c r="F1302" s="4" t="s">
        <v>7</v>
      </c>
      <c r="G1302">
        <v>533</v>
      </c>
      <c r="H1302" s="2">
        <v>1022974</v>
      </c>
    </row>
    <row r="1303" spans="1:8" x14ac:dyDescent="0.25">
      <c r="A1303" t="s">
        <v>152</v>
      </c>
      <c r="B1303">
        <v>2010</v>
      </c>
      <c r="C1303" t="s">
        <v>0</v>
      </c>
      <c r="D1303" t="s">
        <v>27</v>
      </c>
      <c r="E1303">
        <v>10</v>
      </c>
      <c r="F1303" s="4" t="s">
        <v>7</v>
      </c>
      <c r="G1303">
        <v>425</v>
      </c>
      <c r="H1303" s="2">
        <v>1022974</v>
      </c>
    </row>
    <row r="1304" spans="1:8" x14ac:dyDescent="0.25">
      <c r="A1304" t="s">
        <v>153</v>
      </c>
      <c r="B1304">
        <v>2011</v>
      </c>
      <c r="C1304" t="s">
        <v>6</v>
      </c>
      <c r="D1304" t="s">
        <v>27</v>
      </c>
      <c r="E1304">
        <v>10</v>
      </c>
      <c r="F1304" s="4" t="s">
        <v>7</v>
      </c>
      <c r="G1304">
        <v>18</v>
      </c>
      <c r="H1304" s="2">
        <v>2765898</v>
      </c>
    </row>
    <row r="1305" spans="1:8" x14ac:dyDescent="0.25">
      <c r="A1305" t="s">
        <v>154</v>
      </c>
      <c r="B1305">
        <v>2011</v>
      </c>
      <c r="C1305" t="s">
        <v>5</v>
      </c>
      <c r="D1305" t="s">
        <v>27</v>
      </c>
      <c r="E1305">
        <v>10</v>
      </c>
      <c r="F1305" s="4" t="s">
        <v>7</v>
      </c>
      <c r="G1305">
        <v>9</v>
      </c>
      <c r="H1305" s="2">
        <v>5516288</v>
      </c>
    </row>
    <row r="1306" spans="1:8" x14ac:dyDescent="0.25">
      <c r="A1306" t="s">
        <v>155</v>
      </c>
      <c r="B1306">
        <v>2011</v>
      </c>
      <c r="C1306" t="s">
        <v>4</v>
      </c>
      <c r="D1306" t="s">
        <v>27</v>
      </c>
      <c r="E1306">
        <v>10</v>
      </c>
      <c r="F1306" s="4" t="s">
        <v>7</v>
      </c>
      <c r="G1306">
        <v>25</v>
      </c>
      <c r="H1306" s="2">
        <v>5296319</v>
      </c>
    </row>
    <row r="1307" spans="1:8" x14ac:dyDescent="0.25">
      <c r="A1307" t="s">
        <v>156</v>
      </c>
      <c r="B1307">
        <v>2011</v>
      </c>
      <c r="C1307" t="s">
        <v>3</v>
      </c>
      <c r="D1307" t="s">
        <v>27</v>
      </c>
      <c r="E1307">
        <v>10</v>
      </c>
      <c r="F1307" s="4" t="s">
        <v>7</v>
      </c>
      <c r="G1307">
        <v>334</v>
      </c>
      <c r="H1307" s="2">
        <v>8602515</v>
      </c>
    </row>
    <row r="1308" spans="1:8" x14ac:dyDescent="0.25">
      <c r="A1308" t="s">
        <v>157</v>
      </c>
      <c r="B1308">
        <v>2011</v>
      </c>
      <c r="C1308" t="s">
        <v>2</v>
      </c>
      <c r="D1308" t="s">
        <v>27</v>
      </c>
      <c r="E1308">
        <v>10</v>
      </c>
      <c r="F1308" s="4" t="s">
        <v>7</v>
      </c>
      <c r="G1308">
        <v>1421</v>
      </c>
      <c r="H1308" s="2">
        <v>5041154</v>
      </c>
    </row>
    <row r="1309" spans="1:8" x14ac:dyDescent="0.25">
      <c r="A1309" t="s">
        <v>158</v>
      </c>
      <c r="B1309">
        <v>2011</v>
      </c>
      <c r="C1309" t="s">
        <v>1</v>
      </c>
      <c r="D1309" t="s">
        <v>27</v>
      </c>
      <c r="E1309">
        <v>10</v>
      </c>
      <c r="F1309" s="4" t="s">
        <v>7</v>
      </c>
      <c r="G1309">
        <v>562</v>
      </c>
      <c r="H1309" s="2">
        <v>1061340</v>
      </c>
    </row>
    <row r="1310" spans="1:8" x14ac:dyDescent="0.25">
      <c r="A1310" t="s">
        <v>159</v>
      </c>
      <c r="B1310">
        <v>2011</v>
      </c>
      <c r="C1310" t="s">
        <v>0</v>
      </c>
      <c r="D1310" t="s">
        <v>27</v>
      </c>
      <c r="E1310">
        <v>10</v>
      </c>
      <c r="F1310" s="4" t="s">
        <v>7</v>
      </c>
      <c r="G1310">
        <v>443</v>
      </c>
      <c r="H1310" s="2">
        <v>1061340</v>
      </c>
    </row>
    <row r="1311" spans="1:8" x14ac:dyDescent="0.25">
      <c r="A1311" t="s">
        <v>160</v>
      </c>
      <c r="B1311">
        <v>2012</v>
      </c>
      <c r="C1311" t="s">
        <v>6</v>
      </c>
      <c r="D1311" t="s">
        <v>27</v>
      </c>
      <c r="E1311">
        <v>10</v>
      </c>
      <c r="F1311" s="4" t="s">
        <v>7</v>
      </c>
      <c r="G1311">
        <v>7</v>
      </c>
      <c r="H1311" s="2">
        <v>2759356.4495101599</v>
      </c>
    </row>
    <row r="1312" spans="1:8" x14ac:dyDescent="0.25">
      <c r="A1312" t="s">
        <v>161</v>
      </c>
      <c r="B1312">
        <v>2012</v>
      </c>
      <c r="C1312" t="s">
        <v>5</v>
      </c>
      <c r="D1312" t="s">
        <v>27</v>
      </c>
      <c r="E1312">
        <v>10</v>
      </c>
      <c r="F1312" s="4" t="s">
        <v>7</v>
      </c>
      <c r="G1312">
        <v>8</v>
      </c>
      <c r="H1312" s="2">
        <v>5537428.7927720398</v>
      </c>
    </row>
    <row r="1313" spans="1:8" x14ac:dyDescent="0.25">
      <c r="A1313" t="s">
        <v>162</v>
      </c>
      <c r="B1313">
        <v>2012</v>
      </c>
      <c r="C1313" t="s">
        <v>4</v>
      </c>
      <c r="D1313" t="s">
        <v>27</v>
      </c>
      <c r="E1313">
        <v>10</v>
      </c>
      <c r="F1313" s="4" t="s">
        <v>7</v>
      </c>
      <c r="G1313">
        <v>29</v>
      </c>
      <c r="H1313" s="2">
        <v>5307779.7280284902</v>
      </c>
    </row>
    <row r="1314" spans="1:8" x14ac:dyDescent="0.25">
      <c r="A1314" t="s">
        <v>163</v>
      </c>
      <c r="B1314">
        <v>2012</v>
      </c>
      <c r="C1314" t="s">
        <v>3</v>
      </c>
      <c r="D1314" t="s">
        <v>27</v>
      </c>
      <c r="E1314">
        <v>10</v>
      </c>
      <c r="F1314" s="4" t="s">
        <v>7</v>
      </c>
      <c r="G1314">
        <v>319</v>
      </c>
      <c r="H1314" s="2">
        <v>8748082.6996606905</v>
      </c>
    </row>
    <row r="1315" spans="1:8" x14ac:dyDescent="0.25">
      <c r="A1315" t="s">
        <v>164</v>
      </c>
      <c r="B1315">
        <v>2012</v>
      </c>
      <c r="C1315" t="s">
        <v>2</v>
      </c>
      <c r="D1315" t="s">
        <v>27</v>
      </c>
      <c r="E1315">
        <v>10</v>
      </c>
      <c r="F1315" s="4" t="s">
        <v>7</v>
      </c>
      <c r="G1315">
        <v>1511</v>
      </c>
      <c r="H1315" s="2">
        <v>5230482.0778962998</v>
      </c>
    </row>
    <row r="1316" spans="1:8" x14ac:dyDescent="0.25">
      <c r="A1316" t="s">
        <v>165</v>
      </c>
      <c r="B1316">
        <v>2012</v>
      </c>
      <c r="C1316" t="s">
        <v>1</v>
      </c>
      <c r="D1316" t="s">
        <v>27</v>
      </c>
      <c r="E1316">
        <v>10</v>
      </c>
      <c r="F1316" s="4" t="s">
        <v>7</v>
      </c>
      <c r="G1316">
        <v>596</v>
      </c>
      <c r="H1316" s="2">
        <v>1102796.7939262099</v>
      </c>
    </row>
    <row r="1317" spans="1:8" x14ac:dyDescent="0.25">
      <c r="A1317" t="s">
        <v>166</v>
      </c>
      <c r="B1317">
        <v>2012</v>
      </c>
      <c r="C1317" t="s">
        <v>0</v>
      </c>
      <c r="D1317" t="s">
        <v>27</v>
      </c>
      <c r="E1317">
        <v>10</v>
      </c>
      <c r="F1317" s="4" t="s">
        <v>7</v>
      </c>
      <c r="G1317">
        <v>438</v>
      </c>
      <c r="H1317" s="2">
        <v>1102796.7939262099</v>
      </c>
    </row>
    <row r="1318" spans="1:8" x14ac:dyDescent="0.25">
      <c r="A1318" t="s">
        <v>167</v>
      </c>
      <c r="B1318">
        <v>2013</v>
      </c>
      <c r="C1318" t="s">
        <v>6</v>
      </c>
      <c r="D1318" t="s">
        <v>27</v>
      </c>
      <c r="E1318">
        <v>10</v>
      </c>
      <c r="F1318" s="4" t="s">
        <v>7</v>
      </c>
      <c r="G1318">
        <v>13</v>
      </c>
      <c r="H1318" s="2">
        <v>2752322.19750119</v>
      </c>
    </row>
    <row r="1319" spans="1:8" x14ac:dyDescent="0.25">
      <c r="A1319" t="s">
        <v>168</v>
      </c>
      <c r="B1319">
        <v>2013</v>
      </c>
      <c r="C1319" t="s">
        <v>5</v>
      </c>
      <c r="D1319" t="s">
        <v>27</v>
      </c>
      <c r="E1319">
        <v>10</v>
      </c>
      <c r="F1319" s="4" t="s">
        <v>7</v>
      </c>
      <c r="G1319">
        <v>6</v>
      </c>
      <c r="H1319" s="2">
        <v>5554323.1251711203</v>
      </c>
    </row>
    <row r="1320" spans="1:8" x14ac:dyDescent="0.25">
      <c r="A1320" t="s">
        <v>169</v>
      </c>
      <c r="B1320">
        <v>2013</v>
      </c>
      <c r="C1320" t="s">
        <v>4</v>
      </c>
      <c r="D1320" t="s">
        <v>27</v>
      </c>
      <c r="E1320">
        <v>10</v>
      </c>
      <c r="F1320" s="4" t="s">
        <v>7</v>
      </c>
      <c r="G1320">
        <v>29</v>
      </c>
      <c r="H1320" s="2">
        <v>5323364.8480997998</v>
      </c>
    </row>
    <row r="1321" spans="1:8" x14ac:dyDescent="0.25">
      <c r="A1321" t="s">
        <v>170</v>
      </c>
      <c r="B1321">
        <v>2013</v>
      </c>
      <c r="C1321" t="s">
        <v>3</v>
      </c>
      <c r="D1321" t="s">
        <v>27</v>
      </c>
      <c r="E1321">
        <v>10</v>
      </c>
      <c r="F1321" s="4" t="s">
        <v>7</v>
      </c>
      <c r="G1321">
        <v>316</v>
      </c>
      <c r="H1321" s="2">
        <v>8893718.1904660594</v>
      </c>
    </row>
    <row r="1322" spans="1:8" x14ac:dyDescent="0.25">
      <c r="A1322" t="s">
        <v>171</v>
      </c>
      <c r="B1322">
        <v>2013</v>
      </c>
      <c r="C1322" t="s">
        <v>2</v>
      </c>
      <c r="D1322" t="s">
        <v>27</v>
      </c>
      <c r="E1322">
        <v>10</v>
      </c>
      <c r="F1322" s="4" t="s">
        <v>7</v>
      </c>
      <c r="G1322">
        <v>1617</v>
      </c>
      <c r="H1322" s="2">
        <v>5415783.9591287402</v>
      </c>
    </row>
    <row r="1323" spans="1:8" x14ac:dyDescent="0.25">
      <c r="A1323" t="s">
        <v>172</v>
      </c>
      <c r="B1323">
        <v>2013</v>
      </c>
      <c r="C1323" t="s">
        <v>1</v>
      </c>
      <c r="D1323" t="s">
        <v>27</v>
      </c>
      <c r="E1323">
        <v>10</v>
      </c>
      <c r="F1323" s="4" t="s">
        <v>7</v>
      </c>
      <c r="G1323">
        <v>658</v>
      </c>
      <c r="H1323" s="2">
        <v>1147296.6505007599</v>
      </c>
    </row>
    <row r="1324" spans="1:8" x14ac:dyDescent="0.25">
      <c r="A1324" t="s">
        <v>173</v>
      </c>
      <c r="B1324">
        <v>2013</v>
      </c>
      <c r="C1324" t="s">
        <v>0</v>
      </c>
      <c r="D1324" t="s">
        <v>27</v>
      </c>
      <c r="E1324">
        <v>10</v>
      </c>
      <c r="F1324" s="4" t="s">
        <v>7</v>
      </c>
      <c r="G1324">
        <v>459</v>
      </c>
      <c r="H1324" s="2">
        <v>1147296.6505007599</v>
      </c>
    </row>
    <row r="1325" spans="1:8" x14ac:dyDescent="0.25">
      <c r="A1325" t="s">
        <v>174</v>
      </c>
      <c r="B1325">
        <v>2014</v>
      </c>
      <c r="C1325" t="s">
        <v>6</v>
      </c>
      <c r="D1325" t="s">
        <v>27</v>
      </c>
      <c r="E1325">
        <v>10</v>
      </c>
      <c r="F1325" s="4" t="s">
        <v>7</v>
      </c>
      <c r="G1325">
        <v>9</v>
      </c>
      <c r="H1325" s="2">
        <v>2744697</v>
      </c>
    </row>
    <row r="1326" spans="1:8" x14ac:dyDescent="0.25">
      <c r="A1326" t="s">
        <v>175</v>
      </c>
      <c r="B1326">
        <v>2014</v>
      </c>
      <c r="C1326" t="s">
        <v>5</v>
      </c>
      <c r="D1326" t="s">
        <v>27</v>
      </c>
      <c r="E1326">
        <v>10</v>
      </c>
      <c r="F1326" s="4" t="s">
        <v>7</v>
      </c>
      <c r="G1326">
        <v>12</v>
      </c>
      <c r="H1326" s="2">
        <v>5566437</v>
      </c>
    </row>
    <row r="1327" spans="1:8" x14ac:dyDescent="0.25">
      <c r="A1327" t="s">
        <v>176</v>
      </c>
      <c r="B1327">
        <v>2014</v>
      </c>
      <c r="C1327" t="s">
        <v>4</v>
      </c>
      <c r="D1327" t="s">
        <v>27</v>
      </c>
      <c r="E1327">
        <v>10</v>
      </c>
      <c r="F1327" s="4" t="s">
        <v>7</v>
      </c>
      <c r="G1327">
        <v>26</v>
      </c>
      <c r="H1327" s="2">
        <v>5343109</v>
      </c>
    </row>
    <row r="1328" spans="1:8" x14ac:dyDescent="0.25">
      <c r="A1328" t="s">
        <v>177</v>
      </c>
      <c r="B1328">
        <v>2014</v>
      </c>
      <c r="C1328" t="s">
        <v>3</v>
      </c>
      <c r="D1328" t="s">
        <v>27</v>
      </c>
      <c r="E1328">
        <v>10</v>
      </c>
      <c r="F1328" s="4" t="s">
        <v>7</v>
      </c>
      <c r="G1328">
        <v>338</v>
      </c>
      <c r="H1328" s="2">
        <v>9037113</v>
      </c>
    </row>
    <row r="1329" spans="1:8" x14ac:dyDescent="0.25">
      <c r="A1329" t="s">
        <v>178</v>
      </c>
      <c r="B1329">
        <v>2014</v>
      </c>
      <c r="C1329" t="s">
        <v>2</v>
      </c>
      <c r="D1329" t="s">
        <v>27</v>
      </c>
      <c r="E1329">
        <v>10</v>
      </c>
      <c r="F1329" s="4" t="s">
        <v>7</v>
      </c>
      <c r="G1329">
        <v>1777</v>
      </c>
      <c r="H1329" s="2">
        <v>5597164</v>
      </c>
    </row>
    <row r="1330" spans="1:8" x14ac:dyDescent="0.25">
      <c r="A1330" t="s">
        <v>179</v>
      </c>
      <c r="B1330">
        <v>2014</v>
      </c>
      <c r="C1330" t="s">
        <v>1</v>
      </c>
      <c r="D1330" t="s">
        <v>27</v>
      </c>
      <c r="E1330">
        <v>10</v>
      </c>
      <c r="F1330" s="4" t="s">
        <v>7</v>
      </c>
      <c r="G1330">
        <v>752</v>
      </c>
      <c r="H1330" s="2">
        <v>1194627</v>
      </c>
    </row>
    <row r="1331" spans="1:8" x14ac:dyDescent="0.25">
      <c r="A1331" t="s">
        <v>180</v>
      </c>
      <c r="B1331">
        <v>2014</v>
      </c>
      <c r="C1331" t="s">
        <v>0</v>
      </c>
      <c r="D1331" t="s">
        <v>27</v>
      </c>
      <c r="E1331">
        <v>10</v>
      </c>
      <c r="F1331" s="4" t="s">
        <v>7</v>
      </c>
      <c r="G1331">
        <v>542</v>
      </c>
      <c r="H1331" s="2">
        <v>1194627</v>
      </c>
    </row>
    <row r="1332" spans="1:8" x14ac:dyDescent="0.25">
      <c r="A1332" t="s">
        <v>48</v>
      </c>
      <c r="B1332">
        <v>1996</v>
      </c>
      <c r="C1332" t="s">
        <v>6</v>
      </c>
      <c r="D1332" t="s">
        <v>27</v>
      </c>
      <c r="E1332">
        <v>11</v>
      </c>
      <c r="F1332" s="4" t="s">
        <v>13</v>
      </c>
      <c r="G1332">
        <v>1552</v>
      </c>
      <c r="H1332" s="2">
        <v>2669011.0638103201</v>
      </c>
    </row>
    <row r="1333" spans="1:8" x14ac:dyDescent="0.25">
      <c r="A1333" t="s">
        <v>49</v>
      </c>
      <c r="B1333">
        <v>1996</v>
      </c>
      <c r="C1333" t="s">
        <v>5</v>
      </c>
      <c r="D1333" t="s">
        <v>27</v>
      </c>
      <c r="E1333">
        <v>11</v>
      </c>
      <c r="F1333" s="4" t="s">
        <v>13</v>
      </c>
      <c r="G1333">
        <v>121</v>
      </c>
      <c r="H1333" s="2">
        <v>5336689.2615659405</v>
      </c>
    </row>
    <row r="1334" spans="1:8" x14ac:dyDescent="0.25">
      <c r="A1334" t="s">
        <v>50</v>
      </c>
      <c r="B1334">
        <v>1996</v>
      </c>
      <c r="C1334" t="s">
        <v>4</v>
      </c>
      <c r="D1334" t="s">
        <v>27</v>
      </c>
      <c r="E1334">
        <v>11</v>
      </c>
      <c r="F1334" s="4" t="s">
        <v>13</v>
      </c>
      <c r="G1334">
        <v>66</v>
      </c>
      <c r="H1334" s="2">
        <v>4328734.7335640304</v>
      </c>
    </row>
    <row r="1335" spans="1:8" x14ac:dyDescent="0.25">
      <c r="A1335" t="s">
        <v>51</v>
      </c>
      <c r="B1335">
        <v>1996</v>
      </c>
      <c r="C1335" t="s">
        <v>3</v>
      </c>
      <c r="D1335" t="s">
        <v>27</v>
      </c>
      <c r="E1335">
        <v>11</v>
      </c>
      <c r="F1335" s="4" t="s">
        <v>13</v>
      </c>
      <c r="G1335">
        <v>94</v>
      </c>
      <c r="H1335" s="2">
        <v>6500086.9398599695</v>
      </c>
    </row>
    <row r="1336" spans="1:8" x14ac:dyDescent="0.25">
      <c r="A1336" t="s">
        <v>52</v>
      </c>
      <c r="B1336">
        <v>1996</v>
      </c>
      <c r="C1336" t="s">
        <v>2</v>
      </c>
      <c r="D1336" t="s">
        <v>27</v>
      </c>
      <c r="E1336">
        <v>11</v>
      </c>
      <c r="F1336" s="4" t="s">
        <v>13</v>
      </c>
      <c r="G1336">
        <v>38</v>
      </c>
      <c r="H1336" s="2">
        <v>2862216.4853526298</v>
      </c>
    </row>
    <row r="1337" spans="1:8" x14ac:dyDescent="0.25">
      <c r="A1337" t="s">
        <v>53</v>
      </c>
      <c r="B1337">
        <v>1996</v>
      </c>
      <c r="C1337" t="s">
        <v>1</v>
      </c>
      <c r="D1337" t="s">
        <v>27</v>
      </c>
      <c r="E1337">
        <v>11</v>
      </c>
      <c r="F1337" s="4" t="s">
        <v>13</v>
      </c>
      <c r="G1337">
        <v>24</v>
      </c>
      <c r="H1337" s="2">
        <v>710343.28776711202</v>
      </c>
    </row>
    <row r="1338" spans="1:8" x14ac:dyDescent="0.25">
      <c r="A1338" t="s">
        <v>54</v>
      </c>
      <c r="B1338">
        <v>1996</v>
      </c>
      <c r="C1338" t="s">
        <v>0</v>
      </c>
      <c r="D1338" t="s">
        <v>27</v>
      </c>
      <c r="E1338">
        <v>11</v>
      </c>
      <c r="F1338" s="4" t="s">
        <v>13</v>
      </c>
      <c r="G1338">
        <v>22</v>
      </c>
      <c r="H1338" s="2">
        <v>710343.28776711202</v>
      </c>
    </row>
    <row r="1339" spans="1:8" x14ac:dyDescent="0.25">
      <c r="A1339" t="s">
        <v>55</v>
      </c>
      <c r="B1339">
        <v>1997</v>
      </c>
      <c r="C1339" t="s">
        <v>6</v>
      </c>
      <c r="D1339" t="s">
        <v>27</v>
      </c>
      <c r="E1339">
        <v>11</v>
      </c>
      <c r="F1339" s="4" t="s">
        <v>13</v>
      </c>
      <c r="G1339">
        <v>1585</v>
      </c>
      <c r="H1339" s="2">
        <v>2689637.03828619</v>
      </c>
    </row>
    <row r="1340" spans="1:8" x14ac:dyDescent="0.25">
      <c r="A1340" t="s">
        <v>56</v>
      </c>
      <c r="B1340">
        <v>1997</v>
      </c>
      <c r="C1340" t="s">
        <v>5</v>
      </c>
      <c r="D1340" t="s">
        <v>27</v>
      </c>
      <c r="E1340">
        <v>11</v>
      </c>
      <c r="F1340" s="4" t="s">
        <v>13</v>
      </c>
      <c r="G1340">
        <v>107</v>
      </c>
      <c r="H1340" s="2">
        <v>5352218.1569395596</v>
      </c>
    </row>
    <row r="1341" spans="1:8" x14ac:dyDescent="0.25">
      <c r="A1341" t="s">
        <v>57</v>
      </c>
      <c r="B1341">
        <v>1997</v>
      </c>
      <c r="C1341" t="s">
        <v>4</v>
      </c>
      <c r="D1341" t="s">
        <v>27</v>
      </c>
      <c r="E1341">
        <v>11</v>
      </c>
      <c r="F1341" s="4" t="s">
        <v>13</v>
      </c>
      <c r="G1341">
        <v>70</v>
      </c>
      <c r="H1341" s="2">
        <v>4441903.2401384199</v>
      </c>
    </row>
    <row r="1342" spans="1:8" x14ac:dyDescent="0.25">
      <c r="A1342" t="s">
        <v>58</v>
      </c>
      <c r="B1342">
        <v>1997</v>
      </c>
      <c r="C1342" t="s">
        <v>3</v>
      </c>
      <c r="D1342" t="s">
        <v>27</v>
      </c>
      <c r="E1342">
        <v>11</v>
      </c>
      <c r="F1342" s="4" t="s">
        <v>13</v>
      </c>
      <c r="G1342">
        <v>93</v>
      </c>
      <c r="H1342" s="2">
        <v>6652916.9639159804</v>
      </c>
    </row>
    <row r="1343" spans="1:8" x14ac:dyDescent="0.25">
      <c r="A1343" t="s">
        <v>59</v>
      </c>
      <c r="B1343">
        <v>1997</v>
      </c>
      <c r="C1343" t="s">
        <v>2</v>
      </c>
      <c r="D1343" t="s">
        <v>27</v>
      </c>
      <c r="E1343">
        <v>11</v>
      </c>
      <c r="F1343" s="4" t="s">
        <v>13</v>
      </c>
      <c r="G1343">
        <v>42</v>
      </c>
      <c r="H1343" s="2">
        <v>2950439.89121158</v>
      </c>
    </row>
    <row r="1344" spans="1:8" x14ac:dyDescent="0.25">
      <c r="A1344" t="s">
        <v>60</v>
      </c>
      <c r="B1344">
        <v>1997</v>
      </c>
      <c r="C1344" t="s">
        <v>1</v>
      </c>
      <c r="D1344" t="s">
        <v>27</v>
      </c>
      <c r="E1344">
        <v>11</v>
      </c>
      <c r="F1344" s="4" t="s">
        <v>13</v>
      </c>
      <c r="G1344">
        <v>4</v>
      </c>
      <c r="H1344" s="2">
        <v>717390.37266026705</v>
      </c>
    </row>
    <row r="1345" spans="1:8" x14ac:dyDescent="0.25">
      <c r="A1345" t="s">
        <v>61</v>
      </c>
      <c r="B1345">
        <v>1997</v>
      </c>
      <c r="C1345" t="s">
        <v>0</v>
      </c>
      <c r="D1345" t="s">
        <v>27</v>
      </c>
      <c r="E1345">
        <v>11</v>
      </c>
      <c r="F1345" s="4" t="s">
        <v>13</v>
      </c>
      <c r="G1345">
        <v>9</v>
      </c>
      <c r="H1345" s="2">
        <v>717390.37266026705</v>
      </c>
    </row>
    <row r="1346" spans="1:8" x14ac:dyDescent="0.25">
      <c r="A1346" t="s">
        <v>62</v>
      </c>
      <c r="B1346">
        <v>1998</v>
      </c>
      <c r="C1346" t="s">
        <v>6</v>
      </c>
      <c r="D1346" t="s">
        <v>27</v>
      </c>
      <c r="E1346">
        <v>11</v>
      </c>
      <c r="F1346" s="4" t="s">
        <v>13</v>
      </c>
      <c r="G1346">
        <v>1518</v>
      </c>
      <c r="H1346" s="2">
        <v>2707580.5191430999</v>
      </c>
    </row>
    <row r="1347" spans="1:8" x14ac:dyDescent="0.25">
      <c r="A1347" t="s">
        <v>63</v>
      </c>
      <c r="B1347">
        <v>1998</v>
      </c>
      <c r="C1347" t="s">
        <v>5</v>
      </c>
      <c r="D1347" t="s">
        <v>27</v>
      </c>
      <c r="E1347">
        <v>11</v>
      </c>
      <c r="F1347" s="4" t="s">
        <v>13</v>
      </c>
      <c r="G1347">
        <v>111</v>
      </c>
      <c r="H1347" s="2">
        <v>5360232.5784697803</v>
      </c>
    </row>
    <row r="1348" spans="1:8" x14ac:dyDescent="0.25">
      <c r="A1348" t="s">
        <v>64</v>
      </c>
      <c r="B1348">
        <v>1998</v>
      </c>
      <c r="C1348" t="s">
        <v>4</v>
      </c>
      <c r="D1348" t="s">
        <v>27</v>
      </c>
      <c r="E1348">
        <v>11</v>
      </c>
      <c r="F1348" s="4" t="s">
        <v>13</v>
      </c>
      <c r="G1348">
        <v>73</v>
      </c>
      <c r="H1348" s="2">
        <v>4551586.6200692104</v>
      </c>
    </row>
    <row r="1349" spans="1:8" x14ac:dyDescent="0.25">
      <c r="A1349" t="s">
        <v>65</v>
      </c>
      <c r="B1349">
        <v>1998</v>
      </c>
      <c r="C1349" t="s">
        <v>3</v>
      </c>
      <c r="D1349" t="s">
        <v>27</v>
      </c>
      <c r="E1349">
        <v>11</v>
      </c>
      <c r="F1349" s="4" t="s">
        <v>13</v>
      </c>
      <c r="G1349">
        <v>80</v>
      </c>
      <c r="H1349" s="2">
        <v>6800752.4819579897</v>
      </c>
    </row>
    <row r="1350" spans="1:8" x14ac:dyDescent="0.25">
      <c r="A1350" t="s">
        <v>66</v>
      </c>
      <c r="B1350">
        <v>1998</v>
      </c>
      <c r="C1350" t="s">
        <v>2</v>
      </c>
      <c r="D1350" t="s">
        <v>27</v>
      </c>
      <c r="E1350">
        <v>11</v>
      </c>
      <c r="F1350" s="4" t="s">
        <v>13</v>
      </c>
      <c r="G1350">
        <v>49</v>
      </c>
      <c r="H1350" s="2">
        <v>3048176.4456057898</v>
      </c>
    </row>
    <row r="1351" spans="1:8" x14ac:dyDescent="0.25">
      <c r="A1351" t="s">
        <v>67</v>
      </c>
      <c r="B1351">
        <v>1998</v>
      </c>
      <c r="C1351" t="s">
        <v>1</v>
      </c>
      <c r="D1351" t="s">
        <v>27</v>
      </c>
      <c r="E1351">
        <v>11</v>
      </c>
      <c r="F1351" s="4" t="s">
        <v>13</v>
      </c>
      <c r="G1351">
        <v>5</v>
      </c>
      <c r="H1351" s="2">
        <v>727932.186330133</v>
      </c>
    </row>
    <row r="1352" spans="1:8" x14ac:dyDescent="0.25">
      <c r="A1352" t="s">
        <v>68</v>
      </c>
      <c r="B1352">
        <v>1998</v>
      </c>
      <c r="C1352" t="s">
        <v>0</v>
      </c>
      <c r="D1352" t="s">
        <v>27</v>
      </c>
      <c r="E1352">
        <v>11</v>
      </c>
      <c r="F1352" s="4" t="s">
        <v>13</v>
      </c>
      <c r="G1352">
        <v>18</v>
      </c>
      <c r="H1352" s="2">
        <v>727932.186330133</v>
      </c>
    </row>
    <row r="1353" spans="1:8" x14ac:dyDescent="0.25">
      <c r="A1353" t="s">
        <v>69</v>
      </c>
      <c r="B1353">
        <v>1999</v>
      </c>
      <c r="C1353" t="s">
        <v>6</v>
      </c>
      <c r="D1353" t="s">
        <v>27</v>
      </c>
      <c r="E1353">
        <v>11</v>
      </c>
      <c r="F1353" s="4" t="s">
        <v>13</v>
      </c>
      <c r="G1353">
        <v>1617</v>
      </c>
      <c r="H1353" s="2">
        <v>2723058.5063810302</v>
      </c>
    </row>
    <row r="1354" spans="1:8" x14ac:dyDescent="0.25">
      <c r="A1354" t="s">
        <v>70</v>
      </c>
      <c r="B1354">
        <v>1999</v>
      </c>
      <c r="C1354" t="s">
        <v>5</v>
      </c>
      <c r="D1354" t="s">
        <v>27</v>
      </c>
      <c r="E1354">
        <v>11</v>
      </c>
      <c r="F1354" s="4" t="s">
        <v>13</v>
      </c>
      <c r="G1354">
        <v>145</v>
      </c>
      <c r="H1354" s="2">
        <v>5362927.5261565903</v>
      </c>
    </row>
    <row r="1355" spans="1:8" x14ac:dyDescent="0.25">
      <c r="A1355" t="s">
        <v>71</v>
      </c>
      <c r="B1355">
        <v>1999</v>
      </c>
      <c r="C1355" t="s">
        <v>4</v>
      </c>
      <c r="D1355" t="s">
        <v>27</v>
      </c>
      <c r="E1355">
        <v>11</v>
      </c>
      <c r="F1355" s="4" t="s">
        <v>13</v>
      </c>
      <c r="G1355">
        <v>77</v>
      </c>
      <c r="H1355" s="2">
        <v>4656740.8733564001</v>
      </c>
    </row>
    <row r="1356" spans="1:8" x14ac:dyDescent="0.25">
      <c r="A1356" t="s">
        <v>72</v>
      </c>
      <c r="B1356">
        <v>1999</v>
      </c>
      <c r="C1356" t="s">
        <v>3</v>
      </c>
      <c r="D1356" t="s">
        <v>27</v>
      </c>
      <c r="E1356">
        <v>11</v>
      </c>
      <c r="F1356" s="4" t="s">
        <v>13</v>
      </c>
      <c r="G1356">
        <v>92</v>
      </c>
      <c r="H1356" s="2">
        <v>6944474.4939860003</v>
      </c>
    </row>
    <row r="1357" spans="1:8" x14ac:dyDescent="0.25">
      <c r="A1357" t="s">
        <v>73</v>
      </c>
      <c r="B1357">
        <v>1999</v>
      </c>
      <c r="C1357" t="s">
        <v>2</v>
      </c>
      <c r="D1357" t="s">
        <v>27</v>
      </c>
      <c r="E1357">
        <v>11</v>
      </c>
      <c r="F1357" s="4" t="s">
        <v>13</v>
      </c>
      <c r="G1357">
        <v>40</v>
      </c>
      <c r="H1357" s="2">
        <v>3155060.14853526</v>
      </c>
    </row>
    <row r="1358" spans="1:8" x14ac:dyDescent="0.25">
      <c r="A1358" t="s">
        <v>74</v>
      </c>
      <c r="B1358">
        <v>1999</v>
      </c>
      <c r="C1358" t="s">
        <v>1</v>
      </c>
      <c r="D1358" t="s">
        <v>27</v>
      </c>
      <c r="E1358">
        <v>11</v>
      </c>
      <c r="F1358" s="4" t="s">
        <v>13</v>
      </c>
      <c r="G1358">
        <v>11</v>
      </c>
      <c r="H1358" s="2">
        <v>741553.72877671104</v>
      </c>
    </row>
    <row r="1359" spans="1:8" x14ac:dyDescent="0.25">
      <c r="A1359" t="s">
        <v>75</v>
      </c>
      <c r="B1359">
        <v>1999</v>
      </c>
      <c r="C1359" t="s">
        <v>0</v>
      </c>
      <c r="D1359" t="s">
        <v>27</v>
      </c>
      <c r="E1359">
        <v>11</v>
      </c>
      <c r="F1359" s="4" t="s">
        <v>13</v>
      </c>
      <c r="G1359">
        <v>14</v>
      </c>
      <c r="H1359" s="2">
        <v>741553.72877671104</v>
      </c>
    </row>
    <row r="1360" spans="1:8" x14ac:dyDescent="0.25">
      <c r="A1360" t="s">
        <v>76</v>
      </c>
      <c r="B1360">
        <v>2000</v>
      </c>
      <c r="C1360" t="s">
        <v>6</v>
      </c>
      <c r="D1360" t="s">
        <v>27</v>
      </c>
      <c r="E1360">
        <v>11</v>
      </c>
      <c r="F1360" s="4" t="s">
        <v>13</v>
      </c>
      <c r="G1360">
        <v>1660</v>
      </c>
      <c r="H1360" s="2">
        <v>2736288</v>
      </c>
    </row>
    <row r="1361" spans="1:8" x14ac:dyDescent="0.25">
      <c r="A1361" t="s">
        <v>77</v>
      </c>
      <c r="B1361">
        <v>2000</v>
      </c>
      <c r="C1361" t="s">
        <v>5</v>
      </c>
      <c r="D1361" t="s">
        <v>27</v>
      </c>
      <c r="E1361">
        <v>11</v>
      </c>
      <c r="F1361" s="4" t="s">
        <v>13</v>
      </c>
      <c r="G1361">
        <v>140</v>
      </c>
      <c r="H1361" s="2">
        <v>5362498</v>
      </c>
    </row>
    <row r="1362" spans="1:8" x14ac:dyDescent="0.25">
      <c r="A1362" t="s">
        <v>78</v>
      </c>
      <c r="B1362">
        <v>2000</v>
      </c>
      <c r="C1362" t="s">
        <v>4</v>
      </c>
      <c r="D1362" t="s">
        <v>27</v>
      </c>
      <c r="E1362">
        <v>11</v>
      </c>
      <c r="F1362" s="4" t="s">
        <v>13</v>
      </c>
      <c r="G1362">
        <v>82</v>
      </c>
      <c r="H1362" s="2">
        <v>4756322</v>
      </c>
    </row>
    <row r="1363" spans="1:8" x14ac:dyDescent="0.25">
      <c r="A1363" t="s">
        <v>79</v>
      </c>
      <c r="B1363">
        <v>2000</v>
      </c>
      <c r="C1363" t="s">
        <v>3</v>
      </c>
      <c r="D1363" t="s">
        <v>27</v>
      </c>
      <c r="E1363">
        <v>11</v>
      </c>
      <c r="F1363" s="4" t="s">
        <v>13</v>
      </c>
      <c r="G1363">
        <v>92</v>
      </c>
      <c r="H1363" s="2">
        <v>7084964</v>
      </c>
    </row>
    <row r="1364" spans="1:8" x14ac:dyDescent="0.25">
      <c r="A1364" t="s">
        <v>80</v>
      </c>
      <c r="B1364">
        <v>2000</v>
      </c>
      <c r="C1364" t="s">
        <v>2</v>
      </c>
      <c r="D1364" t="s">
        <v>27</v>
      </c>
      <c r="E1364">
        <v>11</v>
      </c>
      <c r="F1364" s="4" t="s">
        <v>13</v>
      </c>
      <c r="G1364">
        <v>35</v>
      </c>
      <c r="H1364" s="2">
        <v>3270725</v>
      </c>
    </row>
    <row r="1365" spans="1:8" x14ac:dyDescent="0.25">
      <c r="A1365" t="s">
        <v>81</v>
      </c>
      <c r="B1365">
        <v>2000</v>
      </c>
      <c r="C1365" t="s">
        <v>1</v>
      </c>
      <c r="D1365" t="s">
        <v>27</v>
      </c>
      <c r="E1365">
        <v>11</v>
      </c>
      <c r="F1365" s="4" t="s">
        <v>13</v>
      </c>
      <c r="G1365">
        <v>11</v>
      </c>
      <c r="H1365" s="2">
        <v>757840</v>
      </c>
    </row>
    <row r="1366" spans="1:8" x14ac:dyDescent="0.25">
      <c r="A1366" t="s">
        <v>82</v>
      </c>
      <c r="B1366">
        <v>2000</v>
      </c>
      <c r="C1366" t="s">
        <v>0</v>
      </c>
      <c r="D1366" t="s">
        <v>27</v>
      </c>
      <c r="E1366">
        <v>11</v>
      </c>
      <c r="F1366" s="4" t="s">
        <v>13</v>
      </c>
      <c r="G1366">
        <v>16</v>
      </c>
      <c r="H1366" s="2">
        <v>757840</v>
      </c>
    </row>
    <row r="1367" spans="1:8" x14ac:dyDescent="0.25">
      <c r="A1367" t="s">
        <v>83</v>
      </c>
      <c r="B1367">
        <v>2001</v>
      </c>
      <c r="C1367" t="s">
        <v>6</v>
      </c>
      <c r="D1367" t="s">
        <v>27</v>
      </c>
      <c r="E1367">
        <v>11</v>
      </c>
      <c r="F1367" s="4" t="s">
        <v>13</v>
      </c>
      <c r="G1367">
        <v>1727</v>
      </c>
      <c r="H1367" s="2">
        <v>2747486</v>
      </c>
    </row>
    <row r="1368" spans="1:8" x14ac:dyDescent="0.25">
      <c r="A1368" t="s">
        <v>84</v>
      </c>
      <c r="B1368">
        <v>2001</v>
      </c>
      <c r="C1368" t="s">
        <v>5</v>
      </c>
      <c r="D1368" t="s">
        <v>27</v>
      </c>
      <c r="E1368">
        <v>11</v>
      </c>
      <c r="F1368" s="4" t="s">
        <v>13</v>
      </c>
      <c r="G1368">
        <v>146</v>
      </c>
      <c r="H1368" s="2">
        <v>5361139</v>
      </c>
    </row>
    <row r="1369" spans="1:8" x14ac:dyDescent="0.25">
      <c r="A1369" t="s">
        <v>85</v>
      </c>
      <c r="B1369">
        <v>2001</v>
      </c>
      <c r="C1369" t="s">
        <v>4</v>
      </c>
      <c r="D1369" t="s">
        <v>27</v>
      </c>
      <c r="E1369">
        <v>11</v>
      </c>
      <c r="F1369" s="4" t="s">
        <v>13</v>
      </c>
      <c r="G1369">
        <v>91</v>
      </c>
      <c r="H1369" s="2">
        <v>4849286</v>
      </c>
    </row>
    <row r="1370" spans="1:8" x14ac:dyDescent="0.25">
      <c r="A1370" t="s">
        <v>86</v>
      </c>
      <c r="B1370">
        <v>2001</v>
      </c>
      <c r="C1370" t="s">
        <v>3</v>
      </c>
      <c r="D1370" t="s">
        <v>27</v>
      </c>
      <c r="E1370">
        <v>11</v>
      </c>
      <c r="F1370" s="4" t="s">
        <v>13</v>
      </c>
      <c r="G1370">
        <v>88</v>
      </c>
      <c r="H1370" s="2">
        <v>7223102</v>
      </c>
    </row>
    <row r="1371" spans="1:8" x14ac:dyDescent="0.25">
      <c r="A1371" t="s">
        <v>87</v>
      </c>
      <c r="B1371">
        <v>2001</v>
      </c>
      <c r="C1371" t="s">
        <v>2</v>
      </c>
      <c r="D1371" t="s">
        <v>27</v>
      </c>
      <c r="E1371">
        <v>11</v>
      </c>
      <c r="F1371" s="4" t="s">
        <v>13</v>
      </c>
      <c r="G1371">
        <v>39</v>
      </c>
      <c r="H1371" s="2">
        <v>3394805</v>
      </c>
    </row>
    <row r="1372" spans="1:8" x14ac:dyDescent="0.25">
      <c r="A1372" t="s">
        <v>88</v>
      </c>
      <c r="B1372">
        <v>2001</v>
      </c>
      <c r="C1372" t="s">
        <v>1</v>
      </c>
      <c r="D1372" t="s">
        <v>27</v>
      </c>
      <c r="E1372">
        <v>11</v>
      </c>
      <c r="F1372" s="4" t="s">
        <v>13</v>
      </c>
      <c r="G1372">
        <v>7</v>
      </c>
      <c r="H1372" s="2">
        <v>776376</v>
      </c>
    </row>
    <row r="1373" spans="1:8" x14ac:dyDescent="0.25">
      <c r="A1373" t="s">
        <v>89</v>
      </c>
      <c r="B1373">
        <v>2001</v>
      </c>
      <c r="C1373" t="s">
        <v>0</v>
      </c>
      <c r="D1373" t="s">
        <v>27</v>
      </c>
      <c r="E1373">
        <v>11</v>
      </c>
      <c r="F1373" s="4" t="s">
        <v>13</v>
      </c>
      <c r="G1373">
        <v>10</v>
      </c>
      <c r="H1373" s="2">
        <v>776376</v>
      </c>
    </row>
    <row r="1374" spans="1:8" x14ac:dyDescent="0.25">
      <c r="A1374" t="s">
        <v>90</v>
      </c>
      <c r="B1374">
        <v>2002</v>
      </c>
      <c r="C1374" t="s">
        <v>6</v>
      </c>
      <c r="D1374" t="s">
        <v>27</v>
      </c>
      <c r="E1374">
        <v>11</v>
      </c>
      <c r="F1374" s="4" t="s">
        <v>13</v>
      </c>
      <c r="G1374">
        <v>1714</v>
      </c>
      <c r="H1374" s="2">
        <v>2756879</v>
      </c>
    </row>
    <row r="1375" spans="1:8" x14ac:dyDescent="0.25">
      <c r="A1375" t="s">
        <v>91</v>
      </c>
      <c r="B1375">
        <v>2002</v>
      </c>
      <c r="C1375" t="s">
        <v>5</v>
      </c>
      <c r="D1375" t="s">
        <v>27</v>
      </c>
      <c r="E1375">
        <v>11</v>
      </c>
      <c r="F1375" s="4" t="s">
        <v>13</v>
      </c>
      <c r="G1375">
        <v>137</v>
      </c>
      <c r="H1375" s="2">
        <v>5361107</v>
      </c>
    </row>
    <row r="1376" spans="1:8" x14ac:dyDescent="0.25">
      <c r="A1376" t="s">
        <v>92</v>
      </c>
      <c r="B1376">
        <v>2002</v>
      </c>
      <c r="C1376" t="s">
        <v>4</v>
      </c>
      <c r="D1376" t="s">
        <v>27</v>
      </c>
      <c r="E1376">
        <v>11</v>
      </c>
      <c r="F1376" s="4" t="s">
        <v>13</v>
      </c>
      <c r="G1376">
        <v>100</v>
      </c>
      <c r="H1376" s="2">
        <v>4934568</v>
      </c>
    </row>
    <row r="1377" spans="1:8" x14ac:dyDescent="0.25">
      <c r="A1377" t="s">
        <v>93</v>
      </c>
      <c r="B1377">
        <v>2002</v>
      </c>
      <c r="C1377" t="s">
        <v>3</v>
      </c>
      <c r="D1377" t="s">
        <v>27</v>
      </c>
      <c r="E1377">
        <v>11</v>
      </c>
      <c r="F1377" s="4" t="s">
        <v>13</v>
      </c>
      <c r="G1377">
        <v>85</v>
      </c>
      <c r="H1377" s="2">
        <v>7359839</v>
      </c>
    </row>
    <row r="1378" spans="1:8" x14ac:dyDescent="0.25">
      <c r="A1378" t="s">
        <v>94</v>
      </c>
      <c r="B1378">
        <v>2002</v>
      </c>
      <c r="C1378" t="s">
        <v>2</v>
      </c>
      <c r="D1378" t="s">
        <v>27</v>
      </c>
      <c r="E1378">
        <v>11</v>
      </c>
      <c r="F1378" s="4" t="s">
        <v>13</v>
      </c>
      <c r="G1378">
        <v>48</v>
      </c>
      <c r="H1378" s="2">
        <v>3526909</v>
      </c>
    </row>
    <row r="1379" spans="1:8" x14ac:dyDescent="0.25">
      <c r="A1379" t="s">
        <v>95</v>
      </c>
      <c r="B1379">
        <v>2002</v>
      </c>
      <c r="C1379" t="s">
        <v>1</v>
      </c>
      <c r="D1379" t="s">
        <v>27</v>
      </c>
      <c r="E1379">
        <v>11</v>
      </c>
      <c r="F1379" s="4" t="s">
        <v>13</v>
      </c>
      <c r="G1379">
        <v>7</v>
      </c>
      <c r="H1379" s="2">
        <v>796712</v>
      </c>
    </row>
    <row r="1380" spans="1:8" x14ac:dyDescent="0.25">
      <c r="A1380" t="s">
        <v>96</v>
      </c>
      <c r="B1380">
        <v>2002</v>
      </c>
      <c r="C1380" t="s">
        <v>0</v>
      </c>
      <c r="D1380" t="s">
        <v>27</v>
      </c>
      <c r="E1380">
        <v>11</v>
      </c>
      <c r="F1380" s="4" t="s">
        <v>13</v>
      </c>
      <c r="G1380">
        <v>23</v>
      </c>
      <c r="H1380" s="2">
        <v>796712</v>
      </c>
    </row>
    <row r="1381" spans="1:8" x14ac:dyDescent="0.25">
      <c r="A1381" t="s">
        <v>97</v>
      </c>
      <c r="B1381">
        <v>2003</v>
      </c>
      <c r="C1381" t="s">
        <v>6</v>
      </c>
      <c r="D1381" t="s">
        <v>27</v>
      </c>
      <c r="E1381">
        <v>11</v>
      </c>
      <c r="F1381" s="4" t="s">
        <v>13</v>
      </c>
      <c r="G1381">
        <v>1677</v>
      </c>
      <c r="H1381" s="2">
        <v>2764684</v>
      </c>
    </row>
    <row r="1382" spans="1:8" x14ac:dyDescent="0.25">
      <c r="A1382" t="s">
        <v>98</v>
      </c>
      <c r="B1382">
        <v>2003</v>
      </c>
      <c r="C1382" t="s">
        <v>5</v>
      </c>
      <c r="D1382" t="s">
        <v>27</v>
      </c>
      <c r="E1382">
        <v>11</v>
      </c>
      <c r="F1382" s="4" t="s">
        <v>13</v>
      </c>
      <c r="G1382">
        <v>134</v>
      </c>
      <c r="H1382" s="2">
        <v>5364597</v>
      </c>
    </row>
    <row r="1383" spans="1:8" x14ac:dyDescent="0.25">
      <c r="A1383" t="s">
        <v>99</v>
      </c>
      <c r="B1383">
        <v>2003</v>
      </c>
      <c r="C1383" t="s">
        <v>4</v>
      </c>
      <c r="D1383" t="s">
        <v>27</v>
      </c>
      <c r="E1383">
        <v>11</v>
      </c>
      <c r="F1383" s="4" t="s">
        <v>13</v>
      </c>
      <c r="G1383">
        <v>100</v>
      </c>
      <c r="H1383" s="2">
        <v>5011124</v>
      </c>
    </row>
    <row r="1384" spans="1:8" x14ac:dyDescent="0.25">
      <c r="A1384" t="s">
        <v>100</v>
      </c>
      <c r="B1384">
        <v>2003</v>
      </c>
      <c r="C1384" t="s">
        <v>3</v>
      </c>
      <c r="D1384" t="s">
        <v>27</v>
      </c>
      <c r="E1384">
        <v>11</v>
      </c>
      <c r="F1384" s="4" t="s">
        <v>13</v>
      </c>
      <c r="G1384">
        <v>106</v>
      </c>
      <c r="H1384" s="2">
        <v>7496056</v>
      </c>
    </row>
    <row r="1385" spans="1:8" x14ac:dyDescent="0.25">
      <c r="A1385" t="s">
        <v>101</v>
      </c>
      <c r="B1385">
        <v>2003</v>
      </c>
      <c r="C1385" t="s">
        <v>2</v>
      </c>
      <c r="D1385" t="s">
        <v>27</v>
      </c>
      <c r="E1385">
        <v>11</v>
      </c>
      <c r="F1385" s="4" t="s">
        <v>13</v>
      </c>
      <c r="G1385">
        <v>56</v>
      </c>
      <c r="H1385" s="2">
        <v>3666671</v>
      </c>
    </row>
    <row r="1386" spans="1:8" x14ac:dyDescent="0.25">
      <c r="A1386" t="s">
        <v>102</v>
      </c>
      <c r="B1386">
        <v>2003</v>
      </c>
      <c r="C1386" t="s">
        <v>1</v>
      </c>
      <c r="D1386" t="s">
        <v>27</v>
      </c>
      <c r="E1386">
        <v>11</v>
      </c>
      <c r="F1386" s="4" t="s">
        <v>13</v>
      </c>
      <c r="G1386">
        <v>11</v>
      </c>
      <c r="H1386" s="2">
        <v>818433</v>
      </c>
    </row>
    <row r="1387" spans="1:8" x14ac:dyDescent="0.25">
      <c r="A1387" t="s">
        <v>103</v>
      </c>
      <c r="B1387">
        <v>2003</v>
      </c>
      <c r="C1387" t="s">
        <v>0</v>
      </c>
      <c r="D1387" t="s">
        <v>27</v>
      </c>
      <c r="E1387">
        <v>11</v>
      </c>
      <c r="F1387" s="4" t="s">
        <v>13</v>
      </c>
      <c r="G1387">
        <v>36</v>
      </c>
      <c r="H1387" s="2">
        <v>818433</v>
      </c>
    </row>
    <row r="1388" spans="1:8" x14ac:dyDescent="0.25">
      <c r="A1388" t="s">
        <v>104</v>
      </c>
      <c r="B1388">
        <v>2004</v>
      </c>
      <c r="C1388" t="s">
        <v>6</v>
      </c>
      <c r="D1388" t="s">
        <v>27</v>
      </c>
      <c r="E1388">
        <v>11</v>
      </c>
      <c r="F1388" s="4" t="s">
        <v>13</v>
      </c>
      <c r="G1388">
        <v>1742</v>
      </c>
      <c r="H1388" s="2">
        <v>2770821</v>
      </c>
    </row>
    <row r="1389" spans="1:8" x14ac:dyDescent="0.25">
      <c r="A1389" t="s">
        <v>105</v>
      </c>
      <c r="B1389">
        <v>2004</v>
      </c>
      <c r="C1389" t="s">
        <v>5</v>
      </c>
      <c r="D1389" t="s">
        <v>27</v>
      </c>
      <c r="E1389">
        <v>11</v>
      </c>
      <c r="F1389" s="4" t="s">
        <v>13</v>
      </c>
      <c r="G1389">
        <v>143</v>
      </c>
      <c r="H1389" s="2">
        <v>5372677</v>
      </c>
    </row>
    <row r="1390" spans="1:8" x14ac:dyDescent="0.25">
      <c r="A1390" t="s">
        <v>106</v>
      </c>
      <c r="B1390">
        <v>2004</v>
      </c>
      <c r="C1390" t="s">
        <v>4</v>
      </c>
      <c r="D1390" t="s">
        <v>27</v>
      </c>
      <c r="E1390">
        <v>11</v>
      </c>
      <c r="F1390" s="4" t="s">
        <v>13</v>
      </c>
      <c r="G1390">
        <v>98</v>
      </c>
      <c r="H1390" s="2">
        <v>5078223</v>
      </c>
    </row>
    <row r="1391" spans="1:8" x14ac:dyDescent="0.25">
      <c r="A1391" t="s">
        <v>107</v>
      </c>
      <c r="B1391">
        <v>2004</v>
      </c>
      <c r="C1391" t="s">
        <v>3</v>
      </c>
      <c r="D1391" t="s">
        <v>27</v>
      </c>
      <c r="E1391">
        <v>11</v>
      </c>
      <c r="F1391" s="4" t="s">
        <v>13</v>
      </c>
      <c r="G1391">
        <v>77</v>
      </c>
      <c r="H1391" s="2">
        <v>7631406</v>
      </c>
    </row>
    <row r="1392" spans="1:8" x14ac:dyDescent="0.25">
      <c r="A1392" t="s">
        <v>108</v>
      </c>
      <c r="B1392">
        <v>2004</v>
      </c>
      <c r="C1392" t="s">
        <v>2</v>
      </c>
      <c r="D1392" t="s">
        <v>27</v>
      </c>
      <c r="E1392">
        <v>11</v>
      </c>
      <c r="F1392" s="4" t="s">
        <v>13</v>
      </c>
      <c r="G1392">
        <v>43</v>
      </c>
      <c r="H1392" s="2">
        <v>3814359</v>
      </c>
    </row>
    <row r="1393" spans="1:8" x14ac:dyDescent="0.25">
      <c r="A1393" t="s">
        <v>109</v>
      </c>
      <c r="B1393">
        <v>2004</v>
      </c>
      <c r="C1393" t="s">
        <v>1</v>
      </c>
      <c r="D1393" t="s">
        <v>27</v>
      </c>
      <c r="E1393">
        <v>11</v>
      </c>
      <c r="F1393" s="4" t="s">
        <v>13</v>
      </c>
      <c r="G1393">
        <v>9</v>
      </c>
      <c r="H1393" s="2">
        <v>841739</v>
      </c>
    </row>
    <row r="1394" spans="1:8" x14ac:dyDescent="0.25">
      <c r="A1394" t="s">
        <v>110</v>
      </c>
      <c r="B1394">
        <v>2004</v>
      </c>
      <c r="C1394" t="s">
        <v>0</v>
      </c>
      <c r="D1394" t="s">
        <v>27</v>
      </c>
      <c r="E1394">
        <v>11</v>
      </c>
      <c r="F1394" s="4" t="s">
        <v>13</v>
      </c>
      <c r="G1394">
        <v>20</v>
      </c>
      <c r="H1394" s="2">
        <v>841739</v>
      </c>
    </row>
    <row r="1395" spans="1:8" x14ac:dyDescent="0.25">
      <c r="A1395" t="s">
        <v>111</v>
      </c>
      <c r="B1395">
        <v>2005</v>
      </c>
      <c r="C1395" t="s">
        <v>6</v>
      </c>
      <c r="D1395" t="s">
        <v>27</v>
      </c>
      <c r="E1395">
        <v>11</v>
      </c>
      <c r="F1395" s="4" t="s">
        <v>13</v>
      </c>
      <c r="G1395">
        <v>1761</v>
      </c>
      <c r="H1395" s="2">
        <v>2774961</v>
      </c>
    </row>
    <row r="1396" spans="1:8" x14ac:dyDescent="0.25">
      <c r="A1396" t="s">
        <v>112</v>
      </c>
      <c r="B1396">
        <v>2005</v>
      </c>
      <c r="C1396" t="s">
        <v>5</v>
      </c>
      <c r="D1396" t="s">
        <v>27</v>
      </c>
      <c r="E1396">
        <v>11</v>
      </c>
      <c r="F1396" s="4" t="s">
        <v>13</v>
      </c>
      <c r="G1396">
        <v>144</v>
      </c>
      <c r="H1396" s="2">
        <v>5386812</v>
      </c>
    </row>
    <row r="1397" spans="1:8" x14ac:dyDescent="0.25">
      <c r="A1397" t="s">
        <v>113</v>
      </c>
      <c r="B1397">
        <v>2005</v>
      </c>
      <c r="C1397" t="s">
        <v>4</v>
      </c>
      <c r="D1397" t="s">
        <v>27</v>
      </c>
      <c r="E1397">
        <v>11</v>
      </c>
      <c r="F1397" s="4" t="s">
        <v>13</v>
      </c>
      <c r="G1397">
        <v>123</v>
      </c>
      <c r="H1397" s="2">
        <v>5134473</v>
      </c>
    </row>
    <row r="1398" spans="1:8" x14ac:dyDescent="0.25">
      <c r="A1398" t="s">
        <v>114</v>
      </c>
      <c r="B1398">
        <v>2005</v>
      </c>
      <c r="C1398" t="s">
        <v>3</v>
      </c>
      <c r="D1398" t="s">
        <v>27</v>
      </c>
      <c r="E1398">
        <v>11</v>
      </c>
      <c r="F1398" s="4" t="s">
        <v>13</v>
      </c>
      <c r="G1398">
        <v>91</v>
      </c>
      <c r="H1398" s="2">
        <v>7765159</v>
      </c>
    </row>
    <row r="1399" spans="1:8" x14ac:dyDescent="0.25">
      <c r="A1399" t="s">
        <v>115</v>
      </c>
      <c r="B1399">
        <v>2005</v>
      </c>
      <c r="C1399" t="s">
        <v>2</v>
      </c>
      <c r="D1399" t="s">
        <v>27</v>
      </c>
      <c r="E1399">
        <v>11</v>
      </c>
      <c r="F1399" s="4" t="s">
        <v>13</v>
      </c>
      <c r="G1399">
        <v>39</v>
      </c>
      <c r="H1399" s="2">
        <v>3970997</v>
      </c>
    </row>
    <row r="1400" spans="1:8" x14ac:dyDescent="0.25">
      <c r="A1400" t="s">
        <v>116</v>
      </c>
      <c r="B1400">
        <v>2005</v>
      </c>
      <c r="C1400" t="s">
        <v>1</v>
      </c>
      <c r="D1400" t="s">
        <v>27</v>
      </c>
      <c r="E1400">
        <v>11</v>
      </c>
      <c r="F1400" s="4" t="s">
        <v>13</v>
      </c>
      <c r="G1400">
        <v>7</v>
      </c>
      <c r="H1400" s="2">
        <v>866819</v>
      </c>
    </row>
    <row r="1401" spans="1:8" x14ac:dyDescent="0.25">
      <c r="A1401" t="s">
        <v>117</v>
      </c>
      <c r="B1401">
        <v>2005</v>
      </c>
      <c r="C1401" t="s">
        <v>0</v>
      </c>
      <c r="D1401" t="s">
        <v>27</v>
      </c>
      <c r="E1401">
        <v>11</v>
      </c>
      <c r="F1401" s="4" t="s">
        <v>13</v>
      </c>
      <c r="G1401">
        <v>19</v>
      </c>
      <c r="H1401" s="2">
        <v>866819</v>
      </c>
    </row>
    <row r="1402" spans="1:8" x14ac:dyDescent="0.25">
      <c r="A1402" t="s">
        <v>118</v>
      </c>
      <c r="B1402">
        <v>2006</v>
      </c>
      <c r="C1402" t="s">
        <v>6</v>
      </c>
      <c r="D1402" t="s">
        <v>27</v>
      </c>
      <c r="E1402">
        <v>11</v>
      </c>
      <c r="F1402" s="4" t="s">
        <v>13</v>
      </c>
      <c r="G1402">
        <v>1768</v>
      </c>
      <c r="H1402" s="2">
        <v>2777568</v>
      </c>
    </row>
    <row r="1403" spans="1:8" x14ac:dyDescent="0.25">
      <c r="A1403" t="s">
        <v>119</v>
      </c>
      <c r="B1403">
        <v>2006</v>
      </c>
      <c r="C1403" t="s">
        <v>5</v>
      </c>
      <c r="D1403" t="s">
        <v>27</v>
      </c>
      <c r="E1403">
        <v>11</v>
      </c>
      <c r="F1403" s="4" t="s">
        <v>13</v>
      </c>
      <c r="G1403">
        <v>160</v>
      </c>
      <c r="H1403" s="2">
        <v>5407717</v>
      </c>
    </row>
    <row r="1404" spans="1:8" x14ac:dyDescent="0.25">
      <c r="A1404" t="s">
        <v>120</v>
      </c>
      <c r="B1404">
        <v>2006</v>
      </c>
      <c r="C1404" t="s">
        <v>4</v>
      </c>
      <c r="D1404" t="s">
        <v>27</v>
      </c>
      <c r="E1404">
        <v>11</v>
      </c>
      <c r="F1404" s="4" t="s">
        <v>13</v>
      </c>
      <c r="G1404">
        <v>107</v>
      </c>
      <c r="H1404" s="2">
        <v>5178861</v>
      </c>
    </row>
    <row r="1405" spans="1:8" x14ac:dyDescent="0.25">
      <c r="A1405" t="s">
        <v>121</v>
      </c>
      <c r="B1405">
        <v>2006</v>
      </c>
      <c r="C1405" t="s">
        <v>3</v>
      </c>
      <c r="D1405" t="s">
        <v>27</v>
      </c>
      <c r="E1405">
        <v>11</v>
      </c>
      <c r="F1405" s="4" t="s">
        <v>13</v>
      </c>
      <c r="G1405">
        <v>92</v>
      </c>
      <c r="H1405" s="2">
        <v>7897108</v>
      </c>
    </row>
    <row r="1406" spans="1:8" x14ac:dyDescent="0.25">
      <c r="A1406" t="s">
        <v>122</v>
      </c>
      <c r="B1406">
        <v>2006</v>
      </c>
      <c r="C1406" t="s">
        <v>2</v>
      </c>
      <c r="D1406" t="s">
        <v>27</v>
      </c>
      <c r="E1406">
        <v>11</v>
      </c>
      <c r="F1406" s="4" t="s">
        <v>13</v>
      </c>
      <c r="G1406">
        <v>44</v>
      </c>
      <c r="H1406" s="2">
        <v>4136588</v>
      </c>
    </row>
    <row r="1407" spans="1:8" x14ac:dyDescent="0.25">
      <c r="A1407" t="s">
        <v>123</v>
      </c>
      <c r="B1407">
        <v>2006</v>
      </c>
      <c r="C1407" t="s">
        <v>1</v>
      </c>
      <c r="D1407" t="s">
        <v>27</v>
      </c>
      <c r="E1407">
        <v>11</v>
      </c>
      <c r="F1407" s="4" t="s">
        <v>13</v>
      </c>
      <c r="G1407">
        <v>12</v>
      </c>
      <c r="H1407" s="2">
        <v>893794</v>
      </c>
    </row>
    <row r="1408" spans="1:8" x14ac:dyDescent="0.25">
      <c r="A1408" t="s">
        <v>124</v>
      </c>
      <c r="B1408">
        <v>2006</v>
      </c>
      <c r="C1408" t="s">
        <v>0</v>
      </c>
      <c r="D1408" t="s">
        <v>27</v>
      </c>
      <c r="E1408">
        <v>11</v>
      </c>
      <c r="F1408" s="4" t="s">
        <v>13</v>
      </c>
      <c r="G1408">
        <v>29</v>
      </c>
      <c r="H1408" s="2">
        <v>893794</v>
      </c>
    </row>
    <row r="1409" spans="1:8" x14ac:dyDescent="0.25">
      <c r="A1409" t="s">
        <v>125</v>
      </c>
      <c r="B1409">
        <v>2007</v>
      </c>
      <c r="C1409" t="s">
        <v>6</v>
      </c>
      <c r="D1409" t="s">
        <v>27</v>
      </c>
      <c r="E1409">
        <v>11</v>
      </c>
      <c r="F1409" s="4" t="s">
        <v>13</v>
      </c>
      <c r="G1409">
        <v>1801</v>
      </c>
      <c r="H1409" s="2">
        <v>2778731</v>
      </c>
    </row>
    <row r="1410" spans="1:8" x14ac:dyDescent="0.25">
      <c r="A1410" t="s">
        <v>126</v>
      </c>
      <c r="B1410">
        <v>2007</v>
      </c>
      <c r="C1410" t="s">
        <v>5</v>
      </c>
      <c r="D1410" t="s">
        <v>27</v>
      </c>
      <c r="E1410">
        <v>11</v>
      </c>
      <c r="F1410" s="4" t="s">
        <v>13</v>
      </c>
      <c r="G1410">
        <v>145</v>
      </c>
      <c r="H1410" s="2">
        <v>5427910</v>
      </c>
    </row>
    <row r="1411" spans="1:8" x14ac:dyDescent="0.25">
      <c r="A1411" t="s">
        <v>127</v>
      </c>
      <c r="B1411">
        <v>2007</v>
      </c>
      <c r="C1411" t="s">
        <v>4</v>
      </c>
      <c r="D1411" t="s">
        <v>27</v>
      </c>
      <c r="E1411">
        <v>11</v>
      </c>
      <c r="F1411" s="4" t="s">
        <v>13</v>
      </c>
      <c r="G1411">
        <v>81</v>
      </c>
      <c r="H1411" s="2">
        <v>5216537</v>
      </c>
    </row>
    <row r="1412" spans="1:8" x14ac:dyDescent="0.25">
      <c r="A1412" t="s">
        <v>128</v>
      </c>
      <c r="B1412">
        <v>2007</v>
      </c>
      <c r="C1412" t="s">
        <v>3</v>
      </c>
      <c r="D1412" t="s">
        <v>27</v>
      </c>
      <c r="E1412">
        <v>11</v>
      </c>
      <c r="F1412" s="4" t="s">
        <v>13</v>
      </c>
      <c r="G1412">
        <v>77</v>
      </c>
      <c r="H1412" s="2">
        <v>8032843</v>
      </c>
    </row>
    <row r="1413" spans="1:8" x14ac:dyDescent="0.25">
      <c r="A1413" t="s">
        <v>129</v>
      </c>
      <c r="B1413">
        <v>2007</v>
      </c>
      <c r="C1413" t="s">
        <v>2</v>
      </c>
      <c r="D1413" t="s">
        <v>27</v>
      </c>
      <c r="E1413">
        <v>11</v>
      </c>
      <c r="F1413" s="4" t="s">
        <v>13</v>
      </c>
      <c r="G1413">
        <v>50</v>
      </c>
      <c r="H1413" s="2">
        <v>4307510</v>
      </c>
    </row>
    <row r="1414" spans="1:8" x14ac:dyDescent="0.25">
      <c r="A1414" t="s">
        <v>130</v>
      </c>
      <c r="B1414">
        <v>2007</v>
      </c>
      <c r="C1414" t="s">
        <v>1</v>
      </c>
      <c r="D1414" t="s">
        <v>27</v>
      </c>
      <c r="E1414">
        <v>11</v>
      </c>
      <c r="F1414" s="4" t="s">
        <v>13</v>
      </c>
      <c r="G1414">
        <v>15</v>
      </c>
      <c r="H1414" s="2">
        <v>922773</v>
      </c>
    </row>
    <row r="1415" spans="1:8" x14ac:dyDescent="0.25">
      <c r="A1415" t="s">
        <v>131</v>
      </c>
      <c r="B1415">
        <v>2007</v>
      </c>
      <c r="C1415" t="s">
        <v>0</v>
      </c>
      <c r="D1415" t="s">
        <v>27</v>
      </c>
      <c r="E1415">
        <v>11</v>
      </c>
      <c r="F1415" s="4" t="s">
        <v>13</v>
      </c>
      <c r="G1415">
        <v>41</v>
      </c>
      <c r="H1415" s="2">
        <v>922773</v>
      </c>
    </row>
    <row r="1416" spans="1:8" x14ac:dyDescent="0.25">
      <c r="A1416" t="s">
        <v>132</v>
      </c>
      <c r="B1416">
        <v>2008</v>
      </c>
      <c r="C1416" t="s">
        <v>6</v>
      </c>
      <c r="D1416" t="s">
        <v>27</v>
      </c>
      <c r="E1416">
        <v>11</v>
      </c>
      <c r="F1416" s="4" t="s">
        <v>13</v>
      </c>
      <c r="G1416">
        <v>1766</v>
      </c>
      <c r="H1416" s="2">
        <v>2778239</v>
      </c>
    </row>
    <row r="1417" spans="1:8" x14ac:dyDescent="0.25">
      <c r="A1417" t="s">
        <v>133</v>
      </c>
      <c r="B1417">
        <v>2008</v>
      </c>
      <c r="C1417" t="s">
        <v>5</v>
      </c>
      <c r="D1417" t="s">
        <v>27</v>
      </c>
      <c r="E1417">
        <v>11</v>
      </c>
      <c r="F1417" s="4" t="s">
        <v>13</v>
      </c>
      <c r="G1417">
        <v>132</v>
      </c>
      <c r="H1417" s="2">
        <v>5448390</v>
      </c>
    </row>
    <row r="1418" spans="1:8" x14ac:dyDescent="0.25">
      <c r="A1418" t="s">
        <v>134</v>
      </c>
      <c r="B1418">
        <v>2008</v>
      </c>
      <c r="C1418" t="s">
        <v>4</v>
      </c>
      <c r="D1418" t="s">
        <v>27</v>
      </c>
      <c r="E1418">
        <v>11</v>
      </c>
      <c r="F1418" s="4" t="s">
        <v>13</v>
      </c>
      <c r="G1418">
        <v>91</v>
      </c>
      <c r="H1418" s="2">
        <v>5246997</v>
      </c>
    </row>
    <row r="1419" spans="1:8" x14ac:dyDescent="0.25">
      <c r="A1419" t="s">
        <v>135</v>
      </c>
      <c r="B1419">
        <v>2008</v>
      </c>
      <c r="C1419" t="s">
        <v>3</v>
      </c>
      <c r="D1419" t="s">
        <v>27</v>
      </c>
      <c r="E1419">
        <v>11</v>
      </c>
      <c r="F1419" s="4" t="s">
        <v>13</v>
      </c>
      <c r="G1419">
        <v>101</v>
      </c>
      <c r="H1419" s="2">
        <v>8172306</v>
      </c>
    </row>
    <row r="1420" spans="1:8" x14ac:dyDescent="0.25">
      <c r="A1420" t="s">
        <v>136</v>
      </c>
      <c r="B1420">
        <v>2008</v>
      </c>
      <c r="C1420" t="s">
        <v>2</v>
      </c>
      <c r="D1420" t="s">
        <v>27</v>
      </c>
      <c r="E1420">
        <v>11</v>
      </c>
      <c r="F1420" s="4" t="s">
        <v>13</v>
      </c>
      <c r="G1420">
        <v>51</v>
      </c>
      <c r="H1420" s="2">
        <v>4483302</v>
      </c>
    </row>
    <row r="1421" spans="1:8" x14ac:dyDescent="0.25">
      <c r="A1421" t="s">
        <v>137</v>
      </c>
      <c r="B1421">
        <v>2008</v>
      </c>
      <c r="C1421" t="s">
        <v>1</v>
      </c>
      <c r="D1421" t="s">
        <v>27</v>
      </c>
      <c r="E1421">
        <v>11</v>
      </c>
      <c r="F1421" s="4" t="s">
        <v>13</v>
      </c>
      <c r="G1421">
        <v>10</v>
      </c>
      <c r="H1421" s="2">
        <v>953869</v>
      </c>
    </row>
    <row r="1422" spans="1:8" x14ac:dyDescent="0.25">
      <c r="A1422" t="s">
        <v>138</v>
      </c>
      <c r="B1422">
        <v>2008</v>
      </c>
      <c r="C1422" t="s">
        <v>0</v>
      </c>
      <c r="D1422" t="s">
        <v>27</v>
      </c>
      <c r="E1422">
        <v>11</v>
      </c>
      <c r="F1422" s="4" t="s">
        <v>13</v>
      </c>
      <c r="G1422">
        <v>7</v>
      </c>
      <c r="H1422" s="2">
        <v>953869</v>
      </c>
    </row>
    <row r="1423" spans="1:8" x14ac:dyDescent="0.25">
      <c r="A1423" t="s">
        <v>139</v>
      </c>
      <c r="B1423">
        <v>2009</v>
      </c>
      <c r="C1423" t="s">
        <v>6</v>
      </c>
      <c r="D1423" t="s">
        <v>27</v>
      </c>
      <c r="E1423">
        <v>11</v>
      </c>
      <c r="F1423" s="4" t="s">
        <v>13</v>
      </c>
      <c r="G1423">
        <v>1767</v>
      </c>
      <c r="H1423" s="2">
        <v>2775920</v>
      </c>
    </row>
    <row r="1424" spans="1:8" x14ac:dyDescent="0.25">
      <c r="A1424" t="s">
        <v>140</v>
      </c>
      <c r="B1424">
        <v>2009</v>
      </c>
      <c r="C1424" t="s">
        <v>5</v>
      </c>
      <c r="D1424" t="s">
        <v>27</v>
      </c>
      <c r="E1424">
        <v>11</v>
      </c>
      <c r="F1424" s="4" t="s">
        <v>13</v>
      </c>
      <c r="G1424">
        <v>120</v>
      </c>
      <c r="H1424" s="2">
        <v>5469822</v>
      </c>
    </row>
    <row r="1425" spans="1:8" x14ac:dyDescent="0.25">
      <c r="A1425" t="s">
        <v>141</v>
      </c>
      <c r="B1425">
        <v>2009</v>
      </c>
      <c r="C1425" t="s">
        <v>4</v>
      </c>
      <c r="D1425" t="s">
        <v>27</v>
      </c>
      <c r="E1425">
        <v>11</v>
      </c>
      <c r="F1425" s="4" t="s">
        <v>13</v>
      </c>
      <c r="G1425">
        <v>102</v>
      </c>
      <c r="H1425" s="2">
        <v>5270463</v>
      </c>
    </row>
    <row r="1426" spans="1:8" x14ac:dyDescent="0.25">
      <c r="A1426" t="s">
        <v>142</v>
      </c>
      <c r="B1426">
        <v>2009</v>
      </c>
      <c r="C1426" t="s">
        <v>3</v>
      </c>
      <c r="D1426" t="s">
        <v>27</v>
      </c>
      <c r="E1426">
        <v>11</v>
      </c>
      <c r="F1426" s="4" t="s">
        <v>13</v>
      </c>
      <c r="G1426">
        <v>86</v>
      </c>
      <c r="H1426" s="2">
        <v>8314639</v>
      </c>
    </row>
    <row r="1427" spans="1:8" x14ac:dyDescent="0.25">
      <c r="A1427" t="s">
        <v>143</v>
      </c>
      <c r="B1427">
        <v>2009</v>
      </c>
      <c r="C1427" t="s">
        <v>2</v>
      </c>
      <c r="D1427" t="s">
        <v>27</v>
      </c>
      <c r="E1427">
        <v>11</v>
      </c>
      <c r="F1427" s="4" t="s">
        <v>13</v>
      </c>
      <c r="G1427">
        <v>50</v>
      </c>
      <c r="H1427" s="2">
        <v>4663733</v>
      </c>
    </row>
    <row r="1428" spans="1:8" x14ac:dyDescent="0.25">
      <c r="A1428" t="s">
        <v>144</v>
      </c>
      <c r="B1428">
        <v>2009</v>
      </c>
      <c r="C1428" t="s">
        <v>1</v>
      </c>
      <c r="D1428" t="s">
        <v>27</v>
      </c>
      <c r="E1428">
        <v>11</v>
      </c>
      <c r="F1428" s="4" t="s">
        <v>13</v>
      </c>
      <c r="G1428">
        <v>12</v>
      </c>
      <c r="H1428" s="2">
        <v>987212</v>
      </c>
    </row>
    <row r="1429" spans="1:8" x14ac:dyDescent="0.25">
      <c r="A1429" t="s">
        <v>145</v>
      </c>
      <c r="B1429">
        <v>2009</v>
      </c>
      <c r="C1429" t="s">
        <v>0</v>
      </c>
      <c r="D1429" t="s">
        <v>27</v>
      </c>
      <c r="E1429">
        <v>11</v>
      </c>
      <c r="F1429" s="4" t="s">
        <v>13</v>
      </c>
      <c r="G1429">
        <v>8</v>
      </c>
      <c r="H1429" s="2">
        <v>987212</v>
      </c>
    </row>
    <row r="1430" spans="1:8" x14ac:dyDescent="0.25">
      <c r="A1430" t="s">
        <v>146</v>
      </c>
      <c r="B1430">
        <v>2010</v>
      </c>
      <c r="C1430" t="s">
        <v>6</v>
      </c>
      <c r="D1430" t="s">
        <v>27</v>
      </c>
      <c r="E1430">
        <v>11</v>
      </c>
      <c r="F1430" s="4" t="s">
        <v>13</v>
      </c>
      <c r="G1430">
        <v>1962</v>
      </c>
      <c r="H1430" s="2">
        <v>2771760</v>
      </c>
    </row>
    <row r="1431" spans="1:8" x14ac:dyDescent="0.25">
      <c r="A1431" t="s">
        <v>147</v>
      </c>
      <c r="B1431">
        <v>2010</v>
      </c>
      <c r="C1431" t="s">
        <v>5</v>
      </c>
      <c r="D1431" t="s">
        <v>27</v>
      </c>
      <c r="E1431">
        <v>11</v>
      </c>
      <c r="F1431" s="4" t="s">
        <v>13</v>
      </c>
      <c r="G1431">
        <v>128</v>
      </c>
      <c r="H1431" s="2">
        <v>5492408</v>
      </c>
    </row>
    <row r="1432" spans="1:8" x14ac:dyDescent="0.25">
      <c r="A1432" t="s">
        <v>148</v>
      </c>
      <c r="B1432">
        <v>2010</v>
      </c>
      <c r="C1432" t="s">
        <v>4</v>
      </c>
      <c r="D1432" t="s">
        <v>27</v>
      </c>
      <c r="E1432">
        <v>11</v>
      </c>
      <c r="F1432" s="4" t="s">
        <v>13</v>
      </c>
      <c r="G1432">
        <v>100</v>
      </c>
      <c r="H1432" s="2">
        <v>5286720</v>
      </c>
    </row>
    <row r="1433" spans="1:8" x14ac:dyDescent="0.25">
      <c r="A1433" t="s">
        <v>149</v>
      </c>
      <c r="B1433">
        <v>2010</v>
      </c>
      <c r="C1433" t="s">
        <v>3</v>
      </c>
      <c r="D1433" t="s">
        <v>27</v>
      </c>
      <c r="E1433">
        <v>11</v>
      </c>
      <c r="F1433" s="4" t="s">
        <v>13</v>
      </c>
      <c r="G1433">
        <v>111</v>
      </c>
      <c r="H1433" s="2">
        <v>8458444</v>
      </c>
    </row>
    <row r="1434" spans="1:8" x14ac:dyDescent="0.25">
      <c r="A1434" t="s">
        <v>150</v>
      </c>
      <c r="B1434">
        <v>2010</v>
      </c>
      <c r="C1434" t="s">
        <v>2</v>
      </c>
      <c r="D1434" t="s">
        <v>27</v>
      </c>
      <c r="E1434">
        <v>11</v>
      </c>
      <c r="F1434" s="4" t="s">
        <v>13</v>
      </c>
      <c r="G1434">
        <v>66</v>
      </c>
      <c r="H1434" s="2">
        <v>4849717</v>
      </c>
    </row>
    <row r="1435" spans="1:8" x14ac:dyDescent="0.25">
      <c r="A1435" t="s">
        <v>151</v>
      </c>
      <c r="B1435">
        <v>2010</v>
      </c>
      <c r="C1435" t="s">
        <v>1</v>
      </c>
      <c r="D1435" t="s">
        <v>27</v>
      </c>
      <c r="E1435">
        <v>11</v>
      </c>
      <c r="F1435" s="4" t="s">
        <v>13</v>
      </c>
      <c r="G1435">
        <v>13</v>
      </c>
      <c r="H1435" s="2">
        <v>1022974</v>
      </c>
    </row>
    <row r="1436" spans="1:8" x14ac:dyDescent="0.25">
      <c r="A1436" t="s">
        <v>152</v>
      </c>
      <c r="B1436">
        <v>2010</v>
      </c>
      <c r="C1436" t="s">
        <v>0</v>
      </c>
      <c r="D1436" t="s">
        <v>27</v>
      </c>
      <c r="E1436">
        <v>11</v>
      </c>
      <c r="F1436" s="4" t="s">
        <v>13</v>
      </c>
      <c r="G1436">
        <v>12</v>
      </c>
      <c r="H1436" s="2">
        <v>1022974</v>
      </c>
    </row>
    <row r="1437" spans="1:8" x14ac:dyDescent="0.25">
      <c r="A1437" t="s">
        <v>153</v>
      </c>
      <c r="B1437">
        <v>2011</v>
      </c>
      <c r="C1437" t="s">
        <v>6</v>
      </c>
      <c r="D1437" t="s">
        <v>27</v>
      </c>
      <c r="E1437">
        <v>11</v>
      </c>
      <c r="F1437" s="4" t="s">
        <v>13</v>
      </c>
      <c r="G1437">
        <v>1886</v>
      </c>
      <c r="H1437" s="2">
        <v>2765898</v>
      </c>
    </row>
    <row r="1438" spans="1:8" x14ac:dyDescent="0.25">
      <c r="A1438" t="s">
        <v>154</v>
      </c>
      <c r="B1438">
        <v>2011</v>
      </c>
      <c r="C1438" t="s">
        <v>5</v>
      </c>
      <c r="D1438" t="s">
        <v>27</v>
      </c>
      <c r="E1438">
        <v>11</v>
      </c>
      <c r="F1438" s="4" t="s">
        <v>13</v>
      </c>
      <c r="G1438">
        <v>127</v>
      </c>
      <c r="H1438" s="2">
        <v>5516288</v>
      </c>
    </row>
    <row r="1439" spans="1:8" x14ac:dyDescent="0.25">
      <c r="A1439" t="s">
        <v>155</v>
      </c>
      <c r="B1439">
        <v>2011</v>
      </c>
      <c r="C1439" t="s">
        <v>4</v>
      </c>
      <c r="D1439" t="s">
        <v>27</v>
      </c>
      <c r="E1439">
        <v>11</v>
      </c>
      <c r="F1439" s="4" t="s">
        <v>13</v>
      </c>
      <c r="G1439">
        <v>114</v>
      </c>
      <c r="H1439" s="2">
        <v>5296319</v>
      </c>
    </row>
    <row r="1440" spans="1:8" x14ac:dyDescent="0.25">
      <c r="A1440" t="s">
        <v>156</v>
      </c>
      <c r="B1440">
        <v>2011</v>
      </c>
      <c r="C1440" t="s">
        <v>3</v>
      </c>
      <c r="D1440" t="s">
        <v>27</v>
      </c>
      <c r="E1440">
        <v>11</v>
      </c>
      <c r="F1440" s="4" t="s">
        <v>13</v>
      </c>
      <c r="G1440">
        <v>99</v>
      </c>
      <c r="H1440" s="2">
        <v>8602515</v>
      </c>
    </row>
    <row r="1441" spans="1:8" x14ac:dyDescent="0.25">
      <c r="A1441" t="s">
        <v>157</v>
      </c>
      <c r="B1441">
        <v>2011</v>
      </c>
      <c r="C1441" t="s">
        <v>2</v>
      </c>
      <c r="D1441" t="s">
        <v>27</v>
      </c>
      <c r="E1441">
        <v>11</v>
      </c>
      <c r="F1441" s="4" t="s">
        <v>13</v>
      </c>
      <c r="G1441">
        <v>52</v>
      </c>
      <c r="H1441" s="2">
        <v>5041154</v>
      </c>
    </row>
    <row r="1442" spans="1:8" x14ac:dyDescent="0.25">
      <c r="A1442" t="s">
        <v>158</v>
      </c>
      <c r="B1442">
        <v>2011</v>
      </c>
      <c r="C1442" t="s">
        <v>1</v>
      </c>
      <c r="D1442" t="s">
        <v>27</v>
      </c>
      <c r="E1442">
        <v>11</v>
      </c>
      <c r="F1442" s="4" t="s">
        <v>13</v>
      </c>
      <c r="G1442">
        <v>9</v>
      </c>
      <c r="H1442" s="2">
        <v>1061340</v>
      </c>
    </row>
    <row r="1443" spans="1:8" x14ac:dyDescent="0.25">
      <c r="A1443" t="s">
        <v>159</v>
      </c>
      <c r="B1443">
        <v>2011</v>
      </c>
      <c r="C1443" t="s">
        <v>0</v>
      </c>
      <c r="D1443" t="s">
        <v>27</v>
      </c>
      <c r="E1443">
        <v>11</v>
      </c>
      <c r="F1443" s="4" t="s">
        <v>13</v>
      </c>
      <c r="G1443">
        <v>14</v>
      </c>
      <c r="H1443" s="2">
        <v>1061340</v>
      </c>
    </row>
    <row r="1444" spans="1:8" x14ac:dyDescent="0.25">
      <c r="A1444" t="s">
        <v>160</v>
      </c>
      <c r="B1444">
        <v>2012</v>
      </c>
      <c r="C1444" t="s">
        <v>6</v>
      </c>
      <c r="D1444" t="s">
        <v>27</v>
      </c>
      <c r="E1444">
        <v>11</v>
      </c>
      <c r="F1444" s="4" t="s">
        <v>13</v>
      </c>
      <c r="G1444">
        <v>2061</v>
      </c>
      <c r="H1444" s="2">
        <v>2759356.4495101599</v>
      </c>
    </row>
    <row r="1445" spans="1:8" x14ac:dyDescent="0.25">
      <c r="A1445" t="s">
        <v>161</v>
      </c>
      <c r="B1445">
        <v>2012</v>
      </c>
      <c r="C1445" t="s">
        <v>5</v>
      </c>
      <c r="D1445" t="s">
        <v>27</v>
      </c>
      <c r="E1445">
        <v>11</v>
      </c>
      <c r="F1445" s="4" t="s">
        <v>13</v>
      </c>
      <c r="G1445">
        <v>126</v>
      </c>
      <c r="H1445" s="2">
        <v>5537428.7927720398</v>
      </c>
    </row>
    <row r="1446" spans="1:8" x14ac:dyDescent="0.25">
      <c r="A1446" t="s">
        <v>162</v>
      </c>
      <c r="B1446">
        <v>2012</v>
      </c>
      <c r="C1446" t="s">
        <v>4</v>
      </c>
      <c r="D1446" t="s">
        <v>27</v>
      </c>
      <c r="E1446">
        <v>11</v>
      </c>
      <c r="F1446" s="4" t="s">
        <v>13</v>
      </c>
      <c r="G1446">
        <v>103</v>
      </c>
      <c r="H1446" s="2">
        <v>5307779.7280284902</v>
      </c>
    </row>
    <row r="1447" spans="1:8" x14ac:dyDescent="0.25">
      <c r="A1447" t="s">
        <v>163</v>
      </c>
      <c r="B1447">
        <v>2012</v>
      </c>
      <c r="C1447" t="s">
        <v>3</v>
      </c>
      <c r="D1447" t="s">
        <v>27</v>
      </c>
      <c r="E1447">
        <v>11</v>
      </c>
      <c r="F1447" s="4" t="s">
        <v>13</v>
      </c>
      <c r="G1447">
        <v>107</v>
      </c>
      <c r="H1447" s="2">
        <v>8748082.6996606905</v>
      </c>
    </row>
    <row r="1448" spans="1:8" x14ac:dyDescent="0.25">
      <c r="A1448" t="s">
        <v>164</v>
      </c>
      <c r="B1448">
        <v>2012</v>
      </c>
      <c r="C1448" t="s">
        <v>2</v>
      </c>
      <c r="D1448" t="s">
        <v>27</v>
      </c>
      <c r="E1448">
        <v>11</v>
      </c>
      <c r="F1448" s="4" t="s">
        <v>13</v>
      </c>
      <c r="G1448">
        <v>60</v>
      </c>
      <c r="H1448" s="2">
        <v>5230482.0778962998</v>
      </c>
    </row>
    <row r="1449" spans="1:8" x14ac:dyDescent="0.25">
      <c r="A1449" t="s">
        <v>165</v>
      </c>
      <c r="B1449">
        <v>2012</v>
      </c>
      <c r="C1449" t="s">
        <v>1</v>
      </c>
      <c r="D1449" t="s">
        <v>27</v>
      </c>
      <c r="E1449">
        <v>11</v>
      </c>
      <c r="F1449" s="4" t="s">
        <v>13</v>
      </c>
      <c r="G1449">
        <v>7</v>
      </c>
      <c r="H1449" s="2">
        <v>1102796.7939262099</v>
      </c>
    </row>
    <row r="1450" spans="1:8" x14ac:dyDescent="0.25">
      <c r="A1450" t="s">
        <v>166</v>
      </c>
      <c r="B1450">
        <v>2012</v>
      </c>
      <c r="C1450" t="s">
        <v>0</v>
      </c>
      <c r="D1450" t="s">
        <v>27</v>
      </c>
      <c r="E1450">
        <v>11</v>
      </c>
      <c r="F1450" s="4" t="s">
        <v>13</v>
      </c>
      <c r="G1450">
        <v>8</v>
      </c>
      <c r="H1450" s="2">
        <v>1102796.7939262099</v>
      </c>
    </row>
    <row r="1451" spans="1:8" x14ac:dyDescent="0.25">
      <c r="A1451" t="s">
        <v>167</v>
      </c>
      <c r="B1451">
        <v>2013</v>
      </c>
      <c r="C1451" t="s">
        <v>6</v>
      </c>
      <c r="D1451" t="s">
        <v>27</v>
      </c>
      <c r="E1451">
        <v>11</v>
      </c>
      <c r="F1451" s="4" t="s">
        <v>13</v>
      </c>
      <c r="G1451">
        <v>1993</v>
      </c>
      <c r="H1451" s="2">
        <v>2752322.19750119</v>
      </c>
    </row>
    <row r="1452" spans="1:8" x14ac:dyDescent="0.25">
      <c r="A1452" t="s">
        <v>168</v>
      </c>
      <c r="B1452">
        <v>2013</v>
      </c>
      <c r="C1452" t="s">
        <v>5</v>
      </c>
      <c r="D1452" t="s">
        <v>27</v>
      </c>
      <c r="E1452">
        <v>11</v>
      </c>
      <c r="F1452" s="4" t="s">
        <v>13</v>
      </c>
      <c r="G1452">
        <v>128</v>
      </c>
      <c r="H1452" s="2">
        <v>5554323.1251711203</v>
      </c>
    </row>
    <row r="1453" spans="1:8" x14ac:dyDescent="0.25">
      <c r="A1453" t="s">
        <v>169</v>
      </c>
      <c r="B1453">
        <v>2013</v>
      </c>
      <c r="C1453" t="s">
        <v>4</v>
      </c>
      <c r="D1453" t="s">
        <v>27</v>
      </c>
      <c r="E1453">
        <v>11</v>
      </c>
      <c r="F1453" s="4" t="s">
        <v>13</v>
      </c>
      <c r="G1453">
        <v>113</v>
      </c>
      <c r="H1453" s="2">
        <v>5323364.8480997998</v>
      </c>
    </row>
    <row r="1454" spans="1:8" x14ac:dyDescent="0.25">
      <c r="A1454" t="s">
        <v>170</v>
      </c>
      <c r="B1454">
        <v>2013</v>
      </c>
      <c r="C1454" t="s">
        <v>3</v>
      </c>
      <c r="D1454" t="s">
        <v>27</v>
      </c>
      <c r="E1454">
        <v>11</v>
      </c>
      <c r="F1454" s="4" t="s">
        <v>13</v>
      </c>
      <c r="G1454">
        <v>117</v>
      </c>
      <c r="H1454" s="2">
        <v>8893718.1904660594</v>
      </c>
    </row>
    <row r="1455" spans="1:8" x14ac:dyDescent="0.25">
      <c r="A1455" t="s">
        <v>171</v>
      </c>
      <c r="B1455">
        <v>2013</v>
      </c>
      <c r="C1455" t="s">
        <v>2</v>
      </c>
      <c r="D1455" t="s">
        <v>27</v>
      </c>
      <c r="E1455">
        <v>11</v>
      </c>
      <c r="F1455" s="4" t="s">
        <v>13</v>
      </c>
      <c r="G1455">
        <v>69</v>
      </c>
      <c r="H1455" s="2">
        <v>5415783.9591287402</v>
      </c>
    </row>
    <row r="1456" spans="1:8" x14ac:dyDescent="0.25">
      <c r="A1456" t="s">
        <v>172</v>
      </c>
      <c r="B1456">
        <v>2013</v>
      </c>
      <c r="C1456" t="s">
        <v>1</v>
      </c>
      <c r="D1456" t="s">
        <v>27</v>
      </c>
      <c r="E1456">
        <v>11</v>
      </c>
      <c r="F1456" s="4" t="s">
        <v>13</v>
      </c>
      <c r="G1456">
        <v>6</v>
      </c>
      <c r="H1456" s="2">
        <v>1147296.6505007599</v>
      </c>
    </row>
    <row r="1457" spans="1:8" x14ac:dyDescent="0.25">
      <c r="A1457" t="s">
        <v>173</v>
      </c>
      <c r="B1457">
        <v>2013</v>
      </c>
      <c r="C1457" t="s">
        <v>0</v>
      </c>
      <c r="D1457" t="s">
        <v>27</v>
      </c>
      <c r="E1457">
        <v>11</v>
      </c>
      <c r="F1457" s="4" t="s">
        <v>13</v>
      </c>
      <c r="G1457">
        <v>2</v>
      </c>
      <c r="H1457" s="2">
        <v>1147296.6505007599</v>
      </c>
    </row>
    <row r="1458" spans="1:8" x14ac:dyDescent="0.25">
      <c r="A1458" t="s">
        <v>174</v>
      </c>
      <c r="B1458">
        <v>2014</v>
      </c>
      <c r="C1458" t="s">
        <v>6</v>
      </c>
      <c r="D1458" t="s">
        <v>27</v>
      </c>
      <c r="E1458">
        <v>11</v>
      </c>
      <c r="F1458" s="4" t="s">
        <v>13</v>
      </c>
      <c r="G1458">
        <v>1988</v>
      </c>
      <c r="H1458" s="2">
        <v>2744697</v>
      </c>
    </row>
    <row r="1459" spans="1:8" x14ac:dyDescent="0.25">
      <c r="A1459" t="s">
        <v>175</v>
      </c>
      <c r="B1459">
        <v>2014</v>
      </c>
      <c r="C1459" t="s">
        <v>5</v>
      </c>
      <c r="D1459" t="s">
        <v>27</v>
      </c>
      <c r="E1459">
        <v>11</v>
      </c>
      <c r="F1459" s="4" t="s">
        <v>13</v>
      </c>
      <c r="G1459">
        <v>137</v>
      </c>
      <c r="H1459" s="2">
        <v>5566437</v>
      </c>
    </row>
    <row r="1460" spans="1:8" x14ac:dyDescent="0.25">
      <c r="A1460" t="s">
        <v>176</v>
      </c>
      <c r="B1460">
        <v>2014</v>
      </c>
      <c r="C1460" t="s">
        <v>4</v>
      </c>
      <c r="D1460" t="s">
        <v>27</v>
      </c>
      <c r="E1460">
        <v>11</v>
      </c>
      <c r="F1460" s="4" t="s">
        <v>13</v>
      </c>
      <c r="G1460">
        <v>98</v>
      </c>
      <c r="H1460" s="2">
        <v>5343109</v>
      </c>
    </row>
    <row r="1461" spans="1:8" x14ac:dyDescent="0.25">
      <c r="A1461" t="s">
        <v>177</v>
      </c>
      <c r="B1461">
        <v>2014</v>
      </c>
      <c r="C1461" t="s">
        <v>3</v>
      </c>
      <c r="D1461" t="s">
        <v>27</v>
      </c>
      <c r="E1461">
        <v>11</v>
      </c>
      <c r="F1461" s="4" t="s">
        <v>13</v>
      </c>
      <c r="G1461">
        <v>125</v>
      </c>
      <c r="H1461" s="2">
        <v>9037113</v>
      </c>
    </row>
    <row r="1462" spans="1:8" x14ac:dyDescent="0.25">
      <c r="A1462" t="s">
        <v>178</v>
      </c>
      <c r="B1462">
        <v>2014</v>
      </c>
      <c r="C1462" t="s">
        <v>2</v>
      </c>
      <c r="D1462" t="s">
        <v>27</v>
      </c>
      <c r="E1462">
        <v>11</v>
      </c>
      <c r="F1462" s="4" t="s">
        <v>13</v>
      </c>
      <c r="G1462">
        <v>100</v>
      </c>
      <c r="H1462" s="2">
        <v>5597164</v>
      </c>
    </row>
    <row r="1463" spans="1:8" x14ac:dyDescent="0.25">
      <c r="A1463" t="s">
        <v>179</v>
      </c>
      <c r="B1463">
        <v>2014</v>
      </c>
      <c r="C1463" t="s">
        <v>1</v>
      </c>
      <c r="D1463" t="s">
        <v>27</v>
      </c>
      <c r="E1463">
        <v>11</v>
      </c>
      <c r="F1463" s="4" t="s">
        <v>13</v>
      </c>
      <c r="G1463">
        <v>14</v>
      </c>
      <c r="H1463" s="2">
        <v>1194627</v>
      </c>
    </row>
    <row r="1464" spans="1:8" x14ac:dyDescent="0.25">
      <c r="A1464" t="s">
        <v>180</v>
      </c>
      <c r="B1464">
        <v>2014</v>
      </c>
      <c r="C1464" t="s">
        <v>0</v>
      </c>
      <c r="D1464" t="s">
        <v>27</v>
      </c>
      <c r="E1464">
        <v>11</v>
      </c>
      <c r="F1464" s="4" t="s">
        <v>13</v>
      </c>
      <c r="G1464">
        <v>12</v>
      </c>
      <c r="H1464" s="2">
        <v>1194627</v>
      </c>
    </row>
    <row r="1465" spans="1:8" x14ac:dyDescent="0.25">
      <c r="A1465" t="s">
        <v>48</v>
      </c>
      <c r="B1465">
        <v>1996</v>
      </c>
      <c r="C1465" t="s">
        <v>6</v>
      </c>
      <c r="D1465" t="s">
        <v>27</v>
      </c>
      <c r="E1465">
        <v>12</v>
      </c>
      <c r="F1465" s="4" t="s">
        <v>12</v>
      </c>
      <c r="G1465">
        <v>2468</v>
      </c>
      <c r="H1465" s="2">
        <v>2669011.0638103201</v>
      </c>
    </row>
    <row r="1466" spans="1:8" x14ac:dyDescent="0.25">
      <c r="A1466" t="s">
        <v>49</v>
      </c>
      <c r="B1466">
        <v>1996</v>
      </c>
      <c r="C1466" t="s">
        <v>5</v>
      </c>
      <c r="D1466" t="s">
        <v>27</v>
      </c>
      <c r="E1466">
        <v>12</v>
      </c>
      <c r="F1466" s="4" t="s">
        <v>12</v>
      </c>
      <c r="G1466">
        <v>79</v>
      </c>
      <c r="H1466" s="2">
        <v>5336689.2615659405</v>
      </c>
    </row>
    <row r="1467" spans="1:8" x14ac:dyDescent="0.25">
      <c r="A1467" t="s">
        <v>50</v>
      </c>
      <c r="B1467">
        <v>1996</v>
      </c>
      <c r="C1467" t="s">
        <v>4</v>
      </c>
      <c r="D1467" t="s">
        <v>27</v>
      </c>
      <c r="E1467">
        <v>12</v>
      </c>
      <c r="F1467" s="4" t="s">
        <v>12</v>
      </c>
      <c r="G1467">
        <v>36</v>
      </c>
      <c r="H1467" s="2">
        <v>4328734.7335640304</v>
      </c>
    </row>
    <row r="1468" spans="1:8" x14ac:dyDescent="0.25">
      <c r="A1468" t="s">
        <v>51</v>
      </c>
      <c r="B1468">
        <v>1996</v>
      </c>
      <c r="C1468" t="s">
        <v>3</v>
      </c>
      <c r="D1468" t="s">
        <v>27</v>
      </c>
      <c r="E1468">
        <v>12</v>
      </c>
      <c r="F1468" s="4" t="s">
        <v>12</v>
      </c>
      <c r="G1468">
        <v>65</v>
      </c>
      <c r="H1468" s="2">
        <v>6500086.9398599695</v>
      </c>
    </row>
    <row r="1469" spans="1:8" x14ac:dyDescent="0.25">
      <c r="A1469" t="s">
        <v>52</v>
      </c>
      <c r="B1469">
        <v>1996</v>
      </c>
      <c r="C1469" t="s">
        <v>2</v>
      </c>
      <c r="D1469" t="s">
        <v>27</v>
      </c>
      <c r="E1469">
        <v>12</v>
      </c>
      <c r="F1469" s="4" t="s">
        <v>12</v>
      </c>
      <c r="G1469">
        <v>151</v>
      </c>
      <c r="H1469" s="2">
        <v>2862216.4853526298</v>
      </c>
    </row>
    <row r="1470" spans="1:8" x14ac:dyDescent="0.25">
      <c r="A1470" t="s">
        <v>53</v>
      </c>
      <c r="B1470">
        <v>1996</v>
      </c>
      <c r="C1470" t="s">
        <v>1</v>
      </c>
      <c r="D1470" t="s">
        <v>27</v>
      </c>
      <c r="E1470">
        <v>12</v>
      </c>
      <c r="F1470" s="4" t="s">
        <v>12</v>
      </c>
      <c r="G1470">
        <v>146</v>
      </c>
      <c r="H1470" s="2">
        <v>710343.28776711202</v>
      </c>
    </row>
    <row r="1471" spans="1:8" x14ac:dyDescent="0.25">
      <c r="A1471" t="s">
        <v>54</v>
      </c>
      <c r="B1471">
        <v>1996</v>
      </c>
      <c r="C1471" t="s">
        <v>0</v>
      </c>
      <c r="D1471" t="s">
        <v>27</v>
      </c>
      <c r="E1471">
        <v>12</v>
      </c>
      <c r="F1471" s="4" t="s">
        <v>12</v>
      </c>
      <c r="G1471">
        <v>432</v>
      </c>
      <c r="H1471" s="2">
        <v>710343.28776711202</v>
      </c>
    </row>
    <row r="1472" spans="1:8" x14ac:dyDescent="0.25">
      <c r="A1472" t="s">
        <v>55</v>
      </c>
      <c r="B1472">
        <v>1997</v>
      </c>
      <c r="C1472" t="s">
        <v>6</v>
      </c>
      <c r="D1472" t="s">
        <v>27</v>
      </c>
      <c r="E1472">
        <v>12</v>
      </c>
      <c r="F1472" s="4" t="s">
        <v>12</v>
      </c>
      <c r="G1472">
        <v>1864</v>
      </c>
      <c r="H1472" s="2">
        <v>2689637.03828619</v>
      </c>
    </row>
    <row r="1473" spans="1:8" x14ac:dyDescent="0.25">
      <c r="A1473" t="s">
        <v>56</v>
      </c>
      <c r="B1473">
        <v>1997</v>
      </c>
      <c r="C1473" t="s">
        <v>5</v>
      </c>
      <c r="D1473" t="s">
        <v>27</v>
      </c>
      <c r="E1473">
        <v>12</v>
      </c>
      <c r="F1473" s="4" t="s">
        <v>12</v>
      </c>
      <c r="G1473">
        <v>42</v>
      </c>
      <c r="H1473" s="2">
        <v>5352218.1569395596</v>
      </c>
    </row>
    <row r="1474" spans="1:8" x14ac:dyDescent="0.25">
      <c r="A1474" t="s">
        <v>57</v>
      </c>
      <c r="B1474">
        <v>1997</v>
      </c>
      <c r="C1474" t="s">
        <v>4</v>
      </c>
      <c r="D1474" t="s">
        <v>27</v>
      </c>
      <c r="E1474">
        <v>12</v>
      </c>
      <c r="F1474" s="4" t="s">
        <v>12</v>
      </c>
      <c r="G1474">
        <v>33</v>
      </c>
      <c r="H1474" s="2">
        <v>4441903.2401384199</v>
      </c>
    </row>
    <row r="1475" spans="1:8" x14ac:dyDescent="0.25">
      <c r="A1475" t="s">
        <v>58</v>
      </c>
      <c r="B1475">
        <v>1997</v>
      </c>
      <c r="C1475" t="s">
        <v>3</v>
      </c>
      <c r="D1475" t="s">
        <v>27</v>
      </c>
      <c r="E1475">
        <v>12</v>
      </c>
      <c r="F1475" s="4" t="s">
        <v>12</v>
      </c>
      <c r="G1475">
        <v>86</v>
      </c>
      <c r="H1475" s="2">
        <v>6652916.9639159804</v>
      </c>
    </row>
    <row r="1476" spans="1:8" x14ac:dyDescent="0.25">
      <c r="A1476" t="s">
        <v>59</v>
      </c>
      <c r="B1476">
        <v>1997</v>
      </c>
      <c r="C1476" t="s">
        <v>2</v>
      </c>
      <c r="D1476" t="s">
        <v>27</v>
      </c>
      <c r="E1476">
        <v>12</v>
      </c>
      <c r="F1476" s="4" t="s">
        <v>12</v>
      </c>
      <c r="G1476">
        <v>129</v>
      </c>
      <c r="H1476" s="2">
        <v>2950439.89121158</v>
      </c>
    </row>
    <row r="1477" spans="1:8" x14ac:dyDescent="0.25">
      <c r="A1477" t="s">
        <v>60</v>
      </c>
      <c r="B1477">
        <v>1997</v>
      </c>
      <c r="C1477" t="s">
        <v>1</v>
      </c>
      <c r="D1477" t="s">
        <v>27</v>
      </c>
      <c r="E1477">
        <v>12</v>
      </c>
      <c r="F1477" s="4" t="s">
        <v>12</v>
      </c>
      <c r="G1477">
        <v>155</v>
      </c>
      <c r="H1477" s="2">
        <v>717390.37266026705</v>
      </c>
    </row>
    <row r="1478" spans="1:8" x14ac:dyDescent="0.25">
      <c r="A1478" t="s">
        <v>61</v>
      </c>
      <c r="B1478">
        <v>1997</v>
      </c>
      <c r="C1478" t="s">
        <v>0</v>
      </c>
      <c r="D1478" t="s">
        <v>27</v>
      </c>
      <c r="E1478">
        <v>12</v>
      </c>
      <c r="F1478" s="4" t="s">
        <v>12</v>
      </c>
      <c r="G1478">
        <v>321</v>
      </c>
      <c r="H1478" s="2">
        <v>717390.37266026705</v>
      </c>
    </row>
    <row r="1479" spans="1:8" x14ac:dyDescent="0.25">
      <c r="A1479" t="s">
        <v>62</v>
      </c>
      <c r="B1479">
        <v>1998</v>
      </c>
      <c r="C1479" t="s">
        <v>6</v>
      </c>
      <c r="D1479" t="s">
        <v>27</v>
      </c>
      <c r="E1479">
        <v>12</v>
      </c>
      <c r="F1479" s="4" t="s">
        <v>12</v>
      </c>
      <c r="G1479">
        <v>1877</v>
      </c>
      <c r="H1479" s="2">
        <v>2707580.5191430999</v>
      </c>
    </row>
    <row r="1480" spans="1:8" x14ac:dyDescent="0.25">
      <c r="A1480" t="s">
        <v>63</v>
      </c>
      <c r="B1480">
        <v>1998</v>
      </c>
      <c r="C1480" t="s">
        <v>5</v>
      </c>
      <c r="D1480" t="s">
        <v>27</v>
      </c>
      <c r="E1480">
        <v>12</v>
      </c>
      <c r="F1480" s="4" t="s">
        <v>12</v>
      </c>
      <c r="G1480">
        <v>43</v>
      </c>
      <c r="H1480" s="2">
        <v>5360232.5784697803</v>
      </c>
    </row>
    <row r="1481" spans="1:8" x14ac:dyDescent="0.25">
      <c r="A1481" t="s">
        <v>64</v>
      </c>
      <c r="B1481">
        <v>1998</v>
      </c>
      <c r="C1481" t="s">
        <v>4</v>
      </c>
      <c r="D1481" t="s">
        <v>27</v>
      </c>
      <c r="E1481">
        <v>12</v>
      </c>
      <c r="F1481" s="4" t="s">
        <v>12</v>
      </c>
      <c r="G1481">
        <v>19</v>
      </c>
      <c r="H1481" s="2">
        <v>4551586.6200692104</v>
      </c>
    </row>
    <row r="1482" spans="1:8" x14ac:dyDescent="0.25">
      <c r="A1482" t="s">
        <v>65</v>
      </c>
      <c r="B1482">
        <v>1998</v>
      </c>
      <c r="C1482" t="s">
        <v>3</v>
      </c>
      <c r="D1482" t="s">
        <v>27</v>
      </c>
      <c r="E1482">
        <v>12</v>
      </c>
      <c r="F1482" s="4" t="s">
        <v>12</v>
      </c>
      <c r="G1482">
        <v>88</v>
      </c>
      <c r="H1482" s="2">
        <v>6800752.4819579897</v>
      </c>
    </row>
    <row r="1483" spans="1:8" x14ac:dyDescent="0.25">
      <c r="A1483" t="s">
        <v>66</v>
      </c>
      <c r="B1483">
        <v>1998</v>
      </c>
      <c r="C1483" t="s">
        <v>2</v>
      </c>
      <c r="D1483" t="s">
        <v>27</v>
      </c>
      <c r="E1483">
        <v>12</v>
      </c>
      <c r="F1483" s="4" t="s">
        <v>12</v>
      </c>
      <c r="G1483">
        <v>114</v>
      </c>
      <c r="H1483" s="2">
        <v>3048176.4456057898</v>
      </c>
    </row>
    <row r="1484" spans="1:8" x14ac:dyDescent="0.25">
      <c r="A1484" t="s">
        <v>67</v>
      </c>
      <c r="B1484">
        <v>1998</v>
      </c>
      <c r="C1484" t="s">
        <v>1</v>
      </c>
      <c r="D1484" t="s">
        <v>27</v>
      </c>
      <c r="E1484">
        <v>12</v>
      </c>
      <c r="F1484" s="4" t="s">
        <v>12</v>
      </c>
      <c r="G1484">
        <v>112</v>
      </c>
      <c r="H1484" s="2">
        <v>727932.186330133</v>
      </c>
    </row>
    <row r="1485" spans="1:8" x14ac:dyDescent="0.25">
      <c r="A1485" t="s">
        <v>68</v>
      </c>
      <c r="B1485">
        <v>1998</v>
      </c>
      <c r="C1485" t="s">
        <v>0</v>
      </c>
      <c r="D1485" t="s">
        <v>27</v>
      </c>
      <c r="E1485">
        <v>12</v>
      </c>
      <c r="F1485" s="4" t="s">
        <v>12</v>
      </c>
      <c r="G1485">
        <v>340</v>
      </c>
      <c r="H1485" s="2">
        <v>727932.186330133</v>
      </c>
    </row>
    <row r="1486" spans="1:8" x14ac:dyDescent="0.25">
      <c r="A1486" t="s">
        <v>69</v>
      </c>
      <c r="B1486">
        <v>1999</v>
      </c>
      <c r="C1486" t="s">
        <v>6</v>
      </c>
      <c r="D1486" t="s">
        <v>27</v>
      </c>
      <c r="E1486">
        <v>12</v>
      </c>
      <c r="F1486" s="4" t="s">
        <v>12</v>
      </c>
      <c r="G1486">
        <v>1467</v>
      </c>
      <c r="H1486" s="2">
        <v>2723058.5063810302</v>
      </c>
    </row>
    <row r="1487" spans="1:8" x14ac:dyDescent="0.25">
      <c r="A1487" t="s">
        <v>70</v>
      </c>
      <c r="B1487">
        <v>1999</v>
      </c>
      <c r="C1487" t="s">
        <v>5</v>
      </c>
      <c r="D1487" t="s">
        <v>27</v>
      </c>
      <c r="E1487">
        <v>12</v>
      </c>
      <c r="F1487" s="4" t="s">
        <v>12</v>
      </c>
      <c r="G1487">
        <v>33</v>
      </c>
      <c r="H1487" s="2">
        <v>5362927.5261565903</v>
      </c>
    </row>
    <row r="1488" spans="1:8" x14ac:dyDescent="0.25">
      <c r="A1488" t="s">
        <v>71</v>
      </c>
      <c r="B1488">
        <v>1999</v>
      </c>
      <c r="C1488" t="s">
        <v>4</v>
      </c>
      <c r="D1488" t="s">
        <v>27</v>
      </c>
      <c r="E1488">
        <v>12</v>
      </c>
      <c r="F1488" s="4" t="s">
        <v>12</v>
      </c>
      <c r="G1488">
        <v>21</v>
      </c>
      <c r="H1488" s="2">
        <v>4656740.8733564001</v>
      </c>
    </row>
    <row r="1489" spans="1:8" x14ac:dyDescent="0.25">
      <c r="A1489" t="s">
        <v>72</v>
      </c>
      <c r="B1489">
        <v>1999</v>
      </c>
      <c r="C1489" t="s">
        <v>3</v>
      </c>
      <c r="D1489" t="s">
        <v>27</v>
      </c>
      <c r="E1489">
        <v>12</v>
      </c>
      <c r="F1489" s="4" t="s">
        <v>12</v>
      </c>
      <c r="G1489">
        <v>64</v>
      </c>
      <c r="H1489" s="2">
        <v>6944474.4939860003</v>
      </c>
    </row>
    <row r="1490" spans="1:8" x14ac:dyDescent="0.25">
      <c r="A1490" t="s">
        <v>73</v>
      </c>
      <c r="B1490">
        <v>1999</v>
      </c>
      <c r="C1490" t="s">
        <v>2</v>
      </c>
      <c r="D1490" t="s">
        <v>27</v>
      </c>
      <c r="E1490">
        <v>12</v>
      </c>
      <c r="F1490" s="4" t="s">
        <v>12</v>
      </c>
      <c r="G1490">
        <v>88</v>
      </c>
      <c r="H1490" s="2">
        <v>3155060.14853526</v>
      </c>
    </row>
    <row r="1491" spans="1:8" x14ac:dyDescent="0.25">
      <c r="A1491" t="s">
        <v>74</v>
      </c>
      <c r="B1491">
        <v>1999</v>
      </c>
      <c r="C1491" t="s">
        <v>1</v>
      </c>
      <c r="D1491" t="s">
        <v>27</v>
      </c>
      <c r="E1491">
        <v>12</v>
      </c>
      <c r="F1491" s="4" t="s">
        <v>12</v>
      </c>
      <c r="G1491">
        <v>123</v>
      </c>
      <c r="H1491" s="2">
        <v>741553.72877671104</v>
      </c>
    </row>
    <row r="1492" spans="1:8" x14ac:dyDescent="0.25">
      <c r="A1492" t="s">
        <v>75</v>
      </c>
      <c r="B1492">
        <v>1999</v>
      </c>
      <c r="C1492" t="s">
        <v>0</v>
      </c>
      <c r="D1492" t="s">
        <v>27</v>
      </c>
      <c r="E1492">
        <v>12</v>
      </c>
      <c r="F1492" s="4" t="s">
        <v>12</v>
      </c>
      <c r="G1492">
        <v>310</v>
      </c>
      <c r="H1492" s="2">
        <v>741553.72877671104</v>
      </c>
    </row>
    <row r="1493" spans="1:8" x14ac:dyDescent="0.25">
      <c r="A1493" t="s">
        <v>76</v>
      </c>
      <c r="B1493">
        <v>2000</v>
      </c>
      <c r="C1493" t="s">
        <v>6</v>
      </c>
      <c r="D1493" t="s">
        <v>27</v>
      </c>
      <c r="E1493">
        <v>12</v>
      </c>
      <c r="F1493" s="4" t="s">
        <v>12</v>
      </c>
      <c r="G1493">
        <v>1230</v>
      </c>
      <c r="H1493" s="2">
        <v>2736288</v>
      </c>
    </row>
    <row r="1494" spans="1:8" x14ac:dyDescent="0.25">
      <c r="A1494" t="s">
        <v>77</v>
      </c>
      <c r="B1494">
        <v>2000</v>
      </c>
      <c r="C1494" t="s">
        <v>5</v>
      </c>
      <c r="D1494" t="s">
        <v>27</v>
      </c>
      <c r="E1494">
        <v>12</v>
      </c>
      <c r="F1494" s="4" t="s">
        <v>12</v>
      </c>
      <c r="G1494">
        <v>23</v>
      </c>
      <c r="H1494" s="2">
        <v>5362498</v>
      </c>
    </row>
    <row r="1495" spans="1:8" x14ac:dyDescent="0.25">
      <c r="A1495" t="s">
        <v>78</v>
      </c>
      <c r="B1495">
        <v>2000</v>
      </c>
      <c r="C1495" t="s">
        <v>4</v>
      </c>
      <c r="D1495" t="s">
        <v>27</v>
      </c>
      <c r="E1495">
        <v>12</v>
      </c>
      <c r="F1495" s="4" t="s">
        <v>12</v>
      </c>
      <c r="G1495">
        <v>17</v>
      </c>
      <c r="H1495" s="2">
        <v>4756322</v>
      </c>
    </row>
    <row r="1496" spans="1:8" x14ac:dyDescent="0.25">
      <c r="A1496" t="s">
        <v>79</v>
      </c>
      <c r="B1496">
        <v>2000</v>
      </c>
      <c r="C1496" t="s">
        <v>3</v>
      </c>
      <c r="D1496" t="s">
        <v>27</v>
      </c>
      <c r="E1496">
        <v>12</v>
      </c>
      <c r="F1496" s="4" t="s">
        <v>12</v>
      </c>
      <c r="G1496">
        <v>61</v>
      </c>
      <c r="H1496" s="2">
        <v>7084964</v>
      </c>
    </row>
    <row r="1497" spans="1:8" x14ac:dyDescent="0.25">
      <c r="A1497" t="s">
        <v>80</v>
      </c>
      <c r="B1497">
        <v>2000</v>
      </c>
      <c r="C1497" t="s">
        <v>2</v>
      </c>
      <c r="D1497" t="s">
        <v>27</v>
      </c>
      <c r="E1497">
        <v>12</v>
      </c>
      <c r="F1497" s="4" t="s">
        <v>12</v>
      </c>
      <c r="G1497">
        <v>97</v>
      </c>
      <c r="H1497" s="2">
        <v>3270725</v>
      </c>
    </row>
    <row r="1498" spans="1:8" x14ac:dyDescent="0.25">
      <c r="A1498" t="s">
        <v>81</v>
      </c>
      <c r="B1498">
        <v>2000</v>
      </c>
      <c r="C1498" t="s">
        <v>1</v>
      </c>
      <c r="D1498" t="s">
        <v>27</v>
      </c>
      <c r="E1498">
        <v>12</v>
      </c>
      <c r="F1498" s="4" t="s">
        <v>12</v>
      </c>
      <c r="G1498">
        <v>91</v>
      </c>
      <c r="H1498" s="2">
        <v>757840</v>
      </c>
    </row>
    <row r="1499" spans="1:8" x14ac:dyDescent="0.25">
      <c r="A1499" t="s">
        <v>82</v>
      </c>
      <c r="B1499">
        <v>2000</v>
      </c>
      <c r="C1499" t="s">
        <v>0</v>
      </c>
      <c r="D1499" t="s">
        <v>27</v>
      </c>
      <c r="E1499">
        <v>12</v>
      </c>
      <c r="F1499" s="4" t="s">
        <v>12</v>
      </c>
      <c r="G1499">
        <v>262</v>
      </c>
      <c r="H1499" s="2">
        <v>757840</v>
      </c>
    </row>
    <row r="1500" spans="1:8" x14ac:dyDescent="0.25">
      <c r="A1500" t="s">
        <v>83</v>
      </c>
      <c r="B1500">
        <v>2001</v>
      </c>
      <c r="C1500" t="s">
        <v>6</v>
      </c>
      <c r="D1500" t="s">
        <v>27</v>
      </c>
      <c r="E1500">
        <v>12</v>
      </c>
      <c r="F1500" s="4" t="s">
        <v>12</v>
      </c>
      <c r="G1500">
        <v>1216</v>
      </c>
      <c r="H1500" s="2">
        <v>2747486</v>
      </c>
    </row>
    <row r="1501" spans="1:8" x14ac:dyDescent="0.25">
      <c r="A1501" t="s">
        <v>84</v>
      </c>
      <c r="B1501">
        <v>2001</v>
      </c>
      <c r="C1501" t="s">
        <v>5</v>
      </c>
      <c r="D1501" t="s">
        <v>27</v>
      </c>
      <c r="E1501">
        <v>12</v>
      </c>
      <c r="F1501" s="4" t="s">
        <v>12</v>
      </c>
      <c r="G1501">
        <v>32</v>
      </c>
      <c r="H1501" s="2">
        <v>5361139</v>
      </c>
    </row>
    <row r="1502" spans="1:8" x14ac:dyDescent="0.25">
      <c r="A1502" t="s">
        <v>85</v>
      </c>
      <c r="B1502">
        <v>2001</v>
      </c>
      <c r="C1502" t="s">
        <v>4</v>
      </c>
      <c r="D1502" t="s">
        <v>27</v>
      </c>
      <c r="E1502">
        <v>12</v>
      </c>
      <c r="F1502" s="4" t="s">
        <v>12</v>
      </c>
      <c r="G1502">
        <v>21</v>
      </c>
      <c r="H1502" s="2">
        <v>4849286</v>
      </c>
    </row>
    <row r="1503" spans="1:8" x14ac:dyDescent="0.25">
      <c r="A1503" t="s">
        <v>86</v>
      </c>
      <c r="B1503">
        <v>2001</v>
      </c>
      <c r="C1503" t="s">
        <v>3</v>
      </c>
      <c r="D1503" t="s">
        <v>27</v>
      </c>
      <c r="E1503">
        <v>12</v>
      </c>
      <c r="F1503" s="4" t="s">
        <v>12</v>
      </c>
      <c r="G1503">
        <v>66</v>
      </c>
      <c r="H1503" s="2">
        <v>7223102</v>
      </c>
    </row>
    <row r="1504" spans="1:8" x14ac:dyDescent="0.25">
      <c r="A1504" t="s">
        <v>87</v>
      </c>
      <c r="B1504">
        <v>2001</v>
      </c>
      <c r="C1504" t="s">
        <v>2</v>
      </c>
      <c r="D1504" t="s">
        <v>27</v>
      </c>
      <c r="E1504">
        <v>12</v>
      </c>
      <c r="F1504" s="4" t="s">
        <v>12</v>
      </c>
      <c r="G1504">
        <v>98</v>
      </c>
      <c r="H1504" s="2">
        <v>3394805</v>
      </c>
    </row>
    <row r="1505" spans="1:8" x14ac:dyDescent="0.25">
      <c r="A1505" t="s">
        <v>88</v>
      </c>
      <c r="B1505">
        <v>2001</v>
      </c>
      <c r="C1505" t="s">
        <v>1</v>
      </c>
      <c r="D1505" t="s">
        <v>27</v>
      </c>
      <c r="E1505">
        <v>12</v>
      </c>
      <c r="F1505" s="4" t="s">
        <v>12</v>
      </c>
      <c r="G1505">
        <v>99</v>
      </c>
      <c r="H1505" s="2">
        <v>776376</v>
      </c>
    </row>
    <row r="1506" spans="1:8" x14ac:dyDescent="0.25">
      <c r="A1506" t="s">
        <v>89</v>
      </c>
      <c r="B1506">
        <v>2001</v>
      </c>
      <c r="C1506" t="s">
        <v>0</v>
      </c>
      <c r="D1506" t="s">
        <v>27</v>
      </c>
      <c r="E1506">
        <v>12</v>
      </c>
      <c r="F1506" s="4" t="s">
        <v>12</v>
      </c>
      <c r="G1506">
        <v>318</v>
      </c>
      <c r="H1506" s="2">
        <v>776376</v>
      </c>
    </row>
    <row r="1507" spans="1:8" x14ac:dyDescent="0.25">
      <c r="A1507" t="s">
        <v>90</v>
      </c>
      <c r="B1507">
        <v>2002</v>
      </c>
      <c r="C1507" t="s">
        <v>6</v>
      </c>
      <c r="D1507" t="s">
        <v>27</v>
      </c>
      <c r="E1507">
        <v>12</v>
      </c>
      <c r="F1507" s="4" t="s">
        <v>12</v>
      </c>
      <c r="G1507">
        <v>1116</v>
      </c>
      <c r="H1507" s="2">
        <v>2756879</v>
      </c>
    </row>
    <row r="1508" spans="1:8" x14ac:dyDescent="0.25">
      <c r="A1508" t="s">
        <v>91</v>
      </c>
      <c r="B1508">
        <v>2002</v>
      </c>
      <c r="C1508" t="s">
        <v>5</v>
      </c>
      <c r="D1508" t="s">
        <v>27</v>
      </c>
      <c r="E1508">
        <v>12</v>
      </c>
      <c r="F1508" s="4" t="s">
        <v>12</v>
      </c>
      <c r="G1508">
        <v>31</v>
      </c>
      <c r="H1508" s="2">
        <v>5361107</v>
      </c>
    </row>
    <row r="1509" spans="1:8" x14ac:dyDescent="0.25">
      <c r="A1509" t="s">
        <v>92</v>
      </c>
      <c r="B1509">
        <v>2002</v>
      </c>
      <c r="C1509" t="s">
        <v>4</v>
      </c>
      <c r="D1509" t="s">
        <v>27</v>
      </c>
      <c r="E1509">
        <v>12</v>
      </c>
      <c r="F1509" s="4" t="s">
        <v>12</v>
      </c>
      <c r="G1509">
        <v>28</v>
      </c>
      <c r="H1509" s="2">
        <v>4934568</v>
      </c>
    </row>
    <row r="1510" spans="1:8" x14ac:dyDescent="0.25">
      <c r="A1510" t="s">
        <v>93</v>
      </c>
      <c r="B1510">
        <v>2002</v>
      </c>
      <c r="C1510" t="s">
        <v>3</v>
      </c>
      <c r="D1510" t="s">
        <v>27</v>
      </c>
      <c r="E1510">
        <v>12</v>
      </c>
      <c r="F1510" s="4" t="s">
        <v>12</v>
      </c>
      <c r="G1510">
        <v>51</v>
      </c>
      <c r="H1510" s="2">
        <v>7359839</v>
      </c>
    </row>
    <row r="1511" spans="1:8" x14ac:dyDescent="0.25">
      <c r="A1511" t="s">
        <v>94</v>
      </c>
      <c r="B1511">
        <v>2002</v>
      </c>
      <c r="C1511" t="s">
        <v>2</v>
      </c>
      <c r="D1511" t="s">
        <v>27</v>
      </c>
      <c r="E1511">
        <v>12</v>
      </c>
      <c r="F1511" s="4" t="s">
        <v>12</v>
      </c>
      <c r="G1511">
        <v>109</v>
      </c>
      <c r="H1511" s="2">
        <v>3526909</v>
      </c>
    </row>
    <row r="1512" spans="1:8" x14ac:dyDescent="0.25">
      <c r="A1512" t="s">
        <v>95</v>
      </c>
      <c r="B1512">
        <v>2002</v>
      </c>
      <c r="C1512" t="s">
        <v>1</v>
      </c>
      <c r="D1512" t="s">
        <v>27</v>
      </c>
      <c r="E1512">
        <v>12</v>
      </c>
      <c r="F1512" s="4" t="s">
        <v>12</v>
      </c>
      <c r="G1512">
        <v>88</v>
      </c>
      <c r="H1512" s="2">
        <v>796712</v>
      </c>
    </row>
    <row r="1513" spans="1:8" x14ac:dyDescent="0.25">
      <c r="A1513" t="s">
        <v>96</v>
      </c>
      <c r="B1513">
        <v>2002</v>
      </c>
      <c r="C1513" t="s">
        <v>0</v>
      </c>
      <c r="D1513" t="s">
        <v>27</v>
      </c>
      <c r="E1513">
        <v>12</v>
      </c>
      <c r="F1513" s="4" t="s">
        <v>12</v>
      </c>
      <c r="G1513">
        <v>290</v>
      </c>
      <c r="H1513" s="2">
        <v>796712</v>
      </c>
    </row>
    <row r="1514" spans="1:8" x14ac:dyDescent="0.25">
      <c r="A1514" t="s">
        <v>97</v>
      </c>
      <c r="B1514">
        <v>2003</v>
      </c>
      <c r="C1514" t="s">
        <v>6</v>
      </c>
      <c r="D1514" t="s">
        <v>27</v>
      </c>
      <c r="E1514">
        <v>12</v>
      </c>
      <c r="F1514" s="4" t="s">
        <v>12</v>
      </c>
      <c r="G1514">
        <v>1730</v>
      </c>
      <c r="H1514" s="2">
        <v>2764684</v>
      </c>
    </row>
    <row r="1515" spans="1:8" x14ac:dyDescent="0.25">
      <c r="A1515" t="s">
        <v>98</v>
      </c>
      <c r="B1515">
        <v>2003</v>
      </c>
      <c r="C1515" t="s">
        <v>5</v>
      </c>
      <c r="D1515" t="s">
        <v>27</v>
      </c>
      <c r="E1515">
        <v>12</v>
      </c>
      <c r="F1515" s="4" t="s">
        <v>12</v>
      </c>
      <c r="G1515">
        <v>41</v>
      </c>
      <c r="H1515" s="2">
        <v>5364597</v>
      </c>
    </row>
    <row r="1516" spans="1:8" x14ac:dyDescent="0.25">
      <c r="A1516" t="s">
        <v>99</v>
      </c>
      <c r="B1516">
        <v>2003</v>
      </c>
      <c r="C1516" t="s">
        <v>4</v>
      </c>
      <c r="D1516" t="s">
        <v>27</v>
      </c>
      <c r="E1516">
        <v>12</v>
      </c>
      <c r="F1516" s="4" t="s">
        <v>12</v>
      </c>
      <c r="G1516">
        <v>31</v>
      </c>
      <c r="H1516" s="2">
        <v>5011124</v>
      </c>
    </row>
    <row r="1517" spans="1:8" x14ac:dyDescent="0.25">
      <c r="A1517" t="s">
        <v>100</v>
      </c>
      <c r="B1517">
        <v>2003</v>
      </c>
      <c r="C1517" t="s">
        <v>3</v>
      </c>
      <c r="D1517" t="s">
        <v>27</v>
      </c>
      <c r="E1517">
        <v>12</v>
      </c>
      <c r="F1517" s="4" t="s">
        <v>12</v>
      </c>
      <c r="G1517">
        <v>86</v>
      </c>
      <c r="H1517" s="2">
        <v>7496056</v>
      </c>
    </row>
    <row r="1518" spans="1:8" x14ac:dyDescent="0.25">
      <c r="A1518" t="s">
        <v>101</v>
      </c>
      <c r="B1518">
        <v>2003</v>
      </c>
      <c r="C1518" t="s">
        <v>2</v>
      </c>
      <c r="D1518" t="s">
        <v>27</v>
      </c>
      <c r="E1518">
        <v>12</v>
      </c>
      <c r="F1518" s="4" t="s">
        <v>12</v>
      </c>
      <c r="G1518">
        <v>114</v>
      </c>
      <c r="H1518" s="2">
        <v>3666671</v>
      </c>
    </row>
    <row r="1519" spans="1:8" x14ac:dyDescent="0.25">
      <c r="A1519" t="s">
        <v>102</v>
      </c>
      <c r="B1519">
        <v>2003</v>
      </c>
      <c r="C1519" t="s">
        <v>1</v>
      </c>
      <c r="D1519" t="s">
        <v>27</v>
      </c>
      <c r="E1519">
        <v>12</v>
      </c>
      <c r="F1519" s="4" t="s">
        <v>12</v>
      </c>
      <c r="G1519">
        <v>135</v>
      </c>
      <c r="H1519" s="2">
        <v>818433</v>
      </c>
    </row>
    <row r="1520" spans="1:8" x14ac:dyDescent="0.25">
      <c r="A1520" t="s">
        <v>103</v>
      </c>
      <c r="B1520">
        <v>2003</v>
      </c>
      <c r="C1520" t="s">
        <v>0</v>
      </c>
      <c r="D1520" t="s">
        <v>27</v>
      </c>
      <c r="E1520">
        <v>12</v>
      </c>
      <c r="F1520" s="4" t="s">
        <v>12</v>
      </c>
      <c r="G1520">
        <v>431</v>
      </c>
      <c r="H1520" s="2">
        <v>818433</v>
      </c>
    </row>
    <row r="1521" spans="1:8" x14ac:dyDescent="0.25">
      <c r="A1521" t="s">
        <v>104</v>
      </c>
      <c r="B1521">
        <v>2004</v>
      </c>
      <c r="C1521" t="s">
        <v>6</v>
      </c>
      <c r="D1521" t="s">
        <v>27</v>
      </c>
      <c r="E1521">
        <v>12</v>
      </c>
      <c r="F1521" s="4" t="s">
        <v>12</v>
      </c>
      <c r="G1521">
        <v>1065</v>
      </c>
      <c r="H1521" s="2">
        <v>2770821</v>
      </c>
    </row>
    <row r="1522" spans="1:8" x14ac:dyDescent="0.25">
      <c r="A1522" t="s">
        <v>105</v>
      </c>
      <c r="B1522">
        <v>2004</v>
      </c>
      <c r="C1522" t="s">
        <v>5</v>
      </c>
      <c r="D1522" t="s">
        <v>27</v>
      </c>
      <c r="E1522">
        <v>12</v>
      </c>
      <c r="F1522" s="4" t="s">
        <v>12</v>
      </c>
      <c r="G1522">
        <v>33</v>
      </c>
      <c r="H1522" s="2">
        <v>5372677</v>
      </c>
    </row>
    <row r="1523" spans="1:8" x14ac:dyDescent="0.25">
      <c r="A1523" t="s">
        <v>106</v>
      </c>
      <c r="B1523">
        <v>2004</v>
      </c>
      <c r="C1523" t="s">
        <v>4</v>
      </c>
      <c r="D1523" t="s">
        <v>27</v>
      </c>
      <c r="E1523">
        <v>12</v>
      </c>
      <c r="F1523" s="4" t="s">
        <v>12</v>
      </c>
      <c r="G1523">
        <v>22</v>
      </c>
      <c r="H1523" s="2">
        <v>5078223</v>
      </c>
    </row>
    <row r="1524" spans="1:8" x14ac:dyDescent="0.25">
      <c r="A1524" t="s">
        <v>107</v>
      </c>
      <c r="B1524">
        <v>2004</v>
      </c>
      <c r="C1524" t="s">
        <v>3</v>
      </c>
      <c r="D1524" t="s">
        <v>27</v>
      </c>
      <c r="E1524">
        <v>12</v>
      </c>
      <c r="F1524" s="4" t="s">
        <v>12</v>
      </c>
      <c r="G1524">
        <v>70</v>
      </c>
      <c r="H1524" s="2">
        <v>7631406</v>
      </c>
    </row>
    <row r="1525" spans="1:8" x14ac:dyDescent="0.25">
      <c r="A1525" t="s">
        <v>108</v>
      </c>
      <c r="B1525">
        <v>2004</v>
      </c>
      <c r="C1525" t="s">
        <v>2</v>
      </c>
      <c r="D1525" t="s">
        <v>27</v>
      </c>
      <c r="E1525">
        <v>12</v>
      </c>
      <c r="F1525" s="4" t="s">
        <v>12</v>
      </c>
      <c r="G1525">
        <v>136</v>
      </c>
      <c r="H1525" s="2">
        <v>3814359</v>
      </c>
    </row>
    <row r="1526" spans="1:8" x14ac:dyDescent="0.25">
      <c r="A1526" t="s">
        <v>109</v>
      </c>
      <c r="B1526">
        <v>2004</v>
      </c>
      <c r="C1526" t="s">
        <v>1</v>
      </c>
      <c r="D1526" t="s">
        <v>27</v>
      </c>
      <c r="E1526">
        <v>12</v>
      </c>
      <c r="F1526" s="4" t="s">
        <v>12</v>
      </c>
      <c r="G1526">
        <v>123</v>
      </c>
      <c r="H1526" s="2">
        <v>841739</v>
      </c>
    </row>
    <row r="1527" spans="1:8" x14ac:dyDescent="0.25">
      <c r="A1527" t="s">
        <v>110</v>
      </c>
      <c r="B1527">
        <v>2004</v>
      </c>
      <c r="C1527" t="s">
        <v>0</v>
      </c>
      <c r="D1527" t="s">
        <v>27</v>
      </c>
      <c r="E1527">
        <v>12</v>
      </c>
      <c r="F1527" s="4" t="s">
        <v>12</v>
      </c>
      <c r="G1527">
        <v>416</v>
      </c>
      <c r="H1527" s="2">
        <v>841739</v>
      </c>
    </row>
    <row r="1528" spans="1:8" x14ac:dyDescent="0.25">
      <c r="A1528" t="s">
        <v>111</v>
      </c>
      <c r="B1528">
        <v>2005</v>
      </c>
      <c r="C1528" t="s">
        <v>6</v>
      </c>
      <c r="D1528" t="s">
        <v>27</v>
      </c>
      <c r="E1528">
        <v>12</v>
      </c>
      <c r="F1528" s="4" t="s">
        <v>12</v>
      </c>
      <c r="G1528">
        <v>908</v>
      </c>
      <c r="H1528" s="2">
        <v>2774961</v>
      </c>
    </row>
    <row r="1529" spans="1:8" x14ac:dyDescent="0.25">
      <c r="A1529" t="s">
        <v>112</v>
      </c>
      <c r="B1529">
        <v>2005</v>
      </c>
      <c r="C1529" t="s">
        <v>5</v>
      </c>
      <c r="D1529" t="s">
        <v>27</v>
      </c>
      <c r="E1529">
        <v>12</v>
      </c>
      <c r="F1529" s="4" t="s">
        <v>12</v>
      </c>
      <c r="G1529">
        <v>25</v>
      </c>
      <c r="H1529" s="2">
        <v>5386812</v>
      </c>
    </row>
    <row r="1530" spans="1:8" x14ac:dyDescent="0.25">
      <c r="A1530" t="s">
        <v>113</v>
      </c>
      <c r="B1530">
        <v>2005</v>
      </c>
      <c r="C1530" t="s">
        <v>4</v>
      </c>
      <c r="D1530" t="s">
        <v>27</v>
      </c>
      <c r="E1530">
        <v>12</v>
      </c>
      <c r="F1530" s="4" t="s">
        <v>12</v>
      </c>
      <c r="G1530">
        <v>21</v>
      </c>
      <c r="H1530" s="2">
        <v>5134473</v>
      </c>
    </row>
    <row r="1531" spans="1:8" x14ac:dyDescent="0.25">
      <c r="A1531" t="s">
        <v>114</v>
      </c>
      <c r="B1531">
        <v>2005</v>
      </c>
      <c r="C1531" t="s">
        <v>3</v>
      </c>
      <c r="D1531" t="s">
        <v>27</v>
      </c>
      <c r="E1531">
        <v>12</v>
      </c>
      <c r="F1531" s="4" t="s">
        <v>12</v>
      </c>
      <c r="G1531">
        <v>69</v>
      </c>
      <c r="H1531" s="2">
        <v>7765159</v>
      </c>
    </row>
    <row r="1532" spans="1:8" x14ac:dyDescent="0.25">
      <c r="A1532" t="s">
        <v>115</v>
      </c>
      <c r="B1532">
        <v>2005</v>
      </c>
      <c r="C1532" t="s">
        <v>2</v>
      </c>
      <c r="D1532" t="s">
        <v>27</v>
      </c>
      <c r="E1532">
        <v>12</v>
      </c>
      <c r="F1532" s="4" t="s">
        <v>12</v>
      </c>
      <c r="G1532">
        <v>142</v>
      </c>
      <c r="H1532" s="2">
        <v>3970997</v>
      </c>
    </row>
    <row r="1533" spans="1:8" x14ac:dyDescent="0.25">
      <c r="A1533" t="s">
        <v>116</v>
      </c>
      <c r="B1533">
        <v>2005</v>
      </c>
      <c r="C1533" t="s">
        <v>1</v>
      </c>
      <c r="D1533" t="s">
        <v>27</v>
      </c>
      <c r="E1533">
        <v>12</v>
      </c>
      <c r="F1533" s="4" t="s">
        <v>12</v>
      </c>
      <c r="G1533">
        <v>115</v>
      </c>
      <c r="H1533" s="2">
        <v>866819</v>
      </c>
    </row>
    <row r="1534" spans="1:8" x14ac:dyDescent="0.25">
      <c r="A1534" t="s">
        <v>117</v>
      </c>
      <c r="B1534">
        <v>2005</v>
      </c>
      <c r="C1534" t="s">
        <v>0</v>
      </c>
      <c r="D1534" t="s">
        <v>27</v>
      </c>
      <c r="E1534">
        <v>12</v>
      </c>
      <c r="F1534" s="4" t="s">
        <v>12</v>
      </c>
      <c r="G1534">
        <v>395</v>
      </c>
      <c r="H1534" s="2">
        <v>866819</v>
      </c>
    </row>
    <row r="1535" spans="1:8" x14ac:dyDescent="0.25">
      <c r="A1535" t="s">
        <v>118</v>
      </c>
      <c r="B1535">
        <v>2006</v>
      </c>
      <c r="C1535" t="s">
        <v>6</v>
      </c>
      <c r="D1535" t="s">
        <v>27</v>
      </c>
      <c r="E1535">
        <v>12</v>
      </c>
      <c r="F1535" s="4" t="s">
        <v>12</v>
      </c>
      <c r="G1535">
        <v>746</v>
      </c>
      <c r="H1535" s="2">
        <v>2777568</v>
      </c>
    </row>
    <row r="1536" spans="1:8" x14ac:dyDescent="0.25">
      <c r="A1536" t="s">
        <v>119</v>
      </c>
      <c r="B1536">
        <v>2006</v>
      </c>
      <c r="C1536" t="s">
        <v>5</v>
      </c>
      <c r="D1536" t="s">
        <v>27</v>
      </c>
      <c r="E1536">
        <v>12</v>
      </c>
      <c r="F1536" s="4" t="s">
        <v>12</v>
      </c>
      <c r="G1536">
        <v>34</v>
      </c>
      <c r="H1536" s="2">
        <v>5407717</v>
      </c>
    </row>
    <row r="1537" spans="1:8" x14ac:dyDescent="0.25">
      <c r="A1537" t="s">
        <v>120</v>
      </c>
      <c r="B1537">
        <v>2006</v>
      </c>
      <c r="C1537" t="s">
        <v>4</v>
      </c>
      <c r="D1537" t="s">
        <v>27</v>
      </c>
      <c r="E1537">
        <v>12</v>
      </c>
      <c r="F1537" s="4" t="s">
        <v>12</v>
      </c>
      <c r="G1537">
        <v>18</v>
      </c>
      <c r="H1537" s="2">
        <v>5178861</v>
      </c>
    </row>
    <row r="1538" spans="1:8" x14ac:dyDescent="0.25">
      <c r="A1538" t="s">
        <v>121</v>
      </c>
      <c r="B1538">
        <v>2006</v>
      </c>
      <c r="C1538" t="s">
        <v>3</v>
      </c>
      <c r="D1538" t="s">
        <v>27</v>
      </c>
      <c r="E1538">
        <v>12</v>
      </c>
      <c r="F1538" s="4" t="s">
        <v>12</v>
      </c>
      <c r="G1538">
        <v>55</v>
      </c>
      <c r="H1538" s="2">
        <v>7897108</v>
      </c>
    </row>
    <row r="1539" spans="1:8" x14ac:dyDescent="0.25">
      <c r="A1539" t="s">
        <v>122</v>
      </c>
      <c r="B1539">
        <v>2006</v>
      </c>
      <c r="C1539" t="s">
        <v>2</v>
      </c>
      <c r="D1539" t="s">
        <v>27</v>
      </c>
      <c r="E1539">
        <v>12</v>
      </c>
      <c r="F1539" s="4" t="s">
        <v>12</v>
      </c>
      <c r="G1539">
        <v>144</v>
      </c>
      <c r="H1539" s="2">
        <v>4136588</v>
      </c>
    </row>
    <row r="1540" spans="1:8" x14ac:dyDescent="0.25">
      <c r="A1540" t="s">
        <v>123</v>
      </c>
      <c r="B1540">
        <v>2006</v>
      </c>
      <c r="C1540" t="s">
        <v>1</v>
      </c>
      <c r="D1540" t="s">
        <v>27</v>
      </c>
      <c r="E1540">
        <v>12</v>
      </c>
      <c r="F1540" s="4" t="s">
        <v>12</v>
      </c>
      <c r="G1540">
        <v>97</v>
      </c>
      <c r="H1540" s="2">
        <v>893794</v>
      </c>
    </row>
    <row r="1541" spans="1:8" x14ac:dyDescent="0.25">
      <c r="A1541" t="s">
        <v>124</v>
      </c>
      <c r="B1541">
        <v>2006</v>
      </c>
      <c r="C1541" t="s">
        <v>0</v>
      </c>
      <c r="D1541" t="s">
        <v>27</v>
      </c>
      <c r="E1541">
        <v>12</v>
      </c>
      <c r="F1541" s="4" t="s">
        <v>12</v>
      </c>
      <c r="G1541">
        <v>356</v>
      </c>
      <c r="H1541" s="2">
        <v>893794</v>
      </c>
    </row>
    <row r="1542" spans="1:8" x14ac:dyDescent="0.25">
      <c r="A1542" t="s">
        <v>125</v>
      </c>
      <c r="B1542">
        <v>2007</v>
      </c>
      <c r="C1542" t="s">
        <v>6</v>
      </c>
      <c r="D1542" t="s">
        <v>27</v>
      </c>
      <c r="E1542">
        <v>12</v>
      </c>
      <c r="F1542" s="4" t="s">
        <v>12</v>
      </c>
      <c r="G1542">
        <v>611</v>
      </c>
      <c r="H1542" s="2">
        <v>2778731</v>
      </c>
    </row>
    <row r="1543" spans="1:8" x14ac:dyDescent="0.25">
      <c r="A1543" t="s">
        <v>126</v>
      </c>
      <c r="B1543">
        <v>2007</v>
      </c>
      <c r="C1543" t="s">
        <v>5</v>
      </c>
      <c r="D1543" t="s">
        <v>27</v>
      </c>
      <c r="E1543">
        <v>12</v>
      </c>
      <c r="F1543" s="4" t="s">
        <v>12</v>
      </c>
      <c r="G1543">
        <v>31</v>
      </c>
      <c r="H1543" s="2">
        <v>5427910</v>
      </c>
    </row>
    <row r="1544" spans="1:8" x14ac:dyDescent="0.25">
      <c r="A1544" t="s">
        <v>127</v>
      </c>
      <c r="B1544">
        <v>2007</v>
      </c>
      <c r="C1544" t="s">
        <v>4</v>
      </c>
      <c r="D1544" t="s">
        <v>27</v>
      </c>
      <c r="E1544">
        <v>12</v>
      </c>
      <c r="F1544" s="4" t="s">
        <v>12</v>
      </c>
      <c r="G1544">
        <v>10</v>
      </c>
      <c r="H1544" s="2">
        <v>5216537</v>
      </c>
    </row>
    <row r="1545" spans="1:8" x14ac:dyDescent="0.25">
      <c r="A1545" t="s">
        <v>128</v>
      </c>
      <c r="B1545">
        <v>2007</v>
      </c>
      <c r="C1545" t="s">
        <v>3</v>
      </c>
      <c r="D1545" t="s">
        <v>27</v>
      </c>
      <c r="E1545">
        <v>12</v>
      </c>
      <c r="F1545" s="4" t="s">
        <v>12</v>
      </c>
      <c r="G1545">
        <v>51</v>
      </c>
      <c r="H1545" s="2">
        <v>8032843</v>
      </c>
    </row>
    <row r="1546" spans="1:8" x14ac:dyDescent="0.25">
      <c r="A1546" t="s">
        <v>129</v>
      </c>
      <c r="B1546">
        <v>2007</v>
      </c>
      <c r="C1546" t="s">
        <v>2</v>
      </c>
      <c r="D1546" t="s">
        <v>27</v>
      </c>
      <c r="E1546">
        <v>12</v>
      </c>
      <c r="F1546" s="4" t="s">
        <v>12</v>
      </c>
      <c r="G1546">
        <v>136</v>
      </c>
      <c r="H1546" s="2">
        <v>4307510</v>
      </c>
    </row>
    <row r="1547" spans="1:8" x14ac:dyDescent="0.25">
      <c r="A1547" t="s">
        <v>130</v>
      </c>
      <c r="B1547">
        <v>2007</v>
      </c>
      <c r="C1547" t="s">
        <v>1</v>
      </c>
      <c r="D1547" t="s">
        <v>27</v>
      </c>
      <c r="E1547">
        <v>12</v>
      </c>
      <c r="F1547" s="4" t="s">
        <v>12</v>
      </c>
      <c r="G1547">
        <v>126</v>
      </c>
      <c r="H1547" s="2">
        <v>922773</v>
      </c>
    </row>
    <row r="1548" spans="1:8" x14ac:dyDescent="0.25">
      <c r="A1548" t="s">
        <v>131</v>
      </c>
      <c r="B1548">
        <v>2007</v>
      </c>
      <c r="C1548" t="s">
        <v>0</v>
      </c>
      <c r="D1548" t="s">
        <v>27</v>
      </c>
      <c r="E1548">
        <v>12</v>
      </c>
      <c r="F1548" s="4" t="s">
        <v>12</v>
      </c>
      <c r="G1548">
        <v>329</v>
      </c>
      <c r="H1548" s="2">
        <v>922773</v>
      </c>
    </row>
    <row r="1549" spans="1:8" x14ac:dyDescent="0.25">
      <c r="A1549" t="s">
        <v>132</v>
      </c>
      <c r="B1549">
        <v>2008</v>
      </c>
      <c r="C1549" t="s">
        <v>6</v>
      </c>
      <c r="D1549" t="s">
        <v>27</v>
      </c>
      <c r="E1549">
        <v>12</v>
      </c>
      <c r="F1549" s="4" t="s">
        <v>12</v>
      </c>
      <c r="G1549">
        <v>475</v>
      </c>
      <c r="H1549" s="2">
        <v>2778239</v>
      </c>
    </row>
    <row r="1550" spans="1:8" x14ac:dyDescent="0.25">
      <c r="A1550" t="s">
        <v>133</v>
      </c>
      <c r="B1550">
        <v>2008</v>
      </c>
      <c r="C1550" t="s">
        <v>5</v>
      </c>
      <c r="D1550" t="s">
        <v>27</v>
      </c>
      <c r="E1550">
        <v>12</v>
      </c>
      <c r="F1550" s="4" t="s">
        <v>12</v>
      </c>
      <c r="G1550">
        <v>17</v>
      </c>
      <c r="H1550" s="2">
        <v>5448390</v>
      </c>
    </row>
    <row r="1551" spans="1:8" x14ac:dyDescent="0.25">
      <c r="A1551" t="s">
        <v>134</v>
      </c>
      <c r="B1551">
        <v>2008</v>
      </c>
      <c r="C1551" t="s">
        <v>4</v>
      </c>
      <c r="D1551" t="s">
        <v>27</v>
      </c>
      <c r="E1551">
        <v>12</v>
      </c>
      <c r="F1551" s="4" t="s">
        <v>12</v>
      </c>
      <c r="G1551">
        <v>20</v>
      </c>
      <c r="H1551" s="2">
        <v>5246997</v>
      </c>
    </row>
    <row r="1552" spans="1:8" x14ac:dyDescent="0.25">
      <c r="A1552" t="s">
        <v>135</v>
      </c>
      <c r="B1552">
        <v>2008</v>
      </c>
      <c r="C1552" t="s">
        <v>3</v>
      </c>
      <c r="D1552" t="s">
        <v>27</v>
      </c>
      <c r="E1552">
        <v>12</v>
      </c>
      <c r="F1552" s="4" t="s">
        <v>12</v>
      </c>
      <c r="G1552">
        <v>49</v>
      </c>
      <c r="H1552" s="2">
        <v>8172306</v>
      </c>
    </row>
    <row r="1553" spans="1:8" x14ac:dyDescent="0.25">
      <c r="A1553" t="s">
        <v>136</v>
      </c>
      <c r="B1553">
        <v>2008</v>
      </c>
      <c r="C1553" t="s">
        <v>2</v>
      </c>
      <c r="D1553" t="s">
        <v>27</v>
      </c>
      <c r="E1553">
        <v>12</v>
      </c>
      <c r="F1553" s="4" t="s">
        <v>12</v>
      </c>
      <c r="G1553">
        <v>115</v>
      </c>
      <c r="H1553" s="2">
        <v>4483302</v>
      </c>
    </row>
    <row r="1554" spans="1:8" x14ac:dyDescent="0.25">
      <c r="A1554" t="s">
        <v>137</v>
      </c>
      <c r="B1554">
        <v>2008</v>
      </c>
      <c r="C1554" t="s">
        <v>1</v>
      </c>
      <c r="D1554" t="s">
        <v>27</v>
      </c>
      <c r="E1554">
        <v>12</v>
      </c>
      <c r="F1554" s="4" t="s">
        <v>12</v>
      </c>
      <c r="G1554">
        <v>108</v>
      </c>
      <c r="H1554" s="2">
        <v>953869</v>
      </c>
    </row>
    <row r="1555" spans="1:8" x14ac:dyDescent="0.25">
      <c r="A1555" t="s">
        <v>138</v>
      </c>
      <c r="B1555">
        <v>2008</v>
      </c>
      <c r="C1555" t="s">
        <v>0</v>
      </c>
      <c r="D1555" t="s">
        <v>27</v>
      </c>
      <c r="E1555">
        <v>12</v>
      </c>
      <c r="F1555" s="4" t="s">
        <v>12</v>
      </c>
      <c r="G1555">
        <v>316</v>
      </c>
      <c r="H1555" s="2">
        <v>953869</v>
      </c>
    </row>
    <row r="1556" spans="1:8" x14ac:dyDescent="0.25">
      <c r="A1556" t="s">
        <v>139</v>
      </c>
      <c r="B1556">
        <v>2009</v>
      </c>
      <c r="C1556" t="s">
        <v>6</v>
      </c>
      <c r="D1556" t="s">
        <v>27</v>
      </c>
      <c r="E1556">
        <v>12</v>
      </c>
      <c r="F1556" s="4" t="s">
        <v>12</v>
      </c>
      <c r="G1556">
        <v>436</v>
      </c>
      <c r="H1556" s="2">
        <v>2775920</v>
      </c>
    </row>
    <row r="1557" spans="1:8" x14ac:dyDescent="0.25">
      <c r="A1557" t="s">
        <v>140</v>
      </c>
      <c r="B1557">
        <v>2009</v>
      </c>
      <c r="C1557" t="s">
        <v>5</v>
      </c>
      <c r="D1557" t="s">
        <v>27</v>
      </c>
      <c r="E1557">
        <v>12</v>
      </c>
      <c r="F1557" s="4" t="s">
        <v>12</v>
      </c>
      <c r="G1557">
        <v>17</v>
      </c>
      <c r="H1557" s="2">
        <v>5469822</v>
      </c>
    </row>
    <row r="1558" spans="1:8" x14ac:dyDescent="0.25">
      <c r="A1558" t="s">
        <v>141</v>
      </c>
      <c r="B1558">
        <v>2009</v>
      </c>
      <c r="C1558" t="s">
        <v>4</v>
      </c>
      <c r="D1558" t="s">
        <v>27</v>
      </c>
      <c r="E1558">
        <v>12</v>
      </c>
      <c r="F1558" s="4" t="s">
        <v>12</v>
      </c>
      <c r="G1558">
        <v>21</v>
      </c>
      <c r="H1558" s="2">
        <v>5270463</v>
      </c>
    </row>
    <row r="1559" spans="1:8" x14ac:dyDescent="0.25">
      <c r="A1559" t="s">
        <v>142</v>
      </c>
      <c r="B1559">
        <v>2009</v>
      </c>
      <c r="C1559" t="s">
        <v>3</v>
      </c>
      <c r="D1559" t="s">
        <v>27</v>
      </c>
      <c r="E1559">
        <v>12</v>
      </c>
      <c r="F1559" s="4" t="s">
        <v>12</v>
      </c>
      <c r="G1559">
        <v>54</v>
      </c>
      <c r="H1559" s="2">
        <v>8314639</v>
      </c>
    </row>
    <row r="1560" spans="1:8" x14ac:dyDescent="0.25">
      <c r="A1560" t="s">
        <v>143</v>
      </c>
      <c r="B1560">
        <v>2009</v>
      </c>
      <c r="C1560" t="s">
        <v>2</v>
      </c>
      <c r="D1560" t="s">
        <v>27</v>
      </c>
      <c r="E1560">
        <v>12</v>
      </c>
      <c r="F1560" s="4" t="s">
        <v>12</v>
      </c>
      <c r="G1560">
        <v>111</v>
      </c>
      <c r="H1560" s="2">
        <v>4663733</v>
      </c>
    </row>
    <row r="1561" spans="1:8" x14ac:dyDescent="0.25">
      <c r="A1561" t="s">
        <v>144</v>
      </c>
      <c r="B1561">
        <v>2009</v>
      </c>
      <c r="C1561" t="s">
        <v>1</v>
      </c>
      <c r="D1561" t="s">
        <v>27</v>
      </c>
      <c r="E1561">
        <v>12</v>
      </c>
      <c r="F1561" s="4" t="s">
        <v>12</v>
      </c>
      <c r="G1561">
        <v>77</v>
      </c>
      <c r="H1561" s="2">
        <v>987212</v>
      </c>
    </row>
    <row r="1562" spans="1:8" x14ac:dyDescent="0.25">
      <c r="A1562" t="s">
        <v>145</v>
      </c>
      <c r="B1562">
        <v>2009</v>
      </c>
      <c r="C1562" t="s">
        <v>0</v>
      </c>
      <c r="D1562" t="s">
        <v>27</v>
      </c>
      <c r="E1562">
        <v>12</v>
      </c>
      <c r="F1562" s="4" t="s">
        <v>12</v>
      </c>
      <c r="G1562">
        <v>277</v>
      </c>
      <c r="H1562" s="2">
        <v>987212</v>
      </c>
    </row>
    <row r="1563" spans="1:8" x14ac:dyDescent="0.25">
      <c r="A1563" t="s">
        <v>146</v>
      </c>
      <c r="B1563">
        <v>2010</v>
      </c>
      <c r="C1563" t="s">
        <v>6</v>
      </c>
      <c r="D1563" t="s">
        <v>27</v>
      </c>
      <c r="E1563">
        <v>12</v>
      </c>
      <c r="F1563" s="4" t="s">
        <v>12</v>
      </c>
      <c r="G1563">
        <v>518</v>
      </c>
      <c r="H1563" s="2">
        <v>2771760</v>
      </c>
    </row>
    <row r="1564" spans="1:8" x14ac:dyDescent="0.25">
      <c r="A1564" t="s">
        <v>147</v>
      </c>
      <c r="B1564">
        <v>2010</v>
      </c>
      <c r="C1564" t="s">
        <v>5</v>
      </c>
      <c r="D1564" t="s">
        <v>27</v>
      </c>
      <c r="E1564">
        <v>12</v>
      </c>
      <c r="F1564" s="4" t="s">
        <v>12</v>
      </c>
      <c r="G1564">
        <v>31</v>
      </c>
      <c r="H1564" s="2">
        <v>5492408</v>
      </c>
    </row>
    <row r="1565" spans="1:8" x14ac:dyDescent="0.25">
      <c r="A1565" t="s">
        <v>148</v>
      </c>
      <c r="B1565">
        <v>2010</v>
      </c>
      <c r="C1565" t="s">
        <v>4</v>
      </c>
      <c r="D1565" t="s">
        <v>27</v>
      </c>
      <c r="E1565">
        <v>12</v>
      </c>
      <c r="F1565" s="4" t="s">
        <v>12</v>
      </c>
      <c r="G1565">
        <v>14</v>
      </c>
      <c r="H1565" s="2">
        <v>5286720</v>
      </c>
    </row>
    <row r="1566" spans="1:8" x14ac:dyDescent="0.25">
      <c r="A1566" t="s">
        <v>149</v>
      </c>
      <c r="B1566">
        <v>2010</v>
      </c>
      <c r="C1566" t="s">
        <v>3</v>
      </c>
      <c r="D1566" t="s">
        <v>27</v>
      </c>
      <c r="E1566">
        <v>12</v>
      </c>
      <c r="F1566" s="4" t="s">
        <v>12</v>
      </c>
      <c r="G1566">
        <v>39</v>
      </c>
      <c r="H1566" s="2">
        <v>8458444</v>
      </c>
    </row>
    <row r="1567" spans="1:8" x14ac:dyDescent="0.25">
      <c r="A1567" t="s">
        <v>150</v>
      </c>
      <c r="B1567">
        <v>2010</v>
      </c>
      <c r="C1567" t="s">
        <v>2</v>
      </c>
      <c r="D1567" t="s">
        <v>27</v>
      </c>
      <c r="E1567">
        <v>12</v>
      </c>
      <c r="F1567" s="4" t="s">
        <v>12</v>
      </c>
      <c r="G1567">
        <v>116</v>
      </c>
      <c r="H1567" s="2">
        <v>4849717</v>
      </c>
    </row>
    <row r="1568" spans="1:8" x14ac:dyDescent="0.25">
      <c r="A1568" t="s">
        <v>151</v>
      </c>
      <c r="B1568">
        <v>2010</v>
      </c>
      <c r="C1568" t="s">
        <v>1</v>
      </c>
      <c r="D1568" t="s">
        <v>27</v>
      </c>
      <c r="E1568">
        <v>12</v>
      </c>
      <c r="F1568" s="4" t="s">
        <v>12</v>
      </c>
      <c r="G1568">
        <v>92</v>
      </c>
      <c r="H1568" s="2">
        <v>1022974</v>
      </c>
    </row>
    <row r="1569" spans="1:8" x14ac:dyDescent="0.25">
      <c r="A1569" t="s">
        <v>152</v>
      </c>
      <c r="B1569">
        <v>2010</v>
      </c>
      <c r="C1569" t="s">
        <v>0</v>
      </c>
      <c r="D1569" t="s">
        <v>27</v>
      </c>
      <c r="E1569">
        <v>12</v>
      </c>
      <c r="F1569" s="4" t="s">
        <v>12</v>
      </c>
      <c r="G1569">
        <v>278</v>
      </c>
      <c r="H1569" s="2">
        <v>1022974</v>
      </c>
    </row>
    <row r="1570" spans="1:8" x14ac:dyDescent="0.25">
      <c r="A1570" t="s">
        <v>153</v>
      </c>
      <c r="B1570">
        <v>2011</v>
      </c>
      <c r="C1570" t="s">
        <v>6</v>
      </c>
      <c r="D1570" t="s">
        <v>27</v>
      </c>
      <c r="E1570">
        <v>12</v>
      </c>
      <c r="F1570" s="4" t="s">
        <v>12</v>
      </c>
      <c r="G1570">
        <v>453</v>
      </c>
      <c r="H1570" s="2">
        <v>2765898</v>
      </c>
    </row>
    <row r="1571" spans="1:8" x14ac:dyDescent="0.25">
      <c r="A1571" t="s">
        <v>154</v>
      </c>
      <c r="B1571">
        <v>2011</v>
      </c>
      <c r="C1571" t="s">
        <v>5</v>
      </c>
      <c r="D1571" t="s">
        <v>27</v>
      </c>
      <c r="E1571">
        <v>12</v>
      </c>
      <c r="F1571" s="4" t="s">
        <v>12</v>
      </c>
      <c r="G1571">
        <v>18</v>
      </c>
      <c r="H1571" s="2">
        <v>5516288</v>
      </c>
    </row>
    <row r="1572" spans="1:8" x14ac:dyDescent="0.25">
      <c r="A1572" t="s">
        <v>155</v>
      </c>
      <c r="B1572">
        <v>2011</v>
      </c>
      <c r="C1572" t="s">
        <v>4</v>
      </c>
      <c r="D1572" t="s">
        <v>27</v>
      </c>
      <c r="E1572">
        <v>12</v>
      </c>
      <c r="F1572" s="4" t="s">
        <v>12</v>
      </c>
      <c r="G1572">
        <v>20</v>
      </c>
      <c r="H1572" s="2">
        <v>5296319</v>
      </c>
    </row>
    <row r="1573" spans="1:8" x14ac:dyDescent="0.25">
      <c r="A1573" t="s">
        <v>156</v>
      </c>
      <c r="B1573">
        <v>2011</v>
      </c>
      <c r="C1573" t="s">
        <v>3</v>
      </c>
      <c r="D1573" t="s">
        <v>27</v>
      </c>
      <c r="E1573">
        <v>12</v>
      </c>
      <c r="F1573" s="4" t="s">
        <v>12</v>
      </c>
      <c r="G1573">
        <v>49</v>
      </c>
      <c r="H1573" s="2">
        <v>8602515</v>
      </c>
    </row>
    <row r="1574" spans="1:8" x14ac:dyDescent="0.25">
      <c r="A1574" t="s">
        <v>157</v>
      </c>
      <c r="B1574">
        <v>2011</v>
      </c>
      <c r="C1574" t="s">
        <v>2</v>
      </c>
      <c r="D1574" t="s">
        <v>27</v>
      </c>
      <c r="E1574">
        <v>12</v>
      </c>
      <c r="F1574" s="4" t="s">
        <v>12</v>
      </c>
      <c r="G1574">
        <v>131</v>
      </c>
      <c r="H1574" s="2">
        <v>5041154</v>
      </c>
    </row>
    <row r="1575" spans="1:8" x14ac:dyDescent="0.25">
      <c r="A1575" t="s">
        <v>158</v>
      </c>
      <c r="B1575">
        <v>2011</v>
      </c>
      <c r="C1575" t="s">
        <v>1</v>
      </c>
      <c r="D1575" t="s">
        <v>27</v>
      </c>
      <c r="E1575">
        <v>12</v>
      </c>
      <c r="F1575" s="4" t="s">
        <v>12</v>
      </c>
      <c r="G1575">
        <v>80</v>
      </c>
      <c r="H1575" s="2">
        <v>1061340</v>
      </c>
    </row>
    <row r="1576" spans="1:8" x14ac:dyDescent="0.25">
      <c r="A1576" t="s">
        <v>159</v>
      </c>
      <c r="B1576">
        <v>2011</v>
      </c>
      <c r="C1576" t="s">
        <v>0</v>
      </c>
      <c r="D1576" t="s">
        <v>27</v>
      </c>
      <c r="E1576">
        <v>12</v>
      </c>
      <c r="F1576" s="4" t="s">
        <v>12</v>
      </c>
      <c r="G1576">
        <v>299</v>
      </c>
      <c r="H1576" s="2">
        <v>1061340</v>
      </c>
    </row>
    <row r="1577" spans="1:8" x14ac:dyDescent="0.25">
      <c r="A1577" t="s">
        <v>160</v>
      </c>
      <c r="B1577">
        <v>2012</v>
      </c>
      <c r="C1577" t="s">
        <v>6</v>
      </c>
      <c r="D1577" t="s">
        <v>27</v>
      </c>
      <c r="E1577">
        <v>12</v>
      </c>
      <c r="F1577" s="4" t="s">
        <v>12</v>
      </c>
      <c r="G1577">
        <v>393</v>
      </c>
      <c r="H1577" s="2">
        <v>2759356.4495101599</v>
      </c>
    </row>
    <row r="1578" spans="1:8" x14ac:dyDescent="0.25">
      <c r="A1578" t="s">
        <v>161</v>
      </c>
      <c r="B1578">
        <v>2012</v>
      </c>
      <c r="C1578" t="s">
        <v>5</v>
      </c>
      <c r="D1578" t="s">
        <v>27</v>
      </c>
      <c r="E1578">
        <v>12</v>
      </c>
      <c r="F1578" s="4" t="s">
        <v>12</v>
      </c>
      <c r="G1578">
        <v>21</v>
      </c>
      <c r="H1578" s="2">
        <v>5537428.7927720398</v>
      </c>
    </row>
    <row r="1579" spans="1:8" x14ac:dyDescent="0.25">
      <c r="A1579" t="s">
        <v>162</v>
      </c>
      <c r="B1579">
        <v>2012</v>
      </c>
      <c r="C1579" t="s">
        <v>4</v>
      </c>
      <c r="D1579" t="s">
        <v>27</v>
      </c>
      <c r="E1579">
        <v>12</v>
      </c>
      <c r="F1579" s="4" t="s">
        <v>12</v>
      </c>
      <c r="G1579">
        <v>15</v>
      </c>
      <c r="H1579" s="2">
        <v>5307779.7280284902</v>
      </c>
    </row>
    <row r="1580" spans="1:8" x14ac:dyDescent="0.25">
      <c r="A1580" t="s">
        <v>163</v>
      </c>
      <c r="B1580">
        <v>2012</v>
      </c>
      <c r="C1580" t="s">
        <v>3</v>
      </c>
      <c r="D1580" t="s">
        <v>27</v>
      </c>
      <c r="E1580">
        <v>12</v>
      </c>
      <c r="F1580" s="4" t="s">
        <v>12</v>
      </c>
      <c r="G1580">
        <v>60</v>
      </c>
      <c r="H1580" s="2">
        <v>8748082.6996606905</v>
      </c>
    </row>
    <row r="1581" spans="1:8" x14ac:dyDescent="0.25">
      <c r="A1581" t="s">
        <v>164</v>
      </c>
      <c r="B1581">
        <v>2012</v>
      </c>
      <c r="C1581" t="s">
        <v>2</v>
      </c>
      <c r="D1581" t="s">
        <v>27</v>
      </c>
      <c r="E1581">
        <v>12</v>
      </c>
      <c r="F1581" s="4" t="s">
        <v>12</v>
      </c>
      <c r="G1581">
        <v>114</v>
      </c>
      <c r="H1581" s="2">
        <v>5230482.0778962998</v>
      </c>
    </row>
    <row r="1582" spans="1:8" x14ac:dyDescent="0.25">
      <c r="A1582" t="s">
        <v>165</v>
      </c>
      <c r="B1582">
        <v>2012</v>
      </c>
      <c r="C1582" t="s">
        <v>1</v>
      </c>
      <c r="D1582" t="s">
        <v>27</v>
      </c>
      <c r="E1582">
        <v>12</v>
      </c>
      <c r="F1582" s="4" t="s">
        <v>12</v>
      </c>
      <c r="G1582">
        <v>91</v>
      </c>
      <c r="H1582" s="2">
        <v>1102796.7939262099</v>
      </c>
    </row>
    <row r="1583" spans="1:8" x14ac:dyDescent="0.25">
      <c r="A1583" t="s">
        <v>166</v>
      </c>
      <c r="B1583">
        <v>2012</v>
      </c>
      <c r="C1583" t="s">
        <v>0</v>
      </c>
      <c r="D1583" t="s">
        <v>27</v>
      </c>
      <c r="E1583">
        <v>12</v>
      </c>
      <c r="F1583" s="4" t="s">
        <v>12</v>
      </c>
      <c r="G1583">
        <v>316</v>
      </c>
      <c r="H1583" s="2">
        <v>1102796.7939262099</v>
      </c>
    </row>
    <row r="1584" spans="1:8" x14ac:dyDescent="0.25">
      <c r="A1584" t="s">
        <v>167</v>
      </c>
      <c r="B1584">
        <v>2013</v>
      </c>
      <c r="C1584" t="s">
        <v>6</v>
      </c>
      <c r="D1584" t="s">
        <v>27</v>
      </c>
      <c r="E1584">
        <v>12</v>
      </c>
      <c r="F1584" s="4" t="s">
        <v>12</v>
      </c>
      <c r="G1584">
        <v>376</v>
      </c>
      <c r="H1584" s="2">
        <v>2752322.19750119</v>
      </c>
    </row>
    <row r="1585" spans="1:8" x14ac:dyDescent="0.25">
      <c r="A1585" t="s">
        <v>168</v>
      </c>
      <c r="B1585">
        <v>2013</v>
      </c>
      <c r="C1585" t="s">
        <v>5</v>
      </c>
      <c r="D1585" t="s">
        <v>27</v>
      </c>
      <c r="E1585">
        <v>12</v>
      </c>
      <c r="F1585" s="4" t="s">
        <v>12</v>
      </c>
      <c r="G1585">
        <v>21</v>
      </c>
      <c r="H1585" s="2">
        <v>5554323.1251711203</v>
      </c>
    </row>
    <row r="1586" spans="1:8" x14ac:dyDescent="0.25">
      <c r="A1586" t="s">
        <v>169</v>
      </c>
      <c r="B1586">
        <v>2013</v>
      </c>
      <c r="C1586" t="s">
        <v>4</v>
      </c>
      <c r="D1586" t="s">
        <v>27</v>
      </c>
      <c r="E1586">
        <v>12</v>
      </c>
      <c r="F1586" s="4" t="s">
        <v>12</v>
      </c>
      <c r="G1586">
        <v>19</v>
      </c>
      <c r="H1586" s="2">
        <v>5323364.8480997998</v>
      </c>
    </row>
    <row r="1587" spans="1:8" x14ac:dyDescent="0.25">
      <c r="A1587" t="s">
        <v>170</v>
      </c>
      <c r="B1587">
        <v>2013</v>
      </c>
      <c r="C1587" t="s">
        <v>3</v>
      </c>
      <c r="D1587" t="s">
        <v>27</v>
      </c>
      <c r="E1587">
        <v>12</v>
      </c>
      <c r="F1587" s="4" t="s">
        <v>12</v>
      </c>
      <c r="G1587">
        <v>56</v>
      </c>
      <c r="H1587" s="2">
        <v>8893718.1904660594</v>
      </c>
    </row>
    <row r="1588" spans="1:8" x14ac:dyDescent="0.25">
      <c r="A1588" t="s">
        <v>171</v>
      </c>
      <c r="B1588">
        <v>2013</v>
      </c>
      <c r="C1588" t="s">
        <v>2</v>
      </c>
      <c r="D1588" t="s">
        <v>27</v>
      </c>
      <c r="E1588">
        <v>12</v>
      </c>
      <c r="F1588" s="4" t="s">
        <v>12</v>
      </c>
      <c r="G1588">
        <v>132</v>
      </c>
      <c r="H1588" s="2">
        <v>5415783.9591287402</v>
      </c>
    </row>
    <row r="1589" spans="1:8" x14ac:dyDescent="0.25">
      <c r="A1589" t="s">
        <v>172</v>
      </c>
      <c r="B1589">
        <v>2013</v>
      </c>
      <c r="C1589" t="s">
        <v>1</v>
      </c>
      <c r="D1589" t="s">
        <v>27</v>
      </c>
      <c r="E1589">
        <v>12</v>
      </c>
      <c r="F1589" s="4" t="s">
        <v>12</v>
      </c>
      <c r="G1589">
        <v>107</v>
      </c>
      <c r="H1589" s="2">
        <v>1147296.6505007599</v>
      </c>
    </row>
    <row r="1590" spans="1:8" x14ac:dyDescent="0.25">
      <c r="A1590" t="s">
        <v>173</v>
      </c>
      <c r="B1590">
        <v>2013</v>
      </c>
      <c r="C1590" t="s">
        <v>0</v>
      </c>
      <c r="D1590" t="s">
        <v>27</v>
      </c>
      <c r="E1590">
        <v>12</v>
      </c>
      <c r="F1590" s="4" t="s">
        <v>12</v>
      </c>
      <c r="G1590">
        <v>306</v>
      </c>
      <c r="H1590" s="2">
        <v>1147296.6505007599</v>
      </c>
    </row>
    <row r="1591" spans="1:8" x14ac:dyDescent="0.25">
      <c r="A1591" t="s">
        <v>174</v>
      </c>
      <c r="B1591">
        <v>2014</v>
      </c>
      <c r="C1591" t="s">
        <v>6</v>
      </c>
      <c r="D1591" t="s">
        <v>27</v>
      </c>
      <c r="E1591">
        <v>12</v>
      </c>
      <c r="F1591" s="4" t="s">
        <v>12</v>
      </c>
      <c r="G1591">
        <v>464</v>
      </c>
      <c r="H1591" s="2">
        <v>2744697</v>
      </c>
    </row>
    <row r="1592" spans="1:8" x14ac:dyDescent="0.25">
      <c r="A1592" t="s">
        <v>175</v>
      </c>
      <c r="B1592">
        <v>2014</v>
      </c>
      <c r="C1592" t="s">
        <v>5</v>
      </c>
      <c r="D1592" t="s">
        <v>27</v>
      </c>
      <c r="E1592">
        <v>12</v>
      </c>
      <c r="F1592" s="4" t="s">
        <v>12</v>
      </c>
      <c r="G1592">
        <v>26</v>
      </c>
      <c r="H1592" s="2">
        <v>5566437</v>
      </c>
    </row>
    <row r="1593" spans="1:8" x14ac:dyDescent="0.25">
      <c r="A1593" t="s">
        <v>176</v>
      </c>
      <c r="B1593">
        <v>2014</v>
      </c>
      <c r="C1593" t="s">
        <v>4</v>
      </c>
      <c r="D1593" t="s">
        <v>27</v>
      </c>
      <c r="E1593">
        <v>12</v>
      </c>
      <c r="F1593" s="4" t="s">
        <v>12</v>
      </c>
      <c r="G1593">
        <v>15</v>
      </c>
      <c r="H1593" s="2">
        <v>5343109</v>
      </c>
    </row>
    <row r="1594" spans="1:8" x14ac:dyDescent="0.25">
      <c r="A1594" t="s">
        <v>177</v>
      </c>
      <c r="B1594">
        <v>2014</v>
      </c>
      <c r="C1594" t="s">
        <v>3</v>
      </c>
      <c r="D1594" t="s">
        <v>27</v>
      </c>
      <c r="E1594">
        <v>12</v>
      </c>
      <c r="F1594" s="4" t="s">
        <v>12</v>
      </c>
      <c r="G1594">
        <v>76</v>
      </c>
      <c r="H1594" s="2">
        <v>9037113</v>
      </c>
    </row>
    <row r="1595" spans="1:8" x14ac:dyDescent="0.25">
      <c r="A1595" t="s">
        <v>178</v>
      </c>
      <c r="B1595">
        <v>2014</v>
      </c>
      <c r="C1595" t="s">
        <v>2</v>
      </c>
      <c r="D1595" t="s">
        <v>27</v>
      </c>
      <c r="E1595">
        <v>12</v>
      </c>
      <c r="F1595" s="4" t="s">
        <v>12</v>
      </c>
      <c r="G1595">
        <v>171</v>
      </c>
      <c r="H1595" s="2">
        <v>5597164</v>
      </c>
    </row>
    <row r="1596" spans="1:8" x14ac:dyDescent="0.25">
      <c r="A1596" t="s">
        <v>179</v>
      </c>
      <c r="B1596">
        <v>2014</v>
      </c>
      <c r="C1596" t="s">
        <v>1</v>
      </c>
      <c r="D1596" t="s">
        <v>27</v>
      </c>
      <c r="E1596">
        <v>12</v>
      </c>
      <c r="F1596" s="4" t="s">
        <v>12</v>
      </c>
      <c r="G1596">
        <v>138</v>
      </c>
      <c r="H1596" s="2">
        <v>1194627</v>
      </c>
    </row>
    <row r="1597" spans="1:8" x14ac:dyDescent="0.25">
      <c r="A1597" t="s">
        <v>180</v>
      </c>
      <c r="B1597">
        <v>2014</v>
      </c>
      <c r="C1597" t="s">
        <v>0</v>
      </c>
      <c r="D1597" t="s">
        <v>27</v>
      </c>
      <c r="E1597">
        <v>12</v>
      </c>
      <c r="F1597" s="4" t="s">
        <v>12</v>
      </c>
      <c r="G1597">
        <v>500</v>
      </c>
      <c r="H1597" s="2">
        <v>1194627</v>
      </c>
    </row>
    <row r="1598" spans="1:8" x14ac:dyDescent="0.25">
      <c r="A1598" t="s">
        <v>48</v>
      </c>
      <c r="B1598">
        <v>1996</v>
      </c>
      <c r="C1598" t="s">
        <v>6</v>
      </c>
      <c r="D1598" t="s">
        <v>27</v>
      </c>
      <c r="E1598">
        <v>13</v>
      </c>
      <c r="F1598" s="4" t="s">
        <v>11</v>
      </c>
      <c r="G1598">
        <v>37</v>
      </c>
      <c r="H1598" s="2">
        <v>2669011.0638103201</v>
      </c>
    </row>
    <row r="1599" spans="1:8" x14ac:dyDescent="0.25">
      <c r="A1599" t="s">
        <v>49</v>
      </c>
      <c r="B1599">
        <v>1996</v>
      </c>
      <c r="C1599" t="s">
        <v>5</v>
      </c>
      <c r="D1599" t="s">
        <v>27</v>
      </c>
      <c r="E1599">
        <v>13</v>
      </c>
      <c r="F1599" s="4" t="s">
        <v>11</v>
      </c>
      <c r="G1599">
        <v>18</v>
      </c>
      <c r="H1599" s="2">
        <v>5336689.2615659405</v>
      </c>
    </row>
    <row r="1600" spans="1:8" x14ac:dyDescent="0.25">
      <c r="A1600" t="s">
        <v>50</v>
      </c>
      <c r="B1600">
        <v>1996</v>
      </c>
      <c r="C1600" t="s">
        <v>4</v>
      </c>
      <c r="D1600" t="s">
        <v>27</v>
      </c>
      <c r="E1600">
        <v>13</v>
      </c>
      <c r="F1600" s="4" t="s">
        <v>11</v>
      </c>
      <c r="G1600">
        <v>71</v>
      </c>
      <c r="H1600" s="2">
        <v>4328734.7335640304</v>
      </c>
    </row>
    <row r="1601" spans="1:8" x14ac:dyDescent="0.25">
      <c r="A1601" t="s">
        <v>51</v>
      </c>
      <c r="B1601">
        <v>1996</v>
      </c>
      <c r="C1601" t="s">
        <v>3</v>
      </c>
      <c r="D1601" t="s">
        <v>27</v>
      </c>
      <c r="E1601">
        <v>13</v>
      </c>
      <c r="F1601" s="4" t="s">
        <v>11</v>
      </c>
      <c r="G1601">
        <v>232</v>
      </c>
      <c r="H1601" s="2">
        <v>6500086.9398599695</v>
      </c>
    </row>
    <row r="1602" spans="1:8" x14ac:dyDescent="0.25">
      <c r="A1602" t="s">
        <v>52</v>
      </c>
      <c r="B1602">
        <v>1996</v>
      </c>
      <c r="C1602" t="s">
        <v>2</v>
      </c>
      <c r="D1602" t="s">
        <v>27</v>
      </c>
      <c r="E1602">
        <v>13</v>
      </c>
      <c r="F1602" s="4" t="s">
        <v>11</v>
      </c>
      <c r="G1602">
        <v>387</v>
      </c>
      <c r="H1602" s="2">
        <v>2862216.4853526298</v>
      </c>
    </row>
    <row r="1603" spans="1:8" x14ac:dyDescent="0.25">
      <c r="A1603" t="s">
        <v>53</v>
      </c>
      <c r="B1603">
        <v>1996</v>
      </c>
      <c r="C1603" t="s">
        <v>1</v>
      </c>
      <c r="D1603" t="s">
        <v>27</v>
      </c>
      <c r="E1603">
        <v>13</v>
      </c>
      <c r="F1603" s="4" t="s">
        <v>11</v>
      </c>
      <c r="G1603">
        <v>319</v>
      </c>
      <c r="H1603" s="2">
        <v>710343.28776711202</v>
      </c>
    </row>
    <row r="1604" spans="1:8" x14ac:dyDescent="0.25">
      <c r="A1604" t="s">
        <v>54</v>
      </c>
      <c r="B1604">
        <v>1996</v>
      </c>
      <c r="C1604" t="s">
        <v>0</v>
      </c>
      <c r="D1604" t="s">
        <v>27</v>
      </c>
      <c r="E1604">
        <v>13</v>
      </c>
      <c r="F1604" s="4" t="s">
        <v>11</v>
      </c>
      <c r="G1604">
        <v>397</v>
      </c>
      <c r="H1604" s="2">
        <v>710343.28776711202</v>
      </c>
    </row>
    <row r="1605" spans="1:8" x14ac:dyDescent="0.25">
      <c r="A1605" t="s">
        <v>55</v>
      </c>
      <c r="B1605">
        <v>1997</v>
      </c>
      <c r="C1605" t="s">
        <v>6</v>
      </c>
      <c r="D1605" t="s">
        <v>27</v>
      </c>
      <c r="E1605">
        <v>13</v>
      </c>
      <c r="F1605" s="4" t="s">
        <v>11</v>
      </c>
      <c r="G1605">
        <v>33</v>
      </c>
      <c r="H1605" s="2">
        <v>2689637.03828619</v>
      </c>
    </row>
    <row r="1606" spans="1:8" x14ac:dyDescent="0.25">
      <c r="A1606" t="s">
        <v>56</v>
      </c>
      <c r="B1606">
        <v>1997</v>
      </c>
      <c r="C1606" t="s">
        <v>5</v>
      </c>
      <c r="D1606" t="s">
        <v>27</v>
      </c>
      <c r="E1606">
        <v>13</v>
      </c>
      <c r="F1606" s="4" t="s">
        <v>11</v>
      </c>
      <c r="G1606">
        <v>35</v>
      </c>
      <c r="H1606" s="2">
        <v>5352218.1569395596</v>
      </c>
    </row>
    <row r="1607" spans="1:8" x14ac:dyDescent="0.25">
      <c r="A1607" t="s">
        <v>57</v>
      </c>
      <c r="B1607">
        <v>1997</v>
      </c>
      <c r="C1607" t="s">
        <v>4</v>
      </c>
      <c r="D1607" t="s">
        <v>27</v>
      </c>
      <c r="E1607">
        <v>13</v>
      </c>
      <c r="F1607" s="4" t="s">
        <v>11</v>
      </c>
      <c r="G1607">
        <v>57</v>
      </c>
      <c r="H1607" s="2">
        <v>4441903.2401384199</v>
      </c>
    </row>
    <row r="1608" spans="1:8" x14ac:dyDescent="0.25">
      <c r="A1608" t="s">
        <v>58</v>
      </c>
      <c r="B1608">
        <v>1997</v>
      </c>
      <c r="C1608" t="s">
        <v>3</v>
      </c>
      <c r="D1608" t="s">
        <v>27</v>
      </c>
      <c r="E1608">
        <v>13</v>
      </c>
      <c r="F1608" s="4" t="s">
        <v>11</v>
      </c>
      <c r="G1608">
        <v>267</v>
      </c>
      <c r="H1608" s="2">
        <v>6652916.9639159804</v>
      </c>
    </row>
    <row r="1609" spans="1:8" x14ac:dyDescent="0.25">
      <c r="A1609" t="s">
        <v>59</v>
      </c>
      <c r="B1609">
        <v>1997</v>
      </c>
      <c r="C1609" t="s">
        <v>2</v>
      </c>
      <c r="D1609" t="s">
        <v>27</v>
      </c>
      <c r="E1609">
        <v>13</v>
      </c>
      <c r="F1609" s="4" t="s">
        <v>11</v>
      </c>
      <c r="G1609">
        <v>416</v>
      </c>
      <c r="H1609" s="2">
        <v>2950439.89121158</v>
      </c>
    </row>
    <row r="1610" spans="1:8" x14ac:dyDescent="0.25">
      <c r="A1610" t="s">
        <v>60</v>
      </c>
      <c r="B1610">
        <v>1997</v>
      </c>
      <c r="C1610" t="s">
        <v>1</v>
      </c>
      <c r="D1610" t="s">
        <v>27</v>
      </c>
      <c r="E1610">
        <v>13</v>
      </c>
      <c r="F1610" s="4" t="s">
        <v>11</v>
      </c>
      <c r="G1610">
        <v>288</v>
      </c>
      <c r="H1610" s="2">
        <v>717390.37266026705</v>
      </c>
    </row>
    <row r="1611" spans="1:8" x14ac:dyDescent="0.25">
      <c r="A1611" t="s">
        <v>61</v>
      </c>
      <c r="B1611">
        <v>1997</v>
      </c>
      <c r="C1611" t="s">
        <v>0</v>
      </c>
      <c r="D1611" t="s">
        <v>27</v>
      </c>
      <c r="E1611">
        <v>13</v>
      </c>
      <c r="F1611" s="4" t="s">
        <v>11</v>
      </c>
      <c r="G1611">
        <v>421</v>
      </c>
      <c r="H1611" s="2">
        <v>717390.37266026705</v>
      </c>
    </row>
    <row r="1612" spans="1:8" x14ac:dyDescent="0.25">
      <c r="A1612" t="s">
        <v>62</v>
      </c>
      <c r="B1612">
        <v>1998</v>
      </c>
      <c r="C1612" t="s">
        <v>6</v>
      </c>
      <c r="D1612" t="s">
        <v>27</v>
      </c>
      <c r="E1612">
        <v>13</v>
      </c>
      <c r="F1612" s="4" t="s">
        <v>11</v>
      </c>
      <c r="G1612">
        <v>34</v>
      </c>
      <c r="H1612" s="2">
        <v>2707580.5191430999</v>
      </c>
    </row>
    <row r="1613" spans="1:8" x14ac:dyDescent="0.25">
      <c r="A1613" t="s">
        <v>63</v>
      </c>
      <c r="B1613">
        <v>1998</v>
      </c>
      <c r="C1613" t="s">
        <v>5</v>
      </c>
      <c r="D1613" t="s">
        <v>27</v>
      </c>
      <c r="E1613">
        <v>13</v>
      </c>
      <c r="F1613" s="4" t="s">
        <v>11</v>
      </c>
      <c r="G1613">
        <v>33</v>
      </c>
      <c r="H1613" s="2">
        <v>5360232.5784697803</v>
      </c>
    </row>
    <row r="1614" spans="1:8" x14ac:dyDescent="0.25">
      <c r="A1614" t="s">
        <v>64</v>
      </c>
      <c r="B1614">
        <v>1998</v>
      </c>
      <c r="C1614" t="s">
        <v>4</v>
      </c>
      <c r="D1614" t="s">
        <v>27</v>
      </c>
      <c r="E1614">
        <v>13</v>
      </c>
      <c r="F1614" s="4" t="s">
        <v>11</v>
      </c>
      <c r="G1614">
        <v>63</v>
      </c>
      <c r="H1614" s="2">
        <v>4551586.6200692104</v>
      </c>
    </row>
    <row r="1615" spans="1:8" x14ac:dyDescent="0.25">
      <c r="A1615" t="s">
        <v>65</v>
      </c>
      <c r="B1615">
        <v>1998</v>
      </c>
      <c r="C1615" t="s">
        <v>3</v>
      </c>
      <c r="D1615" t="s">
        <v>27</v>
      </c>
      <c r="E1615">
        <v>13</v>
      </c>
      <c r="F1615" s="4" t="s">
        <v>11</v>
      </c>
      <c r="G1615">
        <v>207</v>
      </c>
      <c r="H1615" s="2">
        <v>6800752.4819579897</v>
      </c>
    </row>
    <row r="1616" spans="1:8" x14ac:dyDescent="0.25">
      <c r="A1616" t="s">
        <v>66</v>
      </c>
      <c r="B1616">
        <v>1998</v>
      </c>
      <c r="C1616" t="s">
        <v>2</v>
      </c>
      <c r="D1616" t="s">
        <v>27</v>
      </c>
      <c r="E1616">
        <v>13</v>
      </c>
      <c r="F1616" s="4" t="s">
        <v>11</v>
      </c>
      <c r="G1616">
        <v>405</v>
      </c>
      <c r="H1616" s="2">
        <v>3048176.4456057898</v>
      </c>
    </row>
    <row r="1617" spans="1:8" x14ac:dyDescent="0.25">
      <c r="A1617" t="s">
        <v>67</v>
      </c>
      <c r="B1617">
        <v>1998</v>
      </c>
      <c r="C1617" t="s">
        <v>1</v>
      </c>
      <c r="D1617" t="s">
        <v>27</v>
      </c>
      <c r="E1617">
        <v>13</v>
      </c>
      <c r="F1617" s="4" t="s">
        <v>11</v>
      </c>
      <c r="G1617">
        <v>280</v>
      </c>
      <c r="H1617" s="2">
        <v>727932.186330133</v>
      </c>
    </row>
    <row r="1618" spans="1:8" x14ac:dyDescent="0.25">
      <c r="A1618" t="s">
        <v>68</v>
      </c>
      <c r="B1618">
        <v>1998</v>
      </c>
      <c r="C1618" t="s">
        <v>0</v>
      </c>
      <c r="D1618" t="s">
        <v>27</v>
      </c>
      <c r="E1618">
        <v>13</v>
      </c>
      <c r="F1618" s="4" t="s">
        <v>11</v>
      </c>
      <c r="G1618">
        <v>385</v>
      </c>
      <c r="H1618" s="2">
        <v>727932.186330133</v>
      </c>
    </row>
    <row r="1619" spans="1:8" x14ac:dyDescent="0.25">
      <c r="A1619" t="s">
        <v>69</v>
      </c>
      <c r="B1619">
        <v>1999</v>
      </c>
      <c r="C1619" t="s">
        <v>6</v>
      </c>
      <c r="D1619" t="s">
        <v>27</v>
      </c>
      <c r="E1619">
        <v>13</v>
      </c>
      <c r="F1619" s="4" t="s">
        <v>11</v>
      </c>
      <c r="G1619">
        <v>32</v>
      </c>
      <c r="H1619" s="2">
        <v>2723058.5063810302</v>
      </c>
    </row>
    <row r="1620" spans="1:8" x14ac:dyDescent="0.25">
      <c r="A1620" t="s">
        <v>70</v>
      </c>
      <c r="B1620">
        <v>1999</v>
      </c>
      <c r="C1620" t="s">
        <v>5</v>
      </c>
      <c r="D1620" t="s">
        <v>27</v>
      </c>
      <c r="E1620">
        <v>13</v>
      </c>
      <c r="F1620" s="4" t="s">
        <v>11</v>
      </c>
      <c r="G1620">
        <v>30</v>
      </c>
      <c r="H1620" s="2">
        <v>5362927.5261565903</v>
      </c>
    </row>
    <row r="1621" spans="1:8" x14ac:dyDescent="0.25">
      <c r="A1621" t="s">
        <v>71</v>
      </c>
      <c r="B1621">
        <v>1999</v>
      </c>
      <c r="C1621" t="s">
        <v>4</v>
      </c>
      <c r="D1621" t="s">
        <v>27</v>
      </c>
      <c r="E1621">
        <v>13</v>
      </c>
      <c r="F1621" s="4" t="s">
        <v>11</v>
      </c>
      <c r="G1621">
        <v>51</v>
      </c>
      <c r="H1621" s="2">
        <v>4656740.8733564001</v>
      </c>
    </row>
    <row r="1622" spans="1:8" x14ac:dyDescent="0.25">
      <c r="A1622" t="s">
        <v>72</v>
      </c>
      <c r="B1622">
        <v>1999</v>
      </c>
      <c r="C1622" t="s">
        <v>3</v>
      </c>
      <c r="D1622" t="s">
        <v>27</v>
      </c>
      <c r="E1622">
        <v>13</v>
      </c>
      <c r="F1622" s="4" t="s">
        <v>11</v>
      </c>
      <c r="G1622">
        <v>243</v>
      </c>
      <c r="H1622" s="2">
        <v>6944474.4939860003</v>
      </c>
    </row>
    <row r="1623" spans="1:8" x14ac:dyDescent="0.25">
      <c r="A1623" t="s">
        <v>73</v>
      </c>
      <c r="B1623">
        <v>1999</v>
      </c>
      <c r="C1623" t="s">
        <v>2</v>
      </c>
      <c r="D1623" t="s">
        <v>27</v>
      </c>
      <c r="E1623">
        <v>13</v>
      </c>
      <c r="F1623" s="4" t="s">
        <v>11</v>
      </c>
      <c r="G1623">
        <v>451</v>
      </c>
      <c r="H1623" s="2">
        <v>3155060.14853526</v>
      </c>
    </row>
    <row r="1624" spans="1:8" x14ac:dyDescent="0.25">
      <c r="A1624" t="s">
        <v>74</v>
      </c>
      <c r="B1624">
        <v>1999</v>
      </c>
      <c r="C1624" t="s">
        <v>1</v>
      </c>
      <c r="D1624" t="s">
        <v>27</v>
      </c>
      <c r="E1624">
        <v>13</v>
      </c>
      <c r="F1624" s="4" t="s">
        <v>11</v>
      </c>
      <c r="G1624">
        <v>305</v>
      </c>
      <c r="H1624" s="2">
        <v>741553.72877671104</v>
      </c>
    </row>
    <row r="1625" spans="1:8" x14ac:dyDescent="0.25">
      <c r="A1625" t="s">
        <v>75</v>
      </c>
      <c r="B1625">
        <v>1999</v>
      </c>
      <c r="C1625" t="s">
        <v>0</v>
      </c>
      <c r="D1625" t="s">
        <v>27</v>
      </c>
      <c r="E1625">
        <v>13</v>
      </c>
      <c r="F1625" s="4" t="s">
        <v>11</v>
      </c>
      <c r="G1625">
        <v>448</v>
      </c>
      <c r="H1625" s="2">
        <v>741553.72877671104</v>
      </c>
    </row>
    <row r="1626" spans="1:8" x14ac:dyDescent="0.25">
      <c r="A1626" t="s">
        <v>76</v>
      </c>
      <c r="B1626">
        <v>2000</v>
      </c>
      <c r="C1626" t="s">
        <v>6</v>
      </c>
      <c r="D1626" t="s">
        <v>27</v>
      </c>
      <c r="E1626">
        <v>13</v>
      </c>
      <c r="F1626" s="4" t="s">
        <v>11</v>
      </c>
      <c r="G1626">
        <v>30</v>
      </c>
      <c r="H1626" s="2">
        <v>2736288</v>
      </c>
    </row>
    <row r="1627" spans="1:8" x14ac:dyDescent="0.25">
      <c r="A1627" t="s">
        <v>77</v>
      </c>
      <c r="B1627">
        <v>2000</v>
      </c>
      <c r="C1627" t="s">
        <v>5</v>
      </c>
      <c r="D1627" t="s">
        <v>27</v>
      </c>
      <c r="E1627">
        <v>13</v>
      </c>
      <c r="F1627" s="4" t="s">
        <v>11</v>
      </c>
      <c r="G1627">
        <v>33</v>
      </c>
      <c r="H1627" s="2">
        <v>5362498</v>
      </c>
    </row>
    <row r="1628" spans="1:8" x14ac:dyDescent="0.25">
      <c r="A1628" t="s">
        <v>78</v>
      </c>
      <c r="B1628">
        <v>2000</v>
      </c>
      <c r="C1628" t="s">
        <v>4</v>
      </c>
      <c r="D1628" t="s">
        <v>27</v>
      </c>
      <c r="E1628">
        <v>13</v>
      </c>
      <c r="F1628" s="4" t="s">
        <v>11</v>
      </c>
      <c r="G1628">
        <v>54</v>
      </c>
      <c r="H1628" s="2">
        <v>4756322</v>
      </c>
    </row>
    <row r="1629" spans="1:8" x14ac:dyDescent="0.25">
      <c r="A1629" t="s">
        <v>79</v>
      </c>
      <c r="B1629">
        <v>2000</v>
      </c>
      <c r="C1629" t="s">
        <v>3</v>
      </c>
      <c r="D1629" t="s">
        <v>27</v>
      </c>
      <c r="E1629">
        <v>13</v>
      </c>
      <c r="F1629" s="4" t="s">
        <v>11</v>
      </c>
      <c r="G1629">
        <v>169</v>
      </c>
      <c r="H1629" s="2">
        <v>7084964</v>
      </c>
    </row>
    <row r="1630" spans="1:8" x14ac:dyDescent="0.25">
      <c r="A1630" t="s">
        <v>80</v>
      </c>
      <c r="B1630">
        <v>2000</v>
      </c>
      <c r="C1630" t="s">
        <v>2</v>
      </c>
      <c r="D1630" t="s">
        <v>27</v>
      </c>
      <c r="E1630">
        <v>13</v>
      </c>
      <c r="F1630" s="4" t="s">
        <v>11</v>
      </c>
      <c r="G1630">
        <v>383</v>
      </c>
      <c r="H1630" s="2">
        <v>3270725</v>
      </c>
    </row>
    <row r="1631" spans="1:8" x14ac:dyDescent="0.25">
      <c r="A1631" t="s">
        <v>81</v>
      </c>
      <c r="B1631">
        <v>2000</v>
      </c>
      <c r="C1631" t="s">
        <v>1</v>
      </c>
      <c r="D1631" t="s">
        <v>27</v>
      </c>
      <c r="E1631">
        <v>13</v>
      </c>
      <c r="F1631" s="4" t="s">
        <v>11</v>
      </c>
      <c r="G1631">
        <v>259</v>
      </c>
      <c r="H1631" s="2">
        <v>757840</v>
      </c>
    </row>
    <row r="1632" spans="1:8" x14ac:dyDescent="0.25">
      <c r="A1632" t="s">
        <v>82</v>
      </c>
      <c r="B1632">
        <v>2000</v>
      </c>
      <c r="C1632" t="s">
        <v>0</v>
      </c>
      <c r="D1632" t="s">
        <v>27</v>
      </c>
      <c r="E1632">
        <v>13</v>
      </c>
      <c r="F1632" s="4" t="s">
        <v>11</v>
      </c>
      <c r="G1632">
        <v>450</v>
      </c>
      <c r="H1632" s="2">
        <v>757840</v>
      </c>
    </row>
    <row r="1633" spans="1:8" x14ac:dyDescent="0.25">
      <c r="A1633" t="s">
        <v>83</v>
      </c>
      <c r="B1633">
        <v>2001</v>
      </c>
      <c r="C1633" t="s">
        <v>6</v>
      </c>
      <c r="D1633" t="s">
        <v>27</v>
      </c>
      <c r="E1633">
        <v>13</v>
      </c>
      <c r="F1633" s="4" t="s">
        <v>11</v>
      </c>
      <c r="G1633">
        <v>24</v>
      </c>
      <c r="H1633" s="2">
        <v>2747486</v>
      </c>
    </row>
    <row r="1634" spans="1:8" x14ac:dyDescent="0.25">
      <c r="A1634" t="s">
        <v>84</v>
      </c>
      <c r="B1634">
        <v>2001</v>
      </c>
      <c r="C1634" t="s">
        <v>5</v>
      </c>
      <c r="D1634" t="s">
        <v>27</v>
      </c>
      <c r="E1634">
        <v>13</v>
      </c>
      <c r="F1634" s="4" t="s">
        <v>11</v>
      </c>
      <c r="G1634">
        <v>32</v>
      </c>
      <c r="H1634" s="2">
        <v>5361139</v>
      </c>
    </row>
    <row r="1635" spans="1:8" x14ac:dyDescent="0.25">
      <c r="A1635" t="s">
        <v>85</v>
      </c>
      <c r="B1635">
        <v>2001</v>
      </c>
      <c r="C1635" t="s">
        <v>4</v>
      </c>
      <c r="D1635" t="s">
        <v>27</v>
      </c>
      <c r="E1635">
        <v>13</v>
      </c>
      <c r="F1635" s="4" t="s">
        <v>11</v>
      </c>
      <c r="G1635">
        <v>41</v>
      </c>
      <c r="H1635" s="2">
        <v>4849286</v>
      </c>
    </row>
    <row r="1636" spans="1:8" x14ac:dyDescent="0.25">
      <c r="A1636" t="s">
        <v>86</v>
      </c>
      <c r="B1636">
        <v>2001</v>
      </c>
      <c r="C1636" t="s">
        <v>3</v>
      </c>
      <c r="D1636" t="s">
        <v>27</v>
      </c>
      <c r="E1636">
        <v>13</v>
      </c>
      <c r="F1636" s="4" t="s">
        <v>11</v>
      </c>
      <c r="G1636">
        <v>174</v>
      </c>
      <c r="H1636" s="2">
        <v>7223102</v>
      </c>
    </row>
    <row r="1637" spans="1:8" x14ac:dyDescent="0.25">
      <c r="A1637" t="s">
        <v>87</v>
      </c>
      <c r="B1637">
        <v>2001</v>
      </c>
      <c r="C1637" t="s">
        <v>2</v>
      </c>
      <c r="D1637" t="s">
        <v>27</v>
      </c>
      <c r="E1637">
        <v>13</v>
      </c>
      <c r="F1637" s="4" t="s">
        <v>11</v>
      </c>
      <c r="G1637">
        <v>391</v>
      </c>
      <c r="H1637" s="2">
        <v>3394805</v>
      </c>
    </row>
    <row r="1638" spans="1:8" x14ac:dyDescent="0.25">
      <c r="A1638" t="s">
        <v>88</v>
      </c>
      <c r="B1638">
        <v>2001</v>
      </c>
      <c r="C1638" t="s">
        <v>1</v>
      </c>
      <c r="D1638" t="s">
        <v>27</v>
      </c>
      <c r="E1638">
        <v>13</v>
      </c>
      <c r="F1638" s="4" t="s">
        <v>11</v>
      </c>
      <c r="G1638">
        <v>269</v>
      </c>
      <c r="H1638" s="2">
        <v>776376</v>
      </c>
    </row>
    <row r="1639" spans="1:8" x14ac:dyDescent="0.25">
      <c r="A1639" t="s">
        <v>89</v>
      </c>
      <c r="B1639">
        <v>2001</v>
      </c>
      <c r="C1639" t="s">
        <v>0</v>
      </c>
      <c r="D1639" t="s">
        <v>27</v>
      </c>
      <c r="E1639">
        <v>13</v>
      </c>
      <c r="F1639" s="4" t="s">
        <v>11</v>
      </c>
      <c r="G1639">
        <v>428</v>
      </c>
      <c r="H1639" s="2">
        <v>776376</v>
      </c>
    </row>
    <row r="1640" spans="1:8" x14ac:dyDescent="0.25">
      <c r="A1640" t="s">
        <v>90</v>
      </c>
      <c r="B1640">
        <v>2002</v>
      </c>
      <c r="C1640" t="s">
        <v>6</v>
      </c>
      <c r="D1640" t="s">
        <v>27</v>
      </c>
      <c r="E1640">
        <v>13</v>
      </c>
      <c r="F1640" s="4" t="s">
        <v>11</v>
      </c>
      <c r="G1640">
        <v>24</v>
      </c>
      <c r="H1640" s="2">
        <v>2756879</v>
      </c>
    </row>
    <row r="1641" spans="1:8" x14ac:dyDescent="0.25">
      <c r="A1641" t="s">
        <v>91</v>
      </c>
      <c r="B1641">
        <v>2002</v>
      </c>
      <c r="C1641" t="s">
        <v>5</v>
      </c>
      <c r="D1641" t="s">
        <v>27</v>
      </c>
      <c r="E1641">
        <v>13</v>
      </c>
      <c r="F1641" s="4" t="s">
        <v>11</v>
      </c>
      <c r="G1641">
        <v>29</v>
      </c>
      <c r="H1641" s="2">
        <v>5361107</v>
      </c>
    </row>
    <row r="1642" spans="1:8" x14ac:dyDescent="0.25">
      <c r="A1642" t="s">
        <v>92</v>
      </c>
      <c r="B1642">
        <v>2002</v>
      </c>
      <c r="C1642" t="s">
        <v>4</v>
      </c>
      <c r="D1642" t="s">
        <v>27</v>
      </c>
      <c r="E1642">
        <v>13</v>
      </c>
      <c r="F1642" s="4" t="s">
        <v>11</v>
      </c>
      <c r="G1642">
        <v>44</v>
      </c>
      <c r="H1642" s="2">
        <v>4934568</v>
      </c>
    </row>
    <row r="1643" spans="1:8" x14ac:dyDescent="0.25">
      <c r="A1643" t="s">
        <v>93</v>
      </c>
      <c r="B1643">
        <v>2002</v>
      </c>
      <c r="C1643" t="s">
        <v>3</v>
      </c>
      <c r="D1643" t="s">
        <v>27</v>
      </c>
      <c r="E1643">
        <v>13</v>
      </c>
      <c r="F1643" s="4" t="s">
        <v>11</v>
      </c>
      <c r="G1643">
        <v>169</v>
      </c>
      <c r="H1643" s="2">
        <v>7359839</v>
      </c>
    </row>
    <row r="1644" spans="1:8" x14ac:dyDescent="0.25">
      <c r="A1644" t="s">
        <v>94</v>
      </c>
      <c r="B1644">
        <v>2002</v>
      </c>
      <c r="C1644" t="s">
        <v>2</v>
      </c>
      <c r="D1644" t="s">
        <v>27</v>
      </c>
      <c r="E1644">
        <v>13</v>
      </c>
      <c r="F1644" s="4" t="s">
        <v>11</v>
      </c>
      <c r="G1644">
        <v>365</v>
      </c>
      <c r="H1644" s="2">
        <v>3526909</v>
      </c>
    </row>
    <row r="1645" spans="1:8" x14ac:dyDescent="0.25">
      <c r="A1645" t="s">
        <v>95</v>
      </c>
      <c r="B1645">
        <v>2002</v>
      </c>
      <c r="C1645" t="s">
        <v>1</v>
      </c>
      <c r="D1645" t="s">
        <v>27</v>
      </c>
      <c r="E1645">
        <v>13</v>
      </c>
      <c r="F1645" s="4" t="s">
        <v>11</v>
      </c>
      <c r="G1645">
        <v>260</v>
      </c>
      <c r="H1645" s="2">
        <v>796712</v>
      </c>
    </row>
    <row r="1646" spans="1:8" x14ac:dyDescent="0.25">
      <c r="A1646" t="s">
        <v>96</v>
      </c>
      <c r="B1646">
        <v>2002</v>
      </c>
      <c r="C1646" t="s">
        <v>0</v>
      </c>
      <c r="D1646" t="s">
        <v>27</v>
      </c>
      <c r="E1646">
        <v>13</v>
      </c>
      <c r="F1646" s="4" t="s">
        <v>11</v>
      </c>
      <c r="G1646">
        <v>422</v>
      </c>
      <c r="H1646" s="2">
        <v>796712</v>
      </c>
    </row>
    <row r="1647" spans="1:8" x14ac:dyDescent="0.25">
      <c r="A1647" t="s">
        <v>97</v>
      </c>
      <c r="B1647">
        <v>2003</v>
      </c>
      <c r="C1647" t="s">
        <v>6</v>
      </c>
      <c r="D1647" t="s">
        <v>27</v>
      </c>
      <c r="E1647">
        <v>13</v>
      </c>
      <c r="F1647" s="4" t="s">
        <v>11</v>
      </c>
      <c r="G1647">
        <v>38</v>
      </c>
      <c r="H1647" s="2">
        <v>2764684</v>
      </c>
    </row>
    <row r="1648" spans="1:8" x14ac:dyDescent="0.25">
      <c r="A1648" t="s">
        <v>98</v>
      </c>
      <c r="B1648">
        <v>2003</v>
      </c>
      <c r="C1648" t="s">
        <v>5</v>
      </c>
      <c r="D1648" t="s">
        <v>27</v>
      </c>
      <c r="E1648">
        <v>13</v>
      </c>
      <c r="F1648" s="4" t="s">
        <v>11</v>
      </c>
      <c r="G1648">
        <v>28</v>
      </c>
      <c r="H1648" s="2">
        <v>5364597</v>
      </c>
    </row>
    <row r="1649" spans="1:8" x14ac:dyDescent="0.25">
      <c r="A1649" t="s">
        <v>99</v>
      </c>
      <c r="B1649">
        <v>2003</v>
      </c>
      <c r="C1649" t="s">
        <v>4</v>
      </c>
      <c r="D1649" t="s">
        <v>27</v>
      </c>
      <c r="E1649">
        <v>13</v>
      </c>
      <c r="F1649" s="4" t="s">
        <v>11</v>
      </c>
      <c r="G1649">
        <v>51</v>
      </c>
      <c r="H1649" s="2">
        <v>5011124</v>
      </c>
    </row>
    <row r="1650" spans="1:8" x14ac:dyDescent="0.25">
      <c r="A1650" t="s">
        <v>100</v>
      </c>
      <c r="B1650">
        <v>2003</v>
      </c>
      <c r="C1650" t="s">
        <v>3</v>
      </c>
      <c r="D1650" t="s">
        <v>27</v>
      </c>
      <c r="E1650">
        <v>13</v>
      </c>
      <c r="F1650" s="4" t="s">
        <v>11</v>
      </c>
      <c r="G1650">
        <v>184</v>
      </c>
      <c r="H1650" s="2">
        <v>7496056</v>
      </c>
    </row>
    <row r="1651" spans="1:8" x14ac:dyDescent="0.25">
      <c r="A1651" t="s">
        <v>101</v>
      </c>
      <c r="B1651">
        <v>2003</v>
      </c>
      <c r="C1651" t="s">
        <v>2</v>
      </c>
      <c r="D1651" t="s">
        <v>27</v>
      </c>
      <c r="E1651">
        <v>13</v>
      </c>
      <c r="F1651" s="4" t="s">
        <v>11</v>
      </c>
      <c r="G1651">
        <v>381</v>
      </c>
      <c r="H1651" s="2">
        <v>3666671</v>
      </c>
    </row>
    <row r="1652" spans="1:8" x14ac:dyDescent="0.25">
      <c r="A1652" t="s">
        <v>102</v>
      </c>
      <c r="B1652">
        <v>2003</v>
      </c>
      <c r="C1652" t="s">
        <v>1</v>
      </c>
      <c r="D1652" t="s">
        <v>27</v>
      </c>
      <c r="E1652">
        <v>13</v>
      </c>
      <c r="F1652" s="4" t="s">
        <v>11</v>
      </c>
      <c r="G1652">
        <v>248</v>
      </c>
      <c r="H1652" s="2">
        <v>818433</v>
      </c>
    </row>
    <row r="1653" spans="1:8" x14ac:dyDescent="0.25">
      <c r="A1653" t="s">
        <v>103</v>
      </c>
      <c r="B1653">
        <v>2003</v>
      </c>
      <c r="C1653" t="s">
        <v>0</v>
      </c>
      <c r="D1653" t="s">
        <v>27</v>
      </c>
      <c r="E1653">
        <v>13</v>
      </c>
      <c r="F1653" s="4" t="s">
        <v>11</v>
      </c>
      <c r="G1653">
        <v>478</v>
      </c>
      <c r="H1653" s="2">
        <v>818433</v>
      </c>
    </row>
    <row r="1654" spans="1:8" x14ac:dyDescent="0.25">
      <c r="A1654" t="s">
        <v>104</v>
      </c>
      <c r="B1654">
        <v>2004</v>
      </c>
      <c r="C1654" t="s">
        <v>6</v>
      </c>
      <c r="D1654" t="s">
        <v>27</v>
      </c>
      <c r="E1654">
        <v>13</v>
      </c>
      <c r="F1654" s="4" t="s">
        <v>11</v>
      </c>
      <c r="G1654">
        <v>21</v>
      </c>
      <c r="H1654" s="2">
        <v>2770821</v>
      </c>
    </row>
    <row r="1655" spans="1:8" x14ac:dyDescent="0.25">
      <c r="A1655" t="s">
        <v>105</v>
      </c>
      <c r="B1655">
        <v>2004</v>
      </c>
      <c r="C1655" t="s">
        <v>5</v>
      </c>
      <c r="D1655" t="s">
        <v>27</v>
      </c>
      <c r="E1655">
        <v>13</v>
      </c>
      <c r="F1655" s="4" t="s">
        <v>11</v>
      </c>
      <c r="G1655">
        <v>27</v>
      </c>
      <c r="H1655" s="2">
        <v>5372677</v>
      </c>
    </row>
    <row r="1656" spans="1:8" x14ac:dyDescent="0.25">
      <c r="A1656" t="s">
        <v>106</v>
      </c>
      <c r="B1656">
        <v>2004</v>
      </c>
      <c r="C1656" t="s">
        <v>4</v>
      </c>
      <c r="D1656" t="s">
        <v>27</v>
      </c>
      <c r="E1656">
        <v>13</v>
      </c>
      <c r="F1656" s="4" t="s">
        <v>11</v>
      </c>
      <c r="G1656">
        <v>45</v>
      </c>
      <c r="H1656" s="2">
        <v>5078223</v>
      </c>
    </row>
    <row r="1657" spans="1:8" x14ac:dyDescent="0.25">
      <c r="A1657" t="s">
        <v>107</v>
      </c>
      <c r="B1657">
        <v>2004</v>
      </c>
      <c r="C1657" t="s">
        <v>3</v>
      </c>
      <c r="D1657" t="s">
        <v>27</v>
      </c>
      <c r="E1657">
        <v>13</v>
      </c>
      <c r="F1657" s="4" t="s">
        <v>11</v>
      </c>
      <c r="G1657">
        <v>188</v>
      </c>
      <c r="H1657" s="2">
        <v>7631406</v>
      </c>
    </row>
    <row r="1658" spans="1:8" x14ac:dyDescent="0.25">
      <c r="A1658" t="s">
        <v>108</v>
      </c>
      <c r="B1658">
        <v>2004</v>
      </c>
      <c r="C1658" t="s">
        <v>2</v>
      </c>
      <c r="D1658" t="s">
        <v>27</v>
      </c>
      <c r="E1658">
        <v>13</v>
      </c>
      <c r="F1658" s="4" t="s">
        <v>11</v>
      </c>
      <c r="G1658">
        <v>381</v>
      </c>
      <c r="H1658" s="2">
        <v>3814359</v>
      </c>
    </row>
    <row r="1659" spans="1:8" x14ac:dyDescent="0.25">
      <c r="A1659" t="s">
        <v>109</v>
      </c>
      <c r="B1659">
        <v>2004</v>
      </c>
      <c r="C1659" t="s">
        <v>1</v>
      </c>
      <c r="D1659" t="s">
        <v>27</v>
      </c>
      <c r="E1659">
        <v>13</v>
      </c>
      <c r="F1659" s="4" t="s">
        <v>11</v>
      </c>
      <c r="G1659">
        <v>290</v>
      </c>
      <c r="H1659" s="2">
        <v>841739</v>
      </c>
    </row>
    <row r="1660" spans="1:8" x14ac:dyDescent="0.25">
      <c r="A1660" t="s">
        <v>110</v>
      </c>
      <c r="B1660">
        <v>2004</v>
      </c>
      <c r="C1660" t="s">
        <v>0</v>
      </c>
      <c r="D1660" t="s">
        <v>27</v>
      </c>
      <c r="E1660">
        <v>13</v>
      </c>
      <c r="F1660" s="4" t="s">
        <v>11</v>
      </c>
      <c r="G1660">
        <v>477</v>
      </c>
      <c r="H1660" s="2">
        <v>841739</v>
      </c>
    </row>
    <row r="1661" spans="1:8" x14ac:dyDescent="0.25">
      <c r="A1661" t="s">
        <v>111</v>
      </c>
      <c r="B1661">
        <v>2005</v>
      </c>
      <c r="C1661" t="s">
        <v>6</v>
      </c>
      <c r="D1661" t="s">
        <v>27</v>
      </c>
      <c r="E1661">
        <v>13</v>
      </c>
      <c r="F1661" s="4" t="s">
        <v>11</v>
      </c>
      <c r="G1661">
        <v>16</v>
      </c>
      <c r="H1661" s="2">
        <v>2774961</v>
      </c>
    </row>
    <row r="1662" spans="1:8" x14ac:dyDescent="0.25">
      <c r="A1662" t="s">
        <v>112</v>
      </c>
      <c r="B1662">
        <v>2005</v>
      </c>
      <c r="C1662" t="s">
        <v>5</v>
      </c>
      <c r="D1662" t="s">
        <v>27</v>
      </c>
      <c r="E1662">
        <v>13</v>
      </c>
      <c r="F1662" s="4" t="s">
        <v>11</v>
      </c>
      <c r="G1662">
        <v>31</v>
      </c>
      <c r="H1662" s="2">
        <v>5386812</v>
      </c>
    </row>
    <row r="1663" spans="1:8" x14ac:dyDescent="0.25">
      <c r="A1663" t="s">
        <v>113</v>
      </c>
      <c r="B1663">
        <v>2005</v>
      </c>
      <c r="C1663" t="s">
        <v>4</v>
      </c>
      <c r="D1663" t="s">
        <v>27</v>
      </c>
      <c r="E1663">
        <v>13</v>
      </c>
      <c r="F1663" s="4" t="s">
        <v>11</v>
      </c>
      <c r="G1663">
        <v>41</v>
      </c>
      <c r="H1663" s="2">
        <v>5134473</v>
      </c>
    </row>
    <row r="1664" spans="1:8" x14ac:dyDescent="0.25">
      <c r="A1664" t="s">
        <v>114</v>
      </c>
      <c r="B1664">
        <v>2005</v>
      </c>
      <c r="C1664" t="s">
        <v>3</v>
      </c>
      <c r="D1664" t="s">
        <v>27</v>
      </c>
      <c r="E1664">
        <v>13</v>
      </c>
      <c r="F1664" s="4" t="s">
        <v>11</v>
      </c>
      <c r="G1664">
        <v>149</v>
      </c>
      <c r="H1664" s="2">
        <v>7765159</v>
      </c>
    </row>
    <row r="1665" spans="1:8" x14ac:dyDescent="0.25">
      <c r="A1665" t="s">
        <v>115</v>
      </c>
      <c r="B1665">
        <v>2005</v>
      </c>
      <c r="C1665" t="s">
        <v>2</v>
      </c>
      <c r="D1665" t="s">
        <v>27</v>
      </c>
      <c r="E1665">
        <v>13</v>
      </c>
      <c r="F1665" s="4" t="s">
        <v>11</v>
      </c>
      <c r="G1665">
        <v>390</v>
      </c>
      <c r="H1665" s="2">
        <v>3970997</v>
      </c>
    </row>
    <row r="1666" spans="1:8" x14ac:dyDescent="0.25">
      <c r="A1666" t="s">
        <v>116</v>
      </c>
      <c r="B1666">
        <v>2005</v>
      </c>
      <c r="C1666" t="s">
        <v>1</v>
      </c>
      <c r="D1666" t="s">
        <v>27</v>
      </c>
      <c r="E1666">
        <v>13</v>
      </c>
      <c r="F1666" s="4" t="s">
        <v>11</v>
      </c>
      <c r="G1666">
        <v>285</v>
      </c>
      <c r="H1666" s="2">
        <v>866819</v>
      </c>
    </row>
    <row r="1667" spans="1:8" x14ac:dyDescent="0.25">
      <c r="A1667" t="s">
        <v>117</v>
      </c>
      <c r="B1667">
        <v>2005</v>
      </c>
      <c r="C1667" t="s">
        <v>0</v>
      </c>
      <c r="D1667" t="s">
        <v>27</v>
      </c>
      <c r="E1667">
        <v>13</v>
      </c>
      <c r="F1667" s="4" t="s">
        <v>11</v>
      </c>
      <c r="G1667">
        <v>522</v>
      </c>
      <c r="H1667" s="2">
        <v>866819</v>
      </c>
    </row>
    <row r="1668" spans="1:8" x14ac:dyDescent="0.25">
      <c r="A1668" t="s">
        <v>118</v>
      </c>
      <c r="B1668">
        <v>2006</v>
      </c>
      <c r="C1668" t="s">
        <v>6</v>
      </c>
      <c r="D1668" t="s">
        <v>27</v>
      </c>
      <c r="E1668">
        <v>13</v>
      </c>
      <c r="F1668" s="4" t="s">
        <v>11</v>
      </c>
      <c r="G1668">
        <v>17</v>
      </c>
      <c r="H1668" s="2">
        <v>2777568</v>
      </c>
    </row>
    <row r="1669" spans="1:8" x14ac:dyDescent="0.25">
      <c r="A1669" t="s">
        <v>119</v>
      </c>
      <c r="B1669">
        <v>2006</v>
      </c>
      <c r="C1669" t="s">
        <v>5</v>
      </c>
      <c r="D1669" t="s">
        <v>27</v>
      </c>
      <c r="E1669">
        <v>13</v>
      </c>
      <c r="F1669" s="4" t="s">
        <v>11</v>
      </c>
      <c r="G1669">
        <v>30</v>
      </c>
      <c r="H1669" s="2">
        <v>5407717</v>
      </c>
    </row>
    <row r="1670" spans="1:8" x14ac:dyDescent="0.25">
      <c r="A1670" t="s">
        <v>120</v>
      </c>
      <c r="B1670">
        <v>2006</v>
      </c>
      <c r="C1670" t="s">
        <v>4</v>
      </c>
      <c r="D1670" t="s">
        <v>27</v>
      </c>
      <c r="E1670">
        <v>13</v>
      </c>
      <c r="F1670" s="4" t="s">
        <v>11</v>
      </c>
      <c r="G1670">
        <v>44</v>
      </c>
      <c r="H1670" s="2">
        <v>5178861</v>
      </c>
    </row>
    <row r="1671" spans="1:8" x14ac:dyDescent="0.25">
      <c r="A1671" t="s">
        <v>121</v>
      </c>
      <c r="B1671">
        <v>2006</v>
      </c>
      <c r="C1671" t="s">
        <v>3</v>
      </c>
      <c r="D1671" t="s">
        <v>27</v>
      </c>
      <c r="E1671">
        <v>13</v>
      </c>
      <c r="F1671" s="4" t="s">
        <v>11</v>
      </c>
      <c r="G1671">
        <v>187</v>
      </c>
      <c r="H1671" s="2">
        <v>7897108</v>
      </c>
    </row>
    <row r="1672" spans="1:8" x14ac:dyDescent="0.25">
      <c r="A1672" t="s">
        <v>122</v>
      </c>
      <c r="B1672">
        <v>2006</v>
      </c>
      <c r="C1672" t="s">
        <v>2</v>
      </c>
      <c r="D1672" t="s">
        <v>27</v>
      </c>
      <c r="E1672">
        <v>13</v>
      </c>
      <c r="F1672" s="4" t="s">
        <v>11</v>
      </c>
      <c r="G1672">
        <v>373</v>
      </c>
      <c r="H1672" s="2">
        <v>4136588</v>
      </c>
    </row>
    <row r="1673" spans="1:8" x14ac:dyDescent="0.25">
      <c r="A1673" t="s">
        <v>123</v>
      </c>
      <c r="B1673">
        <v>2006</v>
      </c>
      <c r="C1673" t="s">
        <v>1</v>
      </c>
      <c r="D1673" t="s">
        <v>27</v>
      </c>
      <c r="E1673">
        <v>13</v>
      </c>
      <c r="F1673" s="4" t="s">
        <v>11</v>
      </c>
      <c r="G1673">
        <v>292</v>
      </c>
      <c r="H1673" s="2">
        <v>893794</v>
      </c>
    </row>
    <row r="1674" spans="1:8" x14ac:dyDescent="0.25">
      <c r="A1674" t="s">
        <v>124</v>
      </c>
      <c r="B1674">
        <v>2006</v>
      </c>
      <c r="C1674" t="s">
        <v>0</v>
      </c>
      <c r="D1674" t="s">
        <v>27</v>
      </c>
      <c r="E1674">
        <v>13</v>
      </c>
      <c r="F1674" s="4" t="s">
        <v>11</v>
      </c>
      <c r="G1674">
        <v>537</v>
      </c>
      <c r="H1674" s="2">
        <v>893794</v>
      </c>
    </row>
    <row r="1675" spans="1:8" x14ac:dyDescent="0.25">
      <c r="A1675" t="s">
        <v>125</v>
      </c>
      <c r="B1675">
        <v>2007</v>
      </c>
      <c r="C1675" t="s">
        <v>6</v>
      </c>
      <c r="D1675" t="s">
        <v>27</v>
      </c>
      <c r="E1675">
        <v>13</v>
      </c>
      <c r="F1675" s="4" t="s">
        <v>11</v>
      </c>
      <c r="G1675">
        <v>12</v>
      </c>
      <c r="H1675" s="2">
        <v>2778731</v>
      </c>
    </row>
    <row r="1676" spans="1:8" x14ac:dyDescent="0.25">
      <c r="A1676" t="s">
        <v>126</v>
      </c>
      <c r="B1676">
        <v>2007</v>
      </c>
      <c r="C1676" t="s">
        <v>5</v>
      </c>
      <c r="D1676" t="s">
        <v>27</v>
      </c>
      <c r="E1676">
        <v>13</v>
      </c>
      <c r="F1676" s="4" t="s">
        <v>11</v>
      </c>
      <c r="G1676">
        <v>22</v>
      </c>
      <c r="H1676" s="2">
        <v>5427910</v>
      </c>
    </row>
    <row r="1677" spans="1:8" x14ac:dyDescent="0.25">
      <c r="A1677" t="s">
        <v>127</v>
      </c>
      <c r="B1677">
        <v>2007</v>
      </c>
      <c r="C1677" t="s">
        <v>4</v>
      </c>
      <c r="D1677" t="s">
        <v>27</v>
      </c>
      <c r="E1677">
        <v>13</v>
      </c>
      <c r="F1677" s="4" t="s">
        <v>11</v>
      </c>
      <c r="G1677">
        <v>39</v>
      </c>
      <c r="H1677" s="2">
        <v>5216537</v>
      </c>
    </row>
    <row r="1678" spans="1:8" x14ac:dyDescent="0.25">
      <c r="A1678" t="s">
        <v>128</v>
      </c>
      <c r="B1678">
        <v>2007</v>
      </c>
      <c r="C1678" t="s">
        <v>3</v>
      </c>
      <c r="D1678" t="s">
        <v>27</v>
      </c>
      <c r="E1678">
        <v>13</v>
      </c>
      <c r="F1678" s="4" t="s">
        <v>11</v>
      </c>
      <c r="G1678">
        <v>171</v>
      </c>
      <c r="H1678" s="2">
        <v>8032843</v>
      </c>
    </row>
    <row r="1679" spans="1:8" x14ac:dyDescent="0.25">
      <c r="A1679" t="s">
        <v>129</v>
      </c>
      <c r="B1679">
        <v>2007</v>
      </c>
      <c r="C1679" t="s">
        <v>2</v>
      </c>
      <c r="D1679" t="s">
        <v>27</v>
      </c>
      <c r="E1679">
        <v>13</v>
      </c>
      <c r="F1679" s="4" t="s">
        <v>11</v>
      </c>
      <c r="G1679">
        <v>471</v>
      </c>
      <c r="H1679" s="2">
        <v>4307510</v>
      </c>
    </row>
    <row r="1680" spans="1:8" x14ac:dyDescent="0.25">
      <c r="A1680" t="s">
        <v>130</v>
      </c>
      <c r="B1680">
        <v>2007</v>
      </c>
      <c r="C1680" t="s">
        <v>1</v>
      </c>
      <c r="D1680" t="s">
        <v>27</v>
      </c>
      <c r="E1680">
        <v>13</v>
      </c>
      <c r="F1680" s="4" t="s">
        <v>11</v>
      </c>
      <c r="G1680">
        <v>298</v>
      </c>
      <c r="H1680" s="2">
        <v>922773</v>
      </c>
    </row>
    <row r="1681" spans="1:8" x14ac:dyDescent="0.25">
      <c r="A1681" t="s">
        <v>131</v>
      </c>
      <c r="B1681">
        <v>2007</v>
      </c>
      <c r="C1681" t="s">
        <v>0</v>
      </c>
      <c r="D1681" t="s">
        <v>27</v>
      </c>
      <c r="E1681">
        <v>13</v>
      </c>
      <c r="F1681" s="4" t="s">
        <v>11</v>
      </c>
      <c r="G1681">
        <v>597</v>
      </c>
      <c r="H1681" s="2">
        <v>922773</v>
      </c>
    </row>
    <row r="1682" spans="1:8" x14ac:dyDescent="0.25">
      <c r="A1682" t="s">
        <v>132</v>
      </c>
      <c r="B1682">
        <v>2008</v>
      </c>
      <c r="C1682" t="s">
        <v>6</v>
      </c>
      <c r="D1682" t="s">
        <v>27</v>
      </c>
      <c r="E1682">
        <v>13</v>
      </c>
      <c r="F1682" s="4" t="s">
        <v>11</v>
      </c>
      <c r="G1682">
        <v>16</v>
      </c>
      <c r="H1682" s="2">
        <v>2778239</v>
      </c>
    </row>
    <row r="1683" spans="1:8" x14ac:dyDescent="0.25">
      <c r="A1683" t="s">
        <v>133</v>
      </c>
      <c r="B1683">
        <v>2008</v>
      </c>
      <c r="C1683" t="s">
        <v>5</v>
      </c>
      <c r="D1683" t="s">
        <v>27</v>
      </c>
      <c r="E1683">
        <v>13</v>
      </c>
      <c r="F1683" s="4" t="s">
        <v>11</v>
      </c>
      <c r="G1683">
        <v>25</v>
      </c>
      <c r="H1683" s="2">
        <v>5448390</v>
      </c>
    </row>
    <row r="1684" spans="1:8" x14ac:dyDescent="0.25">
      <c r="A1684" t="s">
        <v>134</v>
      </c>
      <c r="B1684">
        <v>2008</v>
      </c>
      <c r="C1684" t="s">
        <v>4</v>
      </c>
      <c r="D1684" t="s">
        <v>27</v>
      </c>
      <c r="E1684">
        <v>13</v>
      </c>
      <c r="F1684" s="4" t="s">
        <v>11</v>
      </c>
      <c r="G1684">
        <v>39</v>
      </c>
      <c r="H1684" s="2">
        <v>5246997</v>
      </c>
    </row>
    <row r="1685" spans="1:8" x14ac:dyDescent="0.25">
      <c r="A1685" t="s">
        <v>135</v>
      </c>
      <c r="B1685">
        <v>2008</v>
      </c>
      <c r="C1685" t="s">
        <v>3</v>
      </c>
      <c r="D1685" t="s">
        <v>27</v>
      </c>
      <c r="E1685">
        <v>13</v>
      </c>
      <c r="F1685" s="4" t="s">
        <v>11</v>
      </c>
      <c r="G1685">
        <v>204</v>
      </c>
      <c r="H1685" s="2">
        <v>8172306</v>
      </c>
    </row>
    <row r="1686" spans="1:8" x14ac:dyDescent="0.25">
      <c r="A1686" t="s">
        <v>136</v>
      </c>
      <c r="B1686">
        <v>2008</v>
      </c>
      <c r="C1686" t="s">
        <v>2</v>
      </c>
      <c r="D1686" t="s">
        <v>27</v>
      </c>
      <c r="E1686">
        <v>13</v>
      </c>
      <c r="F1686" s="4" t="s">
        <v>11</v>
      </c>
      <c r="G1686">
        <v>540</v>
      </c>
      <c r="H1686" s="2">
        <v>4483302</v>
      </c>
    </row>
    <row r="1687" spans="1:8" x14ac:dyDescent="0.25">
      <c r="A1687" t="s">
        <v>137</v>
      </c>
      <c r="B1687">
        <v>2008</v>
      </c>
      <c r="C1687" t="s">
        <v>1</v>
      </c>
      <c r="D1687" t="s">
        <v>27</v>
      </c>
      <c r="E1687">
        <v>13</v>
      </c>
      <c r="F1687" s="4" t="s">
        <v>11</v>
      </c>
      <c r="G1687">
        <v>377</v>
      </c>
      <c r="H1687" s="2">
        <v>953869</v>
      </c>
    </row>
    <row r="1688" spans="1:8" x14ac:dyDescent="0.25">
      <c r="A1688" t="s">
        <v>138</v>
      </c>
      <c r="B1688">
        <v>2008</v>
      </c>
      <c r="C1688" t="s">
        <v>0</v>
      </c>
      <c r="D1688" t="s">
        <v>27</v>
      </c>
      <c r="E1688">
        <v>13</v>
      </c>
      <c r="F1688" s="4" t="s">
        <v>11</v>
      </c>
      <c r="G1688">
        <v>722</v>
      </c>
      <c r="H1688" s="2">
        <v>953869</v>
      </c>
    </row>
    <row r="1689" spans="1:8" x14ac:dyDescent="0.25">
      <c r="A1689" t="s">
        <v>139</v>
      </c>
      <c r="B1689">
        <v>2009</v>
      </c>
      <c r="C1689" t="s">
        <v>6</v>
      </c>
      <c r="D1689" t="s">
        <v>27</v>
      </c>
      <c r="E1689">
        <v>13</v>
      </c>
      <c r="F1689" s="4" t="s">
        <v>11</v>
      </c>
      <c r="G1689">
        <v>15</v>
      </c>
      <c r="H1689" s="2">
        <v>2775920</v>
      </c>
    </row>
    <row r="1690" spans="1:8" x14ac:dyDescent="0.25">
      <c r="A1690" t="s">
        <v>140</v>
      </c>
      <c r="B1690">
        <v>2009</v>
      </c>
      <c r="C1690" t="s">
        <v>5</v>
      </c>
      <c r="D1690" t="s">
        <v>27</v>
      </c>
      <c r="E1690">
        <v>13</v>
      </c>
      <c r="F1690" s="4" t="s">
        <v>11</v>
      </c>
      <c r="G1690">
        <v>26</v>
      </c>
      <c r="H1690" s="2">
        <v>5469822</v>
      </c>
    </row>
    <row r="1691" spans="1:8" x14ac:dyDescent="0.25">
      <c r="A1691" t="s">
        <v>141</v>
      </c>
      <c r="B1691">
        <v>2009</v>
      </c>
      <c r="C1691" t="s">
        <v>4</v>
      </c>
      <c r="D1691" t="s">
        <v>27</v>
      </c>
      <c r="E1691">
        <v>13</v>
      </c>
      <c r="F1691" s="4" t="s">
        <v>11</v>
      </c>
      <c r="G1691">
        <v>58</v>
      </c>
      <c r="H1691" s="2">
        <v>5270463</v>
      </c>
    </row>
    <row r="1692" spans="1:8" x14ac:dyDescent="0.25">
      <c r="A1692" t="s">
        <v>142</v>
      </c>
      <c r="B1692">
        <v>2009</v>
      </c>
      <c r="C1692" t="s">
        <v>3</v>
      </c>
      <c r="D1692" t="s">
        <v>27</v>
      </c>
      <c r="E1692">
        <v>13</v>
      </c>
      <c r="F1692" s="4" t="s">
        <v>11</v>
      </c>
      <c r="G1692">
        <v>225</v>
      </c>
      <c r="H1692" s="2">
        <v>8314639</v>
      </c>
    </row>
    <row r="1693" spans="1:8" x14ac:dyDescent="0.25">
      <c r="A1693" t="s">
        <v>143</v>
      </c>
      <c r="B1693">
        <v>2009</v>
      </c>
      <c r="C1693" t="s">
        <v>2</v>
      </c>
      <c r="D1693" t="s">
        <v>27</v>
      </c>
      <c r="E1693">
        <v>13</v>
      </c>
      <c r="F1693" s="4" t="s">
        <v>11</v>
      </c>
      <c r="G1693">
        <v>688</v>
      </c>
      <c r="H1693" s="2">
        <v>4663733</v>
      </c>
    </row>
    <row r="1694" spans="1:8" x14ac:dyDescent="0.25">
      <c r="A1694" t="s">
        <v>144</v>
      </c>
      <c r="B1694">
        <v>2009</v>
      </c>
      <c r="C1694" t="s">
        <v>1</v>
      </c>
      <c r="D1694" t="s">
        <v>27</v>
      </c>
      <c r="E1694">
        <v>13</v>
      </c>
      <c r="F1694" s="4" t="s">
        <v>11</v>
      </c>
      <c r="G1694">
        <v>410</v>
      </c>
      <c r="H1694" s="2">
        <v>987212</v>
      </c>
    </row>
    <row r="1695" spans="1:8" x14ac:dyDescent="0.25">
      <c r="A1695" t="s">
        <v>145</v>
      </c>
      <c r="B1695">
        <v>2009</v>
      </c>
      <c r="C1695" t="s">
        <v>0</v>
      </c>
      <c r="D1695" t="s">
        <v>27</v>
      </c>
      <c r="E1695">
        <v>13</v>
      </c>
      <c r="F1695" s="4" t="s">
        <v>11</v>
      </c>
      <c r="G1695">
        <v>809</v>
      </c>
      <c r="H1695" s="2">
        <v>987212</v>
      </c>
    </row>
    <row r="1696" spans="1:8" x14ac:dyDescent="0.25">
      <c r="A1696" t="s">
        <v>146</v>
      </c>
      <c r="B1696">
        <v>2010</v>
      </c>
      <c r="C1696" t="s">
        <v>6</v>
      </c>
      <c r="D1696" t="s">
        <v>27</v>
      </c>
      <c r="E1696">
        <v>13</v>
      </c>
      <c r="F1696" s="4" t="s">
        <v>11</v>
      </c>
      <c r="G1696">
        <v>23</v>
      </c>
      <c r="H1696" s="2">
        <v>2771760</v>
      </c>
    </row>
    <row r="1697" spans="1:8" x14ac:dyDescent="0.25">
      <c r="A1697" t="s">
        <v>147</v>
      </c>
      <c r="B1697">
        <v>2010</v>
      </c>
      <c r="C1697" t="s">
        <v>5</v>
      </c>
      <c r="D1697" t="s">
        <v>27</v>
      </c>
      <c r="E1697">
        <v>13</v>
      </c>
      <c r="F1697" s="4" t="s">
        <v>11</v>
      </c>
      <c r="G1697">
        <v>16</v>
      </c>
      <c r="H1697" s="2">
        <v>5492408</v>
      </c>
    </row>
    <row r="1698" spans="1:8" x14ac:dyDescent="0.25">
      <c r="A1698" t="s">
        <v>148</v>
      </c>
      <c r="B1698">
        <v>2010</v>
      </c>
      <c r="C1698" t="s">
        <v>4</v>
      </c>
      <c r="D1698" t="s">
        <v>27</v>
      </c>
      <c r="E1698">
        <v>13</v>
      </c>
      <c r="F1698" s="4" t="s">
        <v>11</v>
      </c>
      <c r="G1698">
        <v>51</v>
      </c>
      <c r="H1698" s="2">
        <v>5286720</v>
      </c>
    </row>
    <row r="1699" spans="1:8" x14ac:dyDescent="0.25">
      <c r="A1699" t="s">
        <v>149</v>
      </c>
      <c r="B1699">
        <v>2010</v>
      </c>
      <c r="C1699" t="s">
        <v>3</v>
      </c>
      <c r="D1699" t="s">
        <v>27</v>
      </c>
      <c r="E1699">
        <v>13</v>
      </c>
      <c r="F1699" s="4" t="s">
        <v>11</v>
      </c>
      <c r="G1699">
        <v>187</v>
      </c>
      <c r="H1699" s="2">
        <v>8458444</v>
      </c>
    </row>
    <row r="1700" spans="1:8" x14ac:dyDescent="0.25">
      <c r="A1700" t="s">
        <v>150</v>
      </c>
      <c r="B1700">
        <v>2010</v>
      </c>
      <c r="C1700" t="s">
        <v>2</v>
      </c>
      <c r="D1700" t="s">
        <v>27</v>
      </c>
      <c r="E1700">
        <v>13</v>
      </c>
      <c r="F1700" s="4" t="s">
        <v>11</v>
      </c>
      <c r="G1700">
        <v>617</v>
      </c>
      <c r="H1700" s="2">
        <v>4849717</v>
      </c>
    </row>
    <row r="1701" spans="1:8" x14ac:dyDescent="0.25">
      <c r="A1701" t="s">
        <v>151</v>
      </c>
      <c r="B1701">
        <v>2010</v>
      </c>
      <c r="C1701" t="s">
        <v>1</v>
      </c>
      <c r="D1701" t="s">
        <v>27</v>
      </c>
      <c r="E1701">
        <v>13</v>
      </c>
      <c r="F1701" s="4" t="s">
        <v>11</v>
      </c>
      <c r="G1701">
        <v>422</v>
      </c>
      <c r="H1701" s="2">
        <v>1022974</v>
      </c>
    </row>
    <row r="1702" spans="1:8" x14ac:dyDescent="0.25">
      <c r="A1702" t="s">
        <v>152</v>
      </c>
      <c r="B1702">
        <v>2010</v>
      </c>
      <c r="C1702" t="s">
        <v>0</v>
      </c>
      <c r="D1702" t="s">
        <v>27</v>
      </c>
      <c r="E1702">
        <v>13</v>
      </c>
      <c r="F1702" s="4" t="s">
        <v>11</v>
      </c>
      <c r="G1702">
        <v>877</v>
      </c>
      <c r="H1702" s="2">
        <v>1022974</v>
      </c>
    </row>
    <row r="1703" spans="1:8" x14ac:dyDescent="0.25">
      <c r="A1703" t="s">
        <v>153</v>
      </c>
      <c r="B1703">
        <v>2011</v>
      </c>
      <c r="C1703" t="s">
        <v>6</v>
      </c>
      <c r="D1703" t="s">
        <v>27</v>
      </c>
      <c r="E1703">
        <v>13</v>
      </c>
      <c r="F1703" s="4" t="s">
        <v>11</v>
      </c>
      <c r="G1703">
        <v>20</v>
      </c>
      <c r="H1703" s="2">
        <v>2765898</v>
      </c>
    </row>
    <row r="1704" spans="1:8" x14ac:dyDescent="0.25">
      <c r="A1704" t="s">
        <v>154</v>
      </c>
      <c r="B1704">
        <v>2011</v>
      </c>
      <c r="C1704" t="s">
        <v>5</v>
      </c>
      <c r="D1704" t="s">
        <v>27</v>
      </c>
      <c r="E1704">
        <v>13</v>
      </c>
      <c r="F1704" s="4" t="s">
        <v>11</v>
      </c>
      <c r="G1704">
        <v>26</v>
      </c>
      <c r="H1704" s="2">
        <v>5516288</v>
      </c>
    </row>
    <row r="1705" spans="1:8" x14ac:dyDescent="0.25">
      <c r="A1705" t="s">
        <v>155</v>
      </c>
      <c r="B1705">
        <v>2011</v>
      </c>
      <c r="C1705" t="s">
        <v>4</v>
      </c>
      <c r="D1705" t="s">
        <v>27</v>
      </c>
      <c r="E1705">
        <v>13</v>
      </c>
      <c r="F1705" s="4" t="s">
        <v>11</v>
      </c>
      <c r="G1705">
        <v>50</v>
      </c>
      <c r="H1705" s="2">
        <v>5296319</v>
      </c>
    </row>
    <row r="1706" spans="1:8" x14ac:dyDescent="0.25">
      <c r="A1706" t="s">
        <v>156</v>
      </c>
      <c r="B1706">
        <v>2011</v>
      </c>
      <c r="C1706" t="s">
        <v>3</v>
      </c>
      <c r="D1706" t="s">
        <v>27</v>
      </c>
      <c r="E1706">
        <v>13</v>
      </c>
      <c r="F1706" s="4" t="s">
        <v>11</v>
      </c>
      <c r="G1706">
        <v>201</v>
      </c>
      <c r="H1706" s="2">
        <v>8602515</v>
      </c>
    </row>
    <row r="1707" spans="1:8" x14ac:dyDescent="0.25">
      <c r="A1707" t="s">
        <v>157</v>
      </c>
      <c r="B1707">
        <v>2011</v>
      </c>
      <c r="C1707" t="s">
        <v>2</v>
      </c>
      <c r="D1707" t="s">
        <v>27</v>
      </c>
      <c r="E1707">
        <v>13</v>
      </c>
      <c r="F1707" s="4" t="s">
        <v>11</v>
      </c>
      <c r="G1707">
        <v>542</v>
      </c>
      <c r="H1707" s="2">
        <v>5041154</v>
      </c>
    </row>
    <row r="1708" spans="1:8" x14ac:dyDescent="0.25">
      <c r="A1708" t="s">
        <v>158</v>
      </c>
      <c r="B1708">
        <v>2011</v>
      </c>
      <c r="C1708" t="s">
        <v>1</v>
      </c>
      <c r="D1708" t="s">
        <v>27</v>
      </c>
      <c r="E1708">
        <v>13</v>
      </c>
      <c r="F1708" s="4" t="s">
        <v>11</v>
      </c>
      <c r="G1708">
        <v>352</v>
      </c>
      <c r="H1708" s="2">
        <v>1061340</v>
      </c>
    </row>
    <row r="1709" spans="1:8" x14ac:dyDescent="0.25">
      <c r="A1709" t="s">
        <v>159</v>
      </c>
      <c r="B1709">
        <v>2011</v>
      </c>
      <c r="C1709" t="s">
        <v>0</v>
      </c>
      <c r="D1709" t="s">
        <v>27</v>
      </c>
      <c r="E1709">
        <v>13</v>
      </c>
      <c r="F1709" s="4" t="s">
        <v>11</v>
      </c>
      <c r="G1709">
        <v>770</v>
      </c>
      <c r="H1709" s="2">
        <v>1061340</v>
      </c>
    </row>
    <row r="1710" spans="1:8" x14ac:dyDescent="0.25">
      <c r="A1710" t="s">
        <v>160</v>
      </c>
      <c r="B1710">
        <v>2012</v>
      </c>
      <c r="C1710" t="s">
        <v>6</v>
      </c>
      <c r="D1710" t="s">
        <v>27</v>
      </c>
      <c r="E1710">
        <v>13</v>
      </c>
      <c r="F1710" s="4" t="s">
        <v>11</v>
      </c>
      <c r="G1710">
        <v>16</v>
      </c>
      <c r="H1710" s="2">
        <v>2759356.4495101599</v>
      </c>
    </row>
    <row r="1711" spans="1:8" x14ac:dyDescent="0.25">
      <c r="A1711" t="s">
        <v>161</v>
      </c>
      <c r="B1711">
        <v>2012</v>
      </c>
      <c r="C1711" t="s">
        <v>5</v>
      </c>
      <c r="D1711" t="s">
        <v>27</v>
      </c>
      <c r="E1711">
        <v>13</v>
      </c>
      <c r="F1711" s="4" t="s">
        <v>11</v>
      </c>
      <c r="G1711">
        <v>24</v>
      </c>
      <c r="H1711" s="2">
        <v>5537428.7927720398</v>
      </c>
    </row>
    <row r="1712" spans="1:8" x14ac:dyDescent="0.25">
      <c r="A1712" t="s">
        <v>162</v>
      </c>
      <c r="B1712">
        <v>2012</v>
      </c>
      <c r="C1712" t="s">
        <v>4</v>
      </c>
      <c r="D1712" t="s">
        <v>27</v>
      </c>
      <c r="E1712">
        <v>13</v>
      </c>
      <c r="F1712" s="4" t="s">
        <v>11</v>
      </c>
      <c r="G1712">
        <v>42</v>
      </c>
      <c r="H1712" s="2">
        <v>5307779.7280284902</v>
      </c>
    </row>
    <row r="1713" spans="1:8" x14ac:dyDescent="0.25">
      <c r="A1713" t="s">
        <v>163</v>
      </c>
      <c r="B1713">
        <v>2012</v>
      </c>
      <c r="C1713" t="s">
        <v>3</v>
      </c>
      <c r="D1713" t="s">
        <v>27</v>
      </c>
      <c r="E1713">
        <v>13</v>
      </c>
      <c r="F1713" s="4" t="s">
        <v>11</v>
      </c>
      <c r="G1713">
        <v>182</v>
      </c>
      <c r="H1713" s="2">
        <v>8748082.6996606905</v>
      </c>
    </row>
    <row r="1714" spans="1:8" x14ac:dyDescent="0.25">
      <c r="A1714" t="s">
        <v>164</v>
      </c>
      <c r="B1714">
        <v>2012</v>
      </c>
      <c r="C1714" t="s">
        <v>2</v>
      </c>
      <c r="D1714" t="s">
        <v>27</v>
      </c>
      <c r="E1714">
        <v>13</v>
      </c>
      <c r="F1714" s="4" t="s">
        <v>11</v>
      </c>
      <c r="G1714">
        <v>513</v>
      </c>
      <c r="H1714" s="2">
        <v>5230482.0778962998</v>
      </c>
    </row>
    <row r="1715" spans="1:8" x14ac:dyDescent="0.25">
      <c r="A1715" t="s">
        <v>165</v>
      </c>
      <c r="B1715">
        <v>2012</v>
      </c>
      <c r="C1715" t="s">
        <v>1</v>
      </c>
      <c r="D1715" t="s">
        <v>27</v>
      </c>
      <c r="E1715">
        <v>13</v>
      </c>
      <c r="F1715" s="4" t="s">
        <v>11</v>
      </c>
      <c r="G1715">
        <v>360</v>
      </c>
      <c r="H1715" s="2">
        <v>1102796.7939262099</v>
      </c>
    </row>
    <row r="1716" spans="1:8" x14ac:dyDescent="0.25">
      <c r="A1716" t="s">
        <v>166</v>
      </c>
      <c r="B1716">
        <v>2012</v>
      </c>
      <c r="C1716" t="s">
        <v>0</v>
      </c>
      <c r="D1716" t="s">
        <v>27</v>
      </c>
      <c r="E1716">
        <v>13</v>
      </c>
      <c r="F1716" s="4" t="s">
        <v>11</v>
      </c>
      <c r="G1716">
        <v>786</v>
      </c>
      <c r="H1716" s="2">
        <v>1102796.7939262099</v>
      </c>
    </row>
    <row r="1717" spans="1:8" x14ac:dyDescent="0.25">
      <c r="A1717" t="s">
        <v>167</v>
      </c>
      <c r="B1717">
        <v>2013</v>
      </c>
      <c r="C1717" t="s">
        <v>6</v>
      </c>
      <c r="D1717" t="s">
        <v>27</v>
      </c>
      <c r="E1717">
        <v>13</v>
      </c>
      <c r="F1717" s="4" t="s">
        <v>11</v>
      </c>
      <c r="G1717">
        <v>15</v>
      </c>
      <c r="H1717" s="2">
        <v>2752322.19750119</v>
      </c>
    </row>
    <row r="1718" spans="1:8" x14ac:dyDescent="0.25">
      <c r="A1718" t="s">
        <v>168</v>
      </c>
      <c r="B1718">
        <v>2013</v>
      </c>
      <c r="C1718" t="s">
        <v>5</v>
      </c>
      <c r="D1718" t="s">
        <v>27</v>
      </c>
      <c r="E1718">
        <v>13</v>
      </c>
      <c r="F1718" s="4" t="s">
        <v>11</v>
      </c>
      <c r="G1718">
        <v>20</v>
      </c>
      <c r="H1718" s="2">
        <v>5554323.1251711203</v>
      </c>
    </row>
    <row r="1719" spans="1:8" x14ac:dyDescent="0.25">
      <c r="A1719" t="s">
        <v>169</v>
      </c>
      <c r="B1719">
        <v>2013</v>
      </c>
      <c r="C1719" t="s">
        <v>4</v>
      </c>
      <c r="D1719" t="s">
        <v>27</v>
      </c>
      <c r="E1719">
        <v>13</v>
      </c>
      <c r="F1719" s="4" t="s">
        <v>11</v>
      </c>
      <c r="G1719">
        <v>42</v>
      </c>
      <c r="H1719" s="2">
        <v>5323364.8480997998</v>
      </c>
    </row>
    <row r="1720" spans="1:8" x14ac:dyDescent="0.25">
      <c r="A1720" t="s">
        <v>170</v>
      </c>
      <c r="B1720">
        <v>2013</v>
      </c>
      <c r="C1720" t="s">
        <v>3</v>
      </c>
      <c r="D1720" t="s">
        <v>27</v>
      </c>
      <c r="E1720">
        <v>13</v>
      </c>
      <c r="F1720" s="4" t="s">
        <v>11</v>
      </c>
      <c r="G1720">
        <v>211</v>
      </c>
      <c r="H1720" s="2">
        <v>8893718.1904660594</v>
      </c>
    </row>
    <row r="1721" spans="1:8" x14ac:dyDescent="0.25">
      <c r="A1721" t="s">
        <v>171</v>
      </c>
      <c r="B1721">
        <v>2013</v>
      </c>
      <c r="C1721" t="s">
        <v>2</v>
      </c>
      <c r="D1721" t="s">
        <v>27</v>
      </c>
      <c r="E1721">
        <v>13</v>
      </c>
      <c r="F1721" s="4" t="s">
        <v>11</v>
      </c>
      <c r="G1721">
        <v>626</v>
      </c>
      <c r="H1721" s="2">
        <v>5415783.9591287402</v>
      </c>
    </row>
    <row r="1722" spans="1:8" x14ac:dyDescent="0.25">
      <c r="A1722" t="s">
        <v>172</v>
      </c>
      <c r="B1722">
        <v>2013</v>
      </c>
      <c r="C1722" t="s">
        <v>1</v>
      </c>
      <c r="D1722" t="s">
        <v>27</v>
      </c>
      <c r="E1722">
        <v>13</v>
      </c>
      <c r="F1722" s="4" t="s">
        <v>11</v>
      </c>
      <c r="G1722">
        <v>445</v>
      </c>
      <c r="H1722" s="2">
        <v>1147296.6505007599</v>
      </c>
    </row>
    <row r="1723" spans="1:8" x14ac:dyDescent="0.25">
      <c r="A1723" t="s">
        <v>173</v>
      </c>
      <c r="B1723">
        <v>2013</v>
      </c>
      <c r="C1723" t="s">
        <v>0</v>
      </c>
      <c r="D1723" t="s">
        <v>27</v>
      </c>
      <c r="E1723">
        <v>13</v>
      </c>
      <c r="F1723" s="4" t="s">
        <v>11</v>
      </c>
      <c r="G1723">
        <v>780</v>
      </c>
      <c r="H1723" s="2">
        <v>1147296.6505007599</v>
      </c>
    </row>
    <row r="1724" spans="1:8" x14ac:dyDescent="0.25">
      <c r="A1724" t="s">
        <v>174</v>
      </c>
      <c r="B1724">
        <v>2014</v>
      </c>
      <c r="C1724" t="s">
        <v>6</v>
      </c>
      <c r="D1724" t="s">
        <v>27</v>
      </c>
      <c r="E1724">
        <v>13</v>
      </c>
      <c r="F1724" s="4" t="s">
        <v>11</v>
      </c>
      <c r="G1724">
        <v>20</v>
      </c>
      <c r="H1724" s="2">
        <v>2744697</v>
      </c>
    </row>
    <row r="1725" spans="1:8" x14ac:dyDescent="0.25">
      <c r="A1725" t="s">
        <v>175</v>
      </c>
      <c r="B1725">
        <v>2014</v>
      </c>
      <c r="C1725" t="s">
        <v>5</v>
      </c>
      <c r="D1725" t="s">
        <v>27</v>
      </c>
      <c r="E1725">
        <v>13</v>
      </c>
      <c r="F1725" s="4" t="s">
        <v>11</v>
      </c>
      <c r="G1725">
        <v>22</v>
      </c>
      <c r="H1725" s="2">
        <v>5566437</v>
      </c>
    </row>
    <row r="1726" spans="1:8" x14ac:dyDescent="0.25">
      <c r="A1726" t="s">
        <v>176</v>
      </c>
      <c r="B1726">
        <v>2014</v>
      </c>
      <c r="C1726" t="s">
        <v>4</v>
      </c>
      <c r="D1726" t="s">
        <v>27</v>
      </c>
      <c r="E1726">
        <v>13</v>
      </c>
      <c r="F1726" s="4" t="s">
        <v>11</v>
      </c>
      <c r="G1726">
        <v>55</v>
      </c>
      <c r="H1726" s="2">
        <v>5343109</v>
      </c>
    </row>
    <row r="1727" spans="1:8" x14ac:dyDescent="0.25">
      <c r="A1727" t="s">
        <v>177</v>
      </c>
      <c r="B1727">
        <v>2014</v>
      </c>
      <c r="C1727" t="s">
        <v>3</v>
      </c>
      <c r="D1727" t="s">
        <v>27</v>
      </c>
      <c r="E1727">
        <v>13</v>
      </c>
      <c r="F1727" s="4" t="s">
        <v>11</v>
      </c>
      <c r="G1727">
        <v>230</v>
      </c>
      <c r="H1727" s="2">
        <v>9037113</v>
      </c>
    </row>
    <row r="1728" spans="1:8" x14ac:dyDescent="0.25">
      <c r="A1728" t="s">
        <v>178</v>
      </c>
      <c r="B1728">
        <v>2014</v>
      </c>
      <c r="C1728" t="s">
        <v>2</v>
      </c>
      <c r="D1728" t="s">
        <v>27</v>
      </c>
      <c r="E1728">
        <v>13</v>
      </c>
      <c r="F1728" s="4" t="s">
        <v>11</v>
      </c>
      <c r="G1728">
        <v>687</v>
      </c>
      <c r="H1728" s="2">
        <v>5597164</v>
      </c>
    </row>
    <row r="1729" spans="1:8" x14ac:dyDescent="0.25">
      <c r="A1729" t="s">
        <v>179</v>
      </c>
      <c r="B1729">
        <v>2014</v>
      </c>
      <c r="C1729" t="s">
        <v>1</v>
      </c>
      <c r="D1729" t="s">
        <v>27</v>
      </c>
      <c r="E1729">
        <v>13</v>
      </c>
      <c r="F1729" s="4" t="s">
        <v>11</v>
      </c>
      <c r="G1729">
        <v>474</v>
      </c>
      <c r="H1729" s="2">
        <v>1194627</v>
      </c>
    </row>
    <row r="1730" spans="1:8" x14ac:dyDescent="0.25">
      <c r="A1730" t="s">
        <v>180</v>
      </c>
      <c r="B1730">
        <v>2014</v>
      </c>
      <c r="C1730" t="s">
        <v>0</v>
      </c>
      <c r="D1730" t="s">
        <v>27</v>
      </c>
      <c r="E1730">
        <v>13</v>
      </c>
      <c r="F1730" s="4" t="s">
        <v>11</v>
      </c>
      <c r="G1730">
        <v>958</v>
      </c>
      <c r="H1730" s="2">
        <v>1194627</v>
      </c>
    </row>
    <row r="1731" spans="1:8" x14ac:dyDescent="0.25">
      <c r="A1731" t="s">
        <v>48</v>
      </c>
      <c r="B1731">
        <v>1996</v>
      </c>
      <c r="C1731" t="s">
        <v>6</v>
      </c>
      <c r="D1731" t="s">
        <v>27</v>
      </c>
      <c r="E1731">
        <v>14</v>
      </c>
      <c r="F1731" s="4" t="s">
        <v>28</v>
      </c>
      <c r="G1731">
        <v>21</v>
      </c>
      <c r="H1731" s="2">
        <v>2669011.0638103201</v>
      </c>
    </row>
    <row r="1732" spans="1:8" x14ac:dyDescent="0.25">
      <c r="A1732" t="s">
        <v>49</v>
      </c>
      <c r="B1732">
        <v>1996</v>
      </c>
      <c r="C1732" t="s">
        <v>5</v>
      </c>
      <c r="D1732" t="s">
        <v>27</v>
      </c>
      <c r="E1732">
        <v>14</v>
      </c>
      <c r="F1732" s="4" t="s">
        <v>28</v>
      </c>
      <c r="G1732">
        <v>2</v>
      </c>
      <c r="H1732" s="2">
        <v>5336689.2615659405</v>
      </c>
    </row>
    <row r="1733" spans="1:8" x14ac:dyDescent="0.25">
      <c r="A1733" t="s">
        <v>50</v>
      </c>
      <c r="B1733">
        <v>1996</v>
      </c>
      <c r="C1733" t="s">
        <v>4</v>
      </c>
      <c r="D1733" t="s">
        <v>27</v>
      </c>
      <c r="E1733">
        <v>14</v>
      </c>
      <c r="F1733" s="4" t="s">
        <v>28</v>
      </c>
      <c r="G1733">
        <v>47</v>
      </c>
      <c r="H1733" s="2">
        <v>4328734.7335640304</v>
      </c>
    </row>
    <row r="1734" spans="1:8" x14ac:dyDescent="0.25">
      <c r="A1734" t="s">
        <v>51</v>
      </c>
      <c r="B1734">
        <v>1996</v>
      </c>
      <c r="C1734" t="s">
        <v>3</v>
      </c>
      <c r="D1734" t="s">
        <v>27</v>
      </c>
      <c r="E1734">
        <v>14</v>
      </c>
      <c r="F1734" s="4" t="s">
        <v>28</v>
      </c>
      <c r="G1734">
        <v>719</v>
      </c>
      <c r="H1734" s="2">
        <v>6500086.9398599695</v>
      </c>
    </row>
    <row r="1735" spans="1:8" x14ac:dyDescent="0.25">
      <c r="A1735" t="s">
        <v>52</v>
      </c>
      <c r="B1735">
        <v>1996</v>
      </c>
      <c r="C1735" t="s">
        <v>2</v>
      </c>
      <c r="D1735" t="s">
        <v>27</v>
      </c>
      <c r="E1735">
        <v>14</v>
      </c>
      <c r="F1735" s="4" t="s">
        <v>28</v>
      </c>
      <c r="G1735">
        <v>130</v>
      </c>
      <c r="H1735" s="2">
        <v>2862216.4853526298</v>
      </c>
    </row>
    <row r="1736" spans="1:8" x14ac:dyDescent="0.25">
      <c r="A1736" t="s">
        <v>53</v>
      </c>
      <c r="B1736">
        <v>1996</v>
      </c>
      <c r="C1736" t="s">
        <v>1</v>
      </c>
      <c r="D1736" t="s">
        <v>27</v>
      </c>
      <c r="E1736">
        <v>14</v>
      </c>
      <c r="F1736" s="4" t="s">
        <v>28</v>
      </c>
      <c r="G1736">
        <v>5</v>
      </c>
      <c r="H1736" s="2">
        <v>710343.28776711202</v>
      </c>
    </row>
    <row r="1737" spans="1:8" x14ac:dyDescent="0.25">
      <c r="A1737" t="s">
        <v>54</v>
      </c>
      <c r="B1737">
        <v>1996</v>
      </c>
      <c r="C1737" t="s">
        <v>0</v>
      </c>
      <c r="D1737" t="s">
        <v>27</v>
      </c>
      <c r="E1737">
        <v>14</v>
      </c>
      <c r="F1737" s="4" t="s">
        <v>28</v>
      </c>
      <c r="G1737">
        <v>7</v>
      </c>
      <c r="H1737" s="2">
        <v>710343.28776711202</v>
      </c>
    </row>
    <row r="1738" spans="1:8" x14ac:dyDescent="0.25">
      <c r="A1738" t="s">
        <v>55</v>
      </c>
      <c r="B1738">
        <v>1997</v>
      </c>
      <c r="C1738" t="s">
        <v>6</v>
      </c>
      <c r="D1738" t="s">
        <v>27</v>
      </c>
      <c r="E1738">
        <v>14</v>
      </c>
      <c r="F1738" s="4" t="s">
        <v>28</v>
      </c>
      <c r="G1738">
        <v>13</v>
      </c>
      <c r="H1738" s="2">
        <v>2689637.03828619</v>
      </c>
    </row>
    <row r="1739" spans="1:8" x14ac:dyDescent="0.25">
      <c r="A1739" t="s">
        <v>56</v>
      </c>
      <c r="B1739">
        <v>1997</v>
      </c>
      <c r="C1739" t="s">
        <v>5</v>
      </c>
      <c r="D1739" t="s">
        <v>27</v>
      </c>
      <c r="E1739">
        <v>14</v>
      </c>
      <c r="F1739" s="4" t="s">
        <v>28</v>
      </c>
      <c r="G1739">
        <v>6</v>
      </c>
      <c r="H1739" s="2">
        <v>5352218.1569395596</v>
      </c>
    </row>
    <row r="1740" spans="1:8" x14ac:dyDescent="0.25">
      <c r="A1740" t="s">
        <v>57</v>
      </c>
      <c r="B1740">
        <v>1997</v>
      </c>
      <c r="C1740" t="s">
        <v>4</v>
      </c>
      <c r="D1740" t="s">
        <v>27</v>
      </c>
      <c r="E1740">
        <v>14</v>
      </c>
      <c r="F1740" s="4" t="s">
        <v>28</v>
      </c>
      <c r="G1740">
        <v>97</v>
      </c>
      <c r="H1740" s="2">
        <v>4441903.2401384199</v>
      </c>
    </row>
    <row r="1741" spans="1:8" x14ac:dyDescent="0.25">
      <c r="A1741" t="s">
        <v>58</v>
      </c>
      <c r="B1741">
        <v>1997</v>
      </c>
      <c r="C1741" t="s">
        <v>3</v>
      </c>
      <c r="D1741" t="s">
        <v>27</v>
      </c>
      <c r="E1741">
        <v>14</v>
      </c>
      <c r="F1741" s="4" t="s">
        <v>28</v>
      </c>
      <c r="G1741">
        <v>794</v>
      </c>
      <c r="H1741" s="2">
        <v>6652916.9639159804</v>
      </c>
    </row>
    <row r="1742" spans="1:8" x14ac:dyDescent="0.25">
      <c r="A1742" t="s">
        <v>59</v>
      </c>
      <c r="B1742">
        <v>1997</v>
      </c>
      <c r="C1742" t="s">
        <v>2</v>
      </c>
      <c r="D1742" t="s">
        <v>27</v>
      </c>
      <c r="E1742">
        <v>14</v>
      </c>
      <c r="F1742" s="4" t="s">
        <v>28</v>
      </c>
      <c r="G1742">
        <v>157</v>
      </c>
      <c r="H1742" s="2">
        <v>2950439.89121158</v>
      </c>
    </row>
    <row r="1743" spans="1:8" x14ac:dyDescent="0.25">
      <c r="A1743" t="s">
        <v>60</v>
      </c>
      <c r="B1743">
        <v>1997</v>
      </c>
      <c r="C1743" t="s">
        <v>1</v>
      </c>
      <c r="D1743" t="s">
        <v>27</v>
      </c>
      <c r="E1743">
        <v>14</v>
      </c>
      <c r="F1743" s="4" t="s">
        <v>28</v>
      </c>
      <c r="G1743">
        <v>17</v>
      </c>
      <c r="H1743" s="2">
        <v>717390.37266026705</v>
      </c>
    </row>
    <row r="1744" spans="1:8" x14ac:dyDescent="0.25">
      <c r="A1744" t="s">
        <v>61</v>
      </c>
      <c r="B1744">
        <v>1997</v>
      </c>
      <c r="C1744" t="s">
        <v>0</v>
      </c>
      <c r="D1744" t="s">
        <v>27</v>
      </c>
      <c r="E1744">
        <v>14</v>
      </c>
      <c r="F1744" s="4" t="s">
        <v>28</v>
      </c>
      <c r="G1744">
        <v>2</v>
      </c>
      <c r="H1744" s="2">
        <v>717390.37266026705</v>
      </c>
    </row>
    <row r="1745" spans="1:8" x14ac:dyDescent="0.25">
      <c r="A1745" t="s">
        <v>62</v>
      </c>
      <c r="B1745">
        <v>1998</v>
      </c>
      <c r="C1745" t="s">
        <v>6</v>
      </c>
      <c r="D1745" t="s">
        <v>27</v>
      </c>
      <c r="E1745">
        <v>14</v>
      </c>
      <c r="F1745" s="4" t="s">
        <v>28</v>
      </c>
      <c r="G1745">
        <v>29</v>
      </c>
      <c r="H1745" s="2">
        <v>2707580.5191430999</v>
      </c>
    </row>
    <row r="1746" spans="1:8" x14ac:dyDescent="0.25">
      <c r="A1746" t="s">
        <v>63</v>
      </c>
      <c r="B1746">
        <v>1998</v>
      </c>
      <c r="C1746" t="s">
        <v>5</v>
      </c>
      <c r="D1746" t="s">
        <v>27</v>
      </c>
      <c r="E1746">
        <v>14</v>
      </c>
      <c r="F1746" s="4" t="s">
        <v>28</v>
      </c>
      <c r="G1746">
        <v>2</v>
      </c>
      <c r="H1746" s="2">
        <v>5360232.5784697803</v>
      </c>
    </row>
    <row r="1747" spans="1:8" x14ac:dyDescent="0.25">
      <c r="A1747" t="s">
        <v>64</v>
      </c>
      <c r="B1747">
        <v>1998</v>
      </c>
      <c r="C1747" t="s">
        <v>4</v>
      </c>
      <c r="D1747" t="s">
        <v>27</v>
      </c>
      <c r="E1747">
        <v>14</v>
      </c>
      <c r="F1747" s="4" t="s">
        <v>28</v>
      </c>
      <c r="G1747">
        <v>92</v>
      </c>
      <c r="H1747" s="2">
        <v>4551586.6200692104</v>
      </c>
    </row>
    <row r="1748" spans="1:8" x14ac:dyDescent="0.25">
      <c r="A1748" t="s">
        <v>65</v>
      </c>
      <c r="B1748">
        <v>1998</v>
      </c>
      <c r="C1748" t="s">
        <v>3</v>
      </c>
      <c r="D1748" t="s">
        <v>27</v>
      </c>
      <c r="E1748">
        <v>14</v>
      </c>
      <c r="F1748" s="4" t="s">
        <v>28</v>
      </c>
      <c r="G1748">
        <v>792</v>
      </c>
      <c r="H1748" s="2">
        <v>6800752.4819579897</v>
      </c>
    </row>
    <row r="1749" spans="1:8" x14ac:dyDescent="0.25">
      <c r="A1749" t="s">
        <v>66</v>
      </c>
      <c r="B1749">
        <v>1998</v>
      </c>
      <c r="C1749" t="s">
        <v>2</v>
      </c>
      <c r="D1749" t="s">
        <v>27</v>
      </c>
      <c r="E1749">
        <v>14</v>
      </c>
      <c r="F1749" s="4" t="s">
        <v>28</v>
      </c>
      <c r="G1749">
        <v>191</v>
      </c>
      <c r="H1749" s="2">
        <v>3048176.4456057898</v>
      </c>
    </row>
    <row r="1750" spans="1:8" x14ac:dyDescent="0.25">
      <c r="A1750" t="s">
        <v>67</v>
      </c>
      <c r="B1750">
        <v>1998</v>
      </c>
      <c r="C1750" t="s">
        <v>1</v>
      </c>
      <c r="D1750" t="s">
        <v>27</v>
      </c>
      <c r="E1750">
        <v>14</v>
      </c>
      <c r="F1750" s="4" t="s">
        <v>28</v>
      </c>
      <c r="G1750">
        <v>15</v>
      </c>
      <c r="H1750" s="2">
        <v>727932.186330133</v>
      </c>
    </row>
    <row r="1751" spans="1:8" x14ac:dyDescent="0.25">
      <c r="A1751" t="s">
        <v>68</v>
      </c>
      <c r="B1751">
        <v>1998</v>
      </c>
      <c r="C1751" t="s">
        <v>0</v>
      </c>
      <c r="D1751" t="s">
        <v>27</v>
      </c>
      <c r="E1751">
        <v>14</v>
      </c>
      <c r="F1751" s="4" t="s">
        <v>28</v>
      </c>
      <c r="G1751">
        <v>5</v>
      </c>
      <c r="H1751" s="2">
        <v>727932.186330133</v>
      </c>
    </row>
    <row r="1752" spans="1:8" x14ac:dyDescent="0.25">
      <c r="A1752" t="s">
        <v>69</v>
      </c>
      <c r="B1752">
        <v>1999</v>
      </c>
      <c r="C1752" t="s">
        <v>6</v>
      </c>
      <c r="D1752" t="s">
        <v>27</v>
      </c>
      <c r="E1752">
        <v>14</v>
      </c>
      <c r="F1752" s="4" t="s">
        <v>28</v>
      </c>
      <c r="G1752">
        <v>21</v>
      </c>
      <c r="H1752" s="2">
        <v>2723058.5063810302</v>
      </c>
    </row>
    <row r="1753" spans="1:8" x14ac:dyDescent="0.25">
      <c r="A1753" t="s">
        <v>70</v>
      </c>
      <c r="B1753">
        <v>1999</v>
      </c>
      <c r="C1753" t="s">
        <v>5</v>
      </c>
      <c r="D1753" t="s">
        <v>27</v>
      </c>
      <c r="E1753">
        <v>14</v>
      </c>
      <c r="F1753" s="4" t="s">
        <v>28</v>
      </c>
      <c r="G1753">
        <v>6</v>
      </c>
      <c r="H1753" s="2">
        <v>5362927.5261565903</v>
      </c>
    </row>
    <row r="1754" spans="1:8" x14ac:dyDescent="0.25">
      <c r="A1754" t="s">
        <v>71</v>
      </c>
      <c r="B1754">
        <v>1999</v>
      </c>
      <c r="C1754" t="s">
        <v>4</v>
      </c>
      <c r="D1754" t="s">
        <v>27</v>
      </c>
      <c r="E1754">
        <v>14</v>
      </c>
      <c r="F1754" s="4" t="s">
        <v>28</v>
      </c>
      <c r="G1754">
        <v>102</v>
      </c>
      <c r="H1754" s="2">
        <v>4656740.8733564001</v>
      </c>
    </row>
    <row r="1755" spans="1:8" x14ac:dyDescent="0.25">
      <c r="A1755" t="s">
        <v>72</v>
      </c>
      <c r="B1755">
        <v>1999</v>
      </c>
      <c r="C1755" t="s">
        <v>3</v>
      </c>
      <c r="D1755" t="s">
        <v>27</v>
      </c>
      <c r="E1755">
        <v>14</v>
      </c>
      <c r="F1755" s="4" t="s">
        <v>28</v>
      </c>
      <c r="G1755">
        <v>907</v>
      </c>
      <c r="H1755" s="2">
        <v>6944474.4939860003</v>
      </c>
    </row>
    <row r="1756" spans="1:8" x14ac:dyDescent="0.25">
      <c r="A1756" t="s">
        <v>73</v>
      </c>
      <c r="B1756">
        <v>1999</v>
      </c>
      <c r="C1756" t="s">
        <v>2</v>
      </c>
      <c r="D1756" t="s">
        <v>27</v>
      </c>
      <c r="E1756">
        <v>14</v>
      </c>
      <c r="F1756" s="4" t="s">
        <v>28</v>
      </c>
      <c r="G1756">
        <v>182</v>
      </c>
      <c r="H1756" s="2">
        <v>3155060.14853526</v>
      </c>
    </row>
    <row r="1757" spans="1:8" x14ac:dyDescent="0.25">
      <c r="A1757" t="s">
        <v>74</v>
      </c>
      <c r="B1757">
        <v>1999</v>
      </c>
      <c r="C1757" t="s">
        <v>1</v>
      </c>
      <c r="D1757" t="s">
        <v>27</v>
      </c>
      <c r="E1757">
        <v>14</v>
      </c>
      <c r="F1757" s="4" t="s">
        <v>28</v>
      </c>
      <c r="G1757">
        <v>16</v>
      </c>
      <c r="H1757" s="2">
        <v>741553.72877671104</v>
      </c>
    </row>
    <row r="1758" spans="1:8" x14ac:dyDescent="0.25">
      <c r="A1758" t="s">
        <v>75</v>
      </c>
      <c r="B1758">
        <v>1999</v>
      </c>
      <c r="C1758" t="s">
        <v>0</v>
      </c>
      <c r="D1758" t="s">
        <v>27</v>
      </c>
      <c r="E1758">
        <v>14</v>
      </c>
      <c r="F1758" s="4" t="s">
        <v>28</v>
      </c>
      <c r="G1758">
        <v>8</v>
      </c>
      <c r="H1758" s="2">
        <v>741553.72877671104</v>
      </c>
    </row>
    <row r="1759" spans="1:8" x14ac:dyDescent="0.25">
      <c r="A1759" t="s">
        <v>76</v>
      </c>
      <c r="B1759">
        <v>2000</v>
      </c>
      <c r="C1759" t="s">
        <v>6</v>
      </c>
      <c r="D1759" t="s">
        <v>27</v>
      </c>
      <c r="E1759">
        <v>14</v>
      </c>
      <c r="F1759" s="4" t="s">
        <v>28</v>
      </c>
      <c r="G1759">
        <v>24</v>
      </c>
      <c r="H1759" s="2">
        <v>2736288</v>
      </c>
    </row>
    <row r="1760" spans="1:8" x14ac:dyDescent="0.25">
      <c r="A1760" t="s">
        <v>77</v>
      </c>
      <c r="B1760">
        <v>2000</v>
      </c>
      <c r="C1760" t="s">
        <v>5</v>
      </c>
      <c r="D1760" t="s">
        <v>27</v>
      </c>
      <c r="E1760">
        <v>14</v>
      </c>
      <c r="F1760" s="4" t="s">
        <v>28</v>
      </c>
      <c r="G1760">
        <v>8</v>
      </c>
      <c r="H1760" s="2">
        <v>5362498</v>
      </c>
    </row>
    <row r="1761" spans="1:8" x14ac:dyDescent="0.25">
      <c r="A1761" t="s">
        <v>78</v>
      </c>
      <c r="B1761">
        <v>2000</v>
      </c>
      <c r="C1761" t="s">
        <v>4</v>
      </c>
      <c r="D1761" t="s">
        <v>27</v>
      </c>
      <c r="E1761">
        <v>14</v>
      </c>
      <c r="F1761" s="4" t="s">
        <v>28</v>
      </c>
      <c r="G1761">
        <v>112</v>
      </c>
      <c r="H1761" s="2">
        <v>4756322</v>
      </c>
    </row>
    <row r="1762" spans="1:8" x14ac:dyDescent="0.25">
      <c r="A1762" t="s">
        <v>79</v>
      </c>
      <c r="B1762">
        <v>2000</v>
      </c>
      <c r="C1762" t="s">
        <v>3</v>
      </c>
      <c r="D1762" t="s">
        <v>27</v>
      </c>
      <c r="E1762">
        <v>14</v>
      </c>
      <c r="F1762" s="4" t="s">
        <v>28</v>
      </c>
      <c r="G1762">
        <v>908</v>
      </c>
      <c r="H1762" s="2">
        <v>7084964</v>
      </c>
    </row>
    <row r="1763" spans="1:8" x14ac:dyDescent="0.25">
      <c r="A1763" t="s">
        <v>80</v>
      </c>
      <c r="B1763">
        <v>2000</v>
      </c>
      <c r="C1763" t="s">
        <v>2</v>
      </c>
      <c r="D1763" t="s">
        <v>27</v>
      </c>
      <c r="E1763">
        <v>14</v>
      </c>
      <c r="F1763" s="4" t="s">
        <v>28</v>
      </c>
      <c r="G1763">
        <v>209</v>
      </c>
      <c r="H1763" s="2">
        <v>3270725</v>
      </c>
    </row>
    <row r="1764" spans="1:8" x14ac:dyDescent="0.25">
      <c r="A1764" t="s">
        <v>81</v>
      </c>
      <c r="B1764">
        <v>2000</v>
      </c>
      <c r="C1764" t="s">
        <v>1</v>
      </c>
      <c r="D1764" t="s">
        <v>27</v>
      </c>
      <c r="E1764">
        <v>14</v>
      </c>
      <c r="F1764" s="4" t="s">
        <v>28</v>
      </c>
      <c r="G1764">
        <v>15</v>
      </c>
      <c r="H1764" s="2">
        <v>757840</v>
      </c>
    </row>
    <row r="1765" spans="1:8" x14ac:dyDescent="0.25">
      <c r="A1765" t="s">
        <v>82</v>
      </c>
      <c r="B1765">
        <v>2000</v>
      </c>
      <c r="C1765" t="s">
        <v>0</v>
      </c>
      <c r="D1765" t="s">
        <v>27</v>
      </c>
      <c r="E1765">
        <v>14</v>
      </c>
      <c r="F1765" s="4" t="s">
        <v>28</v>
      </c>
      <c r="G1765">
        <v>11</v>
      </c>
      <c r="H1765" s="2">
        <v>757840</v>
      </c>
    </row>
    <row r="1766" spans="1:8" x14ac:dyDescent="0.25">
      <c r="A1766" t="s">
        <v>83</v>
      </c>
      <c r="B1766">
        <v>2001</v>
      </c>
      <c r="C1766" t="s">
        <v>6</v>
      </c>
      <c r="D1766" t="s">
        <v>27</v>
      </c>
      <c r="E1766">
        <v>14</v>
      </c>
      <c r="F1766" s="4" t="s">
        <v>28</v>
      </c>
      <c r="G1766">
        <v>22</v>
      </c>
      <c r="H1766" s="2">
        <v>2747486</v>
      </c>
    </row>
    <row r="1767" spans="1:8" x14ac:dyDescent="0.25">
      <c r="A1767" t="s">
        <v>84</v>
      </c>
      <c r="B1767">
        <v>2001</v>
      </c>
      <c r="C1767" t="s">
        <v>5</v>
      </c>
      <c r="D1767" t="s">
        <v>27</v>
      </c>
      <c r="E1767">
        <v>14</v>
      </c>
      <c r="F1767" s="4" t="s">
        <v>28</v>
      </c>
      <c r="G1767">
        <v>7</v>
      </c>
      <c r="H1767" s="2">
        <v>5361139</v>
      </c>
    </row>
    <row r="1768" spans="1:8" x14ac:dyDescent="0.25">
      <c r="A1768" t="s">
        <v>85</v>
      </c>
      <c r="B1768">
        <v>2001</v>
      </c>
      <c r="C1768" t="s">
        <v>4</v>
      </c>
      <c r="D1768" t="s">
        <v>27</v>
      </c>
      <c r="E1768">
        <v>14</v>
      </c>
      <c r="F1768" s="4" t="s">
        <v>28</v>
      </c>
      <c r="G1768">
        <v>108</v>
      </c>
      <c r="H1768" s="2">
        <v>4849286</v>
      </c>
    </row>
    <row r="1769" spans="1:8" x14ac:dyDescent="0.25">
      <c r="A1769" t="s">
        <v>86</v>
      </c>
      <c r="B1769">
        <v>2001</v>
      </c>
      <c r="C1769" t="s">
        <v>3</v>
      </c>
      <c r="D1769" t="s">
        <v>27</v>
      </c>
      <c r="E1769">
        <v>14</v>
      </c>
      <c r="F1769" s="4" t="s">
        <v>28</v>
      </c>
      <c r="G1769">
        <v>764</v>
      </c>
      <c r="H1769" s="2">
        <v>7223102</v>
      </c>
    </row>
    <row r="1770" spans="1:8" x14ac:dyDescent="0.25">
      <c r="A1770" t="s">
        <v>87</v>
      </c>
      <c r="B1770">
        <v>2001</v>
      </c>
      <c r="C1770" t="s">
        <v>2</v>
      </c>
      <c r="D1770" t="s">
        <v>27</v>
      </c>
      <c r="E1770">
        <v>14</v>
      </c>
      <c r="F1770" s="4" t="s">
        <v>28</v>
      </c>
      <c r="G1770">
        <v>249</v>
      </c>
      <c r="H1770" s="2">
        <v>3394805</v>
      </c>
    </row>
    <row r="1771" spans="1:8" x14ac:dyDescent="0.25">
      <c r="A1771" t="s">
        <v>88</v>
      </c>
      <c r="B1771">
        <v>2001</v>
      </c>
      <c r="C1771" t="s">
        <v>1</v>
      </c>
      <c r="D1771" t="s">
        <v>27</v>
      </c>
      <c r="E1771">
        <v>14</v>
      </c>
      <c r="F1771" s="4" t="s">
        <v>28</v>
      </c>
      <c r="G1771">
        <v>21</v>
      </c>
      <c r="H1771" s="2">
        <v>776376</v>
      </c>
    </row>
    <row r="1772" spans="1:8" x14ac:dyDescent="0.25">
      <c r="A1772" t="s">
        <v>89</v>
      </c>
      <c r="B1772">
        <v>2001</v>
      </c>
      <c r="C1772" t="s">
        <v>0</v>
      </c>
      <c r="D1772" t="s">
        <v>27</v>
      </c>
      <c r="E1772">
        <v>14</v>
      </c>
      <c r="F1772" s="4" t="s">
        <v>28</v>
      </c>
      <c r="G1772">
        <v>12</v>
      </c>
      <c r="H1772" s="2">
        <v>776376</v>
      </c>
    </row>
    <row r="1773" spans="1:8" x14ac:dyDescent="0.25">
      <c r="A1773" t="s">
        <v>90</v>
      </c>
      <c r="B1773">
        <v>2002</v>
      </c>
      <c r="C1773" t="s">
        <v>6</v>
      </c>
      <c r="D1773" t="s">
        <v>27</v>
      </c>
      <c r="E1773">
        <v>14</v>
      </c>
      <c r="F1773" s="4" t="s">
        <v>28</v>
      </c>
      <c r="G1773">
        <v>28</v>
      </c>
      <c r="H1773" s="2">
        <v>2756879</v>
      </c>
    </row>
    <row r="1774" spans="1:8" x14ac:dyDescent="0.25">
      <c r="A1774" t="s">
        <v>91</v>
      </c>
      <c r="B1774">
        <v>2002</v>
      </c>
      <c r="C1774" t="s">
        <v>5</v>
      </c>
      <c r="D1774" t="s">
        <v>27</v>
      </c>
      <c r="E1774">
        <v>14</v>
      </c>
      <c r="F1774" s="4" t="s">
        <v>28</v>
      </c>
      <c r="G1774">
        <v>5</v>
      </c>
      <c r="H1774" s="2">
        <v>5361107</v>
      </c>
    </row>
    <row r="1775" spans="1:8" x14ac:dyDescent="0.25">
      <c r="A1775" t="s">
        <v>92</v>
      </c>
      <c r="B1775">
        <v>2002</v>
      </c>
      <c r="C1775" t="s">
        <v>4</v>
      </c>
      <c r="D1775" t="s">
        <v>27</v>
      </c>
      <c r="E1775">
        <v>14</v>
      </c>
      <c r="F1775" s="4" t="s">
        <v>28</v>
      </c>
      <c r="G1775">
        <v>108</v>
      </c>
      <c r="H1775" s="2">
        <v>4934568</v>
      </c>
    </row>
    <row r="1776" spans="1:8" x14ac:dyDescent="0.25">
      <c r="A1776" t="s">
        <v>93</v>
      </c>
      <c r="B1776">
        <v>2002</v>
      </c>
      <c r="C1776" t="s">
        <v>3</v>
      </c>
      <c r="D1776" t="s">
        <v>27</v>
      </c>
      <c r="E1776">
        <v>14</v>
      </c>
      <c r="F1776" s="4" t="s">
        <v>28</v>
      </c>
      <c r="G1776">
        <v>745</v>
      </c>
      <c r="H1776" s="2">
        <v>7359839</v>
      </c>
    </row>
    <row r="1777" spans="1:8" x14ac:dyDescent="0.25">
      <c r="A1777" t="s">
        <v>94</v>
      </c>
      <c r="B1777">
        <v>2002</v>
      </c>
      <c r="C1777" t="s">
        <v>2</v>
      </c>
      <c r="D1777" t="s">
        <v>27</v>
      </c>
      <c r="E1777">
        <v>14</v>
      </c>
      <c r="F1777" s="4" t="s">
        <v>28</v>
      </c>
      <c r="G1777">
        <v>252</v>
      </c>
      <c r="H1777" s="2">
        <v>3526909</v>
      </c>
    </row>
    <row r="1778" spans="1:8" x14ac:dyDescent="0.25">
      <c r="A1778" t="s">
        <v>95</v>
      </c>
      <c r="B1778">
        <v>2002</v>
      </c>
      <c r="C1778" t="s">
        <v>1</v>
      </c>
      <c r="D1778" t="s">
        <v>27</v>
      </c>
      <c r="E1778">
        <v>14</v>
      </c>
      <c r="F1778" s="4" t="s">
        <v>28</v>
      </c>
      <c r="G1778">
        <v>26</v>
      </c>
      <c r="H1778" s="2">
        <v>796712</v>
      </c>
    </row>
    <row r="1779" spans="1:8" x14ac:dyDescent="0.25">
      <c r="A1779" t="s">
        <v>96</v>
      </c>
      <c r="B1779">
        <v>2002</v>
      </c>
      <c r="C1779" t="s">
        <v>0</v>
      </c>
      <c r="D1779" t="s">
        <v>27</v>
      </c>
      <c r="E1779">
        <v>14</v>
      </c>
      <c r="F1779" s="4" t="s">
        <v>28</v>
      </c>
      <c r="G1779">
        <v>9</v>
      </c>
      <c r="H1779" s="2">
        <v>796712</v>
      </c>
    </row>
    <row r="1780" spans="1:8" x14ac:dyDescent="0.25">
      <c r="A1780" t="s">
        <v>97</v>
      </c>
      <c r="B1780">
        <v>2003</v>
      </c>
      <c r="C1780" t="s">
        <v>6</v>
      </c>
      <c r="D1780" t="s">
        <v>27</v>
      </c>
      <c r="E1780">
        <v>14</v>
      </c>
      <c r="F1780" s="4" t="s">
        <v>28</v>
      </c>
      <c r="G1780">
        <v>40</v>
      </c>
      <c r="H1780" s="2">
        <v>2764684</v>
      </c>
    </row>
    <row r="1781" spans="1:8" x14ac:dyDescent="0.25">
      <c r="A1781" t="s">
        <v>98</v>
      </c>
      <c r="B1781">
        <v>2003</v>
      </c>
      <c r="C1781" t="s">
        <v>5</v>
      </c>
      <c r="D1781" t="s">
        <v>27</v>
      </c>
      <c r="E1781">
        <v>14</v>
      </c>
      <c r="F1781" s="4" t="s">
        <v>28</v>
      </c>
      <c r="G1781">
        <v>3</v>
      </c>
      <c r="H1781" s="2">
        <v>5364597</v>
      </c>
    </row>
    <row r="1782" spans="1:8" x14ac:dyDescent="0.25">
      <c r="A1782" t="s">
        <v>99</v>
      </c>
      <c r="B1782">
        <v>2003</v>
      </c>
      <c r="C1782" t="s">
        <v>4</v>
      </c>
      <c r="D1782" t="s">
        <v>27</v>
      </c>
      <c r="E1782">
        <v>14</v>
      </c>
      <c r="F1782" s="4" t="s">
        <v>28</v>
      </c>
      <c r="G1782">
        <v>97</v>
      </c>
      <c r="H1782" s="2">
        <v>5011124</v>
      </c>
    </row>
    <row r="1783" spans="1:8" x14ac:dyDescent="0.25">
      <c r="A1783" t="s">
        <v>100</v>
      </c>
      <c r="B1783">
        <v>2003</v>
      </c>
      <c r="C1783" t="s">
        <v>3</v>
      </c>
      <c r="D1783" t="s">
        <v>27</v>
      </c>
      <c r="E1783">
        <v>14</v>
      </c>
      <c r="F1783" s="4" t="s">
        <v>28</v>
      </c>
      <c r="G1783">
        <v>833</v>
      </c>
      <c r="H1783" s="2">
        <v>7496056</v>
      </c>
    </row>
    <row r="1784" spans="1:8" x14ac:dyDescent="0.25">
      <c r="A1784" t="s">
        <v>101</v>
      </c>
      <c r="B1784">
        <v>2003</v>
      </c>
      <c r="C1784" t="s">
        <v>2</v>
      </c>
      <c r="D1784" t="s">
        <v>27</v>
      </c>
      <c r="E1784">
        <v>14</v>
      </c>
      <c r="F1784" s="4" t="s">
        <v>28</v>
      </c>
      <c r="G1784">
        <v>268</v>
      </c>
      <c r="H1784" s="2">
        <v>3666671</v>
      </c>
    </row>
    <row r="1785" spans="1:8" x14ac:dyDescent="0.25">
      <c r="A1785" t="s">
        <v>102</v>
      </c>
      <c r="B1785">
        <v>2003</v>
      </c>
      <c r="C1785" t="s">
        <v>1</v>
      </c>
      <c r="D1785" t="s">
        <v>27</v>
      </c>
      <c r="E1785">
        <v>14</v>
      </c>
      <c r="F1785" s="4" t="s">
        <v>28</v>
      </c>
      <c r="G1785">
        <v>21</v>
      </c>
      <c r="H1785" s="2">
        <v>818433</v>
      </c>
    </row>
    <row r="1786" spans="1:8" x14ac:dyDescent="0.25">
      <c r="A1786" t="s">
        <v>103</v>
      </c>
      <c r="B1786">
        <v>2003</v>
      </c>
      <c r="C1786" t="s">
        <v>0</v>
      </c>
      <c r="D1786" t="s">
        <v>27</v>
      </c>
      <c r="E1786">
        <v>14</v>
      </c>
      <c r="F1786" s="4" t="s">
        <v>28</v>
      </c>
      <c r="G1786">
        <v>5</v>
      </c>
      <c r="H1786" s="2">
        <v>818433</v>
      </c>
    </row>
    <row r="1787" spans="1:8" x14ac:dyDescent="0.25">
      <c r="A1787" t="s">
        <v>104</v>
      </c>
      <c r="B1787">
        <v>2004</v>
      </c>
      <c r="C1787" t="s">
        <v>6</v>
      </c>
      <c r="D1787" t="s">
        <v>27</v>
      </c>
      <c r="E1787">
        <v>14</v>
      </c>
      <c r="F1787" s="4" t="s">
        <v>28</v>
      </c>
      <c r="G1787">
        <v>23</v>
      </c>
      <c r="H1787" s="2">
        <v>2770821</v>
      </c>
    </row>
    <row r="1788" spans="1:8" x14ac:dyDescent="0.25">
      <c r="A1788" t="s">
        <v>105</v>
      </c>
      <c r="B1788">
        <v>2004</v>
      </c>
      <c r="C1788" t="s">
        <v>5</v>
      </c>
      <c r="D1788" t="s">
        <v>27</v>
      </c>
      <c r="E1788">
        <v>14</v>
      </c>
      <c r="F1788" s="4" t="s">
        <v>28</v>
      </c>
      <c r="G1788">
        <v>6</v>
      </c>
      <c r="H1788" s="2">
        <v>5372677</v>
      </c>
    </row>
    <row r="1789" spans="1:8" x14ac:dyDescent="0.25">
      <c r="A1789" t="s">
        <v>106</v>
      </c>
      <c r="B1789">
        <v>2004</v>
      </c>
      <c r="C1789" t="s">
        <v>4</v>
      </c>
      <c r="D1789" t="s">
        <v>27</v>
      </c>
      <c r="E1789">
        <v>14</v>
      </c>
      <c r="F1789" s="4" t="s">
        <v>28</v>
      </c>
      <c r="G1789">
        <v>116</v>
      </c>
      <c r="H1789" s="2">
        <v>5078223</v>
      </c>
    </row>
    <row r="1790" spans="1:8" x14ac:dyDescent="0.25">
      <c r="A1790" t="s">
        <v>107</v>
      </c>
      <c r="B1790">
        <v>2004</v>
      </c>
      <c r="C1790" t="s">
        <v>3</v>
      </c>
      <c r="D1790" t="s">
        <v>27</v>
      </c>
      <c r="E1790">
        <v>14</v>
      </c>
      <c r="F1790" s="4" t="s">
        <v>28</v>
      </c>
      <c r="G1790">
        <v>891</v>
      </c>
      <c r="H1790" s="2">
        <v>7631406</v>
      </c>
    </row>
    <row r="1791" spans="1:8" x14ac:dyDescent="0.25">
      <c r="A1791" t="s">
        <v>108</v>
      </c>
      <c r="B1791">
        <v>2004</v>
      </c>
      <c r="C1791" t="s">
        <v>2</v>
      </c>
      <c r="D1791" t="s">
        <v>27</v>
      </c>
      <c r="E1791">
        <v>14</v>
      </c>
      <c r="F1791" s="4" t="s">
        <v>28</v>
      </c>
      <c r="G1791">
        <v>324</v>
      </c>
      <c r="H1791" s="2">
        <v>3814359</v>
      </c>
    </row>
    <row r="1792" spans="1:8" x14ac:dyDescent="0.25">
      <c r="A1792" t="s">
        <v>109</v>
      </c>
      <c r="B1792">
        <v>2004</v>
      </c>
      <c r="C1792" t="s">
        <v>1</v>
      </c>
      <c r="D1792" t="s">
        <v>27</v>
      </c>
      <c r="E1792">
        <v>14</v>
      </c>
      <c r="F1792" s="4" t="s">
        <v>28</v>
      </c>
      <c r="G1792">
        <v>22</v>
      </c>
      <c r="H1792" s="2">
        <v>841739</v>
      </c>
    </row>
    <row r="1793" spans="1:8" x14ac:dyDescent="0.25">
      <c r="A1793" t="s">
        <v>110</v>
      </c>
      <c r="B1793">
        <v>2004</v>
      </c>
      <c r="C1793" t="s">
        <v>0</v>
      </c>
      <c r="D1793" t="s">
        <v>27</v>
      </c>
      <c r="E1793">
        <v>14</v>
      </c>
      <c r="F1793" s="4" t="s">
        <v>28</v>
      </c>
      <c r="G1793">
        <v>14</v>
      </c>
      <c r="H1793" s="2">
        <v>841739</v>
      </c>
    </row>
    <row r="1794" spans="1:8" x14ac:dyDescent="0.25">
      <c r="A1794" t="s">
        <v>111</v>
      </c>
      <c r="B1794">
        <v>2005</v>
      </c>
      <c r="C1794" t="s">
        <v>6</v>
      </c>
      <c r="D1794" t="s">
        <v>27</v>
      </c>
      <c r="E1794">
        <v>14</v>
      </c>
      <c r="F1794" s="4" t="s">
        <v>28</v>
      </c>
      <c r="G1794">
        <v>25</v>
      </c>
      <c r="H1794" s="2">
        <v>2774961</v>
      </c>
    </row>
    <row r="1795" spans="1:8" x14ac:dyDescent="0.25">
      <c r="A1795" t="s">
        <v>112</v>
      </c>
      <c r="B1795">
        <v>2005</v>
      </c>
      <c r="C1795" t="s">
        <v>5</v>
      </c>
      <c r="D1795" t="s">
        <v>27</v>
      </c>
      <c r="E1795">
        <v>14</v>
      </c>
      <c r="F1795" s="4" t="s">
        <v>28</v>
      </c>
      <c r="G1795">
        <v>9</v>
      </c>
      <c r="H1795" s="2">
        <v>5386812</v>
      </c>
    </row>
    <row r="1796" spans="1:8" x14ac:dyDescent="0.25">
      <c r="A1796" t="s">
        <v>113</v>
      </c>
      <c r="B1796">
        <v>2005</v>
      </c>
      <c r="C1796" t="s">
        <v>4</v>
      </c>
      <c r="D1796" t="s">
        <v>27</v>
      </c>
      <c r="E1796">
        <v>14</v>
      </c>
      <c r="F1796" s="4" t="s">
        <v>28</v>
      </c>
      <c r="G1796">
        <v>104</v>
      </c>
      <c r="H1796" s="2">
        <v>5134473</v>
      </c>
    </row>
    <row r="1797" spans="1:8" x14ac:dyDescent="0.25">
      <c r="A1797" t="s">
        <v>114</v>
      </c>
      <c r="B1797">
        <v>2005</v>
      </c>
      <c r="C1797" t="s">
        <v>3</v>
      </c>
      <c r="D1797" t="s">
        <v>27</v>
      </c>
      <c r="E1797">
        <v>14</v>
      </c>
      <c r="F1797" s="4" t="s">
        <v>28</v>
      </c>
      <c r="G1797">
        <v>980</v>
      </c>
      <c r="H1797" s="2">
        <v>7765159</v>
      </c>
    </row>
    <row r="1798" spans="1:8" x14ac:dyDescent="0.25">
      <c r="A1798" t="s">
        <v>115</v>
      </c>
      <c r="B1798">
        <v>2005</v>
      </c>
      <c r="C1798" t="s">
        <v>2</v>
      </c>
      <c r="D1798" t="s">
        <v>27</v>
      </c>
      <c r="E1798">
        <v>14</v>
      </c>
      <c r="F1798" s="4" t="s">
        <v>28</v>
      </c>
      <c r="G1798">
        <v>324</v>
      </c>
      <c r="H1798" s="2">
        <v>3970997</v>
      </c>
    </row>
    <row r="1799" spans="1:8" x14ac:dyDescent="0.25">
      <c r="A1799" t="s">
        <v>116</v>
      </c>
      <c r="B1799">
        <v>2005</v>
      </c>
      <c r="C1799" t="s">
        <v>1</v>
      </c>
      <c r="D1799" t="s">
        <v>27</v>
      </c>
      <c r="E1799">
        <v>14</v>
      </c>
      <c r="F1799" s="4" t="s">
        <v>28</v>
      </c>
      <c r="G1799">
        <v>28</v>
      </c>
      <c r="H1799" s="2">
        <v>866819</v>
      </c>
    </row>
    <row r="1800" spans="1:8" x14ac:dyDescent="0.25">
      <c r="A1800" t="s">
        <v>117</v>
      </c>
      <c r="B1800">
        <v>2005</v>
      </c>
      <c r="C1800" t="s">
        <v>0</v>
      </c>
      <c r="D1800" t="s">
        <v>27</v>
      </c>
      <c r="E1800">
        <v>14</v>
      </c>
      <c r="F1800" s="4" t="s">
        <v>28</v>
      </c>
      <c r="G1800">
        <v>8</v>
      </c>
      <c r="H1800" s="2">
        <v>866819</v>
      </c>
    </row>
    <row r="1801" spans="1:8" x14ac:dyDescent="0.25">
      <c r="A1801" t="s">
        <v>118</v>
      </c>
      <c r="B1801">
        <v>2006</v>
      </c>
      <c r="C1801" t="s">
        <v>6</v>
      </c>
      <c r="D1801" t="s">
        <v>27</v>
      </c>
      <c r="E1801">
        <v>14</v>
      </c>
      <c r="F1801" s="4" t="s">
        <v>28</v>
      </c>
      <c r="G1801">
        <v>34</v>
      </c>
      <c r="H1801" s="2">
        <v>2777568</v>
      </c>
    </row>
    <row r="1802" spans="1:8" x14ac:dyDescent="0.25">
      <c r="A1802" t="s">
        <v>119</v>
      </c>
      <c r="B1802">
        <v>2006</v>
      </c>
      <c r="C1802" t="s">
        <v>5</v>
      </c>
      <c r="D1802" t="s">
        <v>27</v>
      </c>
      <c r="E1802">
        <v>14</v>
      </c>
      <c r="F1802" s="4" t="s">
        <v>28</v>
      </c>
      <c r="G1802">
        <v>6</v>
      </c>
      <c r="H1802" s="2">
        <v>5407717</v>
      </c>
    </row>
    <row r="1803" spans="1:8" x14ac:dyDescent="0.25">
      <c r="A1803" t="s">
        <v>120</v>
      </c>
      <c r="B1803">
        <v>2006</v>
      </c>
      <c r="C1803" t="s">
        <v>4</v>
      </c>
      <c r="D1803" t="s">
        <v>27</v>
      </c>
      <c r="E1803">
        <v>14</v>
      </c>
      <c r="F1803" s="4" t="s">
        <v>28</v>
      </c>
      <c r="G1803">
        <v>97</v>
      </c>
      <c r="H1803" s="2">
        <v>5178861</v>
      </c>
    </row>
    <row r="1804" spans="1:8" x14ac:dyDescent="0.25">
      <c r="A1804" t="s">
        <v>121</v>
      </c>
      <c r="B1804">
        <v>2006</v>
      </c>
      <c r="C1804" t="s">
        <v>3</v>
      </c>
      <c r="D1804" t="s">
        <v>27</v>
      </c>
      <c r="E1804">
        <v>14</v>
      </c>
      <c r="F1804" s="4" t="s">
        <v>28</v>
      </c>
      <c r="G1804">
        <v>995</v>
      </c>
      <c r="H1804" s="2">
        <v>7897108</v>
      </c>
    </row>
    <row r="1805" spans="1:8" x14ac:dyDescent="0.25">
      <c r="A1805" t="s">
        <v>122</v>
      </c>
      <c r="B1805">
        <v>2006</v>
      </c>
      <c r="C1805" t="s">
        <v>2</v>
      </c>
      <c r="D1805" t="s">
        <v>27</v>
      </c>
      <c r="E1805">
        <v>14</v>
      </c>
      <c r="F1805" s="4" t="s">
        <v>28</v>
      </c>
      <c r="G1805">
        <v>384</v>
      </c>
      <c r="H1805" s="2">
        <v>4136588</v>
      </c>
    </row>
    <row r="1806" spans="1:8" x14ac:dyDescent="0.25">
      <c r="A1806" t="s">
        <v>123</v>
      </c>
      <c r="B1806">
        <v>2006</v>
      </c>
      <c r="C1806" t="s">
        <v>1</v>
      </c>
      <c r="D1806" t="s">
        <v>27</v>
      </c>
      <c r="E1806">
        <v>14</v>
      </c>
      <c r="F1806" s="4" t="s">
        <v>28</v>
      </c>
      <c r="G1806">
        <v>35</v>
      </c>
      <c r="H1806" s="2">
        <v>893794</v>
      </c>
    </row>
    <row r="1807" spans="1:8" x14ac:dyDescent="0.25">
      <c r="A1807" t="s">
        <v>124</v>
      </c>
      <c r="B1807">
        <v>2006</v>
      </c>
      <c r="C1807" t="s">
        <v>0</v>
      </c>
      <c r="D1807" t="s">
        <v>27</v>
      </c>
      <c r="E1807">
        <v>14</v>
      </c>
      <c r="F1807" s="4" t="s">
        <v>28</v>
      </c>
      <c r="G1807">
        <v>16</v>
      </c>
      <c r="H1807" s="2">
        <v>893794</v>
      </c>
    </row>
    <row r="1808" spans="1:8" x14ac:dyDescent="0.25">
      <c r="A1808" t="s">
        <v>125</v>
      </c>
      <c r="B1808">
        <v>2007</v>
      </c>
      <c r="C1808" t="s">
        <v>6</v>
      </c>
      <c r="D1808" t="s">
        <v>27</v>
      </c>
      <c r="E1808">
        <v>14</v>
      </c>
      <c r="F1808" s="4" t="s">
        <v>28</v>
      </c>
      <c r="G1808">
        <v>25</v>
      </c>
      <c r="H1808" s="2">
        <v>2778731</v>
      </c>
    </row>
    <row r="1809" spans="1:8" x14ac:dyDescent="0.25">
      <c r="A1809" t="s">
        <v>126</v>
      </c>
      <c r="B1809">
        <v>2007</v>
      </c>
      <c r="C1809" t="s">
        <v>5</v>
      </c>
      <c r="D1809" t="s">
        <v>27</v>
      </c>
      <c r="E1809">
        <v>14</v>
      </c>
      <c r="F1809" s="4" t="s">
        <v>28</v>
      </c>
      <c r="G1809">
        <v>11</v>
      </c>
      <c r="H1809" s="2">
        <v>5427910</v>
      </c>
    </row>
    <row r="1810" spans="1:8" x14ac:dyDescent="0.25">
      <c r="A1810" t="s">
        <v>127</v>
      </c>
      <c r="B1810">
        <v>2007</v>
      </c>
      <c r="C1810" t="s">
        <v>4</v>
      </c>
      <c r="D1810" t="s">
        <v>27</v>
      </c>
      <c r="E1810">
        <v>14</v>
      </c>
      <c r="F1810" s="4" t="s">
        <v>28</v>
      </c>
      <c r="G1810">
        <v>129</v>
      </c>
      <c r="H1810" s="2">
        <v>5216537</v>
      </c>
    </row>
    <row r="1811" spans="1:8" x14ac:dyDescent="0.25">
      <c r="A1811" t="s">
        <v>128</v>
      </c>
      <c r="B1811">
        <v>2007</v>
      </c>
      <c r="C1811" t="s">
        <v>3</v>
      </c>
      <c r="D1811" t="s">
        <v>27</v>
      </c>
      <c r="E1811">
        <v>14</v>
      </c>
      <c r="F1811" s="4" t="s">
        <v>28</v>
      </c>
      <c r="G1811">
        <v>1056</v>
      </c>
      <c r="H1811" s="2">
        <v>8032843</v>
      </c>
    </row>
    <row r="1812" spans="1:8" x14ac:dyDescent="0.25">
      <c r="A1812" t="s">
        <v>129</v>
      </c>
      <c r="B1812">
        <v>2007</v>
      </c>
      <c r="C1812" t="s">
        <v>2</v>
      </c>
      <c r="D1812" t="s">
        <v>27</v>
      </c>
      <c r="E1812">
        <v>14</v>
      </c>
      <c r="F1812" s="4" t="s">
        <v>28</v>
      </c>
      <c r="G1812">
        <v>402</v>
      </c>
      <c r="H1812" s="2">
        <v>4307510</v>
      </c>
    </row>
    <row r="1813" spans="1:8" x14ac:dyDescent="0.25">
      <c r="A1813" t="s">
        <v>130</v>
      </c>
      <c r="B1813">
        <v>2007</v>
      </c>
      <c r="C1813" t="s">
        <v>1</v>
      </c>
      <c r="D1813" t="s">
        <v>27</v>
      </c>
      <c r="E1813">
        <v>14</v>
      </c>
      <c r="F1813" s="4" t="s">
        <v>28</v>
      </c>
      <c r="G1813">
        <v>27</v>
      </c>
      <c r="H1813" s="2">
        <v>922773</v>
      </c>
    </row>
    <row r="1814" spans="1:8" x14ac:dyDescent="0.25">
      <c r="A1814" t="s">
        <v>131</v>
      </c>
      <c r="B1814">
        <v>2007</v>
      </c>
      <c r="C1814" t="s">
        <v>0</v>
      </c>
      <c r="D1814" t="s">
        <v>27</v>
      </c>
      <c r="E1814">
        <v>14</v>
      </c>
      <c r="F1814" s="4" t="s">
        <v>28</v>
      </c>
      <c r="G1814">
        <v>20</v>
      </c>
      <c r="H1814" s="2">
        <v>922773</v>
      </c>
    </row>
    <row r="1815" spans="1:8" x14ac:dyDescent="0.25">
      <c r="A1815" t="s">
        <v>132</v>
      </c>
      <c r="B1815">
        <v>2008</v>
      </c>
      <c r="C1815" t="s">
        <v>6</v>
      </c>
      <c r="D1815" t="s">
        <v>27</v>
      </c>
      <c r="E1815">
        <v>14</v>
      </c>
      <c r="F1815" s="4" t="s">
        <v>28</v>
      </c>
      <c r="G1815">
        <v>23</v>
      </c>
      <c r="H1815" s="2">
        <v>2778239</v>
      </c>
    </row>
    <row r="1816" spans="1:8" x14ac:dyDescent="0.25">
      <c r="A1816" t="s">
        <v>133</v>
      </c>
      <c r="B1816">
        <v>2008</v>
      </c>
      <c r="C1816" t="s">
        <v>5</v>
      </c>
      <c r="D1816" t="s">
        <v>27</v>
      </c>
      <c r="E1816">
        <v>14</v>
      </c>
      <c r="F1816" s="4" t="s">
        <v>28</v>
      </c>
      <c r="G1816">
        <v>12</v>
      </c>
      <c r="H1816" s="2">
        <v>5448390</v>
      </c>
    </row>
    <row r="1817" spans="1:8" x14ac:dyDescent="0.25">
      <c r="A1817" t="s">
        <v>134</v>
      </c>
      <c r="B1817">
        <v>2008</v>
      </c>
      <c r="C1817" t="s">
        <v>4</v>
      </c>
      <c r="D1817" t="s">
        <v>27</v>
      </c>
      <c r="E1817">
        <v>14</v>
      </c>
      <c r="F1817" s="4" t="s">
        <v>28</v>
      </c>
      <c r="G1817">
        <v>104</v>
      </c>
      <c r="H1817" s="2">
        <v>5246997</v>
      </c>
    </row>
    <row r="1818" spans="1:8" x14ac:dyDescent="0.25">
      <c r="A1818" t="s">
        <v>135</v>
      </c>
      <c r="B1818">
        <v>2008</v>
      </c>
      <c r="C1818" t="s">
        <v>3</v>
      </c>
      <c r="D1818" t="s">
        <v>27</v>
      </c>
      <c r="E1818">
        <v>14</v>
      </c>
      <c r="F1818" s="4" t="s">
        <v>28</v>
      </c>
      <c r="G1818">
        <v>1014</v>
      </c>
      <c r="H1818" s="2">
        <v>8172306</v>
      </c>
    </row>
    <row r="1819" spans="1:8" x14ac:dyDescent="0.25">
      <c r="A1819" t="s">
        <v>136</v>
      </c>
      <c r="B1819">
        <v>2008</v>
      </c>
      <c r="C1819" t="s">
        <v>2</v>
      </c>
      <c r="D1819" t="s">
        <v>27</v>
      </c>
      <c r="E1819">
        <v>14</v>
      </c>
      <c r="F1819" s="4" t="s">
        <v>28</v>
      </c>
      <c r="G1819">
        <v>413</v>
      </c>
      <c r="H1819" s="2">
        <v>4483302</v>
      </c>
    </row>
    <row r="1820" spans="1:8" x14ac:dyDescent="0.25">
      <c r="A1820" t="s">
        <v>137</v>
      </c>
      <c r="B1820">
        <v>2008</v>
      </c>
      <c r="C1820" t="s">
        <v>1</v>
      </c>
      <c r="D1820" t="s">
        <v>27</v>
      </c>
      <c r="E1820">
        <v>14</v>
      </c>
      <c r="F1820" s="4" t="s">
        <v>28</v>
      </c>
      <c r="G1820">
        <v>49</v>
      </c>
      <c r="H1820" s="2">
        <v>953869</v>
      </c>
    </row>
    <row r="1821" spans="1:8" x14ac:dyDescent="0.25">
      <c r="A1821" t="s">
        <v>138</v>
      </c>
      <c r="B1821">
        <v>2008</v>
      </c>
      <c r="C1821" t="s">
        <v>0</v>
      </c>
      <c r="D1821" t="s">
        <v>27</v>
      </c>
      <c r="E1821">
        <v>14</v>
      </c>
      <c r="F1821" s="4" t="s">
        <v>28</v>
      </c>
      <c r="G1821">
        <v>17</v>
      </c>
      <c r="H1821" s="2">
        <v>953869</v>
      </c>
    </row>
    <row r="1822" spans="1:8" x14ac:dyDescent="0.25">
      <c r="A1822" t="s">
        <v>139</v>
      </c>
      <c r="B1822">
        <v>2009</v>
      </c>
      <c r="C1822" t="s">
        <v>6</v>
      </c>
      <c r="D1822" t="s">
        <v>27</v>
      </c>
      <c r="E1822">
        <v>14</v>
      </c>
      <c r="F1822" s="4" t="s">
        <v>28</v>
      </c>
      <c r="G1822">
        <v>35</v>
      </c>
      <c r="H1822" s="2">
        <v>2775920</v>
      </c>
    </row>
    <row r="1823" spans="1:8" x14ac:dyDescent="0.25">
      <c r="A1823" t="s">
        <v>140</v>
      </c>
      <c r="B1823">
        <v>2009</v>
      </c>
      <c r="C1823" t="s">
        <v>5</v>
      </c>
      <c r="D1823" t="s">
        <v>27</v>
      </c>
      <c r="E1823">
        <v>14</v>
      </c>
      <c r="F1823" s="4" t="s">
        <v>28</v>
      </c>
      <c r="G1823">
        <v>5</v>
      </c>
      <c r="H1823" s="2">
        <v>5469822</v>
      </c>
    </row>
    <row r="1824" spans="1:8" x14ac:dyDescent="0.25">
      <c r="A1824" t="s">
        <v>141</v>
      </c>
      <c r="B1824">
        <v>2009</v>
      </c>
      <c r="C1824" t="s">
        <v>4</v>
      </c>
      <c r="D1824" t="s">
        <v>27</v>
      </c>
      <c r="E1824">
        <v>14</v>
      </c>
      <c r="F1824" s="4" t="s">
        <v>28</v>
      </c>
      <c r="G1824">
        <v>122</v>
      </c>
      <c r="H1824" s="2">
        <v>5270463</v>
      </c>
    </row>
    <row r="1825" spans="1:8" x14ac:dyDescent="0.25">
      <c r="A1825" t="s">
        <v>142</v>
      </c>
      <c r="B1825">
        <v>2009</v>
      </c>
      <c r="C1825" t="s">
        <v>3</v>
      </c>
      <c r="D1825" t="s">
        <v>27</v>
      </c>
      <c r="E1825">
        <v>14</v>
      </c>
      <c r="F1825" s="4" t="s">
        <v>28</v>
      </c>
      <c r="G1825">
        <v>1054</v>
      </c>
      <c r="H1825" s="2">
        <v>8314639</v>
      </c>
    </row>
    <row r="1826" spans="1:8" x14ac:dyDescent="0.25">
      <c r="A1826" t="s">
        <v>143</v>
      </c>
      <c r="B1826">
        <v>2009</v>
      </c>
      <c r="C1826" t="s">
        <v>2</v>
      </c>
      <c r="D1826" t="s">
        <v>27</v>
      </c>
      <c r="E1826">
        <v>14</v>
      </c>
      <c r="F1826" s="4" t="s">
        <v>28</v>
      </c>
      <c r="G1826">
        <v>467</v>
      </c>
      <c r="H1826" s="2">
        <v>4663733</v>
      </c>
    </row>
    <row r="1827" spans="1:8" x14ac:dyDescent="0.25">
      <c r="A1827" t="s">
        <v>144</v>
      </c>
      <c r="B1827">
        <v>2009</v>
      </c>
      <c r="C1827" t="s">
        <v>1</v>
      </c>
      <c r="D1827" t="s">
        <v>27</v>
      </c>
      <c r="E1827">
        <v>14</v>
      </c>
      <c r="F1827" s="4" t="s">
        <v>28</v>
      </c>
      <c r="G1827">
        <v>37</v>
      </c>
      <c r="H1827" s="2">
        <v>987212</v>
      </c>
    </row>
    <row r="1828" spans="1:8" x14ac:dyDescent="0.25">
      <c r="A1828" t="s">
        <v>145</v>
      </c>
      <c r="B1828">
        <v>2009</v>
      </c>
      <c r="C1828" t="s">
        <v>0</v>
      </c>
      <c r="D1828" t="s">
        <v>27</v>
      </c>
      <c r="E1828">
        <v>14</v>
      </c>
      <c r="F1828" s="4" t="s">
        <v>28</v>
      </c>
      <c r="G1828">
        <v>15</v>
      </c>
      <c r="H1828" s="2">
        <v>987212</v>
      </c>
    </row>
    <row r="1829" spans="1:8" x14ac:dyDescent="0.25">
      <c r="A1829" t="s">
        <v>146</v>
      </c>
      <c r="B1829">
        <v>2010</v>
      </c>
      <c r="C1829" t="s">
        <v>6</v>
      </c>
      <c r="D1829" t="s">
        <v>27</v>
      </c>
      <c r="E1829">
        <v>14</v>
      </c>
      <c r="F1829" s="4" t="s">
        <v>28</v>
      </c>
      <c r="G1829">
        <v>32</v>
      </c>
      <c r="H1829" s="2">
        <v>2771760</v>
      </c>
    </row>
    <row r="1830" spans="1:8" x14ac:dyDescent="0.25">
      <c r="A1830" t="s">
        <v>147</v>
      </c>
      <c r="B1830">
        <v>2010</v>
      </c>
      <c r="C1830" t="s">
        <v>5</v>
      </c>
      <c r="D1830" t="s">
        <v>27</v>
      </c>
      <c r="E1830">
        <v>14</v>
      </c>
      <c r="F1830" s="4" t="s">
        <v>28</v>
      </c>
      <c r="G1830">
        <v>7</v>
      </c>
      <c r="H1830" s="2">
        <v>5492408</v>
      </c>
    </row>
    <row r="1831" spans="1:8" x14ac:dyDescent="0.25">
      <c r="A1831" t="s">
        <v>148</v>
      </c>
      <c r="B1831">
        <v>2010</v>
      </c>
      <c r="C1831" t="s">
        <v>4</v>
      </c>
      <c r="D1831" t="s">
        <v>27</v>
      </c>
      <c r="E1831">
        <v>14</v>
      </c>
      <c r="F1831" s="4" t="s">
        <v>28</v>
      </c>
      <c r="G1831">
        <v>131</v>
      </c>
      <c r="H1831" s="2">
        <v>5286720</v>
      </c>
    </row>
    <row r="1832" spans="1:8" x14ac:dyDescent="0.25">
      <c r="A1832" t="s">
        <v>149</v>
      </c>
      <c r="B1832">
        <v>2010</v>
      </c>
      <c r="C1832" t="s">
        <v>3</v>
      </c>
      <c r="D1832" t="s">
        <v>27</v>
      </c>
      <c r="E1832">
        <v>14</v>
      </c>
      <c r="F1832" s="4" t="s">
        <v>28</v>
      </c>
      <c r="G1832">
        <v>1086</v>
      </c>
      <c r="H1832" s="2">
        <v>8458444</v>
      </c>
    </row>
    <row r="1833" spans="1:8" x14ac:dyDescent="0.25">
      <c r="A1833" t="s">
        <v>150</v>
      </c>
      <c r="B1833">
        <v>2010</v>
      </c>
      <c r="C1833" t="s">
        <v>2</v>
      </c>
      <c r="D1833" t="s">
        <v>27</v>
      </c>
      <c r="E1833">
        <v>14</v>
      </c>
      <c r="F1833" s="4" t="s">
        <v>28</v>
      </c>
      <c r="G1833">
        <v>521</v>
      </c>
      <c r="H1833" s="2">
        <v>4849717</v>
      </c>
    </row>
    <row r="1834" spans="1:8" x14ac:dyDescent="0.25">
      <c r="A1834" t="s">
        <v>151</v>
      </c>
      <c r="B1834">
        <v>2010</v>
      </c>
      <c r="C1834" t="s">
        <v>1</v>
      </c>
      <c r="D1834" t="s">
        <v>27</v>
      </c>
      <c r="E1834">
        <v>14</v>
      </c>
      <c r="F1834" s="4" t="s">
        <v>28</v>
      </c>
      <c r="G1834">
        <v>38</v>
      </c>
      <c r="H1834" s="2">
        <v>1022974</v>
      </c>
    </row>
    <row r="1835" spans="1:8" x14ac:dyDescent="0.25">
      <c r="A1835" t="s">
        <v>152</v>
      </c>
      <c r="B1835">
        <v>2010</v>
      </c>
      <c r="C1835" t="s">
        <v>0</v>
      </c>
      <c r="D1835" t="s">
        <v>27</v>
      </c>
      <c r="E1835">
        <v>14</v>
      </c>
      <c r="F1835" s="4" t="s">
        <v>28</v>
      </c>
      <c r="G1835">
        <v>15</v>
      </c>
      <c r="H1835" s="2">
        <v>1022974</v>
      </c>
    </row>
    <row r="1836" spans="1:8" x14ac:dyDescent="0.25">
      <c r="A1836" t="s">
        <v>153</v>
      </c>
      <c r="B1836">
        <v>2011</v>
      </c>
      <c r="C1836" t="s">
        <v>6</v>
      </c>
      <c r="D1836" t="s">
        <v>27</v>
      </c>
      <c r="E1836">
        <v>14</v>
      </c>
      <c r="F1836" s="4" t="s">
        <v>28</v>
      </c>
      <c r="G1836">
        <v>26</v>
      </c>
      <c r="H1836" s="2">
        <v>2765898</v>
      </c>
    </row>
    <row r="1837" spans="1:8" x14ac:dyDescent="0.25">
      <c r="A1837" t="s">
        <v>154</v>
      </c>
      <c r="B1837">
        <v>2011</v>
      </c>
      <c r="C1837" t="s">
        <v>5</v>
      </c>
      <c r="D1837" t="s">
        <v>27</v>
      </c>
      <c r="E1837">
        <v>14</v>
      </c>
      <c r="F1837" s="4" t="s">
        <v>28</v>
      </c>
      <c r="G1837">
        <v>18</v>
      </c>
      <c r="H1837" s="2">
        <v>5516288</v>
      </c>
    </row>
    <row r="1838" spans="1:8" x14ac:dyDescent="0.25">
      <c r="A1838" t="s">
        <v>155</v>
      </c>
      <c r="B1838">
        <v>2011</v>
      </c>
      <c r="C1838" t="s">
        <v>4</v>
      </c>
      <c r="D1838" t="s">
        <v>27</v>
      </c>
      <c r="E1838">
        <v>14</v>
      </c>
      <c r="F1838" s="4" t="s">
        <v>28</v>
      </c>
      <c r="G1838">
        <v>160</v>
      </c>
      <c r="H1838" s="2">
        <v>5296319</v>
      </c>
    </row>
    <row r="1839" spans="1:8" x14ac:dyDescent="0.25">
      <c r="A1839" t="s">
        <v>156</v>
      </c>
      <c r="B1839">
        <v>2011</v>
      </c>
      <c r="C1839" t="s">
        <v>3</v>
      </c>
      <c r="D1839" t="s">
        <v>27</v>
      </c>
      <c r="E1839">
        <v>14</v>
      </c>
      <c r="F1839" s="4" t="s">
        <v>28</v>
      </c>
      <c r="G1839">
        <v>1295</v>
      </c>
      <c r="H1839" s="2">
        <v>8602515</v>
      </c>
    </row>
    <row r="1840" spans="1:8" x14ac:dyDescent="0.25">
      <c r="A1840" t="s">
        <v>157</v>
      </c>
      <c r="B1840">
        <v>2011</v>
      </c>
      <c r="C1840" t="s">
        <v>2</v>
      </c>
      <c r="D1840" t="s">
        <v>27</v>
      </c>
      <c r="E1840">
        <v>14</v>
      </c>
      <c r="F1840" s="4" t="s">
        <v>28</v>
      </c>
      <c r="G1840">
        <v>589</v>
      </c>
      <c r="H1840" s="2">
        <v>5041154</v>
      </c>
    </row>
    <row r="1841" spans="1:8" x14ac:dyDescent="0.25">
      <c r="A1841" t="s">
        <v>158</v>
      </c>
      <c r="B1841">
        <v>2011</v>
      </c>
      <c r="C1841" t="s">
        <v>1</v>
      </c>
      <c r="D1841" t="s">
        <v>27</v>
      </c>
      <c r="E1841">
        <v>14</v>
      </c>
      <c r="F1841" s="4" t="s">
        <v>28</v>
      </c>
      <c r="G1841">
        <v>62</v>
      </c>
      <c r="H1841" s="2">
        <v>1061340</v>
      </c>
    </row>
    <row r="1842" spans="1:8" x14ac:dyDescent="0.25">
      <c r="A1842" t="s">
        <v>159</v>
      </c>
      <c r="B1842">
        <v>2011</v>
      </c>
      <c r="C1842" t="s">
        <v>0</v>
      </c>
      <c r="D1842" t="s">
        <v>27</v>
      </c>
      <c r="E1842">
        <v>14</v>
      </c>
      <c r="F1842" s="4" t="s">
        <v>28</v>
      </c>
      <c r="G1842">
        <v>16</v>
      </c>
      <c r="H1842" s="2">
        <v>1061340</v>
      </c>
    </row>
    <row r="1843" spans="1:8" x14ac:dyDescent="0.25">
      <c r="A1843" t="s">
        <v>160</v>
      </c>
      <c r="B1843">
        <v>2012</v>
      </c>
      <c r="C1843" t="s">
        <v>6</v>
      </c>
      <c r="D1843" t="s">
        <v>27</v>
      </c>
      <c r="E1843">
        <v>14</v>
      </c>
      <c r="F1843" s="4" t="s">
        <v>28</v>
      </c>
      <c r="G1843">
        <v>34</v>
      </c>
      <c r="H1843" s="2">
        <v>2759356.4495101599</v>
      </c>
    </row>
    <row r="1844" spans="1:8" x14ac:dyDescent="0.25">
      <c r="A1844" t="s">
        <v>161</v>
      </c>
      <c r="B1844">
        <v>2012</v>
      </c>
      <c r="C1844" t="s">
        <v>5</v>
      </c>
      <c r="D1844" t="s">
        <v>27</v>
      </c>
      <c r="E1844">
        <v>14</v>
      </c>
      <c r="F1844" s="4" t="s">
        <v>28</v>
      </c>
      <c r="G1844">
        <v>11</v>
      </c>
      <c r="H1844" s="2">
        <v>5537428.7927720398</v>
      </c>
    </row>
    <row r="1845" spans="1:8" x14ac:dyDescent="0.25">
      <c r="A1845" t="s">
        <v>162</v>
      </c>
      <c r="B1845">
        <v>2012</v>
      </c>
      <c r="C1845" t="s">
        <v>4</v>
      </c>
      <c r="D1845" t="s">
        <v>27</v>
      </c>
      <c r="E1845">
        <v>14</v>
      </c>
      <c r="F1845" s="4" t="s">
        <v>28</v>
      </c>
      <c r="G1845">
        <v>151</v>
      </c>
      <c r="H1845" s="2">
        <v>5307779.7280284902</v>
      </c>
    </row>
    <row r="1846" spans="1:8" x14ac:dyDescent="0.25">
      <c r="A1846" t="s">
        <v>163</v>
      </c>
      <c r="B1846">
        <v>2012</v>
      </c>
      <c r="C1846" t="s">
        <v>3</v>
      </c>
      <c r="D1846" t="s">
        <v>27</v>
      </c>
      <c r="E1846">
        <v>14</v>
      </c>
      <c r="F1846" s="4" t="s">
        <v>28</v>
      </c>
      <c r="G1846">
        <v>1305</v>
      </c>
      <c r="H1846" s="2">
        <v>8748082.6996606905</v>
      </c>
    </row>
    <row r="1847" spans="1:8" x14ac:dyDescent="0.25">
      <c r="A1847" t="s">
        <v>164</v>
      </c>
      <c r="B1847">
        <v>2012</v>
      </c>
      <c r="C1847" t="s">
        <v>2</v>
      </c>
      <c r="D1847" t="s">
        <v>27</v>
      </c>
      <c r="E1847">
        <v>14</v>
      </c>
      <c r="F1847" s="4" t="s">
        <v>28</v>
      </c>
      <c r="G1847">
        <v>579</v>
      </c>
      <c r="H1847" s="2">
        <v>5230482.0778962998</v>
      </c>
    </row>
    <row r="1848" spans="1:8" x14ac:dyDescent="0.25">
      <c r="A1848" t="s">
        <v>165</v>
      </c>
      <c r="B1848">
        <v>2012</v>
      </c>
      <c r="C1848" t="s">
        <v>1</v>
      </c>
      <c r="D1848" t="s">
        <v>27</v>
      </c>
      <c r="E1848">
        <v>14</v>
      </c>
      <c r="F1848" s="4" t="s">
        <v>28</v>
      </c>
      <c r="G1848">
        <v>46</v>
      </c>
      <c r="H1848" s="2">
        <v>1102796.7939262099</v>
      </c>
    </row>
    <row r="1849" spans="1:8" x14ac:dyDescent="0.25">
      <c r="A1849" t="s">
        <v>166</v>
      </c>
      <c r="B1849">
        <v>2012</v>
      </c>
      <c r="C1849" t="s">
        <v>0</v>
      </c>
      <c r="D1849" t="s">
        <v>27</v>
      </c>
      <c r="E1849">
        <v>14</v>
      </c>
      <c r="F1849" s="4" t="s">
        <v>28</v>
      </c>
      <c r="G1849">
        <v>35</v>
      </c>
      <c r="H1849" s="2">
        <v>1102796.7939262099</v>
      </c>
    </row>
    <row r="1850" spans="1:8" x14ac:dyDescent="0.25">
      <c r="A1850" t="s">
        <v>167</v>
      </c>
      <c r="B1850">
        <v>2013</v>
      </c>
      <c r="C1850" t="s">
        <v>6</v>
      </c>
      <c r="D1850" t="s">
        <v>27</v>
      </c>
      <c r="E1850">
        <v>14</v>
      </c>
      <c r="F1850" s="4" t="s">
        <v>28</v>
      </c>
      <c r="G1850">
        <v>31</v>
      </c>
      <c r="H1850" s="2">
        <v>2752322.19750119</v>
      </c>
    </row>
    <row r="1851" spans="1:8" x14ac:dyDescent="0.25">
      <c r="A1851" t="s">
        <v>168</v>
      </c>
      <c r="B1851">
        <v>2013</v>
      </c>
      <c r="C1851" t="s">
        <v>5</v>
      </c>
      <c r="D1851" t="s">
        <v>27</v>
      </c>
      <c r="E1851">
        <v>14</v>
      </c>
      <c r="F1851" s="4" t="s">
        <v>28</v>
      </c>
      <c r="G1851">
        <v>11</v>
      </c>
      <c r="H1851" s="2">
        <v>5554323.1251711203</v>
      </c>
    </row>
    <row r="1852" spans="1:8" x14ac:dyDescent="0.25">
      <c r="A1852" t="s">
        <v>169</v>
      </c>
      <c r="B1852">
        <v>2013</v>
      </c>
      <c r="C1852" t="s">
        <v>4</v>
      </c>
      <c r="D1852" t="s">
        <v>27</v>
      </c>
      <c r="E1852">
        <v>14</v>
      </c>
      <c r="F1852" s="4" t="s">
        <v>28</v>
      </c>
      <c r="G1852">
        <v>147</v>
      </c>
      <c r="H1852" s="2">
        <v>5323364.8480997998</v>
      </c>
    </row>
    <row r="1853" spans="1:8" x14ac:dyDescent="0.25">
      <c r="A1853" t="s">
        <v>170</v>
      </c>
      <c r="B1853">
        <v>2013</v>
      </c>
      <c r="C1853" t="s">
        <v>3</v>
      </c>
      <c r="D1853" t="s">
        <v>27</v>
      </c>
      <c r="E1853">
        <v>14</v>
      </c>
      <c r="F1853" s="4" t="s">
        <v>28</v>
      </c>
      <c r="G1853">
        <v>1165</v>
      </c>
      <c r="H1853" s="2">
        <v>8893718.1904660594</v>
      </c>
    </row>
    <row r="1854" spans="1:8" x14ac:dyDescent="0.25">
      <c r="A1854" t="s">
        <v>171</v>
      </c>
      <c r="B1854">
        <v>2013</v>
      </c>
      <c r="C1854" t="s">
        <v>2</v>
      </c>
      <c r="D1854" t="s">
        <v>27</v>
      </c>
      <c r="E1854">
        <v>14</v>
      </c>
      <c r="F1854" s="4" t="s">
        <v>28</v>
      </c>
      <c r="G1854">
        <v>627</v>
      </c>
      <c r="H1854" s="2">
        <v>5415783.9591287402</v>
      </c>
    </row>
    <row r="1855" spans="1:8" x14ac:dyDescent="0.25">
      <c r="A1855" t="s">
        <v>172</v>
      </c>
      <c r="B1855">
        <v>2013</v>
      </c>
      <c r="C1855" t="s">
        <v>1</v>
      </c>
      <c r="D1855" t="s">
        <v>27</v>
      </c>
      <c r="E1855">
        <v>14</v>
      </c>
      <c r="F1855" s="4" t="s">
        <v>28</v>
      </c>
      <c r="G1855">
        <v>48</v>
      </c>
      <c r="H1855" s="2">
        <v>1147296.6505007599</v>
      </c>
    </row>
    <row r="1856" spans="1:8" x14ac:dyDescent="0.25">
      <c r="A1856" t="s">
        <v>173</v>
      </c>
      <c r="B1856">
        <v>2013</v>
      </c>
      <c r="C1856" t="s">
        <v>0</v>
      </c>
      <c r="D1856" t="s">
        <v>27</v>
      </c>
      <c r="E1856">
        <v>14</v>
      </c>
      <c r="F1856" s="4" t="s">
        <v>28</v>
      </c>
      <c r="G1856">
        <v>25</v>
      </c>
      <c r="H1856" s="2">
        <v>1147296.6505007599</v>
      </c>
    </row>
    <row r="1857" spans="1:8" x14ac:dyDescent="0.25">
      <c r="A1857" t="s">
        <v>174</v>
      </c>
      <c r="B1857">
        <v>2014</v>
      </c>
      <c r="C1857" t="s">
        <v>6</v>
      </c>
      <c r="D1857" t="s">
        <v>27</v>
      </c>
      <c r="E1857">
        <v>14</v>
      </c>
      <c r="F1857" s="4" t="s">
        <v>28</v>
      </c>
      <c r="G1857">
        <v>34</v>
      </c>
      <c r="H1857" s="2">
        <v>2744697</v>
      </c>
    </row>
    <row r="1858" spans="1:8" x14ac:dyDescent="0.25">
      <c r="A1858" t="s">
        <v>175</v>
      </c>
      <c r="B1858">
        <v>2014</v>
      </c>
      <c r="C1858" t="s">
        <v>5</v>
      </c>
      <c r="D1858" t="s">
        <v>27</v>
      </c>
      <c r="E1858">
        <v>14</v>
      </c>
      <c r="F1858" s="4" t="s">
        <v>28</v>
      </c>
      <c r="G1858">
        <v>11</v>
      </c>
      <c r="H1858" s="2">
        <v>5566437</v>
      </c>
    </row>
    <row r="1859" spans="1:8" x14ac:dyDescent="0.25">
      <c r="A1859" t="s">
        <v>176</v>
      </c>
      <c r="B1859">
        <v>2014</v>
      </c>
      <c r="C1859" t="s">
        <v>4</v>
      </c>
      <c r="D1859" t="s">
        <v>27</v>
      </c>
      <c r="E1859">
        <v>14</v>
      </c>
      <c r="F1859" s="4" t="s">
        <v>28</v>
      </c>
      <c r="G1859">
        <v>178</v>
      </c>
      <c r="H1859" s="2">
        <v>5343109</v>
      </c>
    </row>
    <row r="1860" spans="1:8" x14ac:dyDescent="0.25">
      <c r="A1860" t="s">
        <v>177</v>
      </c>
      <c r="B1860">
        <v>2014</v>
      </c>
      <c r="C1860" t="s">
        <v>3</v>
      </c>
      <c r="D1860" t="s">
        <v>27</v>
      </c>
      <c r="E1860">
        <v>14</v>
      </c>
      <c r="F1860" s="4" t="s">
        <v>28</v>
      </c>
      <c r="G1860">
        <v>1287</v>
      </c>
      <c r="H1860" s="2">
        <v>9037113</v>
      </c>
    </row>
    <row r="1861" spans="1:8" x14ac:dyDescent="0.25">
      <c r="A1861" t="s">
        <v>178</v>
      </c>
      <c r="B1861">
        <v>2014</v>
      </c>
      <c r="C1861" t="s">
        <v>2</v>
      </c>
      <c r="D1861" t="s">
        <v>27</v>
      </c>
      <c r="E1861">
        <v>14</v>
      </c>
      <c r="F1861" s="4" t="s">
        <v>28</v>
      </c>
      <c r="G1861">
        <v>646</v>
      </c>
      <c r="H1861" s="2">
        <v>5597164</v>
      </c>
    </row>
    <row r="1862" spans="1:8" x14ac:dyDescent="0.25">
      <c r="A1862" t="s">
        <v>179</v>
      </c>
      <c r="B1862">
        <v>2014</v>
      </c>
      <c r="C1862" t="s">
        <v>1</v>
      </c>
      <c r="D1862" t="s">
        <v>27</v>
      </c>
      <c r="E1862">
        <v>14</v>
      </c>
      <c r="F1862" s="4" t="s">
        <v>28</v>
      </c>
      <c r="G1862">
        <v>41</v>
      </c>
      <c r="H1862" s="2">
        <v>1194627</v>
      </c>
    </row>
    <row r="1863" spans="1:8" x14ac:dyDescent="0.25">
      <c r="A1863" t="s">
        <v>180</v>
      </c>
      <c r="B1863">
        <v>2014</v>
      </c>
      <c r="C1863" t="s">
        <v>0</v>
      </c>
      <c r="D1863" t="s">
        <v>27</v>
      </c>
      <c r="E1863">
        <v>14</v>
      </c>
      <c r="F1863" s="4" t="s">
        <v>28</v>
      </c>
      <c r="G1863">
        <v>21</v>
      </c>
      <c r="H1863" s="2">
        <v>1194627</v>
      </c>
    </row>
    <row r="1864" spans="1:8" x14ac:dyDescent="0.25">
      <c r="A1864" t="s">
        <v>48</v>
      </c>
      <c r="B1864">
        <v>1996</v>
      </c>
      <c r="C1864" t="s">
        <v>6</v>
      </c>
      <c r="D1864" t="s">
        <v>27</v>
      </c>
      <c r="E1864">
        <v>15</v>
      </c>
      <c r="F1864" s="4" t="s">
        <v>10</v>
      </c>
      <c r="G1864">
        <v>29</v>
      </c>
      <c r="H1864" s="2">
        <v>2669011.0638103201</v>
      </c>
    </row>
    <row r="1865" spans="1:8" x14ac:dyDescent="0.25">
      <c r="A1865" t="s">
        <v>49</v>
      </c>
      <c r="B1865">
        <v>1996</v>
      </c>
      <c r="C1865" t="s">
        <v>5</v>
      </c>
      <c r="D1865" t="s">
        <v>27</v>
      </c>
      <c r="E1865">
        <v>15</v>
      </c>
      <c r="F1865" s="4" t="s">
        <v>10</v>
      </c>
      <c r="G1865">
        <v>34</v>
      </c>
      <c r="H1865" s="2">
        <v>5336689.2615659405</v>
      </c>
    </row>
    <row r="1866" spans="1:8" x14ac:dyDescent="0.25">
      <c r="A1866" t="s">
        <v>50</v>
      </c>
      <c r="B1866">
        <v>1996</v>
      </c>
      <c r="C1866" t="s">
        <v>4</v>
      </c>
      <c r="D1866" t="s">
        <v>27</v>
      </c>
      <c r="E1866">
        <v>15</v>
      </c>
      <c r="F1866" s="4" t="s">
        <v>10</v>
      </c>
      <c r="G1866">
        <v>27</v>
      </c>
      <c r="H1866" s="2">
        <v>4328734.7335640304</v>
      </c>
    </row>
    <row r="1867" spans="1:8" x14ac:dyDescent="0.25">
      <c r="A1867" t="s">
        <v>51</v>
      </c>
      <c r="B1867">
        <v>1996</v>
      </c>
      <c r="C1867" t="s">
        <v>3</v>
      </c>
      <c r="D1867" t="s">
        <v>27</v>
      </c>
      <c r="E1867">
        <v>15</v>
      </c>
      <c r="F1867" s="4" t="s">
        <v>10</v>
      </c>
      <c r="G1867">
        <v>111</v>
      </c>
      <c r="H1867" s="2">
        <v>6500086.9398599695</v>
      </c>
    </row>
    <row r="1868" spans="1:8" x14ac:dyDescent="0.25">
      <c r="A1868" t="s">
        <v>52</v>
      </c>
      <c r="B1868">
        <v>1996</v>
      </c>
      <c r="C1868" t="s">
        <v>2</v>
      </c>
      <c r="D1868" t="s">
        <v>27</v>
      </c>
      <c r="E1868">
        <v>15</v>
      </c>
      <c r="F1868" s="4" t="s">
        <v>10</v>
      </c>
      <c r="G1868">
        <v>206</v>
      </c>
      <c r="H1868" s="2">
        <v>2862216.4853526298</v>
      </c>
    </row>
    <row r="1869" spans="1:8" x14ac:dyDescent="0.25">
      <c r="A1869" t="s">
        <v>53</v>
      </c>
      <c r="B1869">
        <v>1996</v>
      </c>
      <c r="C1869" t="s">
        <v>1</v>
      </c>
      <c r="D1869" t="s">
        <v>27</v>
      </c>
      <c r="E1869">
        <v>15</v>
      </c>
      <c r="F1869" s="4" t="s">
        <v>10</v>
      </c>
      <c r="G1869">
        <v>161</v>
      </c>
      <c r="H1869" s="2">
        <v>710343.28776711202</v>
      </c>
    </row>
    <row r="1870" spans="1:8" x14ac:dyDescent="0.25">
      <c r="A1870" t="s">
        <v>54</v>
      </c>
      <c r="B1870">
        <v>1996</v>
      </c>
      <c r="C1870" t="s">
        <v>0</v>
      </c>
      <c r="D1870" t="s">
        <v>27</v>
      </c>
      <c r="E1870">
        <v>15</v>
      </c>
      <c r="F1870" s="4" t="s">
        <v>10</v>
      </c>
      <c r="G1870">
        <v>178</v>
      </c>
      <c r="H1870" s="2">
        <v>710343.28776711202</v>
      </c>
    </row>
    <row r="1871" spans="1:8" x14ac:dyDescent="0.25">
      <c r="A1871" t="s">
        <v>55</v>
      </c>
      <c r="B1871">
        <v>1997</v>
      </c>
      <c r="C1871" t="s">
        <v>6</v>
      </c>
      <c r="D1871" t="s">
        <v>27</v>
      </c>
      <c r="E1871">
        <v>15</v>
      </c>
      <c r="F1871" s="4" t="s">
        <v>10</v>
      </c>
      <c r="G1871">
        <v>32</v>
      </c>
      <c r="H1871" s="2">
        <v>2689637.03828619</v>
      </c>
    </row>
    <row r="1872" spans="1:8" x14ac:dyDescent="0.25">
      <c r="A1872" t="s">
        <v>56</v>
      </c>
      <c r="B1872">
        <v>1997</v>
      </c>
      <c r="C1872" t="s">
        <v>5</v>
      </c>
      <c r="D1872" t="s">
        <v>27</v>
      </c>
      <c r="E1872">
        <v>15</v>
      </c>
      <c r="F1872" s="4" t="s">
        <v>10</v>
      </c>
      <c r="G1872">
        <v>33</v>
      </c>
      <c r="H1872" s="2">
        <v>5352218.1569395596</v>
      </c>
    </row>
    <row r="1873" spans="1:8" x14ac:dyDescent="0.25">
      <c r="A1873" t="s">
        <v>57</v>
      </c>
      <c r="B1873">
        <v>1997</v>
      </c>
      <c r="C1873" t="s">
        <v>4</v>
      </c>
      <c r="D1873" t="s">
        <v>27</v>
      </c>
      <c r="E1873">
        <v>15</v>
      </c>
      <c r="F1873" s="4" t="s">
        <v>10</v>
      </c>
      <c r="G1873">
        <v>31</v>
      </c>
      <c r="H1873" s="2">
        <v>4441903.2401384199</v>
      </c>
    </row>
    <row r="1874" spans="1:8" x14ac:dyDescent="0.25">
      <c r="A1874" t="s">
        <v>58</v>
      </c>
      <c r="B1874">
        <v>1997</v>
      </c>
      <c r="C1874" t="s">
        <v>3</v>
      </c>
      <c r="D1874" t="s">
        <v>27</v>
      </c>
      <c r="E1874">
        <v>15</v>
      </c>
      <c r="F1874" s="4" t="s">
        <v>10</v>
      </c>
      <c r="G1874">
        <v>116</v>
      </c>
      <c r="H1874" s="2">
        <v>6652916.9639159804</v>
      </c>
    </row>
    <row r="1875" spans="1:8" x14ac:dyDescent="0.25">
      <c r="A1875" t="s">
        <v>59</v>
      </c>
      <c r="B1875">
        <v>1997</v>
      </c>
      <c r="C1875" t="s">
        <v>2</v>
      </c>
      <c r="D1875" t="s">
        <v>27</v>
      </c>
      <c r="E1875">
        <v>15</v>
      </c>
      <c r="F1875" s="4" t="s">
        <v>10</v>
      </c>
      <c r="G1875">
        <v>234</v>
      </c>
      <c r="H1875" s="2">
        <v>2950439.89121158</v>
      </c>
    </row>
    <row r="1876" spans="1:8" x14ac:dyDescent="0.25">
      <c r="A1876" t="s">
        <v>60</v>
      </c>
      <c r="B1876">
        <v>1997</v>
      </c>
      <c r="C1876" t="s">
        <v>1</v>
      </c>
      <c r="D1876" t="s">
        <v>27</v>
      </c>
      <c r="E1876">
        <v>15</v>
      </c>
      <c r="F1876" s="4" t="s">
        <v>10</v>
      </c>
      <c r="G1876">
        <v>163</v>
      </c>
      <c r="H1876" s="2">
        <v>717390.37266026705</v>
      </c>
    </row>
    <row r="1877" spans="1:8" x14ac:dyDescent="0.25">
      <c r="A1877" t="s">
        <v>61</v>
      </c>
      <c r="B1877">
        <v>1997</v>
      </c>
      <c r="C1877" t="s">
        <v>0</v>
      </c>
      <c r="D1877" t="s">
        <v>27</v>
      </c>
      <c r="E1877">
        <v>15</v>
      </c>
      <c r="F1877" s="4" t="s">
        <v>10</v>
      </c>
      <c r="G1877">
        <v>167</v>
      </c>
      <c r="H1877" s="2">
        <v>717390.37266026705</v>
      </c>
    </row>
    <row r="1878" spans="1:8" x14ac:dyDescent="0.25">
      <c r="A1878" t="s">
        <v>62</v>
      </c>
      <c r="B1878">
        <v>1998</v>
      </c>
      <c r="C1878" t="s">
        <v>6</v>
      </c>
      <c r="D1878" t="s">
        <v>27</v>
      </c>
      <c r="E1878">
        <v>15</v>
      </c>
      <c r="F1878" s="4" t="s">
        <v>10</v>
      </c>
      <c r="G1878">
        <v>34</v>
      </c>
      <c r="H1878" s="2">
        <v>2707580.5191430999</v>
      </c>
    </row>
    <row r="1879" spans="1:8" x14ac:dyDescent="0.25">
      <c r="A1879" t="s">
        <v>63</v>
      </c>
      <c r="B1879">
        <v>1998</v>
      </c>
      <c r="C1879" t="s">
        <v>5</v>
      </c>
      <c r="D1879" t="s">
        <v>27</v>
      </c>
      <c r="E1879">
        <v>15</v>
      </c>
      <c r="F1879" s="4" t="s">
        <v>10</v>
      </c>
      <c r="G1879">
        <v>38</v>
      </c>
      <c r="H1879" s="2">
        <v>5360232.5784697803</v>
      </c>
    </row>
    <row r="1880" spans="1:8" x14ac:dyDescent="0.25">
      <c r="A1880" t="s">
        <v>64</v>
      </c>
      <c r="B1880">
        <v>1998</v>
      </c>
      <c r="C1880" t="s">
        <v>4</v>
      </c>
      <c r="D1880" t="s">
        <v>27</v>
      </c>
      <c r="E1880">
        <v>15</v>
      </c>
      <c r="F1880" s="4" t="s">
        <v>10</v>
      </c>
      <c r="G1880">
        <v>42</v>
      </c>
      <c r="H1880" s="2">
        <v>4551586.6200692104</v>
      </c>
    </row>
    <row r="1881" spans="1:8" x14ac:dyDescent="0.25">
      <c r="A1881" t="s">
        <v>65</v>
      </c>
      <c r="B1881">
        <v>1998</v>
      </c>
      <c r="C1881" t="s">
        <v>3</v>
      </c>
      <c r="D1881" t="s">
        <v>27</v>
      </c>
      <c r="E1881">
        <v>15</v>
      </c>
      <c r="F1881" s="4" t="s">
        <v>10</v>
      </c>
      <c r="G1881">
        <v>122</v>
      </c>
      <c r="H1881" s="2">
        <v>6800752.4819579897</v>
      </c>
    </row>
    <row r="1882" spans="1:8" x14ac:dyDescent="0.25">
      <c r="A1882" t="s">
        <v>66</v>
      </c>
      <c r="B1882">
        <v>1998</v>
      </c>
      <c r="C1882" t="s">
        <v>2</v>
      </c>
      <c r="D1882" t="s">
        <v>27</v>
      </c>
      <c r="E1882">
        <v>15</v>
      </c>
      <c r="F1882" s="4" t="s">
        <v>10</v>
      </c>
      <c r="G1882">
        <v>234</v>
      </c>
      <c r="H1882" s="2">
        <v>3048176.4456057898</v>
      </c>
    </row>
    <row r="1883" spans="1:8" x14ac:dyDescent="0.25">
      <c r="A1883" t="s">
        <v>67</v>
      </c>
      <c r="B1883">
        <v>1998</v>
      </c>
      <c r="C1883" t="s">
        <v>1</v>
      </c>
      <c r="D1883" t="s">
        <v>27</v>
      </c>
      <c r="E1883">
        <v>15</v>
      </c>
      <c r="F1883" s="4" t="s">
        <v>10</v>
      </c>
      <c r="G1883">
        <v>196</v>
      </c>
      <c r="H1883" s="2">
        <v>727932.186330133</v>
      </c>
    </row>
    <row r="1884" spans="1:8" x14ac:dyDescent="0.25">
      <c r="A1884" t="s">
        <v>68</v>
      </c>
      <c r="B1884">
        <v>1998</v>
      </c>
      <c r="C1884" t="s">
        <v>0</v>
      </c>
      <c r="D1884" t="s">
        <v>27</v>
      </c>
      <c r="E1884">
        <v>15</v>
      </c>
      <c r="F1884" s="4" t="s">
        <v>10</v>
      </c>
      <c r="G1884">
        <v>211</v>
      </c>
      <c r="H1884" s="2">
        <v>727932.186330133</v>
      </c>
    </row>
    <row r="1885" spans="1:8" x14ac:dyDescent="0.25">
      <c r="A1885" t="s">
        <v>69</v>
      </c>
      <c r="B1885">
        <v>1999</v>
      </c>
      <c r="C1885" t="s">
        <v>6</v>
      </c>
      <c r="D1885" t="s">
        <v>27</v>
      </c>
      <c r="E1885">
        <v>15</v>
      </c>
      <c r="F1885" s="4" t="s">
        <v>10</v>
      </c>
      <c r="G1885">
        <v>36</v>
      </c>
      <c r="H1885" s="2">
        <v>2723058.5063810302</v>
      </c>
    </row>
    <row r="1886" spans="1:8" x14ac:dyDescent="0.25">
      <c r="A1886" t="s">
        <v>70</v>
      </c>
      <c r="B1886">
        <v>1999</v>
      </c>
      <c r="C1886" t="s">
        <v>5</v>
      </c>
      <c r="D1886" t="s">
        <v>27</v>
      </c>
      <c r="E1886">
        <v>15</v>
      </c>
      <c r="F1886" s="4" t="s">
        <v>10</v>
      </c>
      <c r="G1886">
        <v>32</v>
      </c>
      <c r="H1886" s="2">
        <v>5362927.5261565903</v>
      </c>
    </row>
    <row r="1887" spans="1:8" x14ac:dyDescent="0.25">
      <c r="A1887" t="s">
        <v>71</v>
      </c>
      <c r="B1887">
        <v>1999</v>
      </c>
      <c r="C1887" t="s">
        <v>4</v>
      </c>
      <c r="D1887" t="s">
        <v>27</v>
      </c>
      <c r="E1887">
        <v>15</v>
      </c>
      <c r="F1887" s="4" t="s">
        <v>10</v>
      </c>
      <c r="G1887">
        <v>32</v>
      </c>
      <c r="H1887" s="2">
        <v>4656740.8733564001</v>
      </c>
    </row>
    <row r="1888" spans="1:8" x14ac:dyDescent="0.25">
      <c r="A1888" t="s">
        <v>72</v>
      </c>
      <c r="B1888">
        <v>1999</v>
      </c>
      <c r="C1888" t="s">
        <v>3</v>
      </c>
      <c r="D1888" t="s">
        <v>27</v>
      </c>
      <c r="E1888">
        <v>15</v>
      </c>
      <c r="F1888" s="4" t="s">
        <v>10</v>
      </c>
      <c r="G1888">
        <v>115</v>
      </c>
      <c r="H1888" s="2">
        <v>6944474.4939860003</v>
      </c>
    </row>
    <row r="1889" spans="1:8" x14ac:dyDescent="0.25">
      <c r="A1889" t="s">
        <v>73</v>
      </c>
      <c r="B1889">
        <v>1999</v>
      </c>
      <c r="C1889" t="s">
        <v>2</v>
      </c>
      <c r="D1889" t="s">
        <v>27</v>
      </c>
      <c r="E1889">
        <v>15</v>
      </c>
      <c r="F1889" s="4" t="s">
        <v>10</v>
      </c>
      <c r="G1889">
        <v>269</v>
      </c>
      <c r="H1889" s="2">
        <v>3155060.14853526</v>
      </c>
    </row>
    <row r="1890" spans="1:8" x14ac:dyDescent="0.25">
      <c r="A1890" t="s">
        <v>74</v>
      </c>
      <c r="B1890">
        <v>1999</v>
      </c>
      <c r="C1890" t="s">
        <v>1</v>
      </c>
      <c r="D1890" t="s">
        <v>27</v>
      </c>
      <c r="E1890">
        <v>15</v>
      </c>
      <c r="F1890" s="4" t="s">
        <v>10</v>
      </c>
      <c r="G1890">
        <v>181</v>
      </c>
      <c r="H1890" s="2">
        <v>741553.72877671104</v>
      </c>
    </row>
    <row r="1891" spans="1:8" x14ac:dyDescent="0.25">
      <c r="A1891" t="s">
        <v>75</v>
      </c>
      <c r="B1891">
        <v>1999</v>
      </c>
      <c r="C1891" t="s">
        <v>0</v>
      </c>
      <c r="D1891" t="s">
        <v>27</v>
      </c>
      <c r="E1891">
        <v>15</v>
      </c>
      <c r="F1891" s="4" t="s">
        <v>10</v>
      </c>
      <c r="G1891">
        <v>214</v>
      </c>
      <c r="H1891" s="2">
        <v>741553.72877671104</v>
      </c>
    </row>
    <row r="1892" spans="1:8" x14ac:dyDescent="0.25">
      <c r="A1892" t="s">
        <v>76</v>
      </c>
      <c r="B1892">
        <v>2000</v>
      </c>
      <c r="C1892" t="s">
        <v>6</v>
      </c>
      <c r="D1892" t="s">
        <v>27</v>
      </c>
      <c r="E1892">
        <v>15</v>
      </c>
      <c r="F1892" s="4" t="s">
        <v>10</v>
      </c>
      <c r="G1892">
        <v>37</v>
      </c>
      <c r="H1892" s="2">
        <v>2736288</v>
      </c>
    </row>
    <row r="1893" spans="1:8" x14ac:dyDescent="0.25">
      <c r="A1893" t="s">
        <v>77</v>
      </c>
      <c r="B1893">
        <v>2000</v>
      </c>
      <c r="C1893" t="s">
        <v>5</v>
      </c>
      <c r="D1893" t="s">
        <v>27</v>
      </c>
      <c r="E1893">
        <v>15</v>
      </c>
      <c r="F1893" s="4" t="s">
        <v>10</v>
      </c>
      <c r="G1893">
        <v>42</v>
      </c>
      <c r="H1893" s="2">
        <v>5362498</v>
      </c>
    </row>
    <row r="1894" spans="1:8" x14ac:dyDescent="0.25">
      <c r="A1894" t="s">
        <v>78</v>
      </c>
      <c r="B1894">
        <v>2000</v>
      </c>
      <c r="C1894" t="s">
        <v>4</v>
      </c>
      <c r="D1894" t="s">
        <v>27</v>
      </c>
      <c r="E1894">
        <v>15</v>
      </c>
      <c r="F1894" s="4" t="s">
        <v>10</v>
      </c>
      <c r="G1894">
        <v>44</v>
      </c>
      <c r="H1894" s="2">
        <v>4756322</v>
      </c>
    </row>
    <row r="1895" spans="1:8" x14ac:dyDescent="0.25">
      <c r="A1895" t="s">
        <v>79</v>
      </c>
      <c r="B1895">
        <v>2000</v>
      </c>
      <c r="C1895" t="s">
        <v>3</v>
      </c>
      <c r="D1895" t="s">
        <v>27</v>
      </c>
      <c r="E1895">
        <v>15</v>
      </c>
      <c r="F1895" s="4" t="s">
        <v>10</v>
      </c>
      <c r="G1895">
        <v>124</v>
      </c>
      <c r="H1895" s="2">
        <v>7084964</v>
      </c>
    </row>
    <row r="1896" spans="1:8" x14ac:dyDescent="0.25">
      <c r="A1896" t="s">
        <v>80</v>
      </c>
      <c r="B1896">
        <v>2000</v>
      </c>
      <c r="C1896" t="s">
        <v>2</v>
      </c>
      <c r="D1896" t="s">
        <v>27</v>
      </c>
      <c r="E1896">
        <v>15</v>
      </c>
      <c r="F1896" s="4" t="s">
        <v>10</v>
      </c>
      <c r="G1896">
        <v>264</v>
      </c>
      <c r="H1896" s="2">
        <v>3270725</v>
      </c>
    </row>
    <row r="1897" spans="1:8" x14ac:dyDescent="0.25">
      <c r="A1897" t="s">
        <v>81</v>
      </c>
      <c r="B1897">
        <v>2000</v>
      </c>
      <c r="C1897" t="s">
        <v>1</v>
      </c>
      <c r="D1897" t="s">
        <v>27</v>
      </c>
      <c r="E1897">
        <v>15</v>
      </c>
      <c r="F1897" s="4" t="s">
        <v>10</v>
      </c>
      <c r="G1897">
        <v>222</v>
      </c>
      <c r="H1897" s="2">
        <v>757840</v>
      </c>
    </row>
    <row r="1898" spans="1:8" x14ac:dyDescent="0.25">
      <c r="A1898" t="s">
        <v>82</v>
      </c>
      <c r="B1898">
        <v>2000</v>
      </c>
      <c r="C1898" t="s">
        <v>0</v>
      </c>
      <c r="D1898" t="s">
        <v>27</v>
      </c>
      <c r="E1898">
        <v>15</v>
      </c>
      <c r="F1898" s="4" t="s">
        <v>10</v>
      </c>
      <c r="G1898">
        <v>266</v>
      </c>
      <c r="H1898" s="2">
        <v>757840</v>
      </c>
    </row>
    <row r="1899" spans="1:8" x14ac:dyDescent="0.25">
      <c r="A1899" t="s">
        <v>83</v>
      </c>
      <c r="B1899">
        <v>2001</v>
      </c>
      <c r="C1899" t="s">
        <v>6</v>
      </c>
      <c r="D1899" t="s">
        <v>27</v>
      </c>
      <c r="E1899">
        <v>15</v>
      </c>
      <c r="F1899" s="4" t="s">
        <v>10</v>
      </c>
      <c r="G1899">
        <v>26</v>
      </c>
      <c r="H1899" s="2">
        <v>2747486</v>
      </c>
    </row>
    <row r="1900" spans="1:8" x14ac:dyDescent="0.25">
      <c r="A1900" t="s">
        <v>84</v>
      </c>
      <c r="B1900">
        <v>2001</v>
      </c>
      <c r="C1900" t="s">
        <v>5</v>
      </c>
      <c r="D1900" t="s">
        <v>27</v>
      </c>
      <c r="E1900">
        <v>15</v>
      </c>
      <c r="F1900" s="4" t="s">
        <v>10</v>
      </c>
      <c r="G1900">
        <v>53</v>
      </c>
      <c r="H1900" s="2">
        <v>5361139</v>
      </c>
    </row>
    <row r="1901" spans="1:8" x14ac:dyDescent="0.25">
      <c r="A1901" t="s">
        <v>85</v>
      </c>
      <c r="B1901">
        <v>2001</v>
      </c>
      <c r="C1901" t="s">
        <v>4</v>
      </c>
      <c r="D1901" t="s">
        <v>27</v>
      </c>
      <c r="E1901">
        <v>15</v>
      </c>
      <c r="F1901" s="4" t="s">
        <v>10</v>
      </c>
      <c r="G1901">
        <v>38</v>
      </c>
      <c r="H1901" s="2">
        <v>4849286</v>
      </c>
    </row>
    <row r="1902" spans="1:8" x14ac:dyDescent="0.25">
      <c r="A1902" t="s">
        <v>86</v>
      </c>
      <c r="B1902">
        <v>2001</v>
      </c>
      <c r="C1902" t="s">
        <v>3</v>
      </c>
      <c r="D1902" t="s">
        <v>27</v>
      </c>
      <c r="E1902">
        <v>15</v>
      </c>
      <c r="F1902" s="4" t="s">
        <v>10</v>
      </c>
      <c r="G1902">
        <v>153</v>
      </c>
      <c r="H1902" s="2">
        <v>7223102</v>
      </c>
    </row>
    <row r="1903" spans="1:8" x14ac:dyDescent="0.25">
      <c r="A1903" t="s">
        <v>87</v>
      </c>
      <c r="B1903">
        <v>2001</v>
      </c>
      <c r="C1903" t="s">
        <v>2</v>
      </c>
      <c r="D1903" t="s">
        <v>27</v>
      </c>
      <c r="E1903">
        <v>15</v>
      </c>
      <c r="F1903" s="4" t="s">
        <v>10</v>
      </c>
      <c r="G1903">
        <v>341</v>
      </c>
      <c r="H1903" s="2">
        <v>3394805</v>
      </c>
    </row>
    <row r="1904" spans="1:8" x14ac:dyDescent="0.25">
      <c r="A1904" t="s">
        <v>88</v>
      </c>
      <c r="B1904">
        <v>2001</v>
      </c>
      <c r="C1904" t="s">
        <v>1</v>
      </c>
      <c r="D1904" t="s">
        <v>27</v>
      </c>
      <c r="E1904">
        <v>15</v>
      </c>
      <c r="F1904" s="4" t="s">
        <v>10</v>
      </c>
      <c r="G1904">
        <v>227</v>
      </c>
      <c r="H1904" s="2">
        <v>776376</v>
      </c>
    </row>
    <row r="1905" spans="1:8" x14ac:dyDescent="0.25">
      <c r="A1905" t="s">
        <v>89</v>
      </c>
      <c r="B1905">
        <v>2001</v>
      </c>
      <c r="C1905" t="s">
        <v>0</v>
      </c>
      <c r="D1905" t="s">
        <v>27</v>
      </c>
      <c r="E1905">
        <v>15</v>
      </c>
      <c r="F1905" s="4" t="s">
        <v>10</v>
      </c>
      <c r="G1905">
        <v>276</v>
      </c>
      <c r="H1905" s="2">
        <v>776376</v>
      </c>
    </row>
    <row r="1906" spans="1:8" x14ac:dyDescent="0.25">
      <c r="A1906" t="s">
        <v>90</v>
      </c>
      <c r="B1906">
        <v>2002</v>
      </c>
      <c r="C1906" t="s">
        <v>6</v>
      </c>
      <c r="D1906" t="s">
        <v>27</v>
      </c>
      <c r="E1906">
        <v>15</v>
      </c>
      <c r="F1906" s="4" t="s">
        <v>10</v>
      </c>
      <c r="G1906">
        <v>34</v>
      </c>
      <c r="H1906" s="2">
        <v>2756879</v>
      </c>
    </row>
    <row r="1907" spans="1:8" x14ac:dyDescent="0.25">
      <c r="A1907" t="s">
        <v>91</v>
      </c>
      <c r="B1907">
        <v>2002</v>
      </c>
      <c r="C1907" t="s">
        <v>5</v>
      </c>
      <c r="D1907" t="s">
        <v>27</v>
      </c>
      <c r="E1907">
        <v>15</v>
      </c>
      <c r="F1907" s="4" t="s">
        <v>10</v>
      </c>
      <c r="G1907">
        <v>54</v>
      </c>
      <c r="H1907" s="2">
        <v>5361107</v>
      </c>
    </row>
    <row r="1908" spans="1:8" x14ac:dyDescent="0.25">
      <c r="A1908" t="s">
        <v>92</v>
      </c>
      <c r="B1908">
        <v>2002</v>
      </c>
      <c r="C1908" t="s">
        <v>4</v>
      </c>
      <c r="D1908" t="s">
        <v>27</v>
      </c>
      <c r="E1908">
        <v>15</v>
      </c>
      <c r="F1908" s="4" t="s">
        <v>10</v>
      </c>
      <c r="G1908">
        <v>40</v>
      </c>
      <c r="H1908" s="2">
        <v>4934568</v>
      </c>
    </row>
    <row r="1909" spans="1:8" x14ac:dyDescent="0.25">
      <c r="A1909" t="s">
        <v>93</v>
      </c>
      <c r="B1909">
        <v>2002</v>
      </c>
      <c r="C1909" t="s">
        <v>3</v>
      </c>
      <c r="D1909" t="s">
        <v>27</v>
      </c>
      <c r="E1909">
        <v>15</v>
      </c>
      <c r="F1909" s="4" t="s">
        <v>10</v>
      </c>
      <c r="G1909">
        <v>151</v>
      </c>
      <c r="H1909" s="2">
        <v>7359839</v>
      </c>
    </row>
    <row r="1910" spans="1:8" x14ac:dyDescent="0.25">
      <c r="A1910" t="s">
        <v>94</v>
      </c>
      <c r="B1910">
        <v>2002</v>
      </c>
      <c r="C1910" t="s">
        <v>2</v>
      </c>
      <c r="D1910" t="s">
        <v>27</v>
      </c>
      <c r="E1910">
        <v>15</v>
      </c>
      <c r="F1910" s="4" t="s">
        <v>10</v>
      </c>
      <c r="G1910">
        <v>315</v>
      </c>
      <c r="H1910" s="2">
        <v>3526909</v>
      </c>
    </row>
    <row r="1911" spans="1:8" x14ac:dyDescent="0.25">
      <c r="A1911" t="s">
        <v>95</v>
      </c>
      <c r="B1911">
        <v>2002</v>
      </c>
      <c r="C1911" t="s">
        <v>1</v>
      </c>
      <c r="D1911" t="s">
        <v>27</v>
      </c>
      <c r="E1911">
        <v>15</v>
      </c>
      <c r="F1911" s="4" t="s">
        <v>10</v>
      </c>
      <c r="G1911">
        <v>207</v>
      </c>
      <c r="H1911" s="2">
        <v>796712</v>
      </c>
    </row>
    <row r="1912" spans="1:8" x14ac:dyDescent="0.25">
      <c r="A1912" t="s">
        <v>96</v>
      </c>
      <c r="B1912">
        <v>2002</v>
      </c>
      <c r="C1912" t="s">
        <v>0</v>
      </c>
      <c r="D1912" t="s">
        <v>27</v>
      </c>
      <c r="E1912">
        <v>15</v>
      </c>
      <c r="F1912" s="4" t="s">
        <v>10</v>
      </c>
      <c r="G1912">
        <v>258</v>
      </c>
      <c r="H1912" s="2">
        <v>796712</v>
      </c>
    </row>
    <row r="1913" spans="1:8" x14ac:dyDescent="0.25">
      <c r="A1913" t="s">
        <v>97</v>
      </c>
      <c r="B1913">
        <v>2003</v>
      </c>
      <c r="C1913" t="s">
        <v>6</v>
      </c>
      <c r="D1913" t="s">
        <v>27</v>
      </c>
      <c r="E1913">
        <v>15</v>
      </c>
      <c r="F1913" s="4" t="s">
        <v>10</v>
      </c>
      <c r="G1913">
        <v>30</v>
      </c>
      <c r="H1913" s="2">
        <v>2764684</v>
      </c>
    </row>
    <row r="1914" spans="1:8" x14ac:dyDescent="0.25">
      <c r="A1914" t="s">
        <v>98</v>
      </c>
      <c r="B1914">
        <v>2003</v>
      </c>
      <c r="C1914" t="s">
        <v>5</v>
      </c>
      <c r="D1914" t="s">
        <v>27</v>
      </c>
      <c r="E1914">
        <v>15</v>
      </c>
      <c r="F1914" s="4" t="s">
        <v>10</v>
      </c>
      <c r="G1914">
        <v>48</v>
      </c>
      <c r="H1914" s="2">
        <v>5364597</v>
      </c>
    </row>
    <row r="1915" spans="1:8" x14ac:dyDescent="0.25">
      <c r="A1915" t="s">
        <v>99</v>
      </c>
      <c r="B1915">
        <v>2003</v>
      </c>
      <c r="C1915" t="s">
        <v>4</v>
      </c>
      <c r="D1915" t="s">
        <v>27</v>
      </c>
      <c r="E1915">
        <v>15</v>
      </c>
      <c r="F1915" s="4" t="s">
        <v>10</v>
      </c>
      <c r="G1915">
        <v>28</v>
      </c>
      <c r="H1915" s="2">
        <v>5011124</v>
      </c>
    </row>
    <row r="1916" spans="1:8" x14ac:dyDescent="0.25">
      <c r="A1916" t="s">
        <v>100</v>
      </c>
      <c r="B1916">
        <v>2003</v>
      </c>
      <c r="C1916" t="s">
        <v>3</v>
      </c>
      <c r="D1916" t="s">
        <v>27</v>
      </c>
      <c r="E1916">
        <v>15</v>
      </c>
      <c r="F1916" s="4" t="s">
        <v>10</v>
      </c>
      <c r="G1916">
        <v>175</v>
      </c>
      <c r="H1916" s="2">
        <v>7496056</v>
      </c>
    </row>
    <row r="1917" spans="1:8" x14ac:dyDescent="0.25">
      <c r="A1917" t="s">
        <v>101</v>
      </c>
      <c r="B1917">
        <v>2003</v>
      </c>
      <c r="C1917" t="s">
        <v>2</v>
      </c>
      <c r="D1917" t="s">
        <v>27</v>
      </c>
      <c r="E1917">
        <v>15</v>
      </c>
      <c r="F1917" s="4" t="s">
        <v>10</v>
      </c>
      <c r="G1917">
        <v>343</v>
      </c>
      <c r="H1917" s="2">
        <v>3666671</v>
      </c>
    </row>
    <row r="1918" spans="1:8" x14ac:dyDescent="0.25">
      <c r="A1918" t="s">
        <v>102</v>
      </c>
      <c r="B1918">
        <v>2003</v>
      </c>
      <c r="C1918" t="s">
        <v>1</v>
      </c>
      <c r="D1918" t="s">
        <v>27</v>
      </c>
      <c r="E1918">
        <v>15</v>
      </c>
      <c r="F1918" s="4" t="s">
        <v>10</v>
      </c>
      <c r="G1918">
        <v>239</v>
      </c>
      <c r="H1918" s="2">
        <v>818433</v>
      </c>
    </row>
    <row r="1919" spans="1:8" x14ac:dyDescent="0.25">
      <c r="A1919" t="s">
        <v>103</v>
      </c>
      <c r="B1919">
        <v>2003</v>
      </c>
      <c r="C1919" t="s">
        <v>0</v>
      </c>
      <c r="D1919" t="s">
        <v>27</v>
      </c>
      <c r="E1919">
        <v>15</v>
      </c>
      <c r="F1919" s="4" t="s">
        <v>10</v>
      </c>
      <c r="G1919">
        <v>288</v>
      </c>
      <c r="H1919" s="2">
        <v>818433</v>
      </c>
    </row>
    <row r="1920" spans="1:8" x14ac:dyDescent="0.25">
      <c r="A1920" t="s">
        <v>104</v>
      </c>
      <c r="B1920">
        <v>2004</v>
      </c>
      <c r="C1920" t="s">
        <v>6</v>
      </c>
      <c r="D1920" t="s">
        <v>27</v>
      </c>
      <c r="E1920">
        <v>15</v>
      </c>
      <c r="F1920" s="4" t="s">
        <v>10</v>
      </c>
      <c r="G1920">
        <v>33</v>
      </c>
      <c r="H1920" s="2">
        <v>2770821</v>
      </c>
    </row>
    <row r="1921" spans="1:8" x14ac:dyDescent="0.25">
      <c r="A1921" t="s">
        <v>105</v>
      </c>
      <c r="B1921">
        <v>2004</v>
      </c>
      <c r="C1921" t="s">
        <v>5</v>
      </c>
      <c r="D1921" t="s">
        <v>27</v>
      </c>
      <c r="E1921">
        <v>15</v>
      </c>
      <c r="F1921" s="4" t="s">
        <v>10</v>
      </c>
      <c r="G1921">
        <v>34</v>
      </c>
      <c r="H1921" s="2">
        <v>5372677</v>
      </c>
    </row>
    <row r="1922" spans="1:8" x14ac:dyDescent="0.25">
      <c r="A1922" t="s">
        <v>106</v>
      </c>
      <c r="B1922">
        <v>2004</v>
      </c>
      <c r="C1922" t="s">
        <v>4</v>
      </c>
      <c r="D1922" t="s">
        <v>27</v>
      </c>
      <c r="E1922">
        <v>15</v>
      </c>
      <c r="F1922" s="4" t="s">
        <v>10</v>
      </c>
      <c r="G1922">
        <v>36</v>
      </c>
      <c r="H1922" s="2">
        <v>5078223</v>
      </c>
    </row>
    <row r="1923" spans="1:8" x14ac:dyDescent="0.25">
      <c r="A1923" t="s">
        <v>107</v>
      </c>
      <c r="B1923">
        <v>2004</v>
      </c>
      <c r="C1923" t="s">
        <v>3</v>
      </c>
      <c r="D1923" t="s">
        <v>27</v>
      </c>
      <c r="E1923">
        <v>15</v>
      </c>
      <c r="F1923" s="4" t="s">
        <v>10</v>
      </c>
      <c r="G1923">
        <v>157</v>
      </c>
      <c r="H1923" s="2">
        <v>7631406</v>
      </c>
    </row>
    <row r="1924" spans="1:8" x14ac:dyDescent="0.25">
      <c r="A1924" t="s">
        <v>108</v>
      </c>
      <c r="B1924">
        <v>2004</v>
      </c>
      <c r="C1924" t="s">
        <v>2</v>
      </c>
      <c r="D1924" t="s">
        <v>27</v>
      </c>
      <c r="E1924">
        <v>15</v>
      </c>
      <c r="F1924" s="4" t="s">
        <v>10</v>
      </c>
      <c r="G1924">
        <v>390</v>
      </c>
      <c r="H1924" s="2">
        <v>3814359</v>
      </c>
    </row>
    <row r="1925" spans="1:8" x14ac:dyDescent="0.25">
      <c r="A1925" t="s">
        <v>109</v>
      </c>
      <c r="B1925">
        <v>2004</v>
      </c>
      <c r="C1925" t="s">
        <v>1</v>
      </c>
      <c r="D1925" t="s">
        <v>27</v>
      </c>
      <c r="E1925">
        <v>15</v>
      </c>
      <c r="F1925" s="4" t="s">
        <v>10</v>
      </c>
      <c r="G1925">
        <v>243</v>
      </c>
      <c r="H1925" s="2">
        <v>841739</v>
      </c>
    </row>
    <row r="1926" spans="1:8" x14ac:dyDescent="0.25">
      <c r="A1926" t="s">
        <v>110</v>
      </c>
      <c r="B1926">
        <v>2004</v>
      </c>
      <c r="C1926" t="s">
        <v>0</v>
      </c>
      <c r="D1926" t="s">
        <v>27</v>
      </c>
      <c r="E1926">
        <v>15</v>
      </c>
      <c r="F1926" s="4" t="s">
        <v>10</v>
      </c>
      <c r="G1926">
        <v>351</v>
      </c>
      <c r="H1926" s="2">
        <v>841739</v>
      </c>
    </row>
    <row r="1927" spans="1:8" x14ac:dyDescent="0.25">
      <c r="A1927" t="s">
        <v>111</v>
      </c>
      <c r="B1927">
        <v>2005</v>
      </c>
      <c r="C1927" t="s">
        <v>6</v>
      </c>
      <c r="D1927" t="s">
        <v>27</v>
      </c>
      <c r="E1927">
        <v>15</v>
      </c>
      <c r="F1927" s="4" t="s">
        <v>10</v>
      </c>
      <c r="G1927">
        <v>42</v>
      </c>
      <c r="H1927" s="2">
        <v>2774961</v>
      </c>
    </row>
    <row r="1928" spans="1:8" x14ac:dyDescent="0.25">
      <c r="A1928" t="s">
        <v>112</v>
      </c>
      <c r="B1928">
        <v>2005</v>
      </c>
      <c r="C1928" t="s">
        <v>5</v>
      </c>
      <c r="D1928" t="s">
        <v>27</v>
      </c>
      <c r="E1928">
        <v>15</v>
      </c>
      <c r="F1928" s="4" t="s">
        <v>10</v>
      </c>
      <c r="G1928">
        <v>55</v>
      </c>
      <c r="H1928" s="2">
        <v>5386812</v>
      </c>
    </row>
    <row r="1929" spans="1:8" x14ac:dyDescent="0.25">
      <c r="A1929" t="s">
        <v>113</v>
      </c>
      <c r="B1929">
        <v>2005</v>
      </c>
      <c r="C1929" t="s">
        <v>4</v>
      </c>
      <c r="D1929" t="s">
        <v>27</v>
      </c>
      <c r="E1929">
        <v>15</v>
      </c>
      <c r="F1929" s="4" t="s">
        <v>10</v>
      </c>
      <c r="G1929">
        <v>53</v>
      </c>
      <c r="H1929" s="2">
        <v>5134473</v>
      </c>
    </row>
    <row r="1930" spans="1:8" x14ac:dyDescent="0.25">
      <c r="A1930" t="s">
        <v>114</v>
      </c>
      <c r="B1930">
        <v>2005</v>
      </c>
      <c r="C1930" t="s">
        <v>3</v>
      </c>
      <c r="D1930" t="s">
        <v>27</v>
      </c>
      <c r="E1930">
        <v>15</v>
      </c>
      <c r="F1930" s="4" t="s">
        <v>10</v>
      </c>
      <c r="G1930">
        <v>175</v>
      </c>
      <c r="H1930" s="2">
        <v>7765159</v>
      </c>
    </row>
    <row r="1931" spans="1:8" x14ac:dyDescent="0.25">
      <c r="A1931" t="s">
        <v>115</v>
      </c>
      <c r="B1931">
        <v>2005</v>
      </c>
      <c r="C1931" t="s">
        <v>2</v>
      </c>
      <c r="D1931" t="s">
        <v>27</v>
      </c>
      <c r="E1931">
        <v>15</v>
      </c>
      <c r="F1931" s="4" t="s">
        <v>10</v>
      </c>
      <c r="G1931">
        <v>471</v>
      </c>
      <c r="H1931" s="2">
        <v>3970997</v>
      </c>
    </row>
    <row r="1932" spans="1:8" x14ac:dyDescent="0.25">
      <c r="A1932" t="s">
        <v>116</v>
      </c>
      <c r="B1932">
        <v>2005</v>
      </c>
      <c r="C1932" t="s">
        <v>1</v>
      </c>
      <c r="D1932" t="s">
        <v>27</v>
      </c>
      <c r="E1932">
        <v>15</v>
      </c>
      <c r="F1932" s="4" t="s">
        <v>10</v>
      </c>
      <c r="G1932">
        <v>262</v>
      </c>
      <c r="H1932" s="2">
        <v>866819</v>
      </c>
    </row>
    <row r="1933" spans="1:8" x14ac:dyDescent="0.25">
      <c r="A1933" t="s">
        <v>117</v>
      </c>
      <c r="B1933">
        <v>2005</v>
      </c>
      <c r="C1933" t="s">
        <v>0</v>
      </c>
      <c r="D1933" t="s">
        <v>27</v>
      </c>
      <c r="E1933">
        <v>15</v>
      </c>
      <c r="F1933" s="4" t="s">
        <v>10</v>
      </c>
      <c r="G1933">
        <v>346</v>
      </c>
      <c r="H1933" s="2">
        <v>866819</v>
      </c>
    </row>
    <row r="1934" spans="1:8" x14ac:dyDescent="0.25">
      <c r="A1934" t="s">
        <v>118</v>
      </c>
      <c r="B1934">
        <v>2006</v>
      </c>
      <c r="C1934" t="s">
        <v>6</v>
      </c>
      <c r="D1934" t="s">
        <v>27</v>
      </c>
      <c r="E1934">
        <v>15</v>
      </c>
      <c r="F1934" s="4" t="s">
        <v>10</v>
      </c>
      <c r="G1934">
        <v>33</v>
      </c>
      <c r="H1934" s="2">
        <v>2777568</v>
      </c>
    </row>
    <row r="1935" spans="1:8" x14ac:dyDescent="0.25">
      <c r="A1935" t="s">
        <v>119</v>
      </c>
      <c r="B1935">
        <v>2006</v>
      </c>
      <c r="C1935" t="s">
        <v>5</v>
      </c>
      <c r="D1935" t="s">
        <v>27</v>
      </c>
      <c r="E1935">
        <v>15</v>
      </c>
      <c r="F1935" s="4" t="s">
        <v>10</v>
      </c>
      <c r="G1935">
        <v>36</v>
      </c>
      <c r="H1935" s="2">
        <v>5407717</v>
      </c>
    </row>
    <row r="1936" spans="1:8" x14ac:dyDescent="0.25">
      <c r="A1936" t="s">
        <v>120</v>
      </c>
      <c r="B1936">
        <v>2006</v>
      </c>
      <c r="C1936" t="s">
        <v>4</v>
      </c>
      <c r="D1936" t="s">
        <v>27</v>
      </c>
      <c r="E1936">
        <v>15</v>
      </c>
      <c r="F1936" s="4" t="s">
        <v>10</v>
      </c>
      <c r="G1936">
        <v>39</v>
      </c>
      <c r="H1936" s="2">
        <v>5178861</v>
      </c>
    </row>
    <row r="1937" spans="1:8" x14ac:dyDescent="0.25">
      <c r="A1937" t="s">
        <v>121</v>
      </c>
      <c r="B1937">
        <v>2006</v>
      </c>
      <c r="C1937" t="s">
        <v>3</v>
      </c>
      <c r="D1937" t="s">
        <v>27</v>
      </c>
      <c r="E1937">
        <v>15</v>
      </c>
      <c r="F1937" s="4" t="s">
        <v>10</v>
      </c>
      <c r="G1937">
        <v>172</v>
      </c>
      <c r="H1937" s="2">
        <v>7897108</v>
      </c>
    </row>
    <row r="1938" spans="1:8" x14ac:dyDescent="0.25">
      <c r="A1938" t="s">
        <v>122</v>
      </c>
      <c r="B1938">
        <v>2006</v>
      </c>
      <c r="C1938" t="s">
        <v>2</v>
      </c>
      <c r="D1938" t="s">
        <v>27</v>
      </c>
      <c r="E1938">
        <v>15</v>
      </c>
      <c r="F1938" s="4" t="s">
        <v>10</v>
      </c>
      <c r="G1938">
        <v>480</v>
      </c>
      <c r="H1938" s="2">
        <v>4136588</v>
      </c>
    </row>
    <row r="1939" spans="1:8" x14ac:dyDescent="0.25">
      <c r="A1939" t="s">
        <v>123</v>
      </c>
      <c r="B1939">
        <v>2006</v>
      </c>
      <c r="C1939" t="s">
        <v>1</v>
      </c>
      <c r="D1939" t="s">
        <v>27</v>
      </c>
      <c r="E1939">
        <v>15</v>
      </c>
      <c r="F1939" s="4" t="s">
        <v>10</v>
      </c>
      <c r="G1939">
        <v>323</v>
      </c>
      <c r="H1939" s="2">
        <v>893794</v>
      </c>
    </row>
    <row r="1940" spans="1:8" x14ac:dyDescent="0.25">
      <c r="A1940" t="s">
        <v>124</v>
      </c>
      <c r="B1940">
        <v>2006</v>
      </c>
      <c r="C1940" t="s">
        <v>0</v>
      </c>
      <c r="D1940" t="s">
        <v>27</v>
      </c>
      <c r="E1940">
        <v>15</v>
      </c>
      <c r="F1940" s="4" t="s">
        <v>10</v>
      </c>
      <c r="G1940">
        <v>436</v>
      </c>
      <c r="H1940" s="2">
        <v>893794</v>
      </c>
    </row>
    <row r="1941" spans="1:8" x14ac:dyDescent="0.25">
      <c r="A1941" t="s">
        <v>125</v>
      </c>
      <c r="B1941">
        <v>2007</v>
      </c>
      <c r="C1941" t="s">
        <v>6</v>
      </c>
      <c r="D1941" t="s">
        <v>27</v>
      </c>
      <c r="E1941">
        <v>15</v>
      </c>
      <c r="F1941" s="4" t="s">
        <v>10</v>
      </c>
      <c r="G1941">
        <v>37</v>
      </c>
      <c r="H1941" s="2">
        <v>2778731</v>
      </c>
    </row>
    <row r="1942" spans="1:8" x14ac:dyDescent="0.25">
      <c r="A1942" t="s">
        <v>126</v>
      </c>
      <c r="B1942">
        <v>2007</v>
      </c>
      <c r="C1942" t="s">
        <v>5</v>
      </c>
      <c r="D1942" t="s">
        <v>27</v>
      </c>
      <c r="E1942">
        <v>15</v>
      </c>
      <c r="F1942" s="4" t="s">
        <v>10</v>
      </c>
      <c r="G1942">
        <v>42</v>
      </c>
      <c r="H1942" s="2">
        <v>5427910</v>
      </c>
    </row>
    <row r="1943" spans="1:8" x14ac:dyDescent="0.25">
      <c r="A1943" t="s">
        <v>127</v>
      </c>
      <c r="B1943">
        <v>2007</v>
      </c>
      <c r="C1943" t="s">
        <v>4</v>
      </c>
      <c r="D1943" t="s">
        <v>27</v>
      </c>
      <c r="E1943">
        <v>15</v>
      </c>
      <c r="F1943" s="4" t="s">
        <v>10</v>
      </c>
      <c r="G1943">
        <v>47</v>
      </c>
      <c r="H1943" s="2">
        <v>5216537</v>
      </c>
    </row>
    <row r="1944" spans="1:8" x14ac:dyDescent="0.25">
      <c r="A1944" t="s">
        <v>128</v>
      </c>
      <c r="B1944">
        <v>2007</v>
      </c>
      <c r="C1944" t="s">
        <v>3</v>
      </c>
      <c r="D1944" t="s">
        <v>27</v>
      </c>
      <c r="E1944">
        <v>15</v>
      </c>
      <c r="F1944" s="4" t="s">
        <v>10</v>
      </c>
      <c r="G1944">
        <v>186</v>
      </c>
      <c r="H1944" s="2">
        <v>8032843</v>
      </c>
    </row>
    <row r="1945" spans="1:8" x14ac:dyDescent="0.25">
      <c r="A1945" t="s">
        <v>129</v>
      </c>
      <c r="B1945">
        <v>2007</v>
      </c>
      <c r="C1945" t="s">
        <v>2</v>
      </c>
      <c r="D1945" t="s">
        <v>27</v>
      </c>
      <c r="E1945">
        <v>15</v>
      </c>
      <c r="F1945" s="4" t="s">
        <v>10</v>
      </c>
      <c r="G1945">
        <v>482</v>
      </c>
      <c r="H1945" s="2">
        <v>4307510</v>
      </c>
    </row>
    <row r="1946" spans="1:8" x14ac:dyDescent="0.25">
      <c r="A1946" t="s">
        <v>130</v>
      </c>
      <c r="B1946">
        <v>2007</v>
      </c>
      <c r="C1946" t="s">
        <v>1</v>
      </c>
      <c r="D1946" t="s">
        <v>27</v>
      </c>
      <c r="E1946">
        <v>15</v>
      </c>
      <c r="F1946" s="4" t="s">
        <v>10</v>
      </c>
      <c r="G1946">
        <v>343</v>
      </c>
      <c r="H1946" s="2">
        <v>922773</v>
      </c>
    </row>
    <row r="1947" spans="1:8" x14ac:dyDescent="0.25">
      <c r="A1947" t="s">
        <v>131</v>
      </c>
      <c r="B1947">
        <v>2007</v>
      </c>
      <c r="C1947" t="s">
        <v>0</v>
      </c>
      <c r="D1947" t="s">
        <v>27</v>
      </c>
      <c r="E1947">
        <v>15</v>
      </c>
      <c r="F1947" s="4" t="s">
        <v>10</v>
      </c>
      <c r="G1947">
        <v>448</v>
      </c>
      <c r="H1947" s="2">
        <v>922773</v>
      </c>
    </row>
    <row r="1948" spans="1:8" x14ac:dyDescent="0.25">
      <c r="A1948" t="s">
        <v>132</v>
      </c>
      <c r="B1948">
        <v>2008</v>
      </c>
      <c r="C1948" t="s">
        <v>6</v>
      </c>
      <c r="D1948" t="s">
        <v>27</v>
      </c>
      <c r="E1948">
        <v>15</v>
      </c>
      <c r="F1948" s="4" t="s">
        <v>10</v>
      </c>
      <c r="G1948">
        <v>41</v>
      </c>
      <c r="H1948" s="2">
        <v>2778239</v>
      </c>
    </row>
    <row r="1949" spans="1:8" x14ac:dyDescent="0.25">
      <c r="A1949" t="s">
        <v>133</v>
      </c>
      <c r="B1949">
        <v>2008</v>
      </c>
      <c r="C1949" t="s">
        <v>5</v>
      </c>
      <c r="D1949" t="s">
        <v>27</v>
      </c>
      <c r="E1949">
        <v>15</v>
      </c>
      <c r="F1949" s="4" t="s">
        <v>10</v>
      </c>
      <c r="G1949">
        <v>39</v>
      </c>
      <c r="H1949" s="2">
        <v>5448390</v>
      </c>
    </row>
    <row r="1950" spans="1:8" x14ac:dyDescent="0.25">
      <c r="A1950" t="s">
        <v>134</v>
      </c>
      <c r="B1950">
        <v>2008</v>
      </c>
      <c r="C1950" t="s">
        <v>4</v>
      </c>
      <c r="D1950" t="s">
        <v>27</v>
      </c>
      <c r="E1950">
        <v>15</v>
      </c>
      <c r="F1950" s="4" t="s">
        <v>10</v>
      </c>
      <c r="G1950">
        <v>50</v>
      </c>
      <c r="H1950" s="2">
        <v>5246997</v>
      </c>
    </row>
    <row r="1951" spans="1:8" x14ac:dyDescent="0.25">
      <c r="A1951" t="s">
        <v>135</v>
      </c>
      <c r="B1951">
        <v>2008</v>
      </c>
      <c r="C1951" t="s">
        <v>3</v>
      </c>
      <c r="D1951" t="s">
        <v>27</v>
      </c>
      <c r="E1951">
        <v>15</v>
      </c>
      <c r="F1951" s="4" t="s">
        <v>10</v>
      </c>
      <c r="G1951">
        <v>159</v>
      </c>
      <c r="H1951" s="2">
        <v>8172306</v>
      </c>
    </row>
    <row r="1952" spans="1:8" x14ac:dyDescent="0.25">
      <c r="A1952" t="s">
        <v>136</v>
      </c>
      <c r="B1952">
        <v>2008</v>
      </c>
      <c r="C1952" t="s">
        <v>2</v>
      </c>
      <c r="D1952" t="s">
        <v>27</v>
      </c>
      <c r="E1952">
        <v>15</v>
      </c>
      <c r="F1952" s="4" t="s">
        <v>10</v>
      </c>
      <c r="G1952">
        <v>539</v>
      </c>
      <c r="H1952" s="2">
        <v>4483302</v>
      </c>
    </row>
    <row r="1953" spans="1:8" x14ac:dyDescent="0.25">
      <c r="A1953" t="s">
        <v>137</v>
      </c>
      <c r="B1953">
        <v>2008</v>
      </c>
      <c r="C1953" t="s">
        <v>1</v>
      </c>
      <c r="D1953" t="s">
        <v>27</v>
      </c>
      <c r="E1953">
        <v>15</v>
      </c>
      <c r="F1953" s="4" t="s">
        <v>10</v>
      </c>
      <c r="G1953">
        <v>399</v>
      </c>
      <c r="H1953" s="2">
        <v>953869</v>
      </c>
    </row>
    <row r="1954" spans="1:8" x14ac:dyDescent="0.25">
      <c r="A1954" t="s">
        <v>138</v>
      </c>
      <c r="B1954">
        <v>2008</v>
      </c>
      <c r="C1954" t="s">
        <v>0</v>
      </c>
      <c r="D1954" t="s">
        <v>27</v>
      </c>
      <c r="E1954">
        <v>15</v>
      </c>
      <c r="F1954" s="4" t="s">
        <v>10</v>
      </c>
      <c r="G1954">
        <v>487</v>
      </c>
      <c r="H1954" s="2">
        <v>953869</v>
      </c>
    </row>
    <row r="1955" spans="1:8" x14ac:dyDescent="0.25">
      <c r="A1955" t="s">
        <v>139</v>
      </c>
      <c r="B1955">
        <v>2009</v>
      </c>
      <c r="C1955" t="s">
        <v>6</v>
      </c>
      <c r="D1955" t="s">
        <v>27</v>
      </c>
      <c r="E1955">
        <v>15</v>
      </c>
      <c r="F1955" s="4" t="s">
        <v>10</v>
      </c>
      <c r="G1955">
        <v>38</v>
      </c>
      <c r="H1955" s="2">
        <v>2775920</v>
      </c>
    </row>
    <row r="1956" spans="1:8" x14ac:dyDescent="0.25">
      <c r="A1956" t="s">
        <v>140</v>
      </c>
      <c r="B1956">
        <v>2009</v>
      </c>
      <c r="C1956" t="s">
        <v>5</v>
      </c>
      <c r="D1956" t="s">
        <v>27</v>
      </c>
      <c r="E1956">
        <v>15</v>
      </c>
      <c r="F1956" s="4" t="s">
        <v>10</v>
      </c>
      <c r="G1956">
        <v>48</v>
      </c>
      <c r="H1956" s="2">
        <v>5469822</v>
      </c>
    </row>
    <row r="1957" spans="1:8" x14ac:dyDescent="0.25">
      <c r="A1957" t="s">
        <v>141</v>
      </c>
      <c r="B1957">
        <v>2009</v>
      </c>
      <c r="C1957" t="s">
        <v>4</v>
      </c>
      <c r="D1957" t="s">
        <v>27</v>
      </c>
      <c r="E1957">
        <v>15</v>
      </c>
      <c r="F1957" s="4" t="s">
        <v>10</v>
      </c>
      <c r="G1957">
        <v>64</v>
      </c>
      <c r="H1957" s="2">
        <v>5270463</v>
      </c>
    </row>
    <row r="1958" spans="1:8" x14ac:dyDescent="0.25">
      <c r="A1958" t="s">
        <v>142</v>
      </c>
      <c r="B1958">
        <v>2009</v>
      </c>
      <c r="C1958" t="s">
        <v>3</v>
      </c>
      <c r="D1958" t="s">
        <v>27</v>
      </c>
      <c r="E1958">
        <v>15</v>
      </c>
      <c r="F1958" s="4" t="s">
        <v>10</v>
      </c>
      <c r="G1958">
        <v>176</v>
      </c>
      <c r="H1958" s="2">
        <v>8314639</v>
      </c>
    </row>
    <row r="1959" spans="1:8" x14ac:dyDescent="0.25">
      <c r="A1959" t="s">
        <v>143</v>
      </c>
      <c r="B1959">
        <v>2009</v>
      </c>
      <c r="C1959" t="s">
        <v>2</v>
      </c>
      <c r="D1959" t="s">
        <v>27</v>
      </c>
      <c r="E1959">
        <v>15</v>
      </c>
      <c r="F1959" s="4" t="s">
        <v>10</v>
      </c>
      <c r="G1959">
        <v>605</v>
      </c>
      <c r="H1959" s="2">
        <v>4663733</v>
      </c>
    </row>
    <row r="1960" spans="1:8" x14ac:dyDescent="0.25">
      <c r="A1960" t="s">
        <v>144</v>
      </c>
      <c r="B1960">
        <v>2009</v>
      </c>
      <c r="C1960" t="s">
        <v>1</v>
      </c>
      <c r="D1960" t="s">
        <v>27</v>
      </c>
      <c r="E1960">
        <v>15</v>
      </c>
      <c r="F1960" s="4" t="s">
        <v>10</v>
      </c>
      <c r="G1960">
        <v>382</v>
      </c>
      <c r="H1960" s="2">
        <v>987212</v>
      </c>
    </row>
    <row r="1961" spans="1:8" x14ac:dyDescent="0.25">
      <c r="A1961" t="s">
        <v>145</v>
      </c>
      <c r="B1961">
        <v>2009</v>
      </c>
      <c r="C1961" t="s">
        <v>0</v>
      </c>
      <c r="D1961" t="s">
        <v>27</v>
      </c>
      <c r="E1961">
        <v>15</v>
      </c>
      <c r="F1961" s="4" t="s">
        <v>10</v>
      </c>
      <c r="G1961">
        <v>497</v>
      </c>
      <c r="H1961" s="2">
        <v>987212</v>
      </c>
    </row>
    <row r="1962" spans="1:8" x14ac:dyDescent="0.25">
      <c r="A1962" t="s">
        <v>146</v>
      </c>
      <c r="B1962">
        <v>2010</v>
      </c>
      <c r="C1962" t="s">
        <v>6</v>
      </c>
      <c r="D1962" t="s">
        <v>27</v>
      </c>
      <c r="E1962">
        <v>15</v>
      </c>
      <c r="F1962" s="4" t="s">
        <v>10</v>
      </c>
      <c r="G1962">
        <v>38</v>
      </c>
      <c r="H1962" s="2">
        <v>2771760</v>
      </c>
    </row>
    <row r="1963" spans="1:8" x14ac:dyDescent="0.25">
      <c r="A1963" t="s">
        <v>147</v>
      </c>
      <c r="B1963">
        <v>2010</v>
      </c>
      <c r="C1963" t="s">
        <v>5</v>
      </c>
      <c r="D1963" t="s">
        <v>27</v>
      </c>
      <c r="E1963">
        <v>15</v>
      </c>
      <c r="F1963" s="4" t="s">
        <v>10</v>
      </c>
      <c r="G1963">
        <v>36</v>
      </c>
      <c r="H1963" s="2">
        <v>5492408</v>
      </c>
    </row>
    <row r="1964" spans="1:8" x14ac:dyDescent="0.25">
      <c r="A1964" t="s">
        <v>148</v>
      </c>
      <c r="B1964">
        <v>2010</v>
      </c>
      <c r="C1964" t="s">
        <v>4</v>
      </c>
      <c r="D1964" t="s">
        <v>27</v>
      </c>
      <c r="E1964">
        <v>15</v>
      </c>
      <c r="F1964" s="4" t="s">
        <v>10</v>
      </c>
      <c r="G1964">
        <v>60</v>
      </c>
      <c r="H1964" s="2">
        <v>5286720</v>
      </c>
    </row>
    <row r="1965" spans="1:8" x14ac:dyDescent="0.25">
      <c r="A1965" t="s">
        <v>149</v>
      </c>
      <c r="B1965">
        <v>2010</v>
      </c>
      <c r="C1965" t="s">
        <v>3</v>
      </c>
      <c r="D1965" t="s">
        <v>27</v>
      </c>
      <c r="E1965">
        <v>15</v>
      </c>
      <c r="F1965" s="4" t="s">
        <v>10</v>
      </c>
      <c r="G1965">
        <v>197</v>
      </c>
      <c r="H1965" s="2">
        <v>8458444</v>
      </c>
    </row>
    <row r="1966" spans="1:8" x14ac:dyDescent="0.25">
      <c r="A1966" t="s">
        <v>150</v>
      </c>
      <c r="B1966">
        <v>2010</v>
      </c>
      <c r="C1966" t="s">
        <v>2</v>
      </c>
      <c r="D1966" t="s">
        <v>27</v>
      </c>
      <c r="E1966">
        <v>15</v>
      </c>
      <c r="F1966" s="4" t="s">
        <v>10</v>
      </c>
      <c r="G1966">
        <v>674</v>
      </c>
      <c r="H1966" s="2">
        <v>4849717</v>
      </c>
    </row>
    <row r="1967" spans="1:8" x14ac:dyDescent="0.25">
      <c r="A1967" t="s">
        <v>151</v>
      </c>
      <c r="B1967">
        <v>2010</v>
      </c>
      <c r="C1967" t="s">
        <v>1</v>
      </c>
      <c r="D1967" t="s">
        <v>27</v>
      </c>
      <c r="E1967">
        <v>15</v>
      </c>
      <c r="F1967" s="4" t="s">
        <v>10</v>
      </c>
      <c r="G1967">
        <v>401</v>
      </c>
      <c r="H1967" s="2">
        <v>1022974</v>
      </c>
    </row>
    <row r="1968" spans="1:8" x14ac:dyDescent="0.25">
      <c r="A1968" t="s">
        <v>152</v>
      </c>
      <c r="B1968">
        <v>2010</v>
      </c>
      <c r="C1968" t="s">
        <v>0</v>
      </c>
      <c r="D1968" t="s">
        <v>27</v>
      </c>
      <c r="E1968">
        <v>15</v>
      </c>
      <c r="F1968" s="4" t="s">
        <v>10</v>
      </c>
      <c r="G1968">
        <v>575</v>
      </c>
      <c r="H1968" s="2">
        <v>1022974</v>
      </c>
    </row>
    <row r="1969" spans="1:8" x14ac:dyDescent="0.25">
      <c r="A1969" t="s">
        <v>153</v>
      </c>
      <c r="B1969">
        <v>2011</v>
      </c>
      <c r="C1969" t="s">
        <v>6</v>
      </c>
      <c r="D1969" t="s">
        <v>27</v>
      </c>
      <c r="E1969">
        <v>15</v>
      </c>
      <c r="F1969" s="4" t="s">
        <v>10</v>
      </c>
      <c r="G1969">
        <v>33</v>
      </c>
      <c r="H1969" s="2">
        <v>2765898</v>
      </c>
    </row>
    <row r="1970" spans="1:8" x14ac:dyDescent="0.25">
      <c r="A1970" t="s">
        <v>154</v>
      </c>
      <c r="B1970">
        <v>2011</v>
      </c>
      <c r="C1970" t="s">
        <v>5</v>
      </c>
      <c r="D1970" t="s">
        <v>27</v>
      </c>
      <c r="E1970">
        <v>15</v>
      </c>
      <c r="F1970" s="4" t="s">
        <v>10</v>
      </c>
      <c r="G1970">
        <v>26</v>
      </c>
      <c r="H1970" s="2">
        <v>5516288</v>
      </c>
    </row>
    <row r="1971" spans="1:8" x14ac:dyDescent="0.25">
      <c r="A1971" t="s">
        <v>155</v>
      </c>
      <c r="B1971">
        <v>2011</v>
      </c>
      <c r="C1971" t="s">
        <v>4</v>
      </c>
      <c r="D1971" t="s">
        <v>27</v>
      </c>
      <c r="E1971">
        <v>15</v>
      </c>
      <c r="F1971" s="4" t="s">
        <v>10</v>
      </c>
      <c r="G1971">
        <v>63</v>
      </c>
      <c r="H1971" s="2">
        <v>5296319</v>
      </c>
    </row>
    <row r="1972" spans="1:8" x14ac:dyDescent="0.25">
      <c r="A1972" t="s">
        <v>156</v>
      </c>
      <c r="B1972">
        <v>2011</v>
      </c>
      <c r="C1972" t="s">
        <v>3</v>
      </c>
      <c r="D1972" t="s">
        <v>27</v>
      </c>
      <c r="E1972">
        <v>15</v>
      </c>
      <c r="F1972" s="4" t="s">
        <v>10</v>
      </c>
      <c r="G1972">
        <v>209</v>
      </c>
      <c r="H1972" s="2">
        <v>8602515</v>
      </c>
    </row>
    <row r="1973" spans="1:8" x14ac:dyDescent="0.25">
      <c r="A1973" t="s">
        <v>157</v>
      </c>
      <c r="B1973">
        <v>2011</v>
      </c>
      <c r="C1973" t="s">
        <v>2</v>
      </c>
      <c r="D1973" t="s">
        <v>27</v>
      </c>
      <c r="E1973">
        <v>15</v>
      </c>
      <c r="F1973" s="4" t="s">
        <v>10</v>
      </c>
      <c r="G1973">
        <v>681</v>
      </c>
      <c r="H1973" s="2">
        <v>5041154</v>
      </c>
    </row>
    <row r="1974" spans="1:8" x14ac:dyDescent="0.25">
      <c r="A1974" t="s">
        <v>158</v>
      </c>
      <c r="B1974">
        <v>2011</v>
      </c>
      <c r="C1974" t="s">
        <v>1</v>
      </c>
      <c r="D1974" t="s">
        <v>27</v>
      </c>
      <c r="E1974">
        <v>15</v>
      </c>
      <c r="F1974" s="4" t="s">
        <v>10</v>
      </c>
      <c r="G1974">
        <v>433</v>
      </c>
      <c r="H1974" s="2">
        <v>1061340</v>
      </c>
    </row>
    <row r="1975" spans="1:8" x14ac:dyDescent="0.25">
      <c r="A1975" t="s">
        <v>159</v>
      </c>
      <c r="B1975">
        <v>2011</v>
      </c>
      <c r="C1975" t="s">
        <v>0</v>
      </c>
      <c r="D1975" t="s">
        <v>27</v>
      </c>
      <c r="E1975">
        <v>15</v>
      </c>
      <c r="F1975" s="4" t="s">
        <v>10</v>
      </c>
      <c r="G1975">
        <v>600</v>
      </c>
      <c r="H1975" s="2">
        <v>1061340</v>
      </c>
    </row>
    <row r="1976" spans="1:8" x14ac:dyDescent="0.25">
      <c r="A1976" t="s">
        <v>160</v>
      </c>
      <c r="B1976">
        <v>2012</v>
      </c>
      <c r="C1976" t="s">
        <v>6</v>
      </c>
      <c r="D1976" t="s">
        <v>27</v>
      </c>
      <c r="E1976">
        <v>15</v>
      </c>
      <c r="F1976" s="4" t="s">
        <v>10</v>
      </c>
      <c r="G1976">
        <v>39</v>
      </c>
      <c r="H1976" s="2">
        <v>2759356.4495101599</v>
      </c>
    </row>
    <row r="1977" spans="1:8" x14ac:dyDescent="0.25">
      <c r="A1977" t="s">
        <v>161</v>
      </c>
      <c r="B1977">
        <v>2012</v>
      </c>
      <c r="C1977" t="s">
        <v>5</v>
      </c>
      <c r="D1977" t="s">
        <v>27</v>
      </c>
      <c r="E1977">
        <v>15</v>
      </c>
      <c r="F1977" s="4" t="s">
        <v>10</v>
      </c>
      <c r="G1977">
        <v>46</v>
      </c>
      <c r="H1977" s="2">
        <v>5537428.7927720398</v>
      </c>
    </row>
    <row r="1978" spans="1:8" x14ac:dyDescent="0.25">
      <c r="A1978" t="s">
        <v>162</v>
      </c>
      <c r="B1978">
        <v>2012</v>
      </c>
      <c r="C1978" t="s">
        <v>4</v>
      </c>
      <c r="D1978" t="s">
        <v>27</v>
      </c>
      <c r="E1978">
        <v>15</v>
      </c>
      <c r="F1978" s="4" t="s">
        <v>10</v>
      </c>
      <c r="G1978">
        <v>55</v>
      </c>
      <c r="H1978" s="2">
        <v>5307779.7280284902</v>
      </c>
    </row>
    <row r="1979" spans="1:8" x14ac:dyDescent="0.25">
      <c r="A1979" t="s">
        <v>163</v>
      </c>
      <c r="B1979">
        <v>2012</v>
      </c>
      <c r="C1979" t="s">
        <v>3</v>
      </c>
      <c r="D1979" t="s">
        <v>27</v>
      </c>
      <c r="E1979">
        <v>15</v>
      </c>
      <c r="F1979" s="4" t="s">
        <v>10</v>
      </c>
      <c r="G1979">
        <v>230</v>
      </c>
      <c r="H1979" s="2">
        <v>8748082.6996606905</v>
      </c>
    </row>
    <row r="1980" spans="1:8" x14ac:dyDescent="0.25">
      <c r="A1980" t="s">
        <v>164</v>
      </c>
      <c r="B1980">
        <v>2012</v>
      </c>
      <c r="C1980" t="s">
        <v>2</v>
      </c>
      <c r="D1980" t="s">
        <v>27</v>
      </c>
      <c r="E1980">
        <v>15</v>
      </c>
      <c r="F1980" s="4" t="s">
        <v>10</v>
      </c>
      <c r="G1980">
        <v>764</v>
      </c>
      <c r="H1980" s="2">
        <v>5230482.0778962998</v>
      </c>
    </row>
    <row r="1981" spans="1:8" x14ac:dyDescent="0.25">
      <c r="A1981" t="s">
        <v>165</v>
      </c>
      <c r="B1981">
        <v>2012</v>
      </c>
      <c r="C1981" t="s">
        <v>1</v>
      </c>
      <c r="D1981" t="s">
        <v>27</v>
      </c>
      <c r="E1981">
        <v>15</v>
      </c>
      <c r="F1981" s="4" t="s">
        <v>10</v>
      </c>
      <c r="G1981">
        <v>471</v>
      </c>
      <c r="H1981" s="2">
        <v>1102796.7939262099</v>
      </c>
    </row>
    <row r="1982" spans="1:8" x14ac:dyDescent="0.25">
      <c r="A1982" t="s">
        <v>166</v>
      </c>
      <c r="B1982">
        <v>2012</v>
      </c>
      <c r="C1982" t="s">
        <v>0</v>
      </c>
      <c r="D1982" t="s">
        <v>27</v>
      </c>
      <c r="E1982">
        <v>15</v>
      </c>
      <c r="F1982" s="4" t="s">
        <v>10</v>
      </c>
      <c r="G1982">
        <v>687</v>
      </c>
      <c r="H1982" s="2">
        <v>1102796.7939262099</v>
      </c>
    </row>
    <row r="1983" spans="1:8" x14ac:dyDescent="0.25">
      <c r="A1983" t="s">
        <v>167</v>
      </c>
      <c r="B1983">
        <v>2013</v>
      </c>
      <c r="C1983" t="s">
        <v>6</v>
      </c>
      <c r="D1983" t="s">
        <v>27</v>
      </c>
      <c r="E1983">
        <v>15</v>
      </c>
      <c r="F1983" s="4" t="s">
        <v>10</v>
      </c>
      <c r="G1983">
        <v>46</v>
      </c>
      <c r="H1983" s="2">
        <v>2752322.19750119</v>
      </c>
    </row>
    <row r="1984" spans="1:8" x14ac:dyDescent="0.25">
      <c r="A1984" t="s">
        <v>168</v>
      </c>
      <c r="B1984">
        <v>2013</v>
      </c>
      <c r="C1984" t="s">
        <v>5</v>
      </c>
      <c r="D1984" t="s">
        <v>27</v>
      </c>
      <c r="E1984">
        <v>15</v>
      </c>
      <c r="F1984" s="4" t="s">
        <v>10</v>
      </c>
      <c r="G1984">
        <v>27</v>
      </c>
      <c r="H1984" s="2">
        <v>5554323.1251711203</v>
      </c>
    </row>
    <row r="1985" spans="1:8" x14ac:dyDescent="0.25">
      <c r="A1985" t="s">
        <v>169</v>
      </c>
      <c r="B1985">
        <v>2013</v>
      </c>
      <c r="C1985" t="s">
        <v>4</v>
      </c>
      <c r="D1985" t="s">
        <v>27</v>
      </c>
      <c r="E1985">
        <v>15</v>
      </c>
      <c r="F1985" s="4" t="s">
        <v>10</v>
      </c>
      <c r="G1985">
        <v>52</v>
      </c>
      <c r="H1985" s="2">
        <v>5323364.8480997998</v>
      </c>
    </row>
    <row r="1986" spans="1:8" x14ac:dyDescent="0.25">
      <c r="A1986" t="s">
        <v>170</v>
      </c>
      <c r="B1986">
        <v>2013</v>
      </c>
      <c r="C1986" t="s">
        <v>3</v>
      </c>
      <c r="D1986" t="s">
        <v>27</v>
      </c>
      <c r="E1986">
        <v>15</v>
      </c>
      <c r="F1986" s="4" t="s">
        <v>10</v>
      </c>
      <c r="G1986">
        <v>226</v>
      </c>
      <c r="H1986" s="2">
        <v>8893718.1904660594</v>
      </c>
    </row>
    <row r="1987" spans="1:8" x14ac:dyDescent="0.25">
      <c r="A1987" t="s">
        <v>171</v>
      </c>
      <c r="B1987">
        <v>2013</v>
      </c>
      <c r="C1987" t="s">
        <v>2</v>
      </c>
      <c r="D1987" t="s">
        <v>27</v>
      </c>
      <c r="E1987">
        <v>15</v>
      </c>
      <c r="F1987" s="4" t="s">
        <v>10</v>
      </c>
      <c r="G1987">
        <v>804</v>
      </c>
      <c r="H1987" s="2">
        <v>5415783.9591287402</v>
      </c>
    </row>
    <row r="1988" spans="1:8" x14ac:dyDescent="0.25">
      <c r="A1988" t="s">
        <v>172</v>
      </c>
      <c r="B1988">
        <v>2013</v>
      </c>
      <c r="C1988" t="s">
        <v>1</v>
      </c>
      <c r="D1988" t="s">
        <v>27</v>
      </c>
      <c r="E1988">
        <v>15</v>
      </c>
      <c r="F1988" s="4" t="s">
        <v>10</v>
      </c>
      <c r="G1988">
        <v>497</v>
      </c>
      <c r="H1988" s="2">
        <v>1147296.6505007599</v>
      </c>
    </row>
    <row r="1989" spans="1:8" x14ac:dyDescent="0.25">
      <c r="A1989" t="s">
        <v>173</v>
      </c>
      <c r="B1989">
        <v>2013</v>
      </c>
      <c r="C1989" t="s">
        <v>0</v>
      </c>
      <c r="D1989" t="s">
        <v>27</v>
      </c>
      <c r="E1989">
        <v>15</v>
      </c>
      <c r="F1989" s="4" t="s">
        <v>10</v>
      </c>
      <c r="G1989">
        <v>687</v>
      </c>
      <c r="H1989" s="2">
        <v>1147296.6505007599</v>
      </c>
    </row>
    <row r="1990" spans="1:8" x14ac:dyDescent="0.25">
      <c r="A1990" t="s">
        <v>174</v>
      </c>
      <c r="B1990">
        <v>2014</v>
      </c>
      <c r="C1990" t="s">
        <v>6</v>
      </c>
      <c r="D1990" t="s">
        <v>27</v>
      </c>
      <c r="E1990">
        <v>15</v>
      </c>
      <c r="F1990" s="4" t="s">
        <v>10</v>
      </c>
      <c r="G1990">
        <v>44</v>
      </c>
      <c r="H1990" s="2">
        <v>2744697</v>
      </c>
    </row>
    <row r="1991" spans="1:8" x14ac:dyDescent="0.25">
      <c r="A1991" t="s">
        <v>175</v>
      </c>
      <c r="B1991">
        <v>2014</v>
      </c>
      <c r="C1991" t="s">
        <v>5</v>
      </c>
      <c r="D1991" t="s">
        <v>27</v>
      </c>
      <c r="E1991">
        <v>15</v>
      </c>
      <c r="F1991" s="4" t="s">
        <v>10</v>
      </c>
      <c r="G1991">
        <v>39</v>
      </c>
      <c r="H1991" s="2">
        <v>5566437</v>
      </c>
    </row>
    <row r="1992" spans="1:8" x14ac:dyDescent="0.25">
      <c r="A1992" t="s">
        <v>176</v>
      </c>
      <c r="B1992">
        <v>2014</v>
      </c>
      <c r="C1992" t="s">
        <v>4</v>
      </c>
      <c r="D1992" t="s">
        <v>27</v>
      </c>
      <c r="E1992">
        <v>15</v>
      </c>
      <c r="F1992" s="4" t="s">
        <v>10</v>
      </c>
      <c r="G1992">
        <v>60</v>
      </c>
      <c r="H1992" s="2">
        <v>5343109</v>
      </c>
    </row>
    <row r="1993" spans="1:8" x14ac:dyDescent="0.25">
      <c r="A1993" t="s">
        <v>177</v>
      </c>
      <c r="B1993">
        <v>2014</v>
      </c>
      <c r="C1993" t="s">
        <v>3</v>
      </c>
      <c r="D1993" t="s">
        <v>27</v>
      </c>
      <c r="E1993">
        <v>15</v>
      </c>
      <c r="F1993" s="4" t="s">
        <v>10</v>
      </c>
      <c r="G1993">
        <v>189</v>
      </c>
      <c r="H1993" s="2">
        <v>9037113</v>
      </c>
    </row>
    <row r="1994" spans="1:8" x14ac:dyDescent="0.25">
      <c r="A1994" t="s">
        <v>178</v>
      </c>
      <c r="B1994">
        <v>2014</v>
      </c>
      <c r="C1994" t="s">
        <v>2</v>
      </c>
      <c r="D1994" t="s">
        <v>27</v>
      </c>
      <c r="E1994">
        <v>15</v>
      </c>
      <c r="F1994" s="4" t="s">
        <v>10</v>
      </c>
      <c r="G1994">
        <v>737</v>
      </c>
      <c r="H1994" s="2">
        <v>5597164</v>
      </c>
    </row>
    <row r="1995" spans="1:8" x14ac:dyDescent="0.25">
      <c r="A1995" t="s">
        <v>179</v>
      </c>
      <c r="B1995">
        <v>2014</v>
      </c>
      <c r="C1995" t="s">
        <v>1</v>
      </c>
      <c r="D1995" t="s">
        <v>27</v>
      </c>
      <c r="E1995">
        <v>15</v>
      </c>
      <c r="F1995" s="4" t="s">
        <v>10</v>
      </c>
      <c r="G1995">
        <v>498</v>
      </c>
      <c r="H1995" s="2">
        <v>1194627</v>
      </c>
    </row>
    <row r="1996" spans="1:8" x14ac:dyDescent="0.25">
      <c r="A1996" t="s">
        <v>180</v>
      </c>
      <c r="B1996">
        <v>2014</v>
      </c>
      <c r="C1996" t="s">
        <v>0</v>
      </c>
      <c r="D1996" t="s">
        <v>27</v>
      </c>
      <c r="E1996">
        <v>15</v>
      </c>
      <c r="F1996" s="4" t="s">
        <v>10</v>
      </c>
      <c r="G1996">
        <v>711</v>
      </c>
      <c r="H1996" s="2">
        <v>1194627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Views>
    <sheetView topLeftCell="A113" workbookViewId="0">
      <selection activeCell="C141" sqref="C141"/>
    </sheetView>
  </sheetViews>
  <sheetFormatPr baseColWidth="10" defaultRowHeight="15" x14ac:dyDescent="0.25"/>
  <cols>
    <col min="1" max="1" width="10.42578125" customWidth="1"/>
    <col min="4" max="4" width="12.5703125" style="9" bestFit="1" customWidth="1"/>
  </cols>
  <sheetData>
    <row r="1" spans="1:4" x14ac:dyDescent="0.25">
      <c r="B1" s="10" t="s">
        <v>23</v>
      </c>
      <c r="C1" s="10" t="s">
        <v>22</v>
      </c>
      <c r="D1" s="29" t="s">
        <v>203</v>
      </c>
    </row>
    <row r="2" spans="1:4" x14ac:dyDescent="0.25">
      <c r="A2" t="str">
        <f>+CONCATENATE(B2,C2)</f>
        <v>19960-4</v>
      </c>
      <c r="B2">
        <v>1996</v>
      </c>
      <c r="C2" s="8" t="s">
        <v>6</v>
      </c>
      <c r="D2" s="9">
        <v>2669011.0638103201</v>
      </c>
    </row>
    <row r="3" spans="1:4" x14ac:dyDescent="0.25">
      <c r="A3" t="str">
        <f t="shared" ref="A3:A66" si="0">+CONCATENATE(B3,C3)</f>
        <v>19965-14</v>
      </c>
      <c r="B3">
        <v>1996</v>
      </c>
      <c r="C3" s="4" t="s">
        <v>5</v>
      </c>
      <c r="D3" s="9">
        <v>5336689.2615659405</v>
      </c>
    </row>
    <row r="4" spans="1:4" x14ac:dyDescent="0.25">
      <c r="A4" t="str">
        <f t="shared" si="0"/>
        <v>199615-24</v>
      </c>
      <c r="B4">
        <v>1996</v>
      </c>
      <c r="C4" s="4" t="s">
        <v>4</v>
      </c>
      <c r="D4" s="9">
        <v>4328734.7335640304</v>
      </c>
    </row>
    <row r="5" spans="1:4" x14ac:dyDescent="0.25">
      <c r="A5" t="str">
        <f t="shared" si="0"/>
        <v>199625-44</v>
      </c>
      <c r="B5">
        <v>1996</v>
      </c>
      <c r="C5" s="4" t="s">
        <v>3</v>
      </c>
      <c r="D5" s="9">
        <v>6500086.9398599695</v>
      </c>
    </row>
    <row r="6" spans="1:4" x14ac:dyDescent="0.25">
      <c r="A6" t="str">
        <f t="shared" si="0"/>
        <v>199645-64</v>
      </c>
      <c r="B6">
        <v>1996</v>
      </c>
      <c r="C6" s="4" t="s">
        <v>2</v>
      </c>
      <c r="D6" s="9">
        <v>2862216.4853526298</v>
      </c>
    </row>
    <row r="7" spans="1:4" x14ac:dyDescent="0.25">
      <c r="A7" t="str">
        <f t="shared" si="0"/>
        <v>199665-74</v>
      </c>
      <c r="B7">
        <v>1996</v>
      </c>
      <c r="C7" s="4" t="s">
        <v>1</v>
      </c>
      <c r="D7" s="9">
        <v>710343.28776711202</v>
      </c>
    </row>
    <row r="8" spans="1:4" x14ac:dyDescent="0.25">
      <c r="A8" t="str">
        <f t="shared" si="0"/>
        <v>199675+</v>
      </c>
      <c r="B8">
        <v>1996</v>
      </c>
      <c r="C8" s="4" t="s">
        <v>0</v>
      </c>
      <c r="D8" s="9">
        <v>710343.28776711202</v>
      </c>
    </row>
    <row r="9" spans="1:4" x14ac:dyDescent="0.25">
      <c r="A9" t="str">
        <f t="shared" si="0"/>
        <v>19970-4</v>
      </c>
      <c r="B9">
        <v>1997</v>
      </c>
      <c r="C9" s="8" t="s">
        <v>6</v>
      </c>
      <c r="D9" s="9">
        <v>2689637.03828619</v>
      </c>
    </row>
    <row r="10" spans="1:4" x14ac:dyDescent="0.25">
      <c r="A10" t="str">
        <f t="shared" si="0"/>
        <v>19975-14</v>
      </c>
      <c r="B10">
        <v>1997</v>
      </c>
      <c r="C10" s="4" t="s">
        <v>5</v>
      </c>
      <c r="D10" s="9">
        <v>5352218.1569395596</v>
      </c>
    </row>
    <row r="11" spans="1:4" x14ac:dyDescent="0.25">
      <c r="A11" t="str">
        <f t="shared" si="0"/>
        <v>199715-24</v>
      </c>
      <c r="B11">
        <v>1997</v>
      </c>
      <c r="C11" s="4" t="s">
        <v>4</v>
      </c>
      <c r="D11" s="9">
        <v>4441903.2401384199</v>
      </c>
    </row>
    <row r="12" spans="1:4" x14ac:dyDescent="0.25">
      <c r="A12" t="str">
        <f t="shared" si="0"/>
        <v>199725-44</v>
      </c>
      <c r="B12">
        <v>1997</v>
      </c>
      <c r="C12" s="4" t="s">
        <v>3</v>
      </c>
      <c r="D12" s="9">
        <v>6652916.9639159804</v>
      </c>
    </row>
    <row r="13" spans="1:4" x14ac:dyDescent="0.25">
      <c r="A13" t="str">
        <f t="shared" si="0"/>
        <v>199745-64</v>
      </c>
      <c r="B13">
        <v>1997</v>
      </c>
      <c r="C13" s="4" t="s">
        <v>2</v>
      </c>
      <c r="D13" s="9">
        <v>2950439.89121158</v>
      </c>
    </row>
    <row r="14" spans="1:4" x14ac:dyDescent="0.25">
      <c r="A14" t="str">
        <f t="shared" si="0"/>
        <v>199765-74</v>
      </c>
      <c r="B14">
        <v>1997</v>
      </c>
      <c r="C14" s="4" t="s">
        <v>1</v>
      </c>
      <c r="D14" s="9">
        <v>717390.37266026705</v>
      </c>
    </row>
    <row r="15" spans="1:4" x14ac:dyDescent="0.25">
      <c r="A15" t="str">
        <f t="shared" si="0"/>
        <v>199775+</v>
      </c>
      <c r="B15">
        <v>1997</v>
      </c>
      <c r="C15" s="4" t="s">
        <v>0</v>
      </c>
      <c r="D15" s="9">
        <v>717390.37266026705</v>
      </c>
    </row>
    <row r="16" spans="1:4" x14ac:dyDescent="0.25">
      <c r="A16" t="str">
        <f t="shared" si="0"/>
        <v>19980-4</v>
      </c>
      <c r="B16">
        <v>1998</v>
      </c>
      <c r="C16" s="8" t="s">
        <v>6</v>
      </c>
      <c r="D16" s="9">
        <v>2707580.5191430999</v>
      </c>
    </row>
    <row r="17" spans="1:4" x14ac:dyDescent="0.25">
      <c r="A17" t="str">
        <f t="shared" si="0"/>
        <v>19985-14</v>
      </c>
      <c r="B17">
        <v>1998</v>
      </c>
      <c r="C17" s="4" t="s">
        <v>5</v>
      </c>
      <c r="D17" s="9">
        <v>5360232.5784697803</v>
      </c>
    </row>
    <row r="18" spans="1:4" x14ac:dyDescent="0.25">
      <c r="A18" t="str">
        <f t="shared" si="0"/>
        <v>199815-24</v>
      </c>
      <c r="B18">
        <v>1998</v>
      </c>
      <c r="C18" s="4" t="s">
        <v>4</v>
      </c>
      <c r="D18" s="9">
        <v>4551586.6200692104</v>
      </c>
    </row>
    <row r="19" spans="1:4" x14ac:dyDescent="0.25">
      <c r="A19" t="str">
        <f t="shared" si="0"/>
        <v>199825-44</v>
      </c>
      <c r="B19">
        <v>1998</v>
      </c>
      <c r="C19" s="4" t="s">
        <v>3</v>
      </c>
      <c r="D19" s="9">
        <v>6800752.4819579897</v>
      </c>
    </row>
    <row r="20" spans="1:4" x14ac:dyDescent="0.25">
      <c r="A20" t="str">
        <f t="shared" si="0"/>
        <v>199845-64</v>
      </c>
      <c r="B20">
        <v>1998</v>
      </c>
      <c r="C20" s="4" t="s">
        <v>2</v>
      </c>
      <c r="D20" s="9">
        <v>3048176.4456057898</v>
      </c>
    </row>
    <row r="21" spans="1:4" x14ac:dyDescent="0.25">
      <c r="A21" t="str">
        <f t="shared" si="0"/>
        <v>199865-74</v>
      </c>
      <c r="B21">
        <v>1998</v>
      </c>
      <c r="C21" s="4" t="s">
        <v>1</v>
      </c>
      <c r="D21" s="9">
        <v>727932.186330133</v>
      </c>
    </row>
    <row r="22" spans="1:4" x14ac:dyDescent="0.25">
      <c r="A22" t="str">
        <f t="shared" si="0"/>
        <v>199875+</v>
      </c>
      <c r="B22">
        <v>1998</v>
      </c>
      <c r="C22" s="4" t="s">
        <v>0</v>
      </c>
      <c r="D22" s="9">
        <v>727932.186330133</v>
      </c>
    </row>
    <row r="23" spans="1:4" x14ac:dyDescent="0.25">
      <c r="A23" t="str">
        <f t="shared" si="0"/>
        <v>19990-4</v>
      </c>
      <c r="B23">
        <v>1999</v>
      </c>
      <c r="C23" s="8" t="s">
        <v>6</v>
      </c>
      <c r="D23" s="9">
        <v>2723058.5063810302</v>
      </c>
    </row>
    <row r="24" spans="1:4" x14ac:dyDescent="0.25">
      <c r="A24" t="str">
        <f t="shared" si="0"/>
        <v>19995-14</v>
      </c>
      <c r="B24">
        <v>1999</v>
      </c>
      <c r="C24" s="4" t="s">
        <v>5</v>
      </c>
      <c r="D24" s="9">
        <v>5362927.5261565903</v>
      </c>
    </row>
    <row r="25" spans="1:4" x14ac:dyDescent="0.25">
      <c r="A25" t="str">
        <f t="shared" si="0"/>
        <v>199915-24</v>
      </c>
      <c r="B25">
        <v>1999</v>
      </c>
      <c r="C25" s="4" t="s">
        <v>4</v>
      </c>
      <c r="D25" s="9">
        <v>4656740.8733564001</v>
      </c>
    </row>
    <row r="26" spans="1:4" x14ac:dyDescent="0.25">
      <c r="A26" t="str">
        <f t="shared" si="0"/>
        <v>199925-44</v>
      </c>
      <c r="B26">
        <v>1999</v>
      </c>
      <c r="C26" s="4" t="s">
        <v>3</v>
      </c>
      <c r="D26" s="9">
        <v>6944474.4939860003</v>
      </c>
    </row>
    <row r="27" spans="1:4" x14ac:dyDescent="0.25">
      <c r="A27" t="str">
        <f t="shared" si="0"/>
        <v>199945-64</v>
      </c>
      <c r="B27">
        <v>1999</v>
      </c>
      <c r="C27" s="4" t="s">
        <v>2</v>
      </c>
      <c r="D27" s="9">
        <v>3155060.14853526</v>
      </c>
    </row>
    <row r="28" spans="1:4" x14ac:dyDescent="0.25">
      <c r="A28" t="str">
        <f t="shared" si="0"/>
        <v>199965-74</v>
      </c>
      <c r="B28">
        <v>1999</v>
      </c>
      <c r="C28" s="4" t="s">
        <v>1</v>
      </c>
      <c r="D28" s="9">
        <v>741553.72877671104</v>
      </c>
    </row>
    <row r="29" spans="1:4" x14ac:dyDescent="0.25">
      <c r="A29" t="str">
        <f t="shared" si="0"/>
        <v>199975+</v>
      </c>
      <c r="B29">
        <v>1999</v>
      </c>
      <c r="C29" s="4" t="s">
        <v>0</v>
      </c>
      <c r="D29" s="9">
        <v>741553.72877671104</v>
      </c>
    </row>
    <row r="30" spans="1:4" x14ac:dyDescent="0.25">
      <c r="A30" t="str">
        <f t="shared" si="0"/>
        <v>20000-4</v>
      </c>
      <c r="B30">
        <v>2000</v>
      </c>
      <c r="C30" s="8" t="s">
        <v>6</v>
      </c>
      <c r="D30" s="9">
        <v>2736288</v>
      </c>
    </row>
    <row r="31" spans="1:4" x14ac:dyDescent="0.25">
      <c r="A31" t="str">
        <f t="shared" si="0"/>
        <v>20005-14</v>
      </c>
      <c r="B31">
        <v>2000</v>
      </c>
      <c r="C31" s="4" t="s">
        <v>5</v>
      </c>
      <c r="D31" s="9">
        <v>5362498</v>
      </c>
    </row>
    <row r="32" spans="1:4" x14ac:dyDescent="0.25">
      <c r="A32" t="str">
        <f t="shared" si="0"/>
        <v>200015-24</v>
      </c>
      <c r="B32">
        <v>2000</v>
      </c>
      <c r="C32" s="4" t="s">
        <v>4</v>
      </c>
      <c r="D32" s="9">
        <v>4756322</v>
      </c>
    </row>
    <row r="33" spans="1:4" x14ac:dyDescent="0.25">
      <c r="A33" t="str">
        <f t="shared" si="0"/>
        <v>200025-44</v>
      </c>
      <c r="B33">
        <v>2000</v>
      </c>
      <c r="C33" s="4" t="s">
        <v>3</v>
      </c>
      <c r="D33" s="9">
        <v>7084964</v>
      </c>
    </row>
    <row r="34" spans="1:4" x14ac:dyDescent="0.25">
      <c r="A34" t="str">
        <f t="shared" si="0"/>
        <v>200045-64</v>
      </c>
      <c r="B34">
        <v>2000</v>
      </c>
      <c r="C34" s="4" t="s">
        <v>2</v>
      </c>
      <c r="D34" s="9">
        <v>3270725</v>
      </c>
    </row>
    <row r="35" spans="1:4" x14ac:dyDescent="0.25">
      <c r="A35" t="str">
        <f t="shared" si="0"/>
        <v>200065-74</v>
      </c>
      <c r="B35">
        <v>2000</v>
      </c>
      <c r="C35" s="4" t="s">
        <v>1</v>
      </c>
      <c r="D35" s="9">
        <v>757840</v>
      </c>
    </row>
    <row r="36" spans="1:4" x14ac:dyDescent="0.25">
      <c r="A36" t="str">
        <f t="shared" si="0"/>
        <v>200075+</v>
      </c>
      <c r="B36">
        <v>2000</v>
      </c>
      <c r="C36" s="4" t="s">
        <v>0</v>
      </c>
      <c r="D36" s="9">
        <v>757840</v>
      </c>
    </row>
    <row r="37" spans="1:4" x14ac:dyDescent="0.25">
      <c r="A37" t="str">
        <f t="shared" si="0"/>
        <v>20010-4</v>
      </c>
      <c r="B37">
        <v>2001</v>
      </c>
      <c r="C37" s="8" t="s">
        <v>6</v>
      </c>
      <c r="D37" s="9">
        <v>2747486</v>
      </c>
    </row>
    <row r="38" spans="1:4" x14ac:dyDescent="0.25">
      <c r="A38" t="str">
        <f t="shared" si="0"/>
        <v>20015-14</v>
      </c>
      <c r="B38">
        <v>2001</v>
      </c>
      <c r="C38" s="4" t="s">
        <v>5</v>
      </c>
      <c r="D38" s="9">
        <v>5361139</v>
      </c>
    </row>
    <row r="39" spans="1:4" x14ac:dyDescent="0.25">
      <c r="A39" t="str">
        <f t="shared" si="0"/>
        <v>200115-24</v>
      </c>
      <c r="B39">
        <v>2001</v>
      </c>
      <c r="C39" s="4" t="s">
        <v>4</v>
      </c>
      <c r="D39" s="9">
        <v>4849286</v>
      </c>
    </row>
    <row r="40" spans="1:4" x14ac:dyDescent="0.25">
      <c r="A40" t="str">
        <f t="shared" si="0"/>
        <v>200125-44</v>
      </c>
      <c r="B40">
        <v>2001</v>
      </c>
      <c r="C40" s="4" t="s">
        <v>3</v>
      </c>
      <c r="D40" s="9">
        <v>7223102</v>
      </c>
    </row>
    <row r="41" spans="1:4" x14ac:dyDescent="0.25">
      <c r="A41" t="str">
        <f t="shared" si="0"/>
        <v>200145-64</v>
      </c>
      <c r="B41">
        <v>2001</v>
      </c>
      <c r="C41" s="4" t="s">
        <v>2</v>
      </c>
      <c r="D41" s="9">
        <v>3394805</v>
      </c>
    </row>
    <row r="42" spans="1:4" x14ac:dyDescent="0.25">
      <c r="A42" t="str">
        <f t="shared" si="0"/>
        <v>200165-74</v>
      </c>
      <c r="B42">
        <v>2001</v>
      </c>
      <c r="C42" s="4" t="s">
        <v>1</v>
      </c>
      <c r="D42" s="9">
        <v>776376</v>
      </c>
    </row>
    <row r="43" spans="1:4" x14ac:dyDescent="0.25">
      <c r="A43" t="str">
        <f t="shared" si="0"/>
        <v>200175+</v>
      </c>
      <c r="B43">
        <v>2001</v>
      </c>
      <c r="C43" s="4" t="s">
        <v>0</v>
      </c>
      <c r="D43" s="9">
        <v>776376</v>
      </c>
    </row>
    <row r="44" spans="1:4" x14ac:dyDescent="0.25">
      <c r="A44" t="str">
        <f t="shared" si="0"/>
        <v>20020-4</v>
      </c>
      <c r="B44">
        <v>2002</v>
      </c>
      <c r="C44" s="8" t="s">
        <v>6</v>
      </c>
      <c r="D44" s="9">
        <v>2756879</v>
      </c>
    </row>
    <row r="45" spans="1:4" x14ac:dyDescent="0.25">
      <c r="A45" t="str">
        <f t="shared" si="0"/>
        <v>20025-14</v>
      </c>
      <c r="B45">
        <v>2002</v>
      </c>
      <c r="C45" s="4" t="s">
        <v>5</v>
      </c>
      <c r="D45" s="9">
        <v>5361107</v>
      </c>
    </row>
    <row r="46" spans="1:4" x14ac:dyDescent="0.25">
      <c r="A46" t="str">
        <f t="shared" si="0"/>
        <v>200215-24</v>
      </c>
      <c r="B46">
        <v>2002</v>
      </c>
      <c r="C46" s="4" t="s">
        <v>4</v>
      </c>
      <c r="D46" s="9">
        <v>4934568</v>
      </c>
    </row>
    <row r="47" spans="1:4" x14ac:dyDescent="0.25">
      <c r="A47" t="str">
        <f t="shared" si="0"/>
        <v>200225-44</v>
      </c>
      <c r="B47">
        <v>2002</v>
      </c>
      <c r="C47" s="4" t="s">
        <v>3</v>
      </c>
      <c r="D47" s="9">
        <v>7359839</v>
      </c>
    </row>
    <row r="48" spans="1:4" x14ac:dyDescent="0.25">
      <c r="A48" t="str">
        <f t="shared" si="0"/>
        <v>200245-64</v>
      </c>
      <c r="B48">
        <v>2002</v>
      </c>
      <c r="C48" s="4" t="s">
        <v>2</v>
      </c>
      <c r="D48" s="9">
        <v>3526909</v>
      </c>
    </row>
    <row r="49" spans="1:4" x14ac:dyDescent="0.25">
      <c r="A49" t="str">
        <f t="shared" si="0"/>
        <v>200265-74</v>
      </c>
      <c r="B49">
        <v>2002</v>
      </c>
      <c r="C49" s="4" t="s">
        <v>1</v>
      </c>
      <c r="D49" s="9">
        <v>796712</v>
      </c>
    </row>
    <row r="50" spans="1:4" x14ac:dyDescent="0.25">
      <c r="A50" t="str">
        <f t="shared" si="0"/>
        <v>200275+</v>
      </c>
      <c r="B50">
        <v>2002</v>
      </c>
      <c r="C50" s="4" t="s">
        <v>0</v>
      </c>
      <c r="D50" s="9">
        <v>796712</v>
      </c>
    </row>
    <row r="51" spans="1:4" x14ac:dyDescent="0.25">
      <c r="A51" t="str">
        <f t="shared" si="0"/>
        <v>20030-4</v>
      </c>
      <c r="B51">
        <v>2003</v>
      </c>
      <c r="C51" s="8" t="s">
        <v>6</v>
      </c>
      <c r="D51" s="9">
        <v>2764684</v>
      </c>
    </row>
    <row r="52" spans="1:4" x14ac:dyDescent="0.25">
      <c r="A52" t="str">
        <f t="shared" si="0"/>
        <v>20035-14</v>
      </c>
      <c r="B52">
        <v>2003</v>
      </c>
      <c r="C52" s="4" t="s">
        <v>5</v>
      </c>
      <c r="D52" s="9">
        <v>5364597</v>
      </c>
    </row>
    <row r="53" spans="1:4" x14ac:dyDescent="0.25">
      <c r="A53" t="str">
        <f t="shared" si="0"/>
        <v>200315-24</v>
      </c>
      <c r="B53">
        <v>2003</v>
      </c>
      <c r="C53" s="4" t="s">
        <v>4</v>
      </c>
      <c r="D53" s="9">
        <v>5011124</v>
      </c>
    </row>
    <row r="54" spans="1:4" x14ac:dyDescent="0.25">
      <c r="A54" t="str">
        <f t="shared" si="0"/>
        <v>200325-44</v>
      </c>
      <c r="B54">
        <v>2003</v>
      </c>
      <c r="C54" s="4" t="s">
        <v>3</v>
      </c>
      <c r="D54" s="9">
        <v>7496056</v>
      </c>
    </row>
    <row r="55" spans="1:4" x14ac:dyDescent="0.25">
      <c r="A55" t="str">
        <f t="shared" si="0"/>
        <v>200345-64</v>
      </c>
      <c r="B55">
        <v>2003</v>
      </c>
      <c r="C55" s="4" t="s">
        <v>2</v>
      </c>
      <c r="D55" s="9">
        <v>3666671</v>
      </c>
    </row>
    <row r="56" spans="1:4" x14ac:dyDescent="0.25">
      <c r="A56" t="str">
        <f t="shared" si="0"/>
        <v>200365-74</v>
      </c>
      <c r="B56">
        <v>2003</v>
      </c>
      <c r="C56" s="4" t="s">
        <v>1</v>
      </c>
      <c r="D56" s="9">
        <v>818433</v>
      </c>
    </row>
    <row r="57" spans="1:4" x14ac:dyDescent="0.25">
      <c r="A57" t="str">
        <f t="shared" si="0"/>
        <v>200375+</v>
      </c>
      <c r="B57">
        <v>2003</v>
      </c>
      <c r="C57" s="4" t="s">
        <v>0</v>
      </c>
      <c r="D57" s="9">
        <v>818433</v>
      </c>
    </row>
    <row r="58" spans="1:4" x14ac:dyDescent="0.25">
      <c r="A58" t="str">
        <f t="shared" si="0"/>
        <v>20040-4</v>
      </c>
      <c r="B58">
        <v>2004</v>
      </c>
      <c r="C58" s="8" t="s">
        <v>6</v>
      </c>
      <c r="D58" s="9">
        <v>2770821</v>
      </c>
    </row>
    <row r="59" spans="1:4" x14ac:dyDescent="0.25">
      <c r="A59" t="str">
        <f t="shared" si="0"/>
        <v>20045-14</v>
      </c>
      <c r="B59">
        <v>2004</v>
      </c>
      <c r="C59" s="4" t="s">
        <v>5</v>
      </c>
      <c r="D59" s="9">
        <v>5372677</v>
      </c>
    </row>
    <row r="60" spans="1:4" x14ac:dyDescent="0.25">
      <c r="A60" t="str">
        <f t="shared" si="0"/>
        <v>200415-24</v>
      </c>
      <c r="B60">
        <v>2004</v>
      </c>
      <c r="C60" s="4" t="s">
        <v>4</v>
      </c>
      <c r="D60" s="9">
        <v>5078223</v>
      </c>
    </row>
    <row r="61" spans="1:4" x14ac:dyDescent="0.25">
      <c r="A61" t="str">
        <f t="shared" si="0"/>
        <v>200425-44</v>
      </c>
      <c r="B61">
        <v>2004</v>
      </c>
      <c r="C61" s="4" t="s">
        <v>3</v>
      </c>
      <c r="D61" s="9">
        <v>7631406</v>
      </c>
    </row>
    <row r="62" spans="1:4" x14ac:dyDescent="0.25">
      <c r="A62" t="str">
        <f t="shared" si="0"/>
        <v>200445-64</v>
      </c>
      <c r="B62">
        <v>2004</v>
      </c>
      <c r="C62" s="4" t="s">
        <v>2</v>
      </c>
      <c r="D62" s="9">
        <v>3814359</v>
      </c>
    </row>
    <row r="63" spans="1:4" x14ac:dyDescent="0.25">
      <c r="A63" t="str">
        <f t="shared" si="0"/>
        <v>200465-74</v>
      </c>
      <c r="B63">
        <v>2004</v>
      </c>
      <c r="C63" s="4" t="s">
        <v>1</v>
      </c>
      <c r="D63" s="9">
        <v>841739</v>
      </c>
    </row>
    <row r="64" spans="1:4" x14ac:dyDescent="0.25">
      <c r="A64" t="str">
        <f t="shared" si="0"/>
        <v>200475+</v>
      </c>
      <c r="B64">
        <v>2004</v>
      </c>
      <c r="C64" s="4" t="s">
        <v>0</v>
      </c>
      <c r="D64" s="9">
        <v>841739</v>
      </c>
    </row>
    <row r="65" spans="1:4" x14ac:dyDescent="0.25">
      <c r="A65" t="str">
        <f t="shared" si="0"/>
        <v>20050-4</v>
      </c>
      <c r="B65">
        <v>2005</v>
      </c>
      <c r="C65" s="8" t="s">
        <v>6</v>
      </c>
      <c r="D65" s="9">
        <v>2774961</v>
      </c>
    </row>
    <row r="66" spans="1:4" x14ac:dyDescent="0.25">
      <c r="A66" t="str">
        <f t="shared" si="0"/>
        <v>20055-14</v>
      </c>
      <c r="B66">
        <v>2005</v>
      </c>
      <c r="C66" s="4" t="s">
        <v>5</v>
      </c>
      <c r="D66" s="9">
        <v>5386812</v>
      </c>
    </row>
    <row r="67" spans="1:4" x14ac:dyDescent="0.25">
      <c r="A67" t="str">
        <f t="shared" ref="A67:A130" si="1">+CONCATENATE(B67,C67)</f>
        <v>200515-24</v>
      </c>
      <c r="B67">
        <v>2005</v>
      </c>
      <c r="C67" s="4" t="s">
        <v>4</v>
      </c>
      <c r="D67" s="9">
        <v>5134473</v>
      </c>
    </row>
    <row r="68" spans="1:4" x14ac:dyDescent="0.25">
      <c r="A68" t="str">
        <f t="shared" si="1"/>
        <v>200525-44</v>
      </c>
      <c r="B68">
        <v>2005</v>
      </c>
      <c r="C68" s="4" t="s">
        <v>3</v>
      </c>
      <c r="D68" s="9">
        <v>7765159</v>
      </c>
    </row>
    <row r="69" spans="1:4" x14ac:dyDescent="0.25">
      <c r="A69" t="str">
        <f t="shared" si="1"/>
        <v>200545-64</v>
      </c>
      <c r="B69">
        <v>2005</v>
      </c>
      <c r="C69" s="4" t="s">
        <v>2</v>
      </c>
      <c r="D69" s="9">
        <v>3970997</v>
      </c>
    </row>
    <row r="70" spans="1:4" x14ac:dyDescent="0.25">
      <c r="A70" t="str">
        <f t="shared" si="1"/>
        <v>200565-74</v>
      </c>
      <c r="B70">
        <v>2005</v>
      </c>
      <c r="C70" s="4" t="s">
        <v>1</v>
      </c>
      <c r="D70" s="9">
        <v>866819</v>
      </c>
    </row>
    <row r="71" spans="1:4" x14ac:dyDescent="0.25">
      <c r="A71" t="str">
        <f t="shared" si="1"/>
        <v>200575+</v>
      </c>
      <c r="B71">
        <v>2005</v>
      </c>
      <c r="C71" s="4" t="s">
        <v>0</v>
      </c>
      <c r="D71" s="9">
        <v>866819</v>
      </c>
    </row>
    <row r="72" spans="1:4" x14ac:dyDescent="0.25">
      <c r="A72" t="str">
        <f t="shared" si="1"/>
        <v>20060-4</v>
      </c>
      <c r="B72">
        <v>2006</v>
      </c>
      <c r="C72" s="8" t="s">
        <v>6</v>
      </c>
      <c r="D72" s="9">
        <v>2777568</v>
      </c>
    </row>
    <row r="73" spans="1:4" x14ac:dyDescent="0.25">
      <c r="A73" t="str">
        <f t="shared" si="1"/>
        <v>20065-14</v>
      </c>
      <c r="B73">
        <v>2006</v>
      </c>
      <c r="C73" s="4" t="s">
        <v>5</v>
      </c>
      <c r="D73" s="9">
        <v>5407717</v>
      </c>
    </row>
    <row r="74" spans="1:4" x14ac:dyDescent="0.25">
      <c r="A74" t="str">
        <f t="shared" si="1"/>
        <v>200615-24</v>
      </c>
      <c r="B74">
        <v>2006</v>
      </c>
      <c r="C74" s="4" t="s">
        <v>4</v>
      </c>
      <c r="D74" s="9">
        <v>5178861</v>
      </c>
    </row>
    <row r="75" spans="1:4" x14ac:dyDescent="0.25">
      <c r="A75" t="str">
        <f t="shared" si="1"/>
        <v>200625-44</v>
      </c>
      <c r="B75">
        <v>2006</v>
      </c>
      <c r="C75" s="4" t="s">
        <v>3</v>
      </c>
      <c r="D75" s="9">
        <v>7897108</v>
      </c>
    </row>
    <row r="76" spans="1:4" x14ac:dyDescent="0.25">
      <c r="A76" t="str">
        <f t="shared" si="1"/>
        <v>200645-64</v>
      </c>
      <c r="B76">
        <v>2006</v>
      </c>
      <c r="C76" s="4" t="s">
        <v>2</v>
      </c>
      <c r="D76" s="9">
        <v>4136588</v>
      </c>
    </row>
    <row r="77" spans="1:4" x14ac:dyDescent="0.25">
      <c r="A77" t="str">
        <f t="shared" si="1"/>
        <v>200665-74</v>
      </c>
      <c r="B77">
        <v>2006</v>
      </c>
      <c r="C77" s="4" t="s">
        <v>1</v>
      </c>
      <c r="D77" s="9">
        <v>893794</v>
      </c>
    </row>
    <row r="78" spans="1:4" x14ac:dyDescent="0.25">
      <c r="A78" t="str">
        <f t="shared" si="1"/>
        <v>200675+</v>
      </c>
      <c r="B78">
        <v>2006</v>
      </c>
      <c r="C78" s="4" t="s">
        <v>0</v>
      </c>
      <c r="D78" s="9">
        <v>893794</v>
      </c>
    </row>
    <row r="79" spans="1:4" x14ac:dyDescent="0.25">
      <c r="A79" t="str">
        <f t="shared" si="1"/>
        <v>20070-4</v>
      </c>
      <c r="B79">
        <v>2007</v>
      </c>
      <c r="C79" s="8" t="s">
        <v>6</v>
      </c>
      <c r="D79" s="9">
        <v>2778731</v>
      </c>
    </row>
    <row r="80" spans="1:4" x14ac:dyDescent="0.25">
      <c r="A80" t="str">
        <f t="shared" si="1"/>
        <v>20075-14</v>
      </c>
      <c r="B80">
        <v>2007</v>
      </c>
      <c r="C80" s="4" t="s">
        <v>5</v>
      </c>
      <c r="D80" s="9">
        <v>5427910</v>
      </c>
    </row>
    <row r="81" spans="1:4" x14ac:dyDescent="0.25">
      <c r="A81" t="str">
        <f t="shared" si="1"/>
        <v>200715-24</v>
      </c>
      <c r="B81">
        <v>2007</v>
      </c>
      <c r="C81" s="4" t="s">
        <v>4</v>
      </c>
      <c r="D81" s="9">
        <v>5216537</v>
      </c>
    </row>
    <row r="82" spans="1:4" x14ac:dyDescent="0.25">
      <c r="A82" t="str">
        <f t="shared" si="1"/>
        <v>200725-44</v>
      </c>
      <c r="B82">
        <v>2007</v>
      </c>
      <c r="C82" s="4" t="s">
        <v>3</v>
      </c>
      <c r="D82" s="9">
        <v>8032843</v>
      </c>
    </row>
    <row r="83" spans="1:4" x14ac:dyDescent="0.25">
      <c r="A83" t="str">
        <f t="shared" si="1"/>
        <v>200745-64</v>
      </c>
      <c r="B83">
        <v>2007</v>
      </c>
      <c r="C83" s="4" t="s">
        <v>2</v>
      </c>
      <c r="D83" s="9">
        <v>4307510</v>
      </c>
    </row>
    <row r="84" spans="1:4" x14ac:dyDescent="0.25">
      <c r="A84" t="str">
        <f t="shared" si="1"/>
        <v>200765-74</v>
      </c>
      <c r="B84">
        <v>2007</v>
      </c>
      <c r="C84" s="4" t="s">
        <v>1</v>
      </c>
      <c r="D84" s="9">
        <v>922773</v>
      </c>
    </row>
    <row r="85" spans="1:4" x14ac:dyDescent="0.25">
      <c r="A85" t="str">
        <f t="shared" si="1"/>
        <v>200775+</v>
      </c>
      <c r="B85">
        <v>2007</v>
      </c>
      <c r="C85" s="4" t="s">
        <v>0</v>
      </c>
      <c r="D85" s="9">
        <v>922773</v>
      </c>
    </row>
    <row r="86" spans="1:4" x14ac:dyDescent="0.25">
      <c r="A86" t="str">
        <f t="shared" si="1"/>
        <v>20080-4</v>
      </c>
      <c r="B86">
        <v>2008</v>
      </c>
      <c r="C86" s="8" t="s">
        <v>6</v>
      </c>
      <c r="D86" s="9">
        <v>2778239</v>
      </c>
    </row>
    <row r="87" spans="1:4" x14ac:dyDescent="0.25">
      <c r="A87" t="str">
        <f t="shared" si="1"/>
        <v>20085-14</v>
      </c>
      <c r="B87">
        <v>2008</v>
      </c>
      <c r="C87" s="4" t="s">
        <v>5</v>
      </c>
      <c r="D87" s="9">
        <v>5448390</v>
      </c>
    </row>
    <row r="88" spans="1:4" x14ac:dyDescent="0.25">
      <c r="A88" t="str">
        <f t="shared" si="1"/>
        <v>200815-24</v>
      </c>
      <c r="B88">
        <v>2008</v>
      </c>
      <c r="C88" s="4" t="s">
        <v>4</v>
      </c>
      <c r="D88" s="9">
        <v>5246997</v>
      </c>
    </row>
    <row r="89" spans="1:4" x14ac:dyDescent="0.25">
      <c r="A89" t="str">
        <f t="shared" si="1"/>
        <v>200825-44</v>
      </c>
      <c r="B89">
        <v>2008</v>
      </c>
      <c r="C89" s="4" t="s">
        <v>3</v>
      </c>
      <c r="D89" s="9">
        <v>8172306</v>
      </c>
    </row>
    <row r="90" spans="1:4" x14ac:dyDescent="0.25">
      <c r="A90" t="str">
        <f t="shared" si="1"/>
        <v>200845-64</v>
      </c>
      <c r="B90">
        <v>2008</v>
      </c>
      <c r="C90" s="4" t="s">
        <v>2</v>
      </c>
      <c r="D90" s="9">
        <v>4483302</v>
      </c>
    </row>
    <row r="91" spans="1:4" x14ac:dyDescent="0.25">
      <c r="A91" t="str">
        <f t="shared" si="1"/>
        <v>200865-74</v>
      </c>
      <c r="B91">
        <v>2008</v>
      </c>
      <c r="C91" s="4" t="s">
        <v>1</v>
      </c>
      <c r="D91" s="9">
        <v>953869</v>
      </c>
    </row>
    <row r="92" spans="1:4" x14ac:dyDescent="0.25">
      <c r="A92" t="str">
        <f t="shared" si="1"/>
        <v>200875+</v>
      </c>
      <c r="B92">
        <v>2008</v>
      </c>
      <c r="C92" s="4" t="s">
        <v>0</v>
      </c>
      <c r="D92" s="9">
        <v>953869</v>
      </c>
    </row>
    <row r="93" spans="1:4" x14ac:dyDescent="0.25">
      <c r="A93" t="str">
        <f t="shared" si="1"/>
        <v>20090-4</v>
      </c>
      <c r="B93">
        <v>2009</v>
      </c>
      <c r="C93" s="8" t="s">
        <v>6</v>
      </c>
      <c r="D93" s="9">
        <v>2775920</v>
      </c>
    </row>
    <row r="94" spans="1:4" x14ac:dyDescent="0.25">
      <c r="A94" t="str">
        <f t="shared" si="1"/>
        <v>20095-14</v>
      </c>
      <c r="B94">
        <v>2009</v>
      </c>
      <c r="C94" s="4" t="s">
        <v>5</v>
      </c>
      <c r="D94" s="9">
        <v>5469822</v>
      </c>
    </row>
    <row r="95" spans="1:4" x14ac:dyDescent="0.25">
      <c r="A95" t="str">
        <f t="shared" si="1"/>
        <v>200915-24</v>
      </c>
      <c r="B95">
        <v>2009</v>
      </c>
      <c r="C95" s="4" t="s">
        <v>4</v>
      </c>
      <c r="D95" s="9">
        <v>5270463</v>
      </c>
    </row>
    <row r="96" spans="1:4" x14ac:dyDescent="0.25">
      <c r="A96" t="str">
        <f t="shared" si="1"/>
        <v>200925-44</v>
      </c>
      <c r="B96">
        <v>2009</v>
      </c>
      <c r="C96" s="4" t="s">
        <v>3</v>
      </c>
      <c r="D96" s="9">
        <v>8314639</v>
      </c>
    </row>
    <row r="97" spans="1:4" x14ac:dyDescent="0.25">
      <c r="A97" t="str">
        <f t="shared" si="1"/>
        <v>200945-64</v>
      </c>
      <c r="B97">
        <v>2009</v>
      </c>
      <c r="C97" s="4" t="s">
        <v>2</v>
      </c>
      <c r="D97" s="9">
        <v>4663733</v>
      </c>
    </row>
    <row r="98" spans="1:4" x14ac:dyDescent="0.25">
      <c r="A98" t="str">
        <f t="shared" si="1"/>
        <v>200965-74</v>
      </c>
      <c r="B98">
        <v>2009</v>
      </c>
      <c r="C98" s="4" t="s">
        <v>1</v>
      </c>
      <c r="D98" s="9">
        <v>987212</v>
      </c>
    </row>
    <row r="99" spans="1:4" x14ac:dyDescent="0.25">
      <c r="A99" t="str">
        <f t="shared" si="1"/>
        <v>200975+</v>
      </c>
      <c r="B99">
        <v>2009</v>
      </c>
      <c r="C99" s="4" t="s">
        <v>0</v>
      </c>
      <c r="D99" s="9">
        <v>987212</v>
      </c>
    </row>
    <row r="100" spans="1:4" x14ac:dyDescent="0.25">
      <c r="A100" t="str">
        <f t="shared" si="1"/>
        <v>20100-4</v>
      </c>
      <c r="B100">
        <v>2010</v>
      </c>
      <c r="C100" s="8" t="s">
        <v>6</v>
      </c>
      <c r="D100" s="9">
        <v>2771760</v>
      </c>
    </row>
    <row r="101" spans="1:4" x14ac:dyDescent="0.25">
      <c r="A101" t="str">
        <f t="shared" si="1"/>
        <v>20105-14</v>
      </c>
      <c r="B101">
        <v>2010</v>
      </c>
      <c r="C101" s="4" t="s">
        <v>5</v>
      </c>
      <c r="D101" s="9">
        <v>5492408</v>
      </c>
    </row>
    <row r="102" spans="1:4" x14ac:dyDescent="0.25">
      <c r="A102" t="str">
        <f t="shared" si="1"/>
        <v>201015-24</v>
      </c>
      <c r="B102">
        <v>2010</v>
      </c>
      <c r="C102" s="4" t="s">
        <v>4</v>
      </c>
      <c r="D102" s="9">
        <v>5286720</v>
      </c>
    </row>
    <row r="103" spans="1:4" x14ac:dyDescent="0.25">
      <c r="A103" t="str">
        <f t="shared" si="1"/>
        <v>201025-44</v>
      </c>
      <c r="B103">
        <v>2010</v>
      </c>
      <c r="C103" s="4" t="s">
        <v>3</v>
      </c>
      <c r="D103" s="9">
        <v>8458444</v>
      </c>
    </row>
    <row r="104" spans="1:4" x14ac:dyDescent="0.25">
      <c r="A104" t="str">
        <f t="shared" si="1"/>
        <v>201045-64</v>
      </c>
      <c r="B104">
        <v>2010</v>
      </c>
      <c r="C104" s="4" t="s">
        <v>2</v>
      </c>
      <c r="D104" s="9">
        <v>4849717</v>
      </c>
    </row>
    <row r="105" spans="1:4" x14ac:dyDescent="0.25">
      <c r="A105" t="str">
        <f t="shared" si="1"/>
        <v>201065-74</v>
      </c>
      <c r="B105">
        <v>2010</v>
      </c>
      <c r="C105" s="4" t="s">
        <v>1</v>
      </c>
      <c r="D105" s="9">
        <v>1022974</v>
      </c>
    </row>
    <row r="106" spans="1:4" x14ac:dyDescent="0.25">
      <c r="A106" t="str">
        <f t="shared" si="1"/>
        <v>201075+</v>
      </c>
      <c r="B106">
        <v>2010</v>
      </c>
      <c r="C106" s="4" t="s">
        <v>0</v>
      </c>
      <c r="D106" s="9">
        <v>1022974</v>
      </c>
    </row>
    <row r="107" spans="1:4" x14ac:dyDescent="0.25">
      <c r="A107" t="str">
        <f t="shared" si="1"/>
        <v>20110-4</v>
      </c>
      <c r="B107">
        <v>2011</v>
      </c>
      <c r="C107" s="8" t="s">
        <v>6</v>
      </c>
      <c r="D107" s="9">
        <v>2765898</v>
      </c>
    </row>
    <row r="108" spans="1:4" x14ac:dyDescent="0.25">
      <c r="A108" t="str">
        <f t="shared" si="1"/>
        <v>20115-14</v>
      </c>
      <c r="B108">
        <v>2011</v>
      </c>
      <c r="C108" s="4" t="s">
        <v>5</v>
      </c>
      <c r="D108" s="9">
        <v>5516288</v>
      </c>
    </row>
    <row r="109" spans="1:4" x14ac:dyDescent="0.25">
      <c r="A109" t="str">
        <f t="shared" si="1"/>
        <v>201115-24</v>
      </c>
      <c r="B109">
        <v>2011</v>
      </c>
      <c r="C109" s="4" t="s">
        <v>4</v>
      </c>
      <c r="D109" s="9">
        <v>5296319</v>
      </c>
    </row>
    <row r="110" spans="1:4" x14ac:dyDescent="0.25">
      <c r="A110" t="str">
        <f t="shared" si="1"/>
        <v>201125-44</v>
      </c>
      <c r="B110">
        <v>2011</v>
      </c>
      <c r="C110" s="4" t="s">
        <v>3</v>
      </c>
      <c r="D110" s="9">
        <v>8602515</v>
      </c>
    </row>
    <row r="111" spans="1:4" x14ac:dyDescent="0.25">
      <c r="A111" t="str">
        <f t="shared" si="1"/>
        <v>201145-64</v>
      </c>
      <c r="B111">
        <v>2011</v>
      </c>
      <c r="C111" s="4" t="s">
        <v>2</v>
      </c>
      <c r="D111" s="9">
        <v>5041154</v>
      </c>
    </row>
    <row r="112" spans="1:4" x14ac:dyDescent="0.25">
      <c r="A112" t="str">
        <f t="shared" si="1"/>
        <v>201165-74</v>
      </c>
      <c r="B112">
        <v>2011</v>
      </c>
      <c r="C112" s="4" t="s">
        <v>1</v>
      </c>
      <c r="D112" s="9">
        <v>1061340</v>
      </c>
    </row>
    <row r="113" spans="1:4" x14ac:dyDescent="0.25">
      <c r="A113" t="str">
        <f t="shared" si="1"/>
        <v>201175+</v>
      </c>
      <c r="B113">
        <v>2011</v>
      </c>
      <c r="C113" s="4" t="s">
        <v>0</v>
      </c>
      <c r="D113" s="9">
        <v>1061340</v>
      </c>
    </row>
    <row r="114" spans="1:4" x14ac:dyDescent="0.25">
      <c r="A114" t="str">
        <f t="shared" si="1"/>
        <v>20120-4</v>
      </c>
      <c r="B114">
        <v>2012</v>
      </c>
      <c r="C114" s="8" t="s">
        <v>6</v>
      </c>
      <c r="D114" s="9">
        <v>2759356.4495101599</v>
      </c>
    </row>
    <row r="115" spans="1:4" x14ac:dyDescent="0.25">
      <c r="A115" t="str">
        <f t="shared" si="1"/>
        <v>20125-14</v>
      </c>
      <c r="B115">
        <v>2012</v>
      </c>
      <c r="C115" s="4" t="s">
        <v>5</v>
      </c>
      <c r="D115" s="9">
        <v>5537428.7927720398</v>
      </c>
    </row>
    <row r="116" spans="1:4" x14ac:dyDescent="0.25">
      <c r="A116" t="str">
        <f t="shared" si="1"/>
        <v>201215-24</v>
      </c>
      <c r="B116">
        <v>2012</v>
      </c>
      <c r="C116" s="4" t="s">
        <v>4</v>
      </c>
      <c r="D116" s="9">
        <v>5307779.7280284902</v>
      </c>
    </row>
    <row r="117" spans="1:4" x14ac:dyDescent="0.25">
      <c r="A117" t="str">
        <f t="shared" si="1"/>
        <v>201225-44</v>
      </c>
      <c r="B117">
        <v>2012</v>
      </c>
      <c r="C117" s="4" t="s">
        <v>3</v>
      </c>
      <c r="D117" s="9">
        <v>8748082.6996606905</v>
      </c>
    </row>
    <row r="118" spans="1:4" x14ac:dyDescent="0.25">
      <c r="A118" t="str">
        <f t="shared" si="1"/>
        <v>201245-64</v>
      </c>
      <c r="B118">
        <v>2012</v>
      </c>
      <c r="C118" s="4" t="s">
        <v>2</v>
      </c>
      <c r="D118" s="9">
        <v>5230482.0778962998</v>
      </c>
    </row>
    <row r="119" spans="1:4" x14ac:dyDescent="0.25">
      <c r="A119" t="str">
        <f t="shared" si="1"/>
        <v>201265-74</v>
      </c>
      <c r="B119">
        <v>2012</v>
      </c>
      <c r="C119" s="4" t="s">
        <v>1</v>
      </c>
      <c r="D119" s="9">
        <v>1102796.7939262099</v>
      </c>
    </row>
    <row r="120" spans="1:4" x14ac:dyDescent="0.25">
      <c r="A120" t="str">
        <f t="shared" si="1"/>
        <v>201275+</v>
      </c>
      <c r="B120">
        <v>2012</v>
      </c>
      <c r="C120" s="4" t="s">
        <v>0</v>
      </c>
      <c r="D120" s="9">
        <v>1102796.7939262099</v>
      </c>
    </row>
    <row r="121" spans="1:4" x14ac:dyDescent="0.25">
      <c r="A121" t="str">
        <f t="shared" si="1"/>
        <v>20130-4</v>
      </c>
      <c r="B121">
        <v>2013</v>
      </c>
      <c r="C121" s="8" t="s">
        <v>6</v>
      </c>
      <c r="D121" s="9">
        <v>2752322.19750119</v>
      </c>
    </row>
    <row r="122" spans="1:4" x14ac:dyDescent="0.25">
      <c r="A122" t="str">
        <f t="shared" si="1"/>
        <v>20135-14</v>
      </c>
      <c r="B122">
        <v>2013</v>
      </c>
      <c r="C122" s="4" t="s">
        <v>5</v>
      </c>
      <c r="D122" s="9">
        <v>5554323.1251711203</v>
      </c>
    </row>
    <row r="123" spans="1:4" x14ac:dyDescent="0.25">
      <c r="A123" t="str">
        <f t="shared" si="1"/>
        <v>201315-24</v>
      </c>
      <c r="B123">
        <v>2013</v>
      </c>
      <c r="C123" s="4" t="s">
        <v>4</v>
      </c>
      <c r="D123" s="9">
        <v>5323364.8480997998</v>
      </c>
    </row>
    <row r="124" spans="1:4" x14ac:dyDescent="0.25">
      <c r="A124" t="str">
        <f t="shared" si="1"/>
        <v>201325-44</v>
      </c>
      <c r="B124">
        <v>2013</v>
      </c>
      <c r="C124" s="4" t="s">
        <v>3</v>
      </c>
      <c r="D124" s="9">
        <v>8893718.1904660594</v>
      </c>
    </row>
    <row r="125" spans="1:4" x14ac:dyDescent="0.25">
      <c r="A125" t="str">
        <f t="shared" si="1"/>
        <v>201345-64</v>
      </c>
      <c r="B125">
        <v>2013</v>
      </c>
      <c r="C125" s="4" t="s">
        <v>2</v>
      </c>
      <c r="D125" s="9">
        <v>5415783.9591287402</v>
      </c>
    </row>
    <row r="126" spans="1:4" x14ac:dyDescent="0.25">
      <c r="A126" t="str">
        <f t="shared" si="1"/>
        <v>201365-74</v>
      </c>
      <c r="B126">
        <v>2013</v>
      </c>
      <c r="C126" s="4" t="s">
        <v>1</v>
      </c>
      <c r="D126" s="9">
        <v>1147296.6505007599</v>
      </c>
    </row>
    <row r="127" spans="1:4" x14ac:dyDescent="0.25">
      <c r="A127" t="str">
        <f t="shared" si="1"/>
        <v>201375+</v>
      </c>
      <c r="B127">
        <v>2013</v>
      </c>
      <c r="C127" s="4" t="s">
        <v>0</v>
      </c>
      <c r="D127" s="9">
        <v>1147296.6505007599</v>
      </c>
    </row>
    <row r="128" spans="1:4" x14ac:dyDescent="0.25">
      <c r="A128" t="str">
        <f t="shared" si="1"/>
        <v>20140-4</v>
      </c>
      <c r="B128">
        <v>2014</v>
      </c>
      <c r="C128" s="8" t="s">
        <v>6</v>
      </c>
      <c r="D128" s="9">
        <v>2744697</v>
      </c>
    </row>
    <row r="129" spans="1:4" x14ac:dyDescent="0.25">
      <c r="A129" t="str">
        <f t="shared" si="1"/>
        <v>20145-14</v>
      </c>
      <c r="B129">
        <v>2014</v>
      </c>
      <c r="C129" s="4" t="s">
        <v>5</v>
      </c>
      <c r="D129" s="9">
        <v>5566437</v>
      </c>
    </row>
    <row r="130" spans="1:4" x14ac:dyDescent="0.25">
      <c r="A130" t="str">
        <f t="shared" si="1"/>
        <v>201415-24</v>
      </c>
      <c r="B130">
        <v>2014</v>
      </c>
      <c r="C130" s="4" t="s">
        <v>4</v>
      </c>
      <c r="D130" s="9">
        <v>5343109</v>
      </c>
    </row>
    <row r="131" spans="1:4" x14ac:dyDescent="0.25">
      <c r="A131" t="str">
        <f t="shared" ref="A131:A134" si="2">+CONCATENATE(B131,C131)</f>
        <v>201425-44</v>
      </c>
      <c r="B131">
        <v>2014</v>
      </c>
      <c r="C131" s="4" t="s">
        <v>3</v>
      </c>
      <c r="D131" s="9">
        <v>9037113</v>
      </c>
    </row>
    <row r="132" spans="1:4" x14ac:dyDescent="0.25">
      <c r="A132" t="str">
        <f t="shared" si="2"/>
        <v>201445-64</v>
      </c>
      <c r="B132">
        <v>2014</v>
      </c>
      <c r="C132" s="4" t="s">
        <v>2</v>
      </c>
      <c r="D132" s="9">
        <v>5597164</v>
      </c>
    </row>
    <row r="133" spans="1:4" x14ac:dyDescent="0.25">
      <c r="A133" t="str">
        <f t="shared" si="2"/>
        <v>201465-74</v>
      </c>
      <c r="B133">
        <v>2014</v>
      </c>
      <c r="C133" s="4" t="s">
        <v>1</v>
      </c>
      <c r="D133" s="9">
        <v>1194627</v>
      </c>
    </row>
    <row r="134" spans="1:4" x14ac:dyDescent="0.25">
      <c r="A134" t="str">
        <f t="shared" si="2"/>
        <v>201475+</v>
      </c>
      <c r="B134">
        <v>2014</v>
      </c>
      <c r="C134" s="4" t="s">
        <v>0</v>
      </c>
      <c r="D134" s="9">
        <v>1194627</v>
      </c>
    </row>
  </sheetData>
  <autoFilter ref="B1:D13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Views>
    <sheetView topLeftCell="A113" workbookViewId="0">
      <selection activeCell="C141" sqref="C141"/>
    </sheetView>
  </sheetViews>
  <sheetFormatPr baseColWidth="10" defaultRowHeight="15" x14ac:dyDescent="0.25"/>
  <cols>
    <col min="2" max="2" width="13.85546875" customWidth="1"/>
    <col min="3" max="3" width="13.85546875" style="4" customWidth="1"/>
    <col min="4" max="4" width="13.85546875" customWidth="1"/>
  </cols>
  <sheetData>
    <row r="1" spans="1:4" x14ac:dyDescent="0.25">
      <c r="B1" s="15" t="s">
        <v>23</v>
      </c>
      <c r="C1" s="15" t="s">
        <v>22</v>
      </c>
      <c r="D1" s="15" t="s">
        <v>24</v>
      </c>
    </row>
    <row r="2" spans="1:4" x14ac:dyDescent="0.25">
      <c r="A2" t="str">
        <f>+CONCATENATE(B2,C2)</f>
        <v>19960-4</v>
      </c>
      <c r="B2">
        <v>1996</v>
      </c>
      <c r="C2" s="8" t="s">
        <v>6</v>
      </c>
      <c r="D2" s="2">
        <v>1308550.7828250399</v>
      </c>
    </row>
    <row r="3" spans="1:4" x14ac:dyDescent="0.25">
      <c r="A3" t="str">
        <f t="shared" ref="A3:A66" si="0">+CONCATENATE(B3,C3)</f>
        <v>19965-14</v>
      </c>
      <c r="B3">
        <v>1996</v>
      </c>
      <c r="C3" s="4" t="s">
        <v>5</v>
      </c>
      <c r="D3" s="2">
        <v>2617766.7452121698</v>
      </c>
    </row>
    <row r="4" spans="1:4" x14ac:dyDescent="0.25">
      <c r="A4" t="str">
        <f t="shared" si="0"/>
        <v>199615-24</v>
      </c>
      <c r="B4">
        <v>1996</v>
      </c>
      <c r="C4" s="4" t="s">
        <v>4</v>
      </c>
      <c r="D4" s="2">
        <v>2136825.68729656</v>
      </c>
    </row>
    <row r="5" spans="1:4" x14ac:dyDescent="0.25">
      <c r="A5" t="str">
        <f t="shared" si="0"/>
        <v>199625-44</v>
      </c>
      <c r="B5">
        <v>1996</v>
      </c>
      <c r="C5" s="4" t="s">
        <v>3</v>
      </c>
      <c r="D5" s="2">
        <v>3245545.2890741802</v>
      </c>
    </row>
    <row r="6" spans="1:4" x14ac:dyDescent="0.25">
      <c r="A6" t="str">
        <f t="shared" si="0"/>
        <v>199645-64</v>
      </c>
      <c r="B6">
        <v>1996</v>
      </c>
      <c r="C6" s="4" t="s">
        <v>2</v>
      </c>
      <c r="D6" s="2">
        <v>1448877.9572723201</v>
      </c>
    </row>
    <row r="7" spans="1:4" x14ac:dyDescent="0.25">
      <c r="A7" t="str">
        <f t="shared" si="0"/>
        <v>199665-74</v>
      </c>
      <c r="B7">
        <v>1996</v>
      </c>
      <c r="C7" s="4" t="s">
        <v>1</v>
      </c>
      <c r="D7" s="2">
        <v>373487.34083337098</v>
      </c>
    </row>
    <row r="8" spans="1:4" x14ac:dyDescent="0.25">
      <c r="A8" t="str">
        <f t="shared" si="0"/>
        <v>199675+</v>
      </c>
      <c r="B8">
        <v>1996</v>
      </c>
      <c r="C8" s="4" t="s">
        <v>0</v>
      </c>
      <c r="D8" s="2">
        <v>186458.585231801</v>
      </c>
    </row>
    <row r="9" spans="1:4" x14ac:dyDescent="0.25">
      <c r="A9" t="str">
        <f t="shared" si="0"/>
        <v>19970-4</v>
      </c>
      <c r="B9">
        <v>1997</v>
      </c>
      <c r="C9" s="8" t="s">
        <v>6</v>
      </c>
      <c r="D9" s="2">
        <v>1317732.8696950199</v>
      </c>
    </row>
    <row r="10" spans="1:4" x14ac:dyDescent="0.25">
      <c r="A10" t="str">
        <f t="shared" si="0"/>
        <v>19975-14</v>
      </c>
      <c r="B10">
        <v>1997</v>
      </c>
      <c r="C10" s="4" t="s">
        <v>5</v>
      </c>
      <c r="D10" s="2">
        <v>2625110.0471272999</v>
      </c>
    </row>
    <row r="11" spans="1:4" x14ac:dyDescent="0.25">
      <c r="A11" t="str">
        <f t="shared" si="0"/>
        <v>199715-24</v>
      </c>
      <c r="B11">
        <v>1997</v>
      </c>
      <c r="C11" s="4" t="s">
        <v>4</v>
      </c>
      <c r="D11" s="2">
        <v>2190257.4123779298</v>
      </c>
    </row>
    <row r="12" spans="1:4" x14ac:dyDescent="0.25">
      <c r="A12" t="str">
        <f t="shared" si="0"/>
        <v>199725-44</v>
      </c>
      <c r="B12">
        <v>1997</v>
      </c>
      <c r="C12" s="4" t="s">
        <v>3</v>
      </c>
      <c r="D12" s="2">
        <v>3319788.9734445098</v>
      </c>
    </row>
    <row r="13" spans="1:4" x14ac:dyDescent="0.25">
      <c r="A13" t="str">
        <f t="shared" si="0"/>
        <v>199745-64</v>
      </c>
      <c r="B13">
        <v>1997</v>
      </c>
      <c r="C13" s="4" t="s">
        <v>2</v>
      </c>
      <c r="D13" s="2">
        <v>1494497.7743633899</v>
      </c>
    </row>
    <row r="14" spans="1:4" x14ac:dyDescent="0.25">
      <c r="A14" t="str">
        <f t="shared" si="0"/>
        <v>199765-74</v>
      </c>
      <c r="B14">
        <v>1997</v>
      </c>
      <c r="C14" s="4" t="s">
        <v>1</v>
      </c>
      <c r="D14" s="2">
        <v>377918.60450002301</v>
      </c>
    </row>
    <row r="15" spans="1:4" x14ac:dyDescent="0.25">
      <c r="A15" t="str">
        <f t="shared" si="0"/>
        <v>199775+</v>
      </c>
      <c r="B15">
        <v>1997</v>
      </c>
      <c r="C15" s="4" t="s">
        <v>0</v>
      </c>
      <c r="D15" s="2">
        <v>197836.55113907999</v>
      </c>
    </row>
    <row r="16" spans="1:4" x14ac:dyDescent="0.25">
      <c r="A16" t="str">
        <f t="shared" si="0"/>
        <v>19980-4</v>
      </c>
      <c r="B16">
        <v>1998</v>
      </c>
      <c r="C16" s="8" t="s">
        <v>6</v>
      </c>
      <c r="D16" s="2">
        <v>1325697.93484751</v>
      </c>
    </row>
    <row r="17" spans="1:4" x14ac:dyDescent="0.25">
      <c r="A17" t="str">
        <f t="shared" si="0"/>
        <v>19985-14</v>
      </c>
      <c r="B17">
        <v>1998</v>
      </c>
      <c r="C17" s="4" t="s">
        <v>5</v>
      </c>
      <c r="D17" s="2">
        <v>2628255.52356365</v>
      </c>
    </row>
    <row r="18" spans="1:4" x14ac:dyDescent="0.25">
      <c r="A18" t="str">
        <f t="shared" si="0"/>
        <v>199815-24</v>
      </c>
      <c r="B18">
        <v>1998</v>
      </c>
      <c r="C18" s="4" t="s">
        <v>4</v>
      </c>
      <c r="D18" s="2">
        <v>2242694.2061889698</v>
      </c>
    </row>
    <row r="19" spans="1:4" x14ac:dyDescent="0.25">
      <c r="A19" t="str">
        <f t="shared" si="0"/>
        <v>199825-44</v>
      </c>
      <c r="B19">
        <v>1998</v>
      </c>
      <c r="C19" s="4" t="s">
        <v>3</v>
      </c>
      <c r="D19" s="2">
        <v>3392799.98672225</v>
      </c>
    </row>
    <row r="20" spans="1:4" x14ac:dyDescent="0.25">
      <c r="A20" t="str">
        <f t="shared" si="0"/>
        <v>199845-64</v>
      </c>
      <c r="B20">
        <v>1998</v>
      </c>
      <c r="C20" s="4" t="s">
        <v>2</v>
      </c>
      <c r="D20" s="2">
        <v>1544756.3871817</v>
      </c>
    </row>
    <row r="21" spans="1:4" x14ac:dyDescent="0.25">
      <c r="A21" t="str">
        <f t="shared" si="0"/>
        <v>199865-74</v>
      </c>
      <c r="B21">
        <v>1998</v>
      </c>
      <c r="C21" s="4" t="s">
        <v>1</v>
      </c>
      <c r="D21" s="2">
        <v>383636.80225001101</v>
      </c>
    </row>
    <row r="22" spans="1:4" x14ac:dyDescent="0.25">
      <c r="A22" t="str">
        <f t="shared" si="0"/>
        <v>199875+</v>
      </c>
      <c r="B22">
        <v>1998</v>
      </c>
      <c r="C22" s="4" t="s">
        <v>0</v>
      </c>
      <c r="D22" s="2">
        <v>210840.77556954001</v>
      </c>
    </row>
    <row r="23" spans="1:4" x14ac:dyDescent="0.25">
      <c r="A23" t="str">
        <f t="shared" si="0"/>
        <v>19990-4</v>
      </c>
      <c r="B23">
        <v>1999</v>
      </c>
      <c r="C23" s="8" t="s">
        <v>6</v>
      </c>
      <c r="D23" s="2">
        <v>1332528.9782825001</v>
      </c>
    </row>
    <row r="24" spans="1:4" x14ac:dyDescent="0.25">
      <c r="A24" t="str">
        <f t="shared" si="0"/>
        <v>19995-14</v>
      </c>
      <c r="B24">
        <v>1999</v>
      </c>
      <c r="C24" s="4" t="s">
        <v>5</v>
      </c>
      <c r="D24" s="2">
        <v>2628380.1745212199</v>
      </c>
    </row>
    <row r="25" spans="1:4" x14ac:dyDescent="0.25">
      <c r="A25" t="str">
        <f t="shared" si="0"/>
        <v>199915-24</v>
      </c>
      <c r="B25">
        <v>1999</v>
      </c>
      <c r="C25" s="4" t="s">
        <v>4</v>
      </c>
      <c r="D25" s="2">
        <v>2293434.06872966</v>
      </c>
    </row>
    <row r="26" spans="1:4" x14ac:dyDescent="0.25">
      <c r="A26" t="str">
        <f t="shared" si="0"/>
        <v>199925-44</v>
      </c>
      <c r="B26">
        <v>1999</v>
      </c>
      <c r="C26" s="4" t="s">
        <v>3</v>
      </c>
      <c r="D26" s="2">
        <v>3464730.3289074199</v>
      </c>
    </row>
    <row r="27" spans="1:4" x14ac:dyDescent="0.25">
      <c r="A27" t="str">
        <f t="shared" si="0"/>
        <v>199945-64</v>
      </c>
      <c r="B27">
        <v>1999</v>
      </c>
      <c r="C27" s="4" t="s">
        <v>2</v>
      </c>
      <c r="D27" s="2">
        <v>1599513.7957272299</v>
      </c>
    </row>
    <row r="28" spans="1:4" x14ac:dyDescent="0.25">
      <c r="A28" t="str">
        <f t="shared" si="0"/>
        <v>199965-74</v>
      </c>
      <c r="B28">
        <v>1999</v>
      </c>
      <c r="C28" s="4" t="s">
        <v>1</v>
      </c>
      <c r="D28" s="2">
        <v>390568.93408333702</v>
      </c>
    </row>
    <row r="29" spans="1:4" x14ac:dyDescent="0.25">
      <c r="A29" t="str">
        <f t="shared" si="0"/>
        <v>199975+</v>
      </c>
      <c r="B29">
        <v>1999</v>
      </c>
      <c r="C29" s="4" t="s">
        <v>0</v>
      </c>
      <c r="D29" s="2">
        <v>225043.25852318</v>
      </c>
    </row>
    <row r="30" spans="1:4" x14ac:dyDescent="0.25">
      <c r="A30" t="str">
        <f t="shared" si="0"/>
        <v>20000-4</v>
      </c>
      <c r="B30">
        <v>2000</v>
      </c>
      <c r="C30" s="8" t="s">
        <v>6</v>
      </c>
      <c r="D30" s="2">
        <v>1338309</v>
      </c>
    </row>
    <row r="31" spans="1:4" x14ac:dyDescent="0.25">
      <c r="A31" t="str">
        <f t="shared" si="0"/>
        <v>20005-14</v>
      </c>
      <c r="B31">
        <v>2000</v>
      </c>
      <c r="C31" s="4" t="s">
        <v>5</v>
      </c>
      <c r="D31" s="2">
        <v>2626661</v>
      </c>
    </row>
    <row r="32" spans="1:4" x14ac:dyDescent="0.25">
      <c r="A32" t="str">
        <f t="shared" si="0"/>
        <v>200015-24</v>
      </c>
      <c r="B32">
        <v>2000</v>
      </c>
      <c r="C32" s="4" t="s">
        <v>4</v>
      </c>
      <c r="D32" s="2">
        <v>2341775</v>
      </c>
    </row>
    <row r="33" spans="1:4" x14ac:dyDescent="0.25">
      <c r="A33" t="str">
        <f t="shared" si="0"/>
        <v>200025-44</v>
      </c>
      <c r="B33">
        <v>2000</v>
      </c>
      <c r="C33" s="4" t="s">
        <v>3</v>
      </c>
      <c r="D33" s="2">
        <v>3535732</v>
      </c>
    </row>
    <row r="34" spans="1:4" x14ac:dyDescent="0.25">
      <c r="A34" t="str">
        <f t="shared" si="0"/>
        <v>200045-64</v>
      </c>
      <c r="B34">
        <v>2000</v>
      </c>
      <c r="C34" s="4" t="s">
        <v>2</v>
      </c>
      <c r="D34" s="2">
        <v>1658630</v>
      </c>
    </row>
    <row r="35" spans="1:4" x14ac:dyDescent="0.25">
      <c r="A35" t="str">
        <f t="shared" si="0"/>
        <v>200065-74</v>
      </c>
      <c r="B35">
        <v>2000</v>
      </c>
      <c r="C35" s="4" t="s">
        <v>1</v>
      </c>
      <c r="D35" s="2">
        <v>398642</v>
      </c>
    </row>
    <row r="36" spans="1:4" x14ac:dyDescent="0.25">
      <c r="A36" t="str">
        <f t="shared" si="0"/>
        <v>200075+</v>
      </c>
      <c r="B36">
        <v>2000</v>
      </c>
      <c r="C36" s="4" t="s">
        <v>0</v>
      </c>
      <c r="D36" s="2">
        <v>240016</v>
      </c>
    </row>
    <row r="37" spans="1:4" x14ac:dyDescent="0.25">
      <c r="A37" t="str">
        <f t="shared" si="0"/>
        <v>20010-4</v>
      </c>
      <c r="B37">
        <v>2001</v>
      </c>
      <c r="C37" s="8" t="s">
        <v>6</v>
      </c>
      <c r="D37" s="2">
        <v>1343121</v>
      </c>
    </row>
    <row r="38" spans="1:4" x14ac:dyDescent="0.25">
      <c r="A38" t="str">
        <f t="shared" si="0"/>
        <v>20015-14</v>
      </c>
      <c r="B38">
        <v>2001</v>
      </c>
      <c r="C38" s="4" t="s">
        <v>5</v>
      </c>
      <c r="D38" s="2">
        <v>2624275</v>
      </c>
    </row>
    <row r="39" spans="1:4" x14ac:dyDescent="0.25">
      <c r="A39" t="str">
        <f t="shared" si="0"/>
        <v>200115-24</v>
      </c>
      <c r="B39">
        <v>2001</v>
      </c>
      <c r="C39" s="4" t="s">
        <v>4</v>
      </c>
      <c r="D39" s="2">
        <v>2387015</v>
      </c>
    </row>
    <row r="40" spans="1:4" x14ac:dyDescent="0.25">
      <c r="A40" t="str">
        <f t="shared" si="0"/>
        <v>200125-44</v>
      </c>
      <c r="B40">
        <v>2001</v>
      </c>
      <c r="C40" s="4" t="s">
        <v>3</v>
      </c>
      <c r="D40" s="2">
        <v>3605957</v>
      </c>
    </row>
    <row r="41" spans="1:4" x14ac:dyDescent="0.25">
      <c r="A41" t="str">
        <f t="shared" si="0"/>
        <v>200145-64</v>
      </c>
      <c r="B41">
        <v>2001</v>
      </c>
      <c r="C41" s="4" t="s">
        <v>2</v>
      </c>
      <c r="D41" s="2">
        <v>1721965</v>
      </c>
    </row>
    <row r="42" spans="1:4" x14ac:dyDescent="0.25">
      <c r="A42" t="str">
        <f t="shared" si="0"/>
        <v>200165-74</v>
      </c>
      <c r="B42">
        <v>2001</v>
      </c>
      <c r="C42" s="4" t="s">
        <v>1</v>
      </c>
      <c r="D42" s="2">
        <v>407783</v>
      </c>
    </row>
    <row r="43" spans="1:4" x14ac:dyDescent="0.25">
      <c r="A43" t="str">
        <f t="shared" si="0"/>
        <v>200175+</v>
      </c>
      <c r="B43">
        <v>2001</v>
      </c>
      <c r="C43" s="4" t="s">
        <v>0</v>
      </c>
      <c r="D43" s="2">
        <v>255331</v>
      </c>
    </row>
    <row r="44" spans="1:4" x14ac:dyDescent="0.25">
      <c r="A44" t="str">
        <f t="shared" si="0"/>
        <v>20020-4</v>
      </c>
      <c r="B44">
        <v>2002</v>
      </c>
      <c r="C44" s="8" t="s">
        <v>6</v>
      </c>
      <c r="D44" s="2">
        <v>1347045</v>
      </c>
    </row>
    <row r="45" spans="1:4" x14ac:dyDescent="0.25">
      <c r="A45" t="str">
        <f t="shared" si="0"/>
        <v>20025-14</v>
      </c>
      <c r="B45">
        <v>2002</v>
      </c>
      <c r="C45" s="4" t="s">
        <v>5</v>
      </c>
      <c r="D45" s="2">
        <v>2622422</v>
      </c>
    </row>
    <row r="46" spans="1:4" x14ac:dyDescent="0.25">
      <c r="A46" t="str">
        <f t="shared" si="0"/>
        <v>200215-24</v>
      </c>
      <c r="B46">
        <v>2002</v>
      </c>
      <c r="C46" s="4" t="s">
        <v>4</v>
      </c>
      <c r="D46" s="2">
        <v>2428415</v>
      </c>
    </row>
    <row r="47" spans="1:4" x14ac:dyDescent="0.25">
      <c r="A47" t="str">
        <f t="shared" si="0"/>
        <v>200225-44</v>
      </c>
      <c r="B47">
        <v>2002</v>
      </c>
      <c r="C47" s="4" t="s">
        <v>3</v>
      </c>
      <c r="D47" s="2">
        <v>3675559</v>
      </c>
    </row>
    <row r="48" spans="1:4" x14ac:dyDescent="0.25">
      <c r="A48" t="str">
        <f t="shared" si="0"/>
        <v>200245-64</v>
      </c>
      <c r="B48">
        <v>2002</v>
      </c>
      <c r="C48" s="4" t="s">
        <v>2</v>
      </c>
      <c r="D48" s="2">
        <v>1789361</v>
      </c>
    </row>
    <row r="49" spans="1:4" x14ac:dyDescent="0.25">
      <c r="A49" t="str">
        <f t="shared" si="0"/>
        <v>200265-74</v>
      </c>
      <c r="B49">
        <v>2002</v>
      </c>
      <c r="C49" s="4" t="s">
        <v>1</v>
      </c>
      <c r="D49" s="2">
        <v>417907</v>
      </c>
    </row>
    <row r="50" spans="1:4" x14ac:dyDescent="0.25">
      <c r="A50" t="str">
        <f t="shared" si="0"/>
        <v>200275+</v>
      </c>
      <c r="B50">
        <v>2002</v>
      </c>
      <c r="C50" s="4" t="s">
        <v>0</v>
      </c>
      <c r="D50" s="2">
        <v>270538</v>
      </c>
    </row>
    <row r="51" spans="1:4" x14ac:dyDescent="0.25">
      <c r="A51" t="str">
        <f t="shared" si="0"/>
        <v>20030-4</v>
      </c>
      <c r="B51">
        <v>2003</v>
      </c>
      <c r="C51" s="8" t="s">
        <v>6</v>
      </c>
      <c r="D51" s="2">
        <v>1350164</v>
      </c>
    </row>
    <row r="52" spans="1:4" x14ac:dyDescent="0.25">
      <c r="A52" t="str">
        <f t="shared" si="0"/>
        <v>20035-14</v>
      </c>
      <c r="B52">
        <v>2003</v>
      </c>
      <c r="C52" s="4" t="s">
        <v>5</v>
      </c>
      <c r="D52" s="2">
        <v>2622279</v>
      </c>
    </row>
    <row r="53" spans="1:4" x14ac:dyDescent="0.25">
      <c r="A53" t="str">
        <f t="shared" si="0"/>
        <v>200315-24</v>
      </c>
      <c r="B53">
        <v>2003</v>
      </c>
      <c r="C53" s="4" t="s">
        <v>4</v>
      </c>
      <c r="D53" s="2">
        <v>2465273</v>
      </c>
    </row>
    <row r="54" spans="1:4" x14ac:dyDescent="0.25">
      <c r="A54" t="str">
        <f t="shared" si="0"/>
        <v>200325-44</v>
      </c>
      <c r="B54">
        <v>2003</v>
      </c>
      <c r="C54" s="4" t="s">
        <v>3</v>
      </c>
      <c r="D54" s="2">
        <v>3744690</v>
      </c>
    </row>
    <row r="55" spans="1:4" x14ac:dyDescent="0.25">
      <c r="A55" t="str">
        <f t="shared" si="0"/>
        <v>200345-64</v>
      </c>
      <c r="B55">
        <v>2003</v>
      </c>
      <c r="C55" s="4" t="s">
        <v>2</v>
      </c>
      <c r="D55" s="2">
        <v>1860678</v>
      </c>
    </row>
    <row r="56" spans="1:4" x14ac:dyDescent="0.25">
      <c r="A56" t="str">
        <f t="shared" si="0"/>
        <v>200365-74</v>
      </c>
      <c r="B56">
        <v>2003</v>
      </c>
      <c r="C56" s="4" t="s">
        <v>1</v>
      </c>
      <c r="D56" s="2">
        <v>428941</v>
      </c>
    </row>
    <row r="57" spans="1:4" x14ac:dyDescent="0.25">
      <c r="A57" t="str">
        <f t="shared" si="0"/>
        <v>200375+</v>
      </c>
      <c r="B57">
        <v>2003</v>
      </c>
      <c r="C57" s="4" t="s">
        <v>0</v>
      </c>
      <c r="D57" s="2">
        <v>285209</v>
      </c>
    </row>
    <row r="58" spans="1:4" x14ac:dyDescent="0.25">
      <c r="A58" t="str">
        <f t="shared" si="0"/>
        <v>20040-4</v>
      </c>
      <c r="B58">
        <v>2004</v>
      </c>
      <c r="C58" s="8" t="s">
        <v>6</v>
      </c>
      <c r="D58" s="2">
        <v>1352508</v>
      </c>
    </row>
    <row r="59" spans="1:4" x14ac:dyDescent="0.25">
      <c r="A59" t="str">
        <f t="shared" si="0"/>
        <v>20045-14</v>
      </c>
      <c r="B59">
        <v>2004</v>
      </c>
      <c r="C59" s="4" t="s">
        <v>5</v>
      </c>
      <c r="D59" s="2">
        <v>2624530</v>
      </c>
    </row>
    <row r="60" spans="1:4" x14ac:dyDescent="0.25">
      <c r="A60" t="str">
        <f t="shared" si="0"/>
        <v>200415-24</v>
      </c>
      <c r="B60">
        <v>2004</v>
      </c>
      <c r="C60" s="4" t="s">
        <v>4</v>
      </c>
      <c r="D60" s="2">
        <v>2497409</v>
      </c>
    </row>
    <row r="61" spans="1:4" x14ac:dyDescent="0.25">
      <c r="A61" t="str">
        <f t="shared" si="0"/>
        <v>200425-44</v>
      </c>
      <c r="B61">
        <v>2004</v>
      </c>
      <c r="C61" s="4" t="s">
        <v>3</v>
      </c>
      <c r="D61" s="2">
        <v>3813358</v>
      </c>
    </row>
    <row r="62" spans="1:4" x14ac:dyDescent="0.25">
      <c r="A62" t="str">
        <f t="shared" si="0"/>
        <v>200445-64</v>
      </c>
      <c r="B62">
        <v>2004</v>
      </c>
      <c r="C62" s="4" t="s">
        <v>2</v>
      </c>
      <c r="D62" s="2">
        <v>1936129</v>
      </c>
    </row>
    <row r="63" spans="1:4" x14ac:dyDescent="0.25">
      <c r="A63" t="str">
        <f t="shared" si="0"/>
        <v>200465-74</v>
      </c>
      <c r="B63">
        <v>2004</v>
      </c>
      <c r="C63" s="4" t="s">
        <v>1</v>
      </c>
      <c r="D63" s="2">
        <v>441018</v>
      </c>
    </row>
    <row r="64" spans="1:4" x14ac:dyDescent="0.25">
      <c r="A64" t="str">
        <f t="shared" si="0"/>
        <v>200475+</v>
      </c>
      <c r="B64">
        <v>2004</v>
      </c>
      <c r="C64" s="4" t="s">
        <v>0</v>
      </c>
      <c r="D64" s="2">
        <v>299301</v>
      </c>
    </row>
    <row r="65" spans="1:4" x14ac:dyDescent="0.25">
      <c r="A65" t="str">
        <f t="shared" si="0"/>
        <v>20050-4</v>
      </c>
      <c r="B65">
        <v>2005</v>
      </c>
      <c r="C65" s="8" t="s">
        <v>6</v>
      </c>
      <c r="D65" s="2">
        <v>1353852</v>
      </c>
    </row>
    <row r="66" spans="1:4" x14ac:dyDescent="0.25">
      <c r="A66" t="str">
        <f t="shared" si="0"/>
        <v>20055-14</v>
      </c>
      <c r="B66">
        <v>2005</v>
      </c>
      <c r="C66" s="4" t="s">
        <v>5</v>
      </c>
      <c r="D66" s="2">
        <v>2629864</v>
      </c>
    </row>
    <row r="67" spans="1:4" x14ac:dyDescent="0.25">
      <c r="A67" t="str">
        <f t="shared" ref="A67:A130" si="1">+CONCATENATE(B67,C67)</f>
        <v>200515-24</v>
      </c>
      <c r="B67">
        <v>2005</v>
      </c>
      <c r="C67" s="4" t="s">
        <v>4</v>
      </c>
      <c r="D67" s="2">
        <v>2524017</v>
      </c>
    </row>
    <row r="68" spans="1:4" x14ac:dyDescent="0.25">
      <c r="A68" t="str">
        <f t="shared" si="1"/>
        <v>200525-44</v>
      </c>
      <c r="B68">
        <v>2005</v>
      </c>
      <c r="C68" s="4" t="s">
        <v>3</v>
      </c>
      <c r="D68" s="2">
        <v>3881062</v>
      </c>
    </row>
    <row r="69" spans="1:4" x14ac:dyDescent="0.25">
      <c r="A69" t="str">
        <f t="shared" si="1"/>
        <v>200545-64</v>
      </c>
      <c r="B69">
        <v>2005</v>
      </c>
      <c r="C69" s="4" t="s">
        <v>2</v>
      </c>
      <c r="D69" s="2">
        <v>2016148</v>
      </c>
    </row>
    <row r="70" spans="1:4" x14ac:dyDescent="0.25">
      <c r="A70" t="str">
        <f t="shared" si="1"/>
        <v>200565-74</v>
      </c>
      <c r="B70">
        <v>2005</v>
      </c>
      <c r="C70" s="4" t="s">
        <v>1</v>
      </c>
      <c r="D70" s="2">
        <v>454245</v>
      </c>
    </row>
    <row r="71" spans="1:4" x14ac:dyDescent="0.25">
      <c r="A71" t="str">
        <f t="shared" si="1"/>
        <v>200575+</v>
      </c>
      <c r="B71">
        <v>2005</v>
      </c>
      <c r="C71" s="4" t="s">
        <v>0</v>
      </c>
      <c r="D71" s="2">
        <v>312767</v>
      </c>
    </row>
    <row r="72" spans="1:4" x14ac:dyDescent="0.25">
      <c r="A72" t="str">
        <f t="shared" si="1"/>
        <v>20060-4</v>
      </c>
      <c r="B72">
        <v>2006</v>
      </c>
      <c r="C72" s="8" t="s">
        <v>6</v>
      </c>
      <c r="D72" s="2">
        <v>1354432</v>
      </c>
    </row>
    <row r="73" spans="1:4" x14ac:dyDescent="0.25">
      <c r="A73" t="str">
        <f t="shared" si="1"/>
        <v>20065-14</v>
      </c>
      <c r="B73">
        <v>2006</v>
      </c>
      <c r="C73" s="4" t="s">
        <v>5</v>
      </c>
      <c r="D73" s="2">
        <v>2638747</v>
      </c>
    </row>
    <row r="74" spans="1:4" x14ac:dyDescent="0.25">
      <c r="A74" t="str">
        <f t="shared" si="1"/>
        <v>200615-24</v>
      </c>
      <c r="B74">
        <v>2006</v>
      </c>
      <c r="C74" s="4" t="s">
        <v>4</v>
      </c>
      <c r="D74" s="2">
        <v>2544731</v>
      </c>
    </row>
    <row r="75" spans="1:4" x14ac:dyDescent="0.25">
      <c r="A75" t="str">
        <f t="shared" si="1"/>
        <v>200625-44</v>
      </c>
      <c r="B75">
        <v>2006</v>
      </c>
      <c r="C75" s="4" t="s">
        <v>3</v>
      </c>
      <c r="D75" s="2">
        <v>3947836</v>
      </c>
    </row>
    <row r="76" spans="1:4" x14ac:dyDescent="0.25">
      <c r="A76" t="str">
        <f t="shared" si="1"/>
        <v>200645-64</v>
      </c>
      <c r="B76">
        <v>2006</v>
      </c>
      <c r="C76" s="4" t="s">
        <v>2</v>
      </c>
      <c r="D76" s="2">
        <v>2100791</v>
      </c>
    </row>
    <row r="77" spans="1:4" x14ac:dyDescent="0.25">
      <c r="A77" t="str">
        <f t="shared" si="1"/>
        <v>200665-74</v>
      </c>
      <c r="B77">
        <v>2006</v>
      </c>
      <c r="C77" s="4" t="s">
        <v>1</v>
      </c>
      <c r="D77" s="2">
        <v>468680</v>
      </c>
    </row>
    <row r="78" spans="1:4" x14ac:dyDescent="0.25">
      <c r="A78" t="str">
        <f t="shared" si="1"/>
        <v>200675+</v>
      </c>
      <c r="B78">
        <v>2006</v>
      </c>
      <c r="C78" s="4" t="s">
        <v>0</v>
      </c>
      <c r="D78" s="2">
        <v>325672</v>
      </c>
    </row>
    <row r="79" spans="1:4" x14ac:dyDescent="0.25">
      <c r="A79" t="str">
        <f t="shared" si="1"/>
        <v>20070-4</v>
      </c>
      <c r="B79">
        <v>2007</v>
      </c>
      <c r="C79" s="8" t="s">
        <v>6</v>
      </c>
      <c r="D79" s="2">
        <v>1354234</v>
      </c>
    </row>
    <row r="80" spans="1:4" x14ac:dyDescent="0.25">
      <c r="A80" t="str">
        <f t="shared" si="1"/>
        <v>20075-14</v>
      </c>
      <c r="B80">
        <v>2007</v>
      </c>
      <c r="C80" s="4" t="s">
        <v>5</v>
      </c>
      <c r="D80" s="2">
        <v>2647233</v>
      </c>
    </row>
    <row r="81" spans="1:4" x14ac:dyDescent="0.25">
      <c r="A81" t="str">
        <f t="shared" si="1"/>
        <v>200715-24</v>
      </c>
      <c r="B81">
        <v>2007</v>
      </c>
      <c r="C81" s="4" t="s">
        <v>4</v>
      </c>
      <c r="D81" s="2">
        <v>2561885</v>
      </c>
    </row>
    <row r="82" spans="1:4" x14ac:dyDescent="0.25">
      <c r="A82" t="str">
        <f t="shared" si="1"/>
        <v>200725-44</v>
      </c>
      <c r="B82">
        <v>2007</v>
      </c>
      <c r="C82" s="4" t="s">
        <v>3</v>
      </c>
      <c r="D82" s="2">
        <v>4016163</v>
      </c>
    </row>
    <row r="83" spans="1:4" x14ac:dyDescent="0.25">
      <c r="A83" t="str">
        <f t="shared" si="1"/>
        <v>200745-64</v>
      </c>
      <c r="B83">
        <v>2007</v>
      </c>
      <c r="C83" s="4" t="s">
        <v>2</v>
      </c>
      <c r="D83" s="2">
        <v>2188071</v>
      </c>
    </row>
    <row r="84" spans="1:4" x14ac:dyDescent="0.25">
      <c r="A84" t="str">
        <f t="shared" si="1"/>
        <v>200765-74</v>
      </c>
      <c r="B84">
        <v>2007</v>
      </c>
      <c r="C84" s="4" t="s">
        <v>1</v>
      </c>
      <c r="D84" s="2">
        <v>484321</v>
      </c>
    </row>
    <row r="85" spans="1:4" x14ac:dyDescent="0.25">
      <c r="A85" t="str">
        <f t="shared" si="1"/>
        <v>200775+</v>
      </c>
      <c r="B85">
        <v>2007</v>
      </c>
      <c r="C85" s="4" t="s">
        <v>0</v>
      </c>
      <c r="D85" s="2">
        <v>338128</v>
      </c>
    </row>
    <row r="86" spans="1:4" x14ac:dyDescent="0.25">
      <c r="A86" t="str">
        <f t="shared" si="1"/>
        <v>20080-4</v>
      </c>
      <c r="B86">
        <v>2008</v>
      </c>
      <c r="C86" s="8" t="s">
        <v>6</v>
      </c>
      <c r="D86" s="2">
        <v>1353145</v>
      </c>
    </row>
    <row r="87" spans="1:4" x14ac:dyDescent="0.25">
      <c r="A87" t="str">
        <f t="shared" si="1"/>
        <v>20085-14</v>
      </c>
      <c r="B87">
        <v>2008</v>
      </c>
      <c r="C87" s="4" t="s">
        <v>5</v>
      </c>
      <c r="D87" s="2">
        <v>2655740</v>
      </c>
    </row>
    <row r="88" spans="1:4" x14ac:dyDescent="0.25">
      <c r="A88" t="str">
        <f t="shared" si="1"/>
        <v>200815-24</v>
      </c>
      <c r="B88">
        <v>2008</v>
      </c>
      <c r="C88" s="4" t="s">
        <v>4</v>
      </c>
      <c r="D88" s="2">
        <v>2575138</v>
      </c>
    </row>
    <row r="89" spans="1:4" x14ac:dyDescent="0.25">
      <c r="A89" t="str">
        <f t="shared" si="1"/>
        <v>200825-44</v>
      </c>
      <c r="B89">
        <v>2008</v>
      </c>
      <c r="C89" s="4" t="s">
        <v>3</v>
      </c>
      <c r="D89" s="2">
        <v>4085944</v>
      </c>
    </row>
    <row r="90" spans="1:4" x14ac:dyDescent="0.25">
      <c r="A90" t="str">
        <f t="shared" si="1"/>
        <v>200845-64</v>
      </c>
      <c r="B90">
        <v>2008</v>
      </c>
      <c r="C90" s="4" t="s">
        <v>2</v>
      </c>
      <c r="D90" s="2">
        <v>2277674</v>
      </c>
    </row>
    <row r="91" spans="1:4" x14ac:dyDescent="0.25">
      <c r="A91" t="str">
        <f t="shared" si="1"/>
        <v>200865-74</v>
      </c>
      <c r="B91">
        <v>2008</v>
      </c>
      <c r="C91" s="4" t="s">
        <v>1</v>
      </c>
      <c r="D91" s="2">
        <v>501201</v>
      </c>
    </row>
    <row r="92" spans="1:4" x14ac:dyDescent="0.25">
      <c r="A92" t="str">
        <f t="shared" si="1"/>
        <v>200875+</v>
      </c>
      <c r="B92">
        <v>2008</v>
      </c>
      <c r="C92" s="4" t="s">
        <v>0</v>
      </c>
      <c r="D92" s="2">
        <v>350235</v>
      </c>
    </row>
    <row r="93" spans="1:4" x14ac:dyDescent="0.25">
      <c r="A93" t="str">
        <f t="shared" si="1"/>
        <v>20090-4</v>
      </c>
      <c r="B93">
        <v>2009</v>
      </c>
      <c r="C93" s="8" t="s">
        <v>6</v>
      </c>
      <c r="D93" s="2">
        <v>1351158</v>
      </c>
    </row>
    <row r="94" spans="1:4" x14ac:dyDescent="0.25">
      <c r="A94" t="str">
        <f t="shared" si="1"/>
        <v>20095-14</v>
      </c>
      <c r="B94">
        <v>2009</v>
      </c>
      <c r="C94" s="4" t="s">
        <v>5</v>
      </c>
      <c r="D94" s="2">
        <v>2664671</v>
      </c>
    </row>
    <row r="95" spans="1:4" x14ac:dyDescent="0.25">
      <c r="A95" t="str">
        <f t="shared" si="1"/>
        <v>200915-24</v>
      </c>
      <c r="B95">
        <v>2009</v>
      </c>
      <c r="C95" s="4" t="s">
        <v>4</v>
      </c>
      <c r="D95" s="2">
        <v>2584791</v>
      </c>
    </row>
    <row r="96" spans="1:4" x14ac:dyDescent="0.25">
      <c r="A96" t="str">
        <f t="shared" si="1"/>
        <v>200925-44</v>
      </c>
      <c r="B96">
        <v>2009</v>
      </c>
      <c r="C96" s="4" t="s">
        <v>3</v>
      </c>
      <c r="D96" s="2">
        <v>4156891</v>
      </c>
    </row>
    <row r="97" spans="1:4" x14ac:dyDescent="0.25">
      <c r="A97" t="str">
        <f t="shared" si="1"/>
        <v>200945-64</v>
      </c>
      <c r="B97">
        <v>2009</v>
      </c>
      <c r="C97" s="4" t="s">
        <v>2</v>
      </c>
      <c r="D97" s="2">
        <v>2369589</v>
      </c>
    </row>
    <row r="98" spans="1:4" x14ac:dyDescent="0.25">
      <c r="A98" t="str">
        <f t="shared" si="1"/>
        <v>200965-74</v>
      </c>
      <c r="B98">
        <v>2009</v>
      </c>
      <c r="C98" s="4" t="s">
        <v>1</v>
      </c>
      <c r="D98" s="2">
        <v>519377</v>
      </c>
    </row>
    <row r="99" spans="1:4" x14ac:dyDescent="0.25">
      <c r="A99" t="str">
        <f t="shared" si="1"/>
        <v>200975+</v>
      </c>
      <c r="B99">
        <v>2009</v>
      </c>
      <c r="C99" s="4" t="s">
        <v>0</v>
      </c>
      <c r="D99" s="2">
        <v>362131</v>
      </c>
    </row>
    <row r="100" spans="1:4" x14ac:dyDescent="0.25">
      <c r="A100" t="str">
        <f t="shared" si="1"/>
        <v>20100-4</v>
      </c>
      <c r="B100">
        <v>2010</v>
      </c>
      <c r="C100" s="8" t="s">
        <v>6</v>
      </c>
      <c r="D100" s="2">
        <v>1348289</v>
      </c>
    </row>
    <row r="101" spans="1:4" x14ac:dyDescent="0.25">
      <c r="A101" t="str">
        <f t="shared" si="1"/>
        <v>20105-14</v>
      </c>
      <c r="B101">
        <v>2010</v>
      </c>
      <c r="C101" s="4" t="s">
        <v>5</v>
      </c>
      <c r="D101" s="2">
        <v>2674173</v>
      </c>
    </row>
    <row r="102" spans="1:4" x14ac:dyDescent="0.25">
      <c r="A102" t="str">
        <f t="shared" si="1"/>
        <v>201015-24</v>
      </c>
      <c r="B102">
        <v>2010</v>
      </c>
      <c r="C102" s="4" t="s">
        <v>4</v>
      </c>
      <c r="D102" s="2">
        <v>2590746</v>
      </c>
    </row>
    <row r="103" spans="1:4" x14ac:dyDescent="0.25">
      <c r="A103" t="str">
        <f t="shared" si="1"/>
        <v>201025-44</v>
      </c>
      <c r="B103">
        <v>2010</v>
      </c>
      <c r="C103" s="4" t="s">
        <v>3</v>
      </c>
      <c r="D103" s="2">
        <v>4228246</v>
      </c>
    </row>
    <row r="104" spans="1:4" x14ac:dyDescent="0.25">
      <c r="A104" t="str">
        <f t="shared" si="1"/>
        <v>201045-64</v>
      </c>
      <c r="B104">
        <v>2010</v>
      </c>
      <c r="C104" s="4" t="s">
        <v>2</v>
      </c>
      <c r="D104" s="2">
        <v>2464321</v>
      </c>
    </row>
    <row r="105" spans="1:4" x14ac:dyDescent="0.25">
      <c r="A105" t="str">
        <f t="shared" si="1"/>
        <v>201065-74</v>
      </c>
      <c r="B105">
        <v>2010</v>
      </c>
      <c r="C105" s="4" t="s">
        <v>1</v>
      </c>
      <c r="D105" s="2">
        <v>538921</v>
      </c>
    </row>
    <row r="106" spans="1:4" x14ac:dyDescent="0.25">
      <c r="A106" t="str">
        <f t="shared" si="1"/>
        <v>201075+</v>
      </c>
      <c r="B106">
        <v>2010</v>
      </c>
      <c r="C106" s="4" t="s">
        <v>0</v>
      </c>
      <c r="D106" s="2">
        <v>373918</v>
      </c>
    </row>
    <row r="107" spans="1:4" x14ac:dyDescent="0.25">
      <c r="A107" t="str">
        <f t="shared" si="1"/>
        <v>20110-4</v>
      </c>
      <c r="B107">
        <v>2011</v>
      </c>
      <c r="C107" s="8" t="s">
        <v>6</v>
      </c>
      <c r="D107" s="2">
        <v>1344595</v>
      </c>
    </row>
    <row r="108" spans="1:4" x14ac:dyDescent="0.25">
      <c r="A108" t="str">
        <f t="shared" si="1"/>
        <v>20115-14</v>
      </c>
      <c r="B108">
        <v>2011</v>
      </c>
      <c r="C108" s="4" t="s">
        <v>5</v>
      </c>
      <c r="D108" s="2">
        <v>2684312</v>
      </c>
    </row>
    <row r="109" spans="1:4" x14ac:dyDescent="0.25">
      <c r="A109" t="str">
        <f t="shared" si="1"/>
        <v>201115-24</v>
      </c>
      <c r="B109">
        <v>2011</v>
      </c>
      <c r="C109" s="4" t="s">
        <v>4</v>
      </c>
      <c r="D109" s="2">
        <v>2593350</v>
      </c>
    </row>
    <row r="110" spans="1:4" x14ac:dyDescent="0.25">
      <c r="A110" t="str">
        <f t="shared" si="1"/>
        <v>201125-44</v>
      </c>
      <c r="B110">
        <v>2011</v>
      </c>
      <c r="C110" s="4" t="s">
        <v>3</v>
      </c>
      <c r="D110" s="2">
        <v>4299392</v>
      </c>
    </row>
    <row r="111" spans="1:4" x14ac:dyDescent="0.25">
      <c r="A111" t="str">
        <f t="shared" si="1"/>
        <v>201145-64</v>
      </c>
      <c r="B111">
        <v>2011</v>
      </c>
      <c r="C111" s="4" t="s">
        <v>2</v>
      </c>
      <c r="D111" s="2">
        <v>2561836</v>
      </c>
    </row>
    <row r="112" spans="1:4" x14ac:dyDescent="0.25">
      <c r="A112" t="str">
        <f t="shared" si="1"/>
        <v>201165-74</v>
      </c>
      <c r="B112">
        <v>2011</v>
      </c>
      <c r="C112" s="4" t="s">
        <v>1</v>
      </c>
      <c r="D112" s="2">
        <v>559899</v>
      </c>
    </row>
    <row r="113" spans="1:4" x14ac:dyDescent="0.25">
      <c r="A113" t="str">
        <f t="shared" si="1"/>
        <v>201175+</v>
      </c>
      <c r="B113">
        <v>2011</v>
      </c>
      <c r="C113" s="4" t="s">
        <v>0</v>
      </c>
      <c r="D113" s="2">
        <v>385721</v>
      </c>
    </row>
    <row r="114" spans="1:4" x14ac:dyDescent="0.25">
      <c r="A114" t="str">
        <f t="shared" si="1"/>
        <v>20120-4</v>
      </c>
      <c r="B114">
        <v>2012</v>
      </c>
      <c r="C114" s="8" t="s">
        <v>6</v>
      </c>
      <c r="D114" s="2">
        <v>1340586.3214094499</v>
      </c>
    </row>
    <row r="115" spans="1:4" x14ac:dyDescent="0.25">
      <c r="A115" t="str">
        <f t="shared" si="1"/>
        <v>20125-14</v>
      </c>
      <c r="B115">
        <v>2012</v>
      </c>
      <c r="C115" s="4" t="s">
        <v>5</v>
      </c>
      <c r="D115" s="2">
        <v>2693165.8826794801</v>
      </c>
    </row>
    <row r="116" spans="1:4" x14ac:dyDescent="0.25">
      <c r="A116" t="str">
        <f t="shared" si="1"/>
        <v>201215-24</v>
      </c>
      <c r="B116">
        <v>2012</v>
      </c>
      <c r="C116" s="4" t="s">
        <v>4</v>
      </c>
      <c r="D116" s="2">
        <v>2596932.5593387499</v>
      </c>
    </row>
    <row r="117" spans="1:4" x14ac:dyDescent="0.25">
      <c r="A117" t="str">
        <f t="shared" si="1"/>
        <v>201225-44</v>
      </c>
      <c r="B117">
        <v>2012</v>
      </c>
      <c r="C117" s="4" t="s">
        <v>3</v>
      </c>
      <c r="D117" s="2">
        <v>4370928.8062696801</v>
      </c>
    </row>
    <row r="118" spans="1:4" x14ac:dyDescent="0.25">
      <c r="A118" t="str">
        <f t="shared" si="1"/>
        <v>201245-64</v>
      </c>
      <c r="B118">
        <v>2012</v>
      </c>
      <c r="C118" s="4" t="s">
        <v>2</v>
      </c>
      <c r="D118" s="2">
        <v>2658291.2681631502</v>
      </c>
    </row>
    <row r="119" spans="1:4" x14ac:dyDescent="0.25">
      <c r="A119" t="str">
        <f t="shared" si="1"/>
        <v>201265-74</v>
      </c>
      <c r="B119">
        <v>2012</v>
      </c>
      <c r="C119" s="4" t="s">
        <v>1</v>
      </c>
      <c r="D119" s="2">
        <v>582433.94467592705</v>
      </c>
    </row>
    <row r="120" spans="1:4" x14ac:dyDescent="0.25">
      <c r="A120" t="str">
        <f t="shared" si="1"/>
        <v>201275+</v>
      </c>
      <c r="B120">
        <v>2012</v>
      </c>
      <c r="C120" s="4" t="s">
        <v>0</v>
      </c>
      <c r="D120" s="2">
        <v>398069.84835797001</v>
      </c>
    </row>
    <row r="121" spans="1:4" x14ac:dyDescent="0.25">
      <c r="A121" t="str">
        <f t="shared" si="1"/>
        <v>20130-4</v>
      </c>
      <c r="B121">
        <v>2013</v>
      </c>
      <c r="C121" s="8" t="s">
        <v>6</v>
      </c>
      <c r="D121" s="2">
        <v>1336364.77993838</v>
      </c>
    </row>
    <row r="122" spans="1:4" x14ac:dyDescent="0.25">
      <c r="A122" t="str">
        <f t="shared" si="1"/>
        <v>20135-14</v>
      </c>
      <c r="B122">
        <v>2013</v>
      </c>
      <c r="C122" s="4" t="s">
        <v>5</v>
      </c>
      <c r="D122" s="2">
        <v>2699988.6782491799</v>
      </c>
    </row>
    <row r="123" spans="1:4" x14ac:dyDescent="0.25">
      <c r="A123" t="str">
        <f t="shared" si="1"/>
        <v>201315-24</v>
      </c>
      <c r="B123">
        <v>2013</v>
      </c>
      <c r="C123" s="4" t="s">
        <v>4</v>
      </c>
      <c r="D123">
        <v>2602650.6589393602</v>
      </c>
    </row>
    <row r="124" spans="1:4" x14ac:dyDescent="0.25">
      <c r="A124" t="str">
        <f t="shared" si="1"/>
        <v>201325-44</v>
      </c>
      <c r="B124">
        <v>2013</v>
      </c>
      <c r="C124" s="4" t="s">
        <v>3</v>
      </c>
      <c r="D124" s="2">
        <v>4442157.0636299504</v>
      </c>
    </row>
    <row r="125" spans="1:4" x14ac:dyDescent="0.25">
      <c r="A125" t="str">
        <f t="shared" si="1"/>
        <v>201345-64</v>
      </c>
      <c r="B125">
        <v>2013</v>
      </c>
      <c r="C125" s="4" t="s">
        <v>2</v>
      </c>
      <c r="D125" s="2">
        <v>2752738.9724179399</v>
      </c>
    </row>
    <row r="126" spans="1:4" x14ac:dyDescent="0.25">
      <c r="A126" t="str">
        <f t="shared" si="1"/>
        <v>201365-74</v>
      </c>
      <c r="B126">
        <v>2013</v>
      </c>
      <c r="C126" s="4" t="s">
        <v>1</v>
      </c>
      <c r="D126" s="2">
        <v>606480.27141564596</v>
      </c>
    </row>
    <row r="127" spans="1:4" x14ac:dyDescent="0.25">
      <c r="A127" t="str">
        <f t="shared" si="1"/>
        <v>201375+</v>
      </c>
      <c r="B127">
        <v>2013</v>
      </c>
      <c r="C127" s="4" t="s">
        <v>0</v>
      </c>
      <c r="D127" s="2">
        <v>411257.72175729403</v>
      </c>
    </row>
    <row r="128" spans="1:4" x14ac:dyDescent="0.25">
      <c r="A128" t="str">
        <f t="shared" si="1"/>
        <v>20140-4</v>
      </c>
      <c r="B128">
        <v>2014</v>
      </c>
      <c r="C128" s="8" t="s">
        <v>6</v>
      </c>
      <c r="D128" s="2">
        <v>1331891</v>
      </c>
    </row>
    <row r="129" spans="1:4" x14ac:dyDescent="0.25">
      <c r="A129" t="str">
        <f t="shared" si="1"/>
        <v>20145-14</v>
      </c>
      <c r="B129">
        <v>2014</v>
      </c>
      <c r="C129" s="4" t="s">
        <v>5</v>
      </c>
      <c r="D129" s="2">
        <v>2704490</v>
      </c>
    </row>
    <row r="130" spans="1:4" x14ac:dyDescent="0.25">
      <c r="A130" t="str">
        <f t="shared" si="1"/>
        <v>201415-24</v>
      </c>
      <c r="B130">
        <v>2014</v>
      </c>
      <c r="C130" s="4" t="s">
        <v>4</v>
      </c>
      <c r="D130">
        <v>2610538</v>
      </c>
    </row>
    <row r="131" spans="1:4" x14ac:dyDescent="0.25">
      <c r="A131" t="str">
        <f t="shared" ref="A131:A134" si="2">+CONCATENATE(B131,C131)</f>
        <v>201425-44</v>
      </c>
      <c r="B131">
        <v>2014</v>
      </c>
      <c r="C131" s="4" t="s">
        <v>3</v>
      </c>
      <c r="D131" s="2">
        <v>4511948</v>
      </c>
    </row>
    <row r="132" spans="1:4" x14ac:dyDescent="0.25">
      <c r="A132" t="str">
        <f t="shared" si="2"/>
        <v>201445-64</v>
      </c>
      <c r="B132">
        <v>2014</v>
      </c>
      <c r="C132" s="4" t="s">
        <v>2</v>
      </c>
      <c r="D132" s="2">
        <v>2845267</v>
      </c>
    </row>
    <row r="133" spans="1:4" x14ac:dyDescent="0.25">
      <c r="A133" t="str">
        <f t="shared" si="2"/>
        <v>201465-74</v>
      </c>
      <c r="B133">
        <v>2014</v>
      </c>
      <c r="C133" s="4" t="s">
        <v>1</v>
      </c>
      <c r="D133" s="2">
        <v>631943</v>
      </c>
    </row>
    <row r="134" spans="1:4" x14ac:dyDescent="0.25">
      <c r="A134" t="str">
        <f t="shared" si="2"/>
        <v>201475+</v>
      </c>
      <c r="B134">
        <v>2014</v>
      </c>
      <c r="C134" s="4" t="s">
        <v>0</v>
      </c>
      <c r="D134" s="2">
        <v>425486</v>
      </c>
    </row>
  </sheetData>
  <autoFilter ref="A1:D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"/>
  <sheetViews>
    <sheetView zoomScaleNormal="100" workbookViewId="0">
      <selection activeCell="G10" sqref="G10"/>
    </sheetView>
  </sheetViews>
  <sheetFormatPr baseColWidth="10" defaultRowHeight="15" x14ac:dyDescent="0.25"/>
  <cols>
    <col min="2" max="2" width="12" bestFit="1" customWidth="1"/>
    <col min="3" max="3" width="14.5703125" style="2" bestFit="1" customWidth="1"/>
    <col min="4" max="4" width="19.140625" style="2" bestFit="1" customWidth="1"/>
    <col min="6" max="6" width="27.42578125" customWidth="1"/>
    <col min="7" max="7" width="22.42578125" customWidth="1"/>
    <col min="8" max="8" width="12.5703125" customWidth="1"/>
    <col min="9" max="9" width="13.140625" customWidth="1"/>
    <col min="10" max="10" width="27.85546875" style="86" customWidth="1"/>
    <col min="11" max="11" width="11" customWidth="1"/>
    <col min="12" max="13" width="10" customWidth="1"/>
    <col min="14" max="14" width="12.5703125" customWidth="1"/>
    <col min="15" max="15" width="27.42578125" customWidth="1"/>
    <col min="16" max="16" width="22.85546875" customWidth="1"/>
    <col min="17" max="17" width="27.42578125" customWidth="1"/>
    <col min="18" max="18" width="22.85546875" customWidth="1"/>
    <col min="19" max="19" width="27.42578125" customWidth="1"/>
    <col min="20" max="20" width="22.85546875" customWidth="1"/>
    <col min="21" max="21" width="32.42578125" customWidth="1"/>
    <col min="22" max="22" width="27.85546875" customWidth="1"/>
    <col min="23" max="24" width="12" bestFit="1" customWidth="1"/>
    <col min="25" max="25" width="10" customWidth="1"/>
    <col min="26" max="26" width="27.42578125" bestFit="1" customWidth="1"/>
    <col min="27" max="29" width="12" bestFit="1" customWidth="1"/>
    <col min="30" max="41" width="10" customWidth="1"/>
    <col min="42" max="43" width="12" bestFit="1" customWidth="1"/>
    <col min="44" max="44" width="10" customWidth="1"/>
    <col min="45" max="45" width="27.85546875" bestFit="1" customWidth="1"/>
    <col min="46" max="46" width="32.42578125" bestFit="1" customWidth="1"/>
  </cols>
  <sheetData>
    <row r="1" spans="1:15" x14ac:dyDescent="0.25">
      <c r="A1" t="s">
        <v>23</v>
      </c>
      <c r="B1" t="s">
        <v>22</v>
      </c>
      <c r="C1" s="2" t="s">
        <v>203</v>
      </c>
      <c r="D1" s="2" t="s">
        <v>204</v>
      </c>
    </row>
    <row r="2" spans="1:15" x14ac:dyDescent="0.25">
      <c r="A2" s="2">
        <v>1996</v>
      </c>
      <c r="B2" t="s">
        <v>6</v>
      </c>
      <c r="C2" s="2">
        <v>2669011.0638103201</v>
      </c>
      <c r="D2" s="2">
        <v>1308550.7828250399</v>
      </c>
    </row>
    <row r="3" spans="1:15" x14ac:dyDescent="0.25">
      <c r="A3" s="2">
        <v>1997</v>
      </c>
      <c r="B3" t="s">
        <v>6</v>
      </c>
      <c r="C3" s="2">
        <v>2689637.03828619</v>
      </c>
      <c r="D3" s="2">
        <v>1317732.8696950199</v>
      </c>
      <c r="F3" s="5" t="s">
        <v>207</v>
      </c>
      <c r="G3" s="5" t="s">
        <v>208</v>
      </c>
    </row>
    <row r="4" spans="1:15" x14ac:dyDescent="0.25">
      <c r="A4" s="2">
        <v>1998</v>
      </c>
      <c r="B4" t="s">
        <v>6</v>
      </c>
      <c r="C4" s="2">
        <v>2707580.5191430999</v>
      </c>
      <c r="D4" s="2">
        <v>1325697.93484751</v>
      </c>
      <c r="F4" s="5" t="s">
        <v>205</v>
      </c>
      <c r="G4" t="s">
        <v>0</v>
      </c>
      <c r="H4" t="s">
        <v>206</v>
      </c>
      <c r="J4" s="86" t="s">
        <v>23</v>
      </c>
      <c r="K4" t="s">
        <v>209</v>
      </c>
      <c r="L4" t="s">
        <v>217</v>
      </c>
      <c r="O4" t="str">
        <f>+G4</f>
        <v>75+</v>
      </c>
    </row>
    <row r="5" spans="1:15" x14ac:dyDescent="0.25">
      <c r="A5" s="2">
        <v>1999</v>
      </c>
      <c r="B5" t="s">
        <v>6</v>
      </c>
      <c r="C5" s="2">
        <v>2723058.5063810302</v>
      </c>
      <c r="D5" s="2">
        <v>1332528.9782825001</v>
      </c>
      <c r="F5" s="6">
        <v>1996</v>
      </c>
      <c r="G5" s="1">
        <v>373487.34083337098</v>
      </c>
      <c r="H5" s="83">
        <v>373487.34083337098</v>
      </c>
      <c r="J5" s="86">
        <v>1996</v>
      </c>
      <c r="K5" s="1">
        <f>+G5</f>
        <v>373487.34083337098</v>
      </c>
      <c r="L5" s="1"/>
    </row>
    <row r="6" spans="1:15" x14ac:dyDescent="0.25">
      <c r="A6" s="2">
        <v>2000</v>
      </c>
      <c r="B6" t="s">
        <v>6</v>
      </c>
      <c r="C6" s="2">
        <v>2736288</v>
      </c>
      <c r="D6" s="2">
        <v>1338309</v>
      </c>
      <c r="F6" s="6">
        <v>1997</v>
      </c>
      <c r="G6" s="1">
        <v>377918.60450002301</v>
      </c>
      <c r="H6" s="83">
        <v>377918.60450002301</v>
      </c>
      <c r="J6" s="86">
        <v>1997</v>
      </c>
      <c r="K6" s="1">
        <f t="shared" ref="K6:K59" si="0">+G6</f>
        <v>377918.60450002301</v>
      </c>
    </row>
    <row r="7" spans="1:15" x14ac:dyDescent="0.25">
      <c r="A7" s="2">
        <v>2001</v>
      </c>
      <c r="B7" t="s">
        <v>6</v>
      </c>
      <c r="C7" s="2">
        <v>2747486</v>
      </c>
      <c r="D7" s="2">
        <v>1343121</v>
      </c>
      <c r="F7" s="6">
        <v>1998</v>
      </c>
      <c r="G7" s="1">
        <v>383636.80225001101</v>
      </c>
      <c r="H7" s="83">
        <v>383636.80225001101</v>
      </c>
      <c r="J7" s="86">
        <v>1998</v>
      </c>
      <c r="K7" s="1">
        <f t="shared" si="0"/>
        <v>383636.80225001101</v>
      </c>
    </row>
    <row r="8" spans="1:15" x14ac:dyDescent="0.25">
      <c r="A8" s="2">
        <v>2002</v>
      </c>
      <c r="B8" t="s">
        <v>6</v>
      </c>
      <c r="C8" s="2">
        <v>2756879</v>
      </c>
      <c r="D8" s="2">
        <v>1347045</v>
      </c>
      <c r="F8" s="6">
        <v>1999</v>
      </c>
      <c r="G8" s="1">
        <v>390568.93408333702</v>
      </c>
      <c r="H8" s="83">
        <v>390568.93408333702</v>
      </c>
      <c r="J8" s="86">
        <v>1999</v>
      </c>
      <c r="K8" s="1">
        <f t="shared" si="0"/>
        <v>390568.93408333702</v>
      </c>
    </row>
    <row r="9" spans="1:15" x14ac:dyDescent="0.25">
      <c r="A9" s="2">
        <v>2003</v>
      </c>
      <c r="B9" t="s">
        <v>6</v>
      </c>
      <c r="C9" s="2">
        <v>2764684</v>
      </c>
      <c r="D9" s="2">
        <v>1350164</v>
      </c>
      <c r="F9" s="6">
        <v>2000</v>
      </c>
      <c r="G9" s="1">
        <v>398642</v>
      </c>
      <c r="H9" s="83">
        <v>398642</v>
      </c>
      <c r="J9" s="86">
        <v>2000</v>
      </c>
      <c r="K9" s="1">
        <f t="shared" si="0"/>
        <v>398642</v>
      </c>
    </row>
    <row r="10" spans="1:15" x14ac:dyDescent="0.25">
      <c r="A10" s="2">
        <v>2004</v>
      </c>
      <c r="B10" t="s">
        <v>6</v>
      </c>
      <c r="C10" s="2">
        <v>2770821</v>
      </c>
      <c r="D10" s="2">
        <v>1352508</v>
      </c>
      <c r="F10" s="6">
        <v>2001</v>
      </c>
      <c r="G10" s="1">
        <v>407783</v>
      </c>
      <c r="H10" s="83">
        <v>407783</v>
      </c>
      <c r="J10" s="86">
        <v>2001</v>
      </c>
      <c r="K10" s="1">
        <f t="shared" si="0"/>
        <v>407783</v>
      </c>
    </row>
    <row r="11" spans="1:15" x14ac:dyDescent="0.25">
      <c r="A11" s="2">
        <v>2005</v>
      </c>
      <c r="B11" t="s">
        <v>6</v>
      </c>
      <c r="C11" s="2">
        <v>2774961</v>
      </c>
      <c r="D11" s="2">
        <v>1353852</v>
      </c>
      <c r="F11" s="6">
        <v>2002</v>
      </c>
      <c r="G11" s="1">
        <v>417907</v>
      </c>
      <c r="H11" s="83">
        <v>417907</v>
      </c>
      <c r="J11" s="86">
        <v>2002</v>
      </c>
      <c r="K11" s="1">
        <f t="shared" si="0"/>
        <v>417907</v>
      </c>
    </row>
    <row r="12" spans="1:15" x14ac:dyDescent="0.25">
      <c r="A12" s="2">
        <v>2006</v>
      </c>
      <c r="B12" t="s">
        <v>6</v>
      </c>
      <c r="C12" s="2">
        <v>2777568</v>
      </c>
      <c r="D12" s="2">
        <v>1354432</v>
      </c>
      <c r="F12" s="6">
        <v>2003</v>
      </c>
      <c r="G12" s="1">
        <v>428941</v>
      </c>
      <c r="H12" s="83">
        <v>428941</v>
      </c>
      <c r="J12" s="86">
        <v>2003</v>
      </c>
      <c r="K12" s="1">
        <f t="shared" si="0"/>
        <v>428941</v>
      </c>
    </row>
    <row r="13" spans="1:15" x14ac:dyDescent="0.25">
      <c r="A13" s="2">
        <v>2007</v>
      </c>
      <c r="B13" t="s">
        <v>6</v>
      </c>
      <c r="C13" s="2">
        <v>2778731</v>
      </c>
      <c r="D13" s="2">
        <v>1354234</v>
      </c>
      <c r="F13" s="6">
        <v>2004</v>
      </c>
      <c r="G13" s="1">
        <v>441018</v>
      </c>
      <c r="H13" s="83">
        <v>441018</v>
      </c>
      <c r="J13" s="86">
        <v>2004</v>
      </c>
      <c r="K13" s="1">
        <f t="shared" si="0"/>
        <v>441018</v>
      </c>
    </row>
    <row r="14" spans="1:15" x14ac:dyDescent="0.25">
      <c r="A14" s="2">
        <v>2008</v>
      </c>
      <c r="B14" t="s">
        <v>6</v>
      </c>
      <c r="C14" s="2">
        <v>2778239</v>
      </c>
      <c r="D14" s="2">
        <v>1353145</v>
      </c>
      <c r="F14" s="6">
        <v>2005</v>
      </c>
      <c r="G14" s="1">
        <v>454245</v>
      </c>
      <c r="H14" s="83">
        <v>454245</v>
      </c>
      <c r="J14" s="86">
        <v>2005</v>
      </c>
      <c r="K14" s="1">
        <f t="shared" si="0"/>
        <v>454245</v>
      </c>
    </row>
    <row r="15" spans="1:15" x14ac:dyDescent="0.25">
      <c r="A15" s="2">
        <v>2009</v>
      </c>
      <c r="B15" t="s">
        <v>6</v>
      </c>
      <c r="C15" s="2">
        <v>2775920</v>
      </c>
      <c r="D15" s="2">
        <v>1351158</v>
      </c>
      <c r="F15" s="6">
        <v>2006</v>
      </c>
      <c r="G15" s="1">
        <v>468680</v>
      </c>
      <c r="H15" s="83">
        <v>468680</v>
      </c>
      <c r="J15" s="86">
        <v>2006</v>
      </c>
      <c r="K15" s="1">
        <f t="shared" si="0"/>
        <v>468680</v>
      </c>
    </row>
    <row r="16" spans="1:15" x14ac:dyDescent="0.25">
      <c r="A16" s="2">
        <v>2010</v>
      </c>
      <c r="B16" t="s">
        <v>6</v>
      </c>
      <c r="C16" s="2">
        <v>2771760</v>
      </c>
      <c r="D16" s="2">
        <v>1348289</v>
      </c>
      <c r="F16" s="6">
        <v>2007</v>
      </c>
      <c r="G16" s="1">
        <v>484321</v>
      </c>
      <c r="H16" s="83">
        <v>484321</v>
      </c>
      <c r="J16" s="86">
        <v>2007</v>
      </c>
      <c r="K16" s="1">
        <f t="shared" si="0"/>
        <v>484321</v>
      </c>
    </row>
    <row r="17" spans="1:11" x14ac:dyDescent="0.25">
      <c r="A17" s="2">
        <v>2011</v>
      </c>
      <c r="B17" t="s">
        <v>6</v>
      </c>
      <c r="C17" s="2">
        <v>2765898</v>
      </c>
      <c r="D17" s="2">
        <v>1344595</v>
      </c>
      <c r="F17" s="6">
        <v>2008</v>
      </c>
      <c r="G17" s="1">
        <v>501201</v>
      </c>
      <c r="H17" s="83">
        <v>501201</v>
      </c>
      <c r="J17" s="86">
        <v>2008</v>
      </c>
      <c r="K17" s="1">
        <f t="shared" si="0"/>
        <v>501201</v>
      </c>
    </row>
    <row r="18" spans="1:11" x14ac:dyDescent="0.25">
      <c r="A18" s="2">
        <v>2012</v>
      </c>
      <c r="B18" t="s">
        <v>6</v>
      </c>
      <c r="C18" s="2">
        <v>2759356.4495101599</v>
      </c>
      <c r="D18" s="2">
        <v>1340586.3214094499</v>
      </c>
      <c r="F18" s="6">
        <v>2009</v>
      </c>
      <c r="G18" s="1">
        <v>519377</v>
      </c>
      <c r="H18" s="83">
        <v>519377</v>
      </c>
      <c r="J18" s="86">
        <v>2009</v>
      </c>
      <c r="K18" s="1">
        <f t="shared" si="0"/>
        <v>519377</v>
      </c>
    </row>
    <row r="19" spans="1:11" x14ac:dyDescent="0.25">
      <c r="A19" s="2">
        <v>2013</v>
      </c>
      <c r="B19" t="s">
        <v>6</v>
      </c>
      <c r="C19" s="2">
        <v>2752322.19750119</v>
      </c>
      <c r="D19" s="2">
        <v>1336364.77993838</v>
      </c>
      <c r="F19" s="6">
        <v>2010</v>
      </c>
      <c r="G19" s="1">
        <v>538921</v>
      </c>
      <c r="H19" s="83">
        <v>538921</v>
      </c>
      <c r="J19" s="86">
        <v>2010</v>
      </c>
      <c r="K19" s="1">
        <f t="shared" si="0"/>
        <v>538921</v>
      </c>
    </row>
    <row r="20" spans="1:11" x14ac:dyDescent="0.25">
      <c r="A20" s="2">
        <v>2014</v>
      </c>
      <c r="B20" t="s">
        <v>6</v>
      </c>
      <c r="C20" s="2">
        <v>2744697</v>
      </c>
      <c r="D20" s="2">
        <v>1331891</v>
      </c>
      <c r="F20" s="6">
        <v>2011</v>
      </c>
      <c r="G20" s="1">
        <v>559899</v>
      </c>
      <c r="H20" s="83">
        <v>559899</v>
      </c>
      <c r="J20" s="86">
        <v>2011</v>
      </c>
      <c r="K20" s="1">
        <f t="shared" si="0"/>
        <v>559899</v>
      </c>
    </row>
    <row r="21" spans="1:11" x14ac:dyDescent="0.25">
      <c r="A21" s="2">
        <v>2015</v>
      </c>
      <c r="B21" t="s">
        <v>6</v>
      </c>
      <c r="C21" s="2">
        <v>2736446</v>
      </c>
      <c r="D21" s="2">
        <v>1327162</v>
      </c>
      <c r="F21" s="6">
        <v>2012</v>
      </c>
      <c r="G21" s="1">
        <v>582433.94467592705</v>
      </c>
      <c r="H21" s="83">
        <v>582433.94467592705</v>
      </c>
      <c r="J21" s="86">
        <v>2012</v>
      </c>
      <c r="K21" s="1">
        <f t="shared" si="0"/>
        <v>582433.94467592705</v>
      </c>
    </row>
    <row r="22" spans="1:11" x14ac:dyDescent="0.25">
      <c r="A22" s="2">
        <v>2016</v>
      </c>
      <c r="B22" t="s">
        <v>6</v>
      </c>
      <c r="C22" s="2">
        <v>2727735</v>
      </c>
      <c r="D22" s="2">
        <v>1322284</v>
      </c>
      <c r="F22" s="6">
        <v>2013</v>
      </c>
      <c r="G22" s="1">
        <v>606480.27141564596</v>
      </c>
      <c r="H22" s="83">
        <v>606480.27141564596</v>
      </c>
      <c r="J22" s="86">
        <v>2013</v>
      </c>
      <c r="K22" s="1">
        <f t="shared" si="0"/>
        <v>606480.27141564596</v>
      </c>
    </row>
    <row r="23" spans="1:11" x14ac:dyDescent="0.25">
      <c r="A23" s="2">
        <v>2017</v>
      </c>
      <c r="B23" t="s">
        <v>6</v>
      </c>
      <c r="C23" s="2">
        <v>2718608</v>
      </c>
      <c r="D23" s="2">
        <v>1317267</v>
      </c>
      <c r="F23" s="6">
        <v>2014</v>
      </c>
      <c r="G23" s="1">
        <v>631943</v>
      </c>
      <c r="H23" s="83">
        <v>631943</v>
      </c>
      <c r="J23" s="86">
        <v>2014</v>
      </c>
      <c r="K23" s="1">
        <f t="shared" si="0"/>
        <v>631943</v>
      </c>
    </row>
    <row r="24" spans="1:11" x14ac:dyDescent="0.25">
      <c r="A24" s="2">
        <v>2018</v>
      </c>
      <c r="B24" t="s">
        <v>6</v>
      </c>
      <c r="C24" s="2">
        <v>2709175</v>
      </c>
      <c r="D24" s="2">
        <v>1312141</v>
      </c>
      <c r="F24" s="6">
        <v>2015</v>
      </c>
      <c r="G24" s="1">
        <v>658220</v>
      </c>
      <c r="H24" s="83">
        <v>658220</v>
      </c>
      <c r="J24" s="86">
        <v>2015</v>
      </c>
      <c r="K24" s="1">
        <f t="shared" si="0"/>
        <v>658220</v>
      </c>
    </row>
    <row r="25" spans="1:11" x14ac:dyDescent="0.25">
      <c r="A25" s="2">
        <v>2019</v>
      </c>
      <c r="B25" t="s">
        <v>6</v>
      </c>
      <c r="C25" s="2">
        <v>2699605</v>
      </c>
      <c r="D25" s="2">
        <v>1306965</v>
      </c>
      <c r="F25" s="6">
        <v>2016</v>
      </c>
      <c r="G25" s="1">
        <v>684235</v>
      </c>
      <c r="H25" s="83">
        <v>684235</v>
      </c>
      <c r="J25" s="86">
        <v>2016</v>
      </c>
      <c r="K25" s="1">
        <f t="shared" si="0"/>
        <v>684235</v>
      </c>
    </row>
    <row r="26" spans="1:11" x14ac:dyDescent="0.25">
      <c r="A26" s="2">
        <v>2020</v>
      </c>
      <c r="B26" t="s">
        <v>6</v>
      </c>
      <c r="C26" s="2">
        <v>2689985</v>
      </c>
      <c r="D26" s="2">
        <v>1301784</v>
      </c>
      <c r="F26" s="6">
        <v>2017</v>
      </c>
      <c r="G26" s="1">
        <v>713237</v>
      </c>
      <c r="H26" s="83">
        <v>713237</v>
      </c>
      <c r="J26" s="86">
        <v>2017</v>
      </c>
      <c r="K26" s="1">
        <f t="shared" si="0"/>
        <v>713237</v>
      </c>
    </row>
    <row r="27" spans="1:11" x14ac:dyDescent="0.25">
      <c r="A27" s="2">
        <v>2021</v>
      </c>
      <c r="B27" t="s">
        <v>6</v>
      </c>
      <c r="C27" s="2">
        <v>2680333</v>
      </c>
      <c r="D27" s="2">
        <v>1296614</v>
      </c>
      <c r="F27" s="6">
        <v>2018</v>
      </c>
      <c r="G27" s="1">
        <v>744935</v>
      </c>
      <c r="H27" s="83">
        <v>744935</v>
      </c>
      <c r="J27" s="86">
        <v>2018</v>
      </c>
      <c r="K27" s="1">
        <f t="shared" si="0"/>
        <v>744935</v>
      </c>
    </row>
    <row r="28" spans="1:11" x14ac:dyDescent="0.25">
      <c r="A28" s="2">
        <v>2022</v>
      </c>
      <c r="B28" t="s">
        <v>6</v>
      </c>
      <c r="C28" s="2">
        <v>2670635.1419935199</v>
      </c>
      <c r="D28" s="2">
        <v>1291451.6877147299</v>
      </c>
      <c r="F28" s="6">
        <v>2019</v>
      </c>
      <c r="G28" s="1">
        <v>779238</v>
      </c>
      <c r="H28" s="83">
        <v>779238</v>
      </c>
      <c r="J28" s="86">
        <v>2019</v>
      </c>
      <c r="K28" s="1">
        <f t="shared" si="0"/>
        <v>779238</v>
      </c>
    </row>
    <row r="29" spans="1:11" x14ac:dyDescent="0.25">
      <c r="A29" s="2">
        <v>2023</v>
      </c>
      <c r="B29" t="s">
        <v>6</v>
      </c>
      <c r="C29" s="2">
        <v>2660849.5209805202</v>
      </c>
      <c r="D29" s="2">
        <v>1286275.46661056</v>
      </c>
      <c r="F29" s="6">
        <v>2020</v>
      </c>
      <c r="G29" s="1">
        <v>815798</v>
      </c>
      <c r="H29" s="83">
        <v>815798</v>
      </c>
      <c r="J29" s="86">
        <v>2020</v>
      </c>
      <c r="K29" s="1">
        <f t="shared" si="0"/>
        <v>815798</v>
      </c>
    </row>
    <row r="30" spans="1:11" x14ac:dyDescent="0.25">
      <c r="A30" s="2">
        <v>2024</v>
      </c>
      <c r="B30" t="s">
        <v>6</v>
      </c>
      <c r="C30" s="2">
        <v>2650928.1394772502</v>
      </c>
      <c r="D30" s="2">
        <v>1281059.7622011099</v>
      </c>
      <c r="F30" s="6">
        <v>2021</v>
      </c>
      <c r="G30" s="1">
        <v>854515</v>
      </c>
      <c r="H30" s="83">
        <v>854515</v>
      </c>
      <c r="J30" s="86">
        <v>2021</v>
      </c>
      <c r="K30" s="1">
        <f t="shared" si="0"/>
        <v>854515</v>
      </c>
    </row>
    <row r="31" spans="1:11" x14ac:dyDescent="0.25">
      <c r="A31" s="2">
        <v>2025</v>
      </c>
      <c r="B31" t="s">
        <v>6</v>
      </c>
      <c r="C31" s="2">
        <v>2640823</v>
      </c>
      <c r="D31" s="2">
        <v>1275779</v>
      </c>
      <c r="F31" s="6">
        <v>2022</v>
      </c>
      <c r="G31" s="1">
        <v>895435.59485032898</v>
      </c>
      <c r="H31" s="83">
        <v>895435.59485032898</v>
      </c>
      <c r="J31" s="86">
        <v>2022</v>
      </c>
      <c r="K31" s="1">
        <f t="shared" si="0"/>
        <v>895435.59485032898</v>
      </c>
    </row>
    <row r="32" spans="1:11" x14ac:dyDescent="0.25">
      <c r="A32" s="2">
        <v>2026</v>
      </c>
      <c r="B32" t="s">
        <v>6</v>
      </c>
      <c r="C32" s="2">
        <v>2630489.9688964402</v>
      </c>
      <c r="D32" s="2">
        <v>1270409.9398000799</v>
      </c>
      <c r="F32" s="6">
        <v>2023</v>
      </c>
      <c r="G32" s="1">
        <v>938553.24645900598</v>
      </c>
      <c r="H32" s="83">
        <v>938553.24645900598</v>
      </c>
      <c r="J32" s="86">
        <v>2023</v>
      </c>
      <c r="K32" s="1">
        <f t="shared" si="0"/>
        <v>938553.24645900598</v>
      </c>
    </row>
    <row r="33" spans="1:11" x14ac:dyDescent="0.25">
      <c r="A33" s="2">
        <v>2027</v>
      </c>
      <c r="B33" t="s">
        <v>6</v>
      </c>
      <c r="C33" s="2">
        <v>2619900.3678399101</v>
      </c>
      <c r="D33" s="2">
        <v>1264938.6785111299</v>
      </c>
      <c r="F33" s="6">
        <v>2024</v>
      </c>
      <c r="G33" s="1">
        <v>983844.774838179</v>
      </c>
      <c r="H33" s="83">
        <v>983844.774838179</v>
      </c>
      <c r="J33" s="86">
        <v>2024</v>
      </c>
      <c r="K33" s="1">
        <f t="shared" si="0"/>
        <v>983844.774838179</v>
      </c>
    </row>
    <row r="34" spans="1:11" x14ac:dyDescent="0.25">
      <c r="A34" s="2">
        <v>2028</v>
      </c>
      <c r="B34" t="s">
        <v>6</v>
      </c>
      <c r="C34" s="2">
        <v>2609029.3823351599</v>
      </c>
      <c r="D34" s="2">
        <v>1259353.6473221399</v>
      </c>
      <c r="F34" s="6">
        <v>2025</v>
      </c>
      <c r="G34" s="1">
        <v>1031287</v>
      </c>
      <c r="H34" s="83">
        <v>1031287</v>
      </c>
      <c r="J34" s="86">
        <v>2025</v>
      </c>
      <c r="K34" s="1">
        <f t="shared" si="0"/>
        <v>1031287</v>
      </c>
    </row>
    <row r="35" spans="1:11" x14ac:dyDescent="0.25">
      <c r="A35" s="2">
        <v>2029</v>
      </c>
      <c r="B35" t="s">
        <v>6</v>
      </c>
      <c r="C35" s="2">
        <v>2597852.1978869401</v>
      </c>
      <c r="D35" s="2">
        <v>1253643.2774220901</v>
      </c>
      <c r="F35" s="6">
        <v>2026</v>
      </c>
      <c r="G35" s="1">
        <v>1080724.1317328301</v>
      </c>
      <c r="H35" s="83">
        <v>1080724.1317328301</v>
      </c>
      <c r="J35" s="86">
        <v>2026</v>
      </c>
      <c r="K35" s="1">
        <f t="shared" si="0"/>
        <v>1080724.1317328301</v>
      </c>
    </row>
    <row r="36" spans="1:11" x14ac:dyDescent="0.25">
      <c r="A36" s="2">
        <v>2030</v>
      </c>
      <c r="B36" t="s">
        <v>6</v>
      </c>
      <c r="C36" s="2">
        <v>2586344</v>
      </c>
      <c r="D36" s="2">
        <v>1247796</v>
      </c>
      <c r="F36" s="6">
        <v>2027</v>
      </c>
      <c r="G36" s="1">
        <v>1131469.93892984</v>
      </c>
      <c r="H36" s="83">
        <v>1131469.93892984</v>
      </c>
      <c r="J36" s="86">
        <v>2027</v>
      </c>
      <c r="K36" s="1">
        <f t="shared" si="0"/>
        <v>1131469.93892984</v>
      </c>
    </row>
    <row r="37" spans="1:11" x14ac:dyDescent="0.25">
      <c r="A37" s="2">
        <v>2031</v>
      </c>
      <c r="B37" t="s">
        <v>6</v>
      </c>
      <c r="C37" s="2">
        <v>2574483.4837658899</v>
      </c>
      <c r="D37" s="2">
        <v>1241801.7015114599</v>
      </c>
      <c r="F37" s="6">
        <v>2028</v>
      </c>
      <c r="G37" s="1">
        <v>1182705.58026045</v>
      </c>
      <c r="H37" s="83">
        <v>1182705.58026045</v>
      </c>
      <c r="J37" s="86">
        <v>2028</v>
      </c>
      <c r="K37" s="1">
        <f t="shared" si="0"/>
        <v>1182705.58026045</v>
      </c>
    </row>
    <row r="38" spans="1:11" x14ac:dyDescent="0.25">
      <c r="A38" s="2">
        <v>2032</v>
      </c>
      <c r="B38" t="s">
        <v>6</v>
      </c>
      <c r="C38" s="2">
        <v>2562263.3826233102</v>
      </c>
      <c r="D38" s="2">
        <v>1235656.08947853</v>
      </c>
      <c r="F38" s="6">
        <v>2029</v>
      </c>
      <c r="G38" s="1">
        <v>1233612.2143940399</v>
      </c>
      <c r="H38" s="83">
        <v>1233612.2143940399</v>
      </c>
      <c r="J38" s="86">
        <v>2029</v>
      </c>
      <c r="K38" s="1">
        <f t="shared" si="0"/>
        <v>1233612.2143940399</v>
      </c>
    </row>
    <row r="39" spans="1:11" x14ac:dyDescent="0.25">
      <c r="A39" s="2">
        <v>2033</v>
      </c>
      <c r="B39" t="s">
        <v>6</v>
      </c>
      <c r="C39" s="2">
        <v>2549679.9395977999</v>
      </c>
      <c r="D39" s="2">
        <v>1229356.3266898701</v>
      </c>
      <c r="F39" s="6">
        <v>2030</v>
      </c>
      <c r="G39" s="1">
        <v>1283371</v>
      </c>
      <c r="H39" s="83">
        <v>1283371</v>
      </c>
      <c r="J39" s="86">
        <v>2030</v>
      </c>
      <c r="K39" s="1">
        <f t="shared" si="0"/>
        <v>1283371</v>
      </c>
    </row>
    <row r="40" spans="1:11" x14ac:dyDescent="0.25">
      <c r="A40" s="2">
        <v>2034</v>
      </c>
      <c r="B40" t="s">
        <v>6</v>
      </c>
      <c r="C40" s="2">
        <v>2536729.3977148598</v>
      </c>
      <c r="D40" s="2">
        <v>1222899.57593414</v>
      </c>
      <c r="F40" s="6">
        <v>2031</v>
      </c>
      <c r="G40" s="1">
        <v>1331229.28971938</v>
      </c>
      <c r="H40" s="83">
        <v>1331229.28971938</v>
      </c>
      <c r="J40" s="86">
        <v>2031</v>
      </c>
      <c r="K40" s="1">
        <f t="shared" si="0"/>
        <v>1331229.28971938</v>
      </c>
    </row>
    <row r="41" spans="1:11" x14ac:dyDescent="0.25">
      <c r="A41" s="2">
        <v>2035</v>
      </c>
      <c r="B41" t="s">
        <v>6</v>
      </c>
      <c r="C41" s="2">
        <v>2523408</v>
      </c>
      <c r="D41" s="2">
        <v>1216283</v>
      </c>
      <c r="F41" s="6">
        <v>2032</v>
      </c>
      <c r="G41" s="1">
        <v>1376699.2120798</v>
      </c>
      <c r="H41" s="83">
        <v>1376699.2120798</v>
      </c>
      <c r="J41" s="86">
        <v>2032</v>
      </c>
      <c r="K41" s="1">
        <f t="shared" si="0"/>
        <v>1376699.2120798</v>
      </c>
    </row>
    <row r="42" spans="1:11" x14ac:dyDescent="0.25">
      <c r="A42" s="2">
        <v>2036</v>
      </c>
      <c r="B42" t="s">
        <v>6</v>
      </c>
      <c r="C42" s="2">
        <v>2509718.6240400202</v>
      </c>
      <c r="D42" s="2">
        <v>1209506.9421540599</v>
      </c>
      <c r="F42" s="6">
        <v>2033</v>
      </c>
      <c r="G42" s="1">
        <v>1419359.0895805301</v>
      </c>
      <c r="H42" s="83">
        <v>1419359.0895805301</v>
      </c>
      <c r="J42" s="86">
        <v>2033</v>
      </c>
      <c r="K42" s="1">
        <f t="shared" si="0"/>
        <v>1419359.0895805301</v>
      </c>
    </row>
    <row r="43" spans="1:11" x14ac:dyDescent="0.25">
      <c r="A43" s="2">
        <v>2037</v>
      </c>
      <c r="B43" t="s">
        <v>6</v>
      </c>
      <c r="C43" s="2">
        <v>2495690.6856668298</v>
      </c>
      <c r="D43" s="2">
        <v>1202584.4675747401</v>
      </c>
      <c r="F43" s="6">
        <v>2034</v>
      </c>
      <c r="G43" s="1">
        <v>1458787.2447208399</v>
      </c>
      <c r="H43" s="83">
        <v>1458787.2447208399</v>
      </c>
      <c r="J43" s="86">
        <v>2034</v>
      </c>
      <c r="K43" s="1">
        <f t="shared" si="0"/>
        <v>1458787.2447208399</v>
      </c>
    </row>
    <row r="44" spans="1:11" x14ac:dyDescent="0.25">
      <c r="A44" s="2">
        <v>2038</v>
      </c>
      <c r="B44" t="s">
        <v>6</v>
      </c>
      <c r="C44" s="2">
        <v>2481360.2352736401</v>
      </c>
      <c r="D44" s="2">
        <v>1195531.82191838</v>
      </c>
      <c r="F44" s="6">
        <v>2035</v>
      </c>
      <c r="G44" s="1">
        <v>1494562</v>
      </c>
      <c r="H44" s="83">
        <v>1494562</v>
      </c>
      <c r="J44" s="86">
        <v>2035</v>
      </c>
      <c r="K44" s="1">
        <f t="shared" si="0"/>
        <v>1494562</v>
      </c>
    </row>
    <row r="45" spans="1:11" x14ac:dyDescent="0.25">
      <c r="A45" s="2">
        <v>2039</v>
      </c>
      <c r="B45" t="s">
        <v>6</v>
      </c>
      <c r="C45" s="2">
        <v>2466763.3232536302</v>
      </c>
      <c r="D45" s="2">
        <v>1188365.2508413501</v>
      </c>
      <c r="F45" s="6">
        <v>2036</v>
      </c>
      <c r="G45" s="1">
        <v>1526491.79738965</v>
      </c>
      <c r="H45" s="83">
        <v>1526491.79738965</v>
      </c>
      <c r="J45" s="86">
        <v>2036</v>
      </c>
      <c r="K45" s="1">
        <f t="shared" si="0"/>
        <v>1526491.79738965</v>
      </c>
    </row>
    <row r="46" spans="1:11" x14ac:dyDescent="0.25">
      <c r="A46" s="2">
        <v>2040</v>
      </c>
      <c r="B46" t="s">
        <v>6</v>
      </c>
      <c r="C46" s="2">
        <v>2451936</v>
      </c>
      <c r="D46" s="2">
        <v>1181101</v>
      </c>
      <c r="F46" s="6">
        <v>2037</v>
      </c>
      <c r="G46" s="1">
        <v>1555305.5567509499</v>
      </c>
      <c r="H46" s="83">
        <v>1555305.5567509499</v>
      </c>
      <c r="J46" s="86">
        <v>2037</v>
      </c>
      <c r="K46" s="1">
        <f t="shared" si="0"/>
        <v>1555305.5567509499</v>
      </c>
    </row>
    <row r="47" spans="1:11" x14ac:dyDescent="0.25">
      <c r="A47" s="2">
        <v>2041</v>
      </c>
      <c r="B47" t="s">
        <v>6</v>
      </c>
      <c r="C47" s="2">
        <v>2436911.3320740401</v>
      </c>
      <c r="D47" s="2">
        <v>1173754.1138722801</v>
      </c>
      <c r="F47" s="6">
        <v>2038</v>
      </c>
      <c r="G47" s="1">
        <v>1581962.31741742</v>
      </c>
      <c r="H47" s="83">
        <v>1581962.31741742</v>
      </c>
      <c r="J47" s="86">
        <v>2038</v>
      </c>
      <c r="K47" s="1">
        <f t="shared" si="0"/>
        <v>1581962.31741742</v>
      </c>
    </row>
    <row r="48" spans="1:11" x14ac:dyDescent="0.25">
      <c r="A48" s="2">
        <v>2042</v>
      </c>
      <c r="B48" t="s">
        <v>6</v>
      </c>
      <c r="C48" s="2">
        <v>2421710.4507093602</v>
      </c>
      <c r="D48" s="2">
        <v>1166334.8322225099</v>
      </c>
      <c r="F48" s="6">
        <v>2039</v>
      </c>
      <c r="G48" s="1">
        <v>1607421.1187225999</v>
      </c>
      <c r="H48" s="83">
        <v>1607421.1187225999</v>
      </c>
      <c r="J48" s="86">
        <v>2039</v>
      </c>
      <c r="K48" s="1">
        <f t="shared" si="0"/>
        <v>1607421.1187225999</v>
      </c>
    </row>
    <row r="49" spans="1:11" x14ac:dyDescent="0.25">
      <c r="A49" s="2">
        <v>2043</v>
      </c>
      <c r="B49" t="s">
        <v>6</v>
      </c>
      <c r="C49" s="2">
        <v>2406351.5033076499</v>
      </c>
      <c r="D49" s="2">
        <v>1158852.1936365999</v>
      </c>
      <c r="F49" s="6">
        <v>2040</v>
      </c>
      <c r="G49" s="1">
        <v>1632641</v>
      </c>
      <c r="H49" s="83">
        <v>1632641</v>
      </c>
      <c r="J49" s="86">
        <v>2040</v>
      </c>
      <c r="K49" s="1">
        <f t="shared" si="0"/>
        <v>1632641</v>
      </c>
    </row>
    <row r="50" spans="1:11" x14ac:dyDescent="0.25">
      <c r="A50" s="2">
        <v>2044</v>
      </c>
      <c r="B50" t="s">
        <v>6</v>
      </c>
      <c r="C50" s="2">
        <v>2390852.6372706401</v>
      </c>
      <c r="D50" s="2">
        <v>1151315.2367004601</v>
      </c>
      <c r="F50" s="6">
        <v>2041</v>
      </c>
      <c r="G50" s="1">
        <v>1658481.08072201</v>
      </c>
      <c r="H50" s="83">
        <v>1658481.08072201</v>
      </c>
      <c r="J50" s="86">
        <v>2041</v>
      </c>
      <c r="K50" s="1">
        <f t="shared" si="0"/>
        <v>1658481.08072201</v>
      </c>
    </row>
    <row r="51" spans="1:11" x14ac:dyDescent="0.25">
      <c r="A51" s="2">
        <v>2045</v>
      </c>
      <c r="B51" t="s">
        <v>6</v>
      </c>
      <c r="C51" s="2">
        <v>2375232</v>
      </c>
      <c r="D51" s="2">
        <v>1143733</v>
      </c>
      <c r="F51" s="6">
        <v>2042</v>
      </c>
      <c r="G51" s="1">
        <v>1685400.8009164</v>
      </c>
      <c r="H51" s="83">
        <v>1685400.8009164</v>
      </c>
      <c r="J51" s="86">
        <v>2042</v>
      </c>
      <c r="K51" s="1">
        <f t="shared" si="0"/>
        <v>1685400.8009164</v>
      </c>
    </row>
    <row r="52" spans="1:11" x14ac:dyDescent="0.25">
      <c r="A52" s="2">
        <v>2046</v>
      </c>
      <c r="B52" t="s">
        <v>6</v>
      </c>
      <c r="C52" s="2">
        <v>2359508.3356638299</v>
      </c>
      <c r="D52" s="2">
        <v>1136114.7623568201</v>
      </c>
      <c r="F52" s="6">
        <v>2043</v>
      </c>
      <c r="G52" s="1">
        <v>1713759.68074978</v>
      </c>
      <c r="H52" s="83">
        <v>1713759.68074978</v>
      </c>
      <c r="J52" s="86">
        <v>2043</v>
      </c>
      <c r="K52" s="1">
        <f t="shared" si="0"/>
        <v>1713759.68074978</v>
      </c>
    </row>
    <row r="53" spans="1:11" x14ac:dyDescent="0.25">
      <c r="A53" s="2">
        <v>2047</v>
      </c>
      <c r="B53" t="s">
        <v>6</v>
      </c>
      <c r="C53" s="2">
        <v>2343702.7754957499</v>
      </c>
      <c r="D53" s="2">
        <v>1128470.7635352199</v>
      </c>
      <c r="F53" s="6">
        <v>2044</v>
      </c>
      <c r="G53" s="1">
        <v>1743917.2403887799</v>
      </c>
      <c r="H53" s="83">
        <v>1743917.2403887799</v>
      </c>
      <c r="J53" s="86">
        <v>2044</v>
      </c>
      <c r="K53" s="1">
        <f t="shared" si="0"/>
        <v>1743917.2403887799</v>
      </c>
    </row>
    <row r="54" spans="1:11" x14ac:dyDescent="0.25">
      <c r="A54" s="2">
        <v>2048</v>
      </c>
      <c r="B54" t="s">
        <v>6</v>
      </c>
      <c r="C54" s="2">
        <v>2327837.0474957498</v>
      </c>
      <c r="D54" s="2">
        <v>1120811.4835352199</v>
      </c>
      <c r="F54" s="6">
        <v>2045</v>
      </c>
      <c r="G54" s="1">
        <v>1776233</v>
      </c>
      <c r="H54" s="83">
        <v>1776233</v>
      </c>
      <c r="J54" s="86">
        <v>2045</v>
      </c>
      <c r="K54" s="1">
        <f t="shared" si="0"/>
        <v>1776233</v>
      </c>
    </row>
    <row r="55" spans="1:11" x14ac:dyDescent="0.25">
      <c r="A55" s="2">
        <v>2049</v>
      </c>
      <c r="B55" t="s">
        <v>6</v>
      </c>
      <c r="C55" s="2">
        <v>2311932.8796638302</v>
      </c>
      <c r="D55" s="2">
        <v>1113147.4023568199</v>
      </c>
      <c r="F55" s="6">
        <v>2046</v>
      </c>
      <c r="G55" s="1">
        <v>1811086.4637223</v>
      </c>
      <c r="H55" s="83">
        <v>1811086.4637223</v>
      </c>
      <c r="J55" s="86">
        <v>2046</v>
      </c>
      <c r="K55" s="1">
        <f t="shared" si="0"/>
        <v>1811086.4637223</v>
      </c>
    </row>
    <row r="56" spans="1:11" x14ac:dyDescent="0.25">
      <c r="A56" s="2">
        <v>2050</v>
      </c>
      <c r="B56" t="s">
        <v>6</v>
      </c>
      <c r="C56" s="2">
        <v>2296012</v>
      </c>
      <c r="D56" s="2">
        <v>1105489</v>
      </c>
      <c r="F56" s="6">
        <v>2047</v>
      </c>
      <c r="G56" s="1">
        <v>1848937.0715834601</v>
      </c>
      <c r="H56" s="83">
        <v>1848937.0715834601</v>
      </c>
      <c r="J56" s="86">
        <v>2047</v>
      </c>
      <c r="K56" s="1">
        <f t="shared" si="0"/>
        <v>1848937.0715834601</v>
      </c>
    </row>
    <row r="57" spans="1:11" x14ac:dyDescent="0.25">
      <c r="A57" s="2">
        <v>1996</v>
      </c>
      <c r="B57" s="85" t="s">
        <v>5</v>
      </c>
      <c r="C57" s="2">
        <v>5336689.2615659405</v>
      </c>
      <c r="D57" s="2">
        <v>2617766.7452121698</v>
      </c>
      <c r="F57" s="6">
        <v>2048</v>
      </c>
      <c r="G57" s="1">
        <v>1890264.2475834601</v>
      </c>
      <c r="H57" s="83">
        <v>1890264.2475834601</v>
      </c>
      <c r="J57" s="86">
        <v>2048</v>
      </c>
      <c r="K57" s="1">
        <f t="shared" si="0"/>
        <v>1890264.2475834601</v>
      </c>
    </row>
    <row r="58" spans="1:11" x14ac:dyDescent="0.25">
      <c r="A58" s="2">
        <v>1997</v>
      </c>
      <c r="B58" s="85" t="s">
        <v>5</v>
      </c>
      <c r="C58" s="2">
        <v>5352218.1569395596</v>
      </c>
      <c r="D58" s="2">
        <v>2625110.0471272999</v>
      </c>
      <c r="F58" s="6">
        <v>2049</v>
      </c>
      <c r="G58" s="1">
        <v>1935547.4157223001</v>
      </c>
      <c r="H58" s="83">
        <v>1935547.4157223001</v>
      </c>
      <c r="J58" s="86">
        <v>2049</v>
      </c>
      <c r="K58" s="1">
        <f t="shared" si="0"/>
        <v>1935547.4157223001</v>
      </c>
    </row>
    <row r="59" spans="1:11" x14ac:dyDescent="0.25">
      <c r="A59" s="2">
        <v>1998</v>
      </c>
      <c r="B59" s="85" t="s">
        <v>5</v>
      </c>
      <c r="C59" s="2">
        <v>5360232.5784697803</v>
      </c>
      <c r="D59" s="2">
        <v>2628255.52356365</v>
      </c>
      <c r="F59" s="6">
        <v>2050</v>
      </c>
      <c r="G59" s="1">
        <v>1985266</v>
      </c>
      <c r="H59" s="83">
        <v>1985266</v>
      </c>
      <c r="J59" s="86">
        <v>2050</v>
      </c>
      <c r="K59" s="1">
        <f t="shared" si="0"/>
        <v>1985266</v>
      </c>
    </row>
    <row r="60" spans="1:11" x14ac:dyDescent="0.25">
      <c r="A60" s="2">
        <v>1999</v>
      </c>
      <c r="B60" s="85" t="s">
        <v>5</v>
      </c>
      <c r="C60" s="2">
        <v>5362927.5261565903</v>
      </c>
      <c r="D60" s="2">
        <v>2628380.1745212199</v>
      </c>
      <c r="F60" s="6" t="s">
        <v>206</v>
      </c>
      <c r="G60" s="1">
        <v>57011937.00699266</v>
      </c>
      <c r="H60" s="7">
        <v>57011937.00699266</v>
      </c>
    </row>
    <row r="61" spans="1:11" x14ac:dyDescent="0.25">
      <c r="A61" s="2">
        <v>2000</v>
      </c>
      <c r="B61" s="85" t="s">
        <v>5</v>
      </c>
      <c r="C61" s="2">
        <v>5362498</v>
      </c>
      <c r="D61" s="2">
        <v>2626661</v>
      </c>
    </row>
    <row r="62" spans="1:11" x14ac:dyDescent="0.25">
      <c r="A62" s="2">
        <v>2001</v>
      </c>
      <c r="B62" s="85" t="s">
        <v>5</v>
      </c>
      <c r="C62" s="2">
        <v>5361139</v>
      </c>
      <c r="D62" s="2">
        <v>2624275</v>
      </c>
    </row>
    <row r="63" spans="1:11" x14ac:dyDescent="0.25">
      <c r="A63" s="2">
        <v>2002</v>
      </c>
      <c r="B63" s="85" t="s">
        <v>5</v>
      </c>
      <c r="C63" s="2">
        <v>5361107</v>
      </c>
      <c r="D63" s="2">
        <v>2622422</v>
      </c>
    </row>
    <row r="64" spans="1:11" x14ac:dyDescent="0.25">
      <c r="A64" s="2">
        <v>2003</v>
      </c>
      <c r="B64" s="85" t="s">
        <v>5</v>
      </c>
      <c r="C64" s="2">
        <v>5364597</v>
      </c>
      <c r="D64" s="2">
        <v>2622279</v>
      </c>
    </row>
    <row r="65" spans="1:4" x14ac:dyDescent="0.25">
      <c r="A65" s="2">
        <v>2004</v>
      </c>
      <c r="B65" s="85" t="s">
        <v>5</v>
      </c>
      <c r="C65" s="2">
        <v>5372677</v>
      </c>
      <c r="D65" s="2">
        <v>2624530</v>
      </c>
    </row>
    <row r="66" spans="1:4" x14ac:dyDescent="0.25">
      <c r="A66" s="2">
        <v>2005</v>
      </c>
      <c r="B66" s="85" t="s">
        <v>5</v>
      </c>
      <c r="C66" s="2">
        <v>5386812</v>
      </c>
      <c r="D66" s="2">
        <v>2629864</v>
      </c>
    </row>
    <row r="67" spans="1:4" x14ac:dyDescent="0.25">
      <c r="A67" s="2">
        <v>2006</v>
      </c>
      <c r="B67" s="85" t="s">
        <v>5</v>
      </c>
      <c r="C67" s="2">
        <v>5407717</v>
      </c>
      <c r="D67" s="2">
        <v>2638747</v>
      </c>
    </row>
    <row r="68" spans="1:4" x14ac:dyDescent="0.25">
      <c r="A68" s="2">
        <v>2007</v>
      </c>
      <c r="B68" s="85" t="s">
        <v>5</v>
      </c>
      <c r="C68" s="2">
        <v>5427910</v>
      </c>
      <c r="D68" s="2">
        <v>2647233</v>
      </c>
    </row>
    <row r="69" spans="1:4" x14ac:dyDescent="0.25">
      <c r="A69" s="2">
        <v>2008</v>
      </c>
      <c r="B69" s="85" t="s">
        <v>5</v>
      </c>
      <c r="C69" s="2">
        <v>5448390</v>
      </c>
      <c r="D69" s="2">
        <v>2655740</v>
      </c>
    </row>
    <row r="70" spans="1:4" x14ac:dyDescent="0.25">
      <c r="A70" s="2">
        <v>2009</v>
      </c>
      <c r="B70" s="85" t="s">
        <v>5</v>
      </c>
      <c r="C70" s="2">
        <v>5469822</v>
      </c>
      <c r="D70" s="2">
        <v>2664671</v>
      </c>
    </row>
    <row r="71" spans="1:4" x14ac:dyDescent="0.25">
      <c r="A71" s="2">
        <v>2010</v>
      </c>
      <c r="B71" s="85" t="s">
        <v>5</v>
      </c>
      <c r="C71" s="2">
        <v>5492408</v>
      </c>
      <c r="D71" s="2">
        <v>2674173</v>
      </c>
    </row>
    <row r="72" spans="1:4" x14ac:dyDescent="0.25">
      <c r="A72" s="2">
        <v>2011</v>
      </c>
      <c r="B72" s="85" t="s">
        <v>5</v>
      </c>
      <c r="C72" s="2">
        <v>5516288</v>
      </c>
      <c r="D72" s="2">
        <v>2684312</v>
      </c>
    </row>
    <row r="73" spans="1:4" x14ac:dyDescent="0.25">
      <c r="A73" s="2">
        <v>2012</v>
      </c>
      <c r="B73" s="85" t="s">
        <v>5</v>
      </c>
      <c r="C73" s="2">
        <v>5537428.7927720398</v>
      </c>
      <c r="D73" s="2">
        <v>2693165.8826794801</v>
      </c>
    </row>
    <row r="74" spans="1:4" x14ac:dyDescent="0.25">
      <c r="A74" s="2">
        <v>2013</v>
      </c>
      <c r="B74" s="85" t="s">
        <v>5</v>
      </c>
      <c r="C74" s="2">
        <v>5554323.1251711203</v>
      </c>
      <c r="D74" s="2">
        <v>2699988.6782491799</v>
      </c>
    </row>
    <row r="75" spans="1:4" x14ac:dyDescent="0.25">
      <c r="A75" s="2">
        <v>2014</v>
      </c>
      <c r="B75" s="85" t="s">
        <v>5</v>
      </c>
      <c r="C75" s="2">
        <v>5566437</v>
      </c>
      <c r="D75" s="2">
        <v>2704490</v>
      </c>
    </row>
    <row r="76" spans="1:4" x14ac:dyDescent="0.25">
      <c r="A76" s="2">
        <v>2015</v>
      </c>
      <c r="B76" s="85" t="s">
        <v>5</v>
      </c>
      <c r="C76" s="2">
        <v>5573350</v>
      </c>
      <c r="D76" s="2">
        <v>2706441</v>
      </c>
    </row>
    <row r="77" spans="1:4" x14ac:dyDescent="0.25">
      <c r="A77" s="2">
        <v>2016</v>
      </c>
      <c r="B77" s="85" t="s">
        <v>5</v>
      </c>
      <c r="C77" s="2">
        <v>5575340</v>
      </c>
      <c r="D77" s="2">
        <v>2705992</v>
      </c>
    </row>
    <row r="78" spans="1:4" x14ac:dyDescent="0.25">
      <c r="A78" s="2">
        <v>2017</v>
      </c>
      <c r="B78" s="85" t="s">
        <v>5</v>
      </c>
      <c r="C78" s="2">
        <v>5573496</v>
      </c>
      <c r="D78" s="2">
        <v>2703744</v>
      </c>
    </row>
    <row r="79" spans="1:4" x14ac:dyDescent="0.25">
      <c r="A79" s="2">
        <v>2018</v>
      </c>
      <c r="B79" s="85" t="s">
        <v>5</v>
      </c>
      <c r="C79" s="2">
        <v>5568046</v>
      </c>
      <c r="D79" s="2">
        <v>2699815</v>
      </c>
    </row>
    <row r="80" spans="1:4" x14ac:dyDescent="0.25">
      <c r="A80" s="2">
        <v>2019</v>
      </c>
      <c r="B80" s="85" t="s">
        <v>5</v>
      </c>
      <c r="C80" s="2">
        <v>5559066</v>
      </c>
      <c r="D80" s="2">
        <v>2694141</v>
      </c>
    </row>
    <row r="81" spans="1:4" x14ac:dyDescent="0.25">
      <c r="A81" s="2">
        <v>2020</v>
      </c>
      <c r="B81" s="85" t="s">
        <v>5</v>
      </c>
      <c r="C81" s="2">
        <v>5546905</v>
      </c>
      <c r="D81" s="2">
        <v>2687030</v>
      </c>
    </row>
    <row r="82" spans="1:4" x14ac:dyDescent="0.25">
      <c r="A82" s="2">
        <v>2021</v>
      </c>
      <c r="B82" s="85" t="s">
        <v>5</v>
      </c>
      <c r="C82" s="2">
        <v>5531902</v>
      </c>
      <c r="D82" s="2">
        <v>2678582</v>
      </c>
    </row>
    <row r="83" spans="1:4" x14ac:dyDescent="0.25">
      <c r="A83" s="2">
        <v>2022</v>
      </c>
      <c r="B83" s="85" t="s">
        <v>5</v>
      </c>
      <c r="C83" s="2">
        <v>5515313.4642677801</v>
      </c>
      <c r="D83" s="2">
        <v>2669422.5493597598</v>
      </c>
    </row>
    <row r="84" spans="1:4" x14ac:dyDescent="0.25">
      <c r="A84" s="2">
        <v>2023</v>
      </c>
      <c r="B84" s="85" t="s">
        <v>5</v>
      </c>
      <c r="C84" s="2">
        <v>5497652.9705544701</v>
      </c>
      <c r="D84" s="2">
        <v>2659814.7242302699</v>
      </c>
    </row>
    <row r="85" spans="1:4" x14ac:dyDescent="0.25">
      <c r="A85" s="2">
        <v>2024</v>
      </c>
      <c r="B85" s="85" t="s">
        <v>5</v>
      </c>
      <c r="C85" s="2">
        <v>5479167.7415639302</v>
      </c>
      <c r="D85" s="2">
        <v>2649880.7869856399</v>
      </c>
    </row>
    <row r="86" spans="1:4" x14ac:dyDescent="0.25">
      <c r="A86" s="2">
        <v>2025</v>
      </c>
      <c r="B86" s="85" t="s">
        <v>5</v>
      </c>
      <c r="C86" s="2">
        <v>5460105</v>
      </c>
      <c r="D86" s="2">
        <v>2639743</v>
      </c>
    </row>
    <row r="87" spans="1:4" x14ac:dyDescent="0.25">
      <c r="A87" s="2">
        <v>2026</v>
      </c>
      <c r="B87" s="85" t="s">
        <v>5</v>
      </c>
      <c r="C87" s="2">
        <v>5440671.6133808298</v>
      </c>
      <c r="D87" s="2">
        <v>2629502.3496310599</v>
      </c>
    </row>
    <row r="88" spans="1:4" x14ac:dyDescent="0.25">
      <c r="A88" s="2">
        <v>2027</v>
      </c>
      <c r="B88" s="85" t="s">
        <v>5</v>
      </c>
      <c r="C88" s="2">
        <v>5420913.0284816902</v>
      </c>
      <c r="D88" s="2">
        <v>2619174.7181709199</v>
      </c>
    </row>
    <row r="89" spans="1:4" x14ac:dyDescent="0.25">
      <c r="A89" s="2">
        <v>2028</v>
      </c>
      <c r="B89" s="85" t="s">
        <v>5</v>
      </c>
      <c r="C89" s="2">
        <v>5400834.3368921401</v>
      </c>
      <c r="D89" s="2">
        <v>2608754.71189524</v>
      </c>
    </row>
    <row r="90" spans="1:4" x14ac:dyDescent="0.25">
      <c r="A90" s="2">
        <v>2029</v>
      </c>
      <c r="B90" s="85" t="s">
        <v>5</v>
      </c>
      <c r="C90" s="2">
        <v>5380440.6302017197</v>
      </c>
      <c r="D90" s="2">
        <v>2598236.9370797002</v>
      </c>
    </row>
    <row r="91" spans="1:4" x14ac:dyDescent="0.25">
      <c r="A91" s="2">
        <v>2030</v>
      </c>
      <c r="B91" s="85" t="s">
        <v>5</v>
      </c>
      <c r="C91" s="2">
        <v>5359737</v>
      </c>
      <c r="D91" s="2">
        <v>2587616</v>
      </c>
    </row>
    <row r="92" spans="1:4" x14ac:dyDescent="0.25">
      <c r="A92" s="2">
        <v>2031</v>
      </c>
      <c r="B92" s="85" t="s">
        <v>5</v>
      </c>
      <c r="C92" s="2">
        <v>5338717.9682608796</v>
      </c>
      <c r="D92" s="2">
        <v>2576882.6741295001</v>
      </c>
    </row>
    <row r="93" spans="1:4" x14ac:dyDescent="0.25">
      <c r="A93" s="2">
        <v>2032</v>
      </c>
      <c r="B93" s="85" t="s">
        <v>5</v>
      </c>
      <c r="C93" s="2">
        <v>5317335.7784956601</v>
      </c>
      <c r="D93" s="2">
        <v>2566012.40173238</v>
      </c>
    </row>
    <row r="94" spans="1:4" x14ac:dyDescent="0.25">
      <c r="A94" s="2">
        <v>2033</v>
      </c>
      <c r="B94" s="85" t="s">
        <v>5</v>
      </c>
      <c r="C94" s="2">
        <v>5295532.1046000104</v>
      </c>
      <c r="D94" s="2">
        <v>2554976.79227051</v>
      </c>
    </row>
    <row r="95" spans="1:4" x14ac:dyDescent="0.25">
      <c r="A95" s="2">
        <v>2034</v>
      </c>
      <c r="B95" s="85" t="s">
        <v>5</v>
      </c>
      <c r="C95" s="2">
        <v>5273248.6204695702</v>
      </c>
      <c r="D95" s="2">
        <v>2543747.45520576</v>
      </c>
    </row>
    <row r="96" spans="1:4" x14ac:dyDescent="0.25">
      <c r="A96" s="2">
        <v>2035</v>
      </c>
      <c r="B96" s="85" t="s">
        <v>5</v>
      </c>
      <c r="C96" s="2">
        <v>5250427</v>
      </c>
      <c r="D96" s="2">
        <v>2532296</v>
      </c>
    </row>
    <row r="97" spans="1:4" x14ac:dyDescent="0.25">
      <c r="A97" s="2">
        <v>2036</v>
      </c>
      <c r="B97" s="85" t="s">
        <v>5</v>
      </c>
      <c r="C97" s="2">
        <v>5227016.0335756503</v>
      </c>
      <c r="D97" s="2">
        <v>2520597.13785093</v>
      </c>
    </row>
    <row r="98" spans="1:4" x14ac:dyDescent="0.25">
      <c r="A98" s="2">
        <v>2037</v>
      </c>
      <c r="B98" s="85" t="s">
        <v>5</v>
      </c>
      <c r="C98" s="2">
        <v>5202992.9775356501</v>
      </c>
      <c r="D98" s="2">
        <v>2508637.9868995701</v>
      </c>
    </row>
    <row r="99" spans="1:4" x14ac:dyDescent="0.25">
      <c r="A99" s="2">
        <v>2038</v>
      </c>
      <c r="B99" s="85" t="s">
        <v>5</v>
      </c>
      <c r="C99" s="2">
        <v>5178342.20470782</v>
      </c>
      <c r="D99" s="2">
        <v>2496408.7670227299</v>
      </c>
    </row>
    <row r="100" spans="1:4" x14ac:dyDescent="0.25">
      <c r="A100" s="2">
        <v>2039</v>
      </c>
      <c r="B100" s="85" t="s">
        <v>5</v>
      </c>
      <c r="C100" s="2">
        <v>5153048.0879199998</v>
      </c>
      <c r="D100" s="2">
        <v>2483899.69809727</v>
      </c>
    </row>
    <row r="101" spans="1:4" x14ac:dyDescent="0.25">
      <c r="A101" s="2">
        <v>2040</v>
      </c>
      <c r="B101" s="85" t="s">
        <v>5</v>
      </c>
      <c r="C101" s="2">
        <v>5127095</v>
      </c>
      <c r="D101" s="2">
        <v>2471101</v>
      </c>
    </row>
    <row r="102" spans="1:4" x14ac:dyDescent="0.25">
      <c r="A102" s="2">
        <v>2041</v>
      </c>
      <c r="B102" s="85" t="s">
        <v>5</v>
      </c>
      <c r="C102" s="2">
        <v>5100477.0894365199</v>
      </c>
      <c r="D102" s="2">
        <v>2458008.1984667601</v>
      </c>
    </row>
    <row r="103" spans="1:4" x14ac:dyDescent="0.25">
      <c r="A103" s="2">
        <v>2042</v>
      </c>
      <c r="B103" s="85" t="s">
        <v>5</v>
      </c>
      <c r="C103" s="2">
        <v>5073227.6073617404</v>
      </c>
      <c r="D103" s="2">
        <v>2444638.0426693498</v>
      </c>
    </row>
    <row r="104" spans="1:4" x14ac:dyDescent="0.25">
      <c r="A104" s="2">
        <v>2043</v>
      </c>
      <c r="B104" s="85" t="s">
        <v>5</v>
      </c>
      <c r="C104" s="2">
        <v>5045389.5805687001</v>
      </c>
      <c r="D104" s="2">
        <v>2431012.5876385602</v>
      </c>
    </row>
    <row r="105" spans="1:4" x14ac:dyDescent="0.25">
      <c r="A105" s="2">
        <v>2044</v>
      </c>
      <c r="B105" s="85" t="s">
        <v>5</v>
      </c>
      <c r="C105" s="2">
        <v>5017006.0358504402</v>
      </c>
      <c r="D105" s="2">
        <v>2417153.8884051801</v>
      </c>
    </row>
    <row r="106" spans="1:4" x14ac:dyDescent="0.25">
      <c r="A106" s="2">
        <v>2045</v>
      </c>
      <c r="B106" s="85" t="s">
        <v>5</v>
      </c>
      <c r="C106" s="2">
        <v>4988120</v>
      </c>
      <c r="D106" s="2">
        <v>2403084</v>
      </c>
    </row>
    <row r="107" spans="1:4" x14ac:dyDescent="0.25">
      <c r="A107" s="2">
        <v>2046</v>
      </c>
      <c r="B107" s="85" t="s">
        <v>5</v>
      </c>
      <c r="C107" s="2">
        <v>4958772.5446782596</v>
      </c>
      <c r="D107" s="2">
        <v>2388823.9162820098</v>
      </c>
    </row>
    <row r="108" spans="1:4" x14ac:dyDescent="0.25">
      <c r="A108" s="2">
        <v>2047</v>
      </c>
      <c r="B108" s="85" t="s">
        <v>5</v>
      </c>
      <c r="C108" s="2">
        <v>4928996.9210173897</v>
      </c>
      <c r="D108" s="2">
        <v>2374390.3864230202</v>
      </c>
    </row>
    <row r="109" spans="1:4" x14ac:dyDescent="0.25">
      <c r="A109" s="2">
        <v>2048</v>
      </c>
      <c r="B109" s="85" t="s">
        <v>5</v>
      </c>
      <c r="C109" s="2">
        <v>4898824.4250173904</v>
      </c>
      <c r="D109" s="2">
        <v>2359799.09842302</v>
      </c>
    </row>
    <row r="110" spans="1:4" x14ac:dyDescent="0.25">
      <c r="A110" s="2">
        <v>2049</v>
      </c>
      <c r="B110" s="85" t="s">
        <v>5</v>
      </c>
      <c r="C110" s="2">
        <v>4868286.3526782598</v>
      </c>
      <c r="D110" s="2">
        <v>2345065.7402820098</v>
      </c>
    </row>
    <row r="111" spans="1:4" x14ac:dyDescent="0.25">
      <c r="A111" s="2">
        <v>2050</v>
      </c>
      <c r="B111" s="85" t="s">
        <v>5</v>
      </c>
      <c r="C111" s="2">
        <v>4837414</v>
      </c>
      <c r="D111" s="2">
        <v>2330206</v>
      </c>
    </row>
    <row r="112" spans="1:4" x14ac:dyDescent="0.25">
      <c r="A112" s="2">
        <v>1996</v>
      </c>
      <c r="B112" s="84" t="s">
        <v>4</v>
      </c>
      <c r="C112" s="2">
        <v>4328734.7335640304</v>
      </c>
      <c r="D112" s="2">
        <v>2136825.68729656</v>
      </c>
    </row>
    <row r="113" spans="1:4" x14ac:dyDescent="0.25">
      <c r="A113" s="2">
        <v>1997</v>
      </c>
      <c r="B113" s="84" t="s">
        <v>4</v>
      </c>
      <c r="C113" s="2">
        <v>4441903.2401384199</v>
      </c>
      <c r="D113" s="2">
        <v>2190257.4123779298</v>
      </c>
    </row>
    <row r="114" spans="1:4" x14ac:dyDescent="0.25">
      <c r="A114" s="2">
        <v>1998</v>
      </c>
      <c r="B114" s="84" t="s">
        <v>4</v>
      </c>
      <c r="C114" s="2">
        <v>4551586.6200692104</v>
      </c>
      <c r="D114" s="2">
        <v>2242694.2061889698</v>
      </c>
    </row>
    <row r="115" spans="1:4" x14ac:dyDescent="0.25">
      <c r="A115" s="2">
        <v>1999</v>
      </c>
      <c r="B115" s="84" t="s">
        <v>4</v>
      </c>
      <c r="C115" s="2">
        <v>4656740.8733564001</v>
      </c>
      <c r="D115" s="2">
        <v>2293434.06872966</v>
      </c>
    </row>
    <row r="116" spans="1:4" x14ac:dyDescent="0.25">
      <c r="A116" s="2">
        <v>2000</v>
      </c>
      <c r="B116" s="84" t="s">
        <v>4</v>
      </c>
      <c r="C116" s="2">
        <v>4756322</v>
      </c>
      <c r="D116" s="2">
        <v>2341775</v>
      </c>
    </row>
    <row r="117" spans="1:4" x14ac:dyDescent="0.25">
      <c r="A117" s="2">
        <v>2001</v>
      </c>
      <c r="B117" s="84" t="s">
        <v>4</v>
      </c>
      <c r="C117" s="2">
        <v>4849286</v>
      </c>
      <c r="D117" s="2">
        <v>2387015</v>
      </c>
    </row>
    <row r="118" spans="1:4" x14ac:dyDescent="0.25">
      <c r="A118" s="2">
        <v>2002</v>
      </c>
      <c r="B118" s="84" t="s">
        <v>4</v>
      </c>
      <c r="C118" s="2">
        <v>4934568</v>
      </c>
      <c r="D118" s="2">
        <v>2428415</v>
      </c>
    </row>
    <row r="119" spans="1:4" x14ac:dyDescent="0.25">
      <c r="A119" s="2">
        <v>2003</v>
      </c>
      <c r="B119" s="84" t="s">
        <v>4</v>
      </c>
      <c r="C119" s="2">
        <v>5011124</v>
      </c>
      <c r="D119" s="2">
        <v>2465273</v>
      </c>
    </row>
    <row r="120" spans="1:4" x14ac:dyDescent="0.25">
      <c r="A120" s="2">
        <v>2004</v>
      </c>
      <c r="B120" s="84" t="s">
        <v>4</v>
      </c>
      <c r="C120" s="2">
        <v>5078223</v>
      </c>
      <c r="D120" s="2">
        <v>2497409</v>
      </c>
    </row>
    <row r="121" spans="1:4" x14ac:dyDescent="0.25">
      <c r="A121" s="2">
        <v>2005</v>
      </c>
      <c r="B121" s="84" t="s">
        <v>4</v>
      </c>
      <c r="C121" s="2">
        <v>5134473</v>
      </c>
      <c r="D121" s="2">
        <v>2524017</v>
      </c>
    </row>
    <row r="122" spans="1:4" x14ac:dyDescent="0.25">
      <c r="A122" s="2">
        <v>2006</v>
      </c>
      <c r="B122" s="84" t="s">
        <v>4</v>
      </c>
      <c r="C122" s="2">
        <v>5178861</v>
      </c>
      <c r="D122" s="2">
        <v>2544731</v>
      </c>
    </row>
    <row r="123" spans="1:4" x14ac:dyDescent="0.25">
      <c r="A123" s="2">
        <v>2007</v>
      </c>
      <c r="B123" s="84" t="s">
        <v>4</v>
      </c>
      <c r="C123" s="2">
        <v>5216537</v>
      </c>
      <c r="D123" s="2">
        <v>2561885</v>
      </c>
    </row>
    <row r="124" spans="1:4" x14ac:dyDescent="0.25">
      <c r="A124" s="2">
        <v>2008</v>
      </c>
      <c r="B124" s="84" t="s">
        <v>4</v>
      </c>
      <c r="C124" s="2">
        <v>5246997</v>
      </c>
      <c r="D124" s="2">
        <v>2575138</v>
      </c>
    </row>
    <row r="125" spans="1:4" x14ac:dyDescent="0.25">
      <c r="A125" s="2">
        <v>2009</v>
      </c>
      <c r="B125" s="84" t="s">
        <v>4</v>
      </c>
      <c r="C125" s="2">
        <v>5270463</v>
      </c>
      <c r="D125" s="2">
        <v>2584791</v>
      </c>
    </row>
    <row r="126" spans="1:4" x14ac:dyDescent="0.25">
      <c r="A126" s="2">
        <v>2010</v>
      </c>
      <c r="B126" s="84" t="s">
        <v>4</v>
      </c>
      <c r="C126" s="2">
        <v>5286720</v>
      </c>
      <c r="D126" s="2">
        <v>2590746</v>
      </c>
    </row>
    <row r="127" spans="1:4" x14ac:dyDescent="0.25">
      <c r="A127" s="2">
        <v>2011</v>
      </c>
      <c r="B127" s="84" t="s">
        <v>4</v>
      </c>
      <c r="C127" s="2">
        <v>5296319</v>
      </c>
      <c r="D127" s="2">
        <v>2593350</v>
      </c>
    </row>
    <row r="128" spans="1:4" x14ac:dyDescent="0.25">
      <c r="A128" s="2">
        <v>2012</v>
      </c>
      <c r="B128" s="84" t="s">
        <v>4</v>
      </c>
      <c r="C128" s="2">
        <v>5307779.7280284902</v>
      </c>
      <c r="D128" s="2">
        <v>2596932.5593387499</v>
      </c>
    </row>
    <row r="129" spans="1:4" x14ac:dyDescent="0.25">
      <c r="A129" s="2">
        <v>2013</v>
      </c>
      <c r="B129" s="84" t="s">
        <v>4</v>
      </c>
      <c r="C129" s="2">
        <v>5323364.8480997998</v>
      </c>
      <c r="D129" s="2">
        <v>2602650.6589393602</v>
      </c>
    </row>
    <row r="130" spans="1:4" x14ac:dyDescent="0.25">
      <c r="A130" s="2">
        <v>2014</v>
      </c>
      <c r="B130" s="84" t="s">
        <v>4</v>
      </c>
      <c r="C130" s="2">
        <v>5343109</v>
      </c>
      <c r="D130" s="2">
        <v>2610538</v>
      </c>
    </row>
    <row r="131" spans="1:4" x14ac:dyDescent="0.25">
      <c r="A131" s="2">
        <v>2015</v>
      </c>
      <c r="B131" s="84" t="s">
        <v>4</v>
      </c>
      <c r="C131" s="2">
        <v>5367806</v>
      </c>
      <c r="D131" s="2">
        <v>2621029</v>
      </c>
    </row>
    <row r="132" spans="1:4" x14ac:dyDescent="0.25">
      <c r="A132" s="2">
        <v>2016</v>
      </c>
      <c r="B132" s="84" t="s">
        <v>4</v>
      </c>
      <c r="C132" s="2">
        <v>5398165</v>
      </c>
      <c r="D132" s="2">
        <v>2634556</v>
      </c>
    </row>
    <row r="133" spans="1:4" x14ac:dyDescent="0.25">
      <c r="A133" s="2">
        <v>2017</v>
      </c>
      <c r="B133" s="84" t="s">
        <v>4</v>
      </c>
      <c r="C133" s="2">
        <v>5426428</v>
      </c>
      <c r="D133" s="2">
        <v>2647206</v>
      </c>
    </row>
    <row r="134" spans="1:4" x14ac:dyDescent="0.25">
      <c r="A134" s="2">
        <v>2018</v>
      </c>
      <c r="B134" s="84" t="s">
        <v>4</v>
      </c>
      <c r="C134" s="2">
        <v>5453734</v>
      </c>
      <c r="D134" s="2">
        <v>2659556</v>
      </c>
    </row>
    <row r="135" spans="1:4" x14ac:dyDescent="0.25">
      <c r="A135" s="2">
        <v>2019</v>
      </c>
      <c r="B135" s="84" t="s">
        <v>4</v>
      </c>
      <c r="C135" s="2">
        <v>5480534</v>
      </c>
      <c r="D135" s="2">
        <v>2671642</v>
      </c>
    </row>
    <row r="136" spans="1:4" x14ac:dyDescent="0.25">
      <c r="A136" s="2">
        <v>2020</v>
      </c>
      <c r="B136" s="84" t="s">
        <v>4</v>
      </c>
      <c r="C136" s="2">
        <v>5507023</v>
      </c>
      <c r="D136" s="2">
        <v>2683674</v>
      </c>
    </row>
    <row r="137" spans="1:4" x14ac:dyDescent="0.25">
      <c r="A137" s="2">
        <v>2021</v>
      </c>
      <c r="B137" s="84" t="s">
        <v>4</v>
      </c>
      <c r="C137" s="2">
        <v>5533215</v>
      </c>
      <c r="D137" s="2">
        <v>2695573</v>
      </c>
    </row>
    <row r="138" spans="1:4" x14ac:dyDescent="0.25">
      <c r="A138" s="2">
        <v>2022</v>
      </c>
      <c r="B138" s="84" t="s">
        <v>4</v>
      </c>
      <c r="C138" s="2">
        <v>5555111.8207854796</v>
      </c>
      <c r="D138" s="2">
        <v>2705375.1793875098</v>
      </c>
    </row>
    <row r="139" spans="1:4" x14ac:dyDescent="0.25">
      <c r="A139" s="2">
        <v>2023</v>
      </c>
      <c r="B139" s="84" t="s">
        <v>4</v>
      </c>
      <c r="C139" s="2">
        <v>5571772.4462051298</v>
      </c>
      <c r="D139" s="2">
        <v>2712613.4295200398</v>
      </c>
    </row>
    <row r="140" spans="1:4" x14ac:dyDescent="0.25">
      <c r="A140" s="2">
        <v>2024</v>
      </c>
      <c r="B140" s="84" t="s">
        <v>4</v>
      </c>
      <c r="C140" s="2">
        <v>5583355.8485222096</v>
      </c>
      <c r="D140" s="2">
        <v>2717347.7148925602</v>
      </c>
    </row>
    <row r="141" spans="1:4" x14ac:dyDescent="0.25">
      <c r="A141" s="2">
        <v>2025</v>
      </c>
      <c r="B141" s="84" t="s">
        <v>4</v>
      </c>
      <c r="C141" s="2">
        <v>5590021</v>
      </c>
      <c r="D141" s="2">
        <v>2719638</v>
      </c>
    </row>
    <row r="142" spans="1:4" x14ac:dyDescent="0.25">
      <c r="A142" s="2">
        <v>2026</v>
      </c>
      <c r="B142" s="84" t="s">
        <v>4</v>
      </c>
      <c r="C142" s="2">
        <v>5591974.48870965</v>
      </c>
      <c r="D142" s="2">
        <v>2719574.80790625</v>
      </c>
    </row>
    <row r="143" spans="1:4" x14ac:dyDescent="0.25">
      <c r="A143" s="2">
        <v>2027</v>
      </c>
      <c r="B143" s="84" t="s">
        <v>4</v>
      </c>
      <c r="C143" s="2">
        <v>5589613.3659538804</v>
      </c>
      <c r="D143" s="2">
        <v>2717370.8959508701</v>
      </c>
    </row>
    <row r="144" spans="1:4" x14ac:dyDescent="0.25">
      <c r="A144" s="2">
        <v>2028</v>
      </c>
      <c r="B144" s="84" t="s">
        <v>4</v>
      </c>
      <c r="C144" s="2">
        <v>5583382.2988432804</v>
      </c>
      <c r="D144" s="2">
        <v>2713269.5800423701</v>
      </c>
    </row>
    <row r="145" spans="1:4" x14ac:dyDescent="0.25">
      <c r="A145" s="2">
        <v>2029</v>
      </c>
      <c r="B145" s="84" t="s">
        <v>4</v>
      </c>
      <c r="C145" s="2">
        <v>5573725.9544884497</v>
      </c>
      <c r="D145" s="2">
        <v>2707514.17608925</v>
      </c>
    </row>
    <row r="146" spans="1:4" x14ac:dyDescent="0.25">
      <c r="A146" s="2">
        <v>2030</v>
      </c>
      <c r="B146" s="84" t="s">
        <v>4</v>
      </c>
      <c r="C146" s="2">
        <v>5561089</v>
      </c>
      <c r="D146" s="2">
        <v>2700348</v>
      </c>
    </row>
    <row r="147" spans="1:4" x14ac:dyDescent="0.25">
      <c r="A147" s="2">
        <v>2031</v>
      </c>
      <c r="B147" s="84" t="s">
        <v>4</v>
      </c>
      <c r="C147" s="2">
        <v>5545920.6990931202</v>
      </c>
      <c r="D147" s="2">
        <v>2692012.0349286501</v>
      </c>
    </row>
    <row r="148" spans="1:4" x14ac:dyDescent="0.25">
      <c r="A148" s="2">
        <v>2032</v>
      </c>
      <c r="B148" s="84" t="s">
        <v>4</v>
      </c>
      <c r="C148" s="2">
        <v>5528688.7019014601</v>
      </c>
      <c r="D148" s="2">
        <v>2682737.93301132</v>
      </c>
    </row>
    <row r="149" spans="1:4" x14ac:dyDescent="0.25">
      <c r="A149" s="2">
        <v>2033</v>
      </c>
      <c r="B149" s="84" t="s">
        <v>4</v>
      </c>
      <c r="C149" s="2">
        <v>5509865.2551632198</v>
      </c>
      <c r="D149" s="2">
        <v>2672755.0136296698</v>
      </c>
    </row>
    <row r="150" spans="1:4" x14ac:dyDescent="0.25">
      <c r="A150" s="2">
        <v>2034</v>
      </c>
      <c r="B150" s="84" t="s">
        <v>4</v>
      </c>
      <c r="C150" s="2">
        <v>5489922.6056166599</v>
      </c>
      <c r="D150" s="2">
        <v>2662292.5961653399</v>
      </c>
    </row>
    <row r="151" spans="1:4" x14ac:dyDescent="0.25">
      <c r="A151" s="2">
        <v>2035</v>
      </c>
      <c r="B151" s="84" t="s">
        <v>4</v>
      </c>
      <c r="C151" s="2">
        <v>5469333</v>
      </c>
      <c r="D151" s="2">
        <v>2651580</v>
      </c>
    </row>
    <row r="152" spans="1:4" x14ac:dyDescent="0.25">
      <c r="A152" s="2">
        <v>2036</v>
      </c>
      <c r="B152" s="84" t="s">
        <v>4</v>
      </c>
      <c r="C152" s="2">
        <v>5448485.9789178502</v>
      </c>
      <c r="D152" s="2">
        <v>2640805.15637916</v>
      </c>
    </row>
    <row r="153" spans="1:4" x14ac:dyDescent="0.25">
      <c r="A153" s="2">
        <v>2037</v>
      </c>
      <c r="B153" s="84" t="s">
        <v>4</v>
      </c>
      <c r="C153" s="2">
        <v>5427440.2584402999</v>
      </c>
      <c r="D153" s="2">
        <v>2629990.4440038502</v>
      </c>
    </row>
    <row r="154" spans="1:4" x14ac:dyDescent="0.25">
      <c r="A154" s="2">
        <v>2038</v>
      </c>
      <c r="B154" s="84" t="s">
        <v>4</v>
      </c>
      <c r="C154" s="2">
        <v>5406171.8485038299</v>
      </c>
      <c r="D154" s="2">
        <v>2619116.8534389599</v>
      </c>
    </row>
    <row r="155" spans="1:4" x14ac:dyDescent="0.25">
      <c r="A155" s="2">
        <v>2039</v>
      </c>
      <c r="B155" s="84" t="s">
        <v>4</v>
      </c>
      <c r="C155" s="2">
        <v>5384656.7590448996</v>
      </c>
      <c r="D155" s="2">
        <v>2608165.3752493798</v>
      </c>
    </row>
    <row r="156" spans="1:4" x14ac:dyDescent="0.25">
      <c r="A156" s="2">
        <v>2040</v>
      </c>
      <c r="B156" s="84" t="s">
        <v>4</v>
      </c>
      <c r="C156" s="2">
        <v>5362871</v>
      </c>
      <c r="D156" s="2">
        <v>2597117</v>
      </c>
    </row>
    <row r="157" spans="1:4" x14ac:dyDescent="0.25">
      <c r="A157" s="2">
        <v>2041</v>
      </c>
      <c r="B157" s="84" t="s">
        <v>4</v>
      </c>
      <c r="C157" s="2">
        <v>5340789.1292354902</v>
      </c>
      <c r="D157" s="2">
        <v>2585953.6035547</v>
      </c>
    </row>
    <row r="158" spans="1:4" x14ac:dyDescent="0.25">
      <c r="A158" s="2">
        <v>2042</v>
      </c>
      <c r="B158" s="84" t="s">
        <v>4</v>
      </c>
      <c r="C158" s="2">
        <v>5318379.8963373499</v>
      </c>
      <c r="D158" s="2">
        <v>2574660.6029732702</v>
      </c>
    </row>
    <row r="159" spans="1:4" x14ac:dyDescent="0.25">
      <c r="A159" s="2">
        <v>2043</v>
      </c>
      <c r="B159" s="84" t="s">
        <v>4</v>
      </c>
      <c r="C159" s="2">
        <v>5295610.5988214696</v>
      </c>
      <c r="D159" s="2">
        <v>2563224.3006145</v>
      </c>
    </row>
    <row r="160" spans="1:4" x14ac:dyDescent="0.25">
      <c r="A160" s="2">
        <v>2044</v>
      </c>
      <c r="B160" s="84" t="s">
        <v>4</v>
      </c>
      <c r="C160" s="2">
        <v>5272448.5342037203</v>
      </c>
      <c r="D160" s="2">
        <v>2551630.9988371502</v>
      </c>
    </row>
    <row r="161" spans="1:4" x14ac:dyDescent="0.25">
      <c r="A161" s="2">
        <v>2045</v>
      </c>
      <c r="B161" s="84" t="s">
        <v>4</v>
      </c>
      <c r="C161" s="2">
        <v>5248861</v>
      </c>
      <c r="D161" s="2">
        <v>2539867</v>
      </c>
    </row>
    <row r="162" spans="1:4" x14ac:dyDescent="0.25">
      <c r="A162" s="2">
        <v>2046</v>
      </c>
      <c r="B162" s="84" t="s">
        <v>4</v>
      </c>
      <c r="C162" s="2">
        <v>5224815.5841402002</v>
      </c>
      <c r="D162" s="2">
        <v>2527918.4294020399</v>
      </c>
    </row>
    <row r="163" spans="1:4" x14ac:dyDescent="0.25">
      <c r="A163" s="2">
        <v>2047</v>
      </c>
      <c r="B163" s="84" t="s">
        <v>4</v>
      </c>
      <c r="C163" s="2">
        <v>5200281.0362102902</v>
      </c>
      <c r="D163" s="2">
        <v>2515770.7041030601</v>
      </c>
    </row>
    <row r="164" spans="1:4" x14ac:dyDescent="0.25">
      <c r="A164" s="2">
        <v>2048</v>
      </c>
      <c r="B164" s="84" t="s">
        <v>4</v>
      </c>
      <c r="C164" s="2">
        <v>5175226.3962102896</v>
      </c>
      <c r="D164" s="2">
        <v>2503409.0641030599</v>
      </c>
    </row>
    <row r="165" spans="1:4" x14ac:dyDescent="0.25">
      <c r="A165" s="2">
        <v>2049</v>
      </c>
      <c r="B165" s="84" t="s">
        <v>4</v>
      </c>
      <c r="C165" s="2">
        <v>5149620.7041402003</v>
      </c>
      <c r="D165" s="2">
        <v>2490818.7494020402</v>
      </c>
    </row>
    <row r="166" spans="1:4" x14ac:dyDescent="0.25">
      <c r="A166" s="2">
        <v>2050</v>
      </c>
      <c r="B166" s="84" t="s">
        <v>4</v>
      </c>
      <c r="C166" s="2">
        <v>5123433</v>
      </c>
      <c r="D166" s="2">
        <v>2477985</v>
      </c>
    </row>
    <row r="167" spans="1:4" x14ac:dyDescent="0.25">
      <c r="A167" s="2">
        <v>1996</v>
      </c>
      <c r="B167" s="84" t="s">
        <v>3</v>
      </c>
      <c r="C167" s="2">
        <v>6500086.9398599695</v>
      </c>
      <c r="D167" s="2">
        <v>3245545.2890741802</v>
      </c>
    </row>
    <row r="168" spans="1:4" x14ac:dyDescent="0.25">
      <c r="A168" s="2">
        <v>1997</v>
      </c>
      <c r="B168" s="84" t="s">
        <v>3</v>
      </c>
      <c r="C168" s="2">
        <v>6652916.9639159804</v>
      </c>
      <c r="D168" s="2">
        <v>3319788.9734445098</v>
      </c>
    </row>
    <row r="169" spans="1:4" x14ac:dyDescent="0.25">
      <c r="A169" s="2">
        <v>1998</v>
      </c>
      <c r="B169" s="84" t="s">
        <v>3</v>
      </c>
      <c r="C169" s="2">
        <v>6800752.4819579897</v>
      </c>
      <c r="D169" s="2">
        <v>3392799.98672225</v>
      </c>
    </row>
    <row r="170" spans="1:4" x14ac:dyDescent="0.25">
      <c r="A170" s="2">
        <v>1999</v>
      </c>
      <c r="B170" s="84" t="s">
        <v>3</v>
      </c>
      <c r="C170" s="2">
        <v>6944474.4939860003</v>
      </c>
      <c r="D170" s="2">
        <v>3464730.3289074199</v>
      </c>
    </row>
    <row r="171" spans="1:4" x14ac:dyDescent="0.25">
      <c r="A171" s="2">
        <v>2000</v>
      </c>
      <c r="B171" s="84" t="s">
        <v>3</v>
      </c>
      <c r="C171" s="2">
        <v>7084964</v>
      </c>
      <c r="D171" s="2">
        <v>3535732</v>
      </c>
    </row>
    <row r="172" spans="1:4" x14ac:dyDescent="0.25">
      <c r="A172" s="2">
        <v>2001</v>
      </c>
      <c r="B172" s="84" t="s">
        <v>3</v>
      </c>
      <c r="C172" s="2">
        <v>7223102</v>
      </c>
      <c r="D172" s="2">
        <v>3605957</v>
      </c>
    </row>
    <row r="173" spans="1:4" x14ac:dyDescent="0.25">
      <c r="A173" s="2">
        <v>2002</v>
      </c>
      <c r="B173" s="84" t="s">
        <v>3</v>
      </c>
      <c r="C173" s="2">
        <v>7359839</v>
      </c>
      <c r="D173" s="2">
        <v>3675559</v>
      </c>
    </row>
    <row r="174" spans="1:4" x14ac:dyDescent="0.25">
      <c r="A174" s="2">
        <v>2003</v>
      </c>
      <c r="B174" s="84" t="s">
        <v>3</v>
      </c>
      <c r="C174" s="2">
        <v>7496056</v>
      </c>
      <c r="D174" s="2">
        <v>3744690</v>
      </c>
    </row>
    <row r="175" spans="1:4" x14ac:dyDescent="0.25">
      <c r="A175" s="2">
        <v>2004</v>
      </c>
      <c r="B175" s="84" t="s">
        <v>3</v>
      </c>
      <c r="C175" s="2">
        <v>7631406</v>
      </c>
      <c r="D175" s="2">
        <v>3813358</v>
      </c>
    </row>
    <row r="176" spans="1:4" x14ac:dyDescent="0.25">
      <c r="A176" s="2">
        <v>2005</v>
      </c>
      <c r="B176" s="84" t="s">
        <v>3</v>
      </c>
      <c r="C176" s="2">
        <v>7765159</v>
      </c>
      <c r="D176" s="2">
        <v>3881062</v>
      </c>
    </row>
    <row r="177" spans="1:4" x14ac:dyDescent="0.25">
      <c r="A177" s="2">
        <v>2006</v>
      </c>
      <c r="B177" s="84" t="s">
        <v>3</v>
      </c>
      <c r="C177" s="2">
        <v>7897108</v>
      </c>
      <c r="D177" s="2">
        <v>3947836</v>
      </c>
    </row>
    <row r="178" spans="1:4" x14ac:dyDescent="0.25">
      <c r="A178" s="2">
        <v>2007</v>
      </c>
      <c r="B178" s="84" t="s">
        <v>3</v>
      </c>
      <c r="C178" s="2">
        <v>8032843</v>
      </c>
      <c r="D178" s="2">
        <v>4016163</v>
      </c>
    </row>
    <row r="179" spans="1:4" x14ac:dyDescent="0.25">
      <c r="A179" s="2">
        <v>2008</v>
      </c>
      <c r="B179" s="84" t="s">
        <v>3</v>
      </c>
      <c r="C179" s="2">
        <v>8172306</v>
      </c>
      <c r="D179" s="2">
        <v>4085944</v>
      </c>
    </row>
    <row r="180" spans="1:4" x14ac:dyDescent="0.25">
      <c r="A180" s="2">
        <v>2009</v>
      </c>
      <c r="B180" s="84" t="s">
        <v>3</v>
      </c>
      <c r="C180" s="2">
        <v>8314639</v>
      </c>
      <c r="D180" s="2">
        <v>4156891</v>
      </c>
    </row>
    <row r="181" spans="1:4" x14ac:dyDescent="0.25">
      <c r="A181" s="2">
        <v>2010</v>
      </c>
      <c r="B181" s="84" t="s">
        <v>3</v>
      </c>
      <c r="C181" s="2">
        <v>8458444</v>
      </c>
      <c r="D181" s="2">
        <v>4228246</v>
      </c>
    </row>
    <row r="182" spans="1:4" x14ac:dyDescent="0.25">
      <c r="A182" s="2">
        <v>2011</v>
      </c>
      <c r="B182" s="84" t="s">
        <v>3</v>
      </c>
      <c r="C182" s="2">
        <v>8602515</v>
      </c>
      <c r="D182" s="2">
        <v>4299392</v>
      </c>
    </row>
    <row r="183" spans="1:4" x14ac:dyDescent="0.25">
      <c r="A183" s="2">
        <v>2012</v>
      </c>
      <c r="B183" s="84" t="s">
        <v>3</v>
      </c>
      <c r="C183" s="2">
        <v>8748082.6996606905</v>
      </c>
      <c r="D183" s="2">
        <v>4370928.8062696801</v>
      </c>
    </row>
    <row r="184" spans="1:4" x14ac:dyDescent="0.25">
      <c r="A184" s="2">
        <v>2013</v>
      </c>
      <c r="B184" s="84" t="s">
        <v>3</v>
      </c>
      <c r="C184" s="2">
        <v>8893718.1904660594</v>
      </c>
      <c r="D184" s="2">
        <v>4442157.0636299504</v>
      </c>
    </row>
    <row r="185" spans="1:4" x14ac:dyDescent="0.25">
      <c r="A185" s="2">
        <v>2014</v>
      </c>
      <c r="B185" s="84" t="s">
        <v>3</v>
      </c>
      <c r="C185" s="2">
        <v>9037113</v>
      </c>
      <c r="D185" s="2">
        <v>4511948</v>
      </c>
    </row>
    <row r="186" spans="1:4" x14ac:dyDescent="0.25">
      <c r="A186" s="2">
        <v>2015</v>
      </c>
      <c r="B186" s="84" t="s">
        <v>3</v>
      </c>
      <c r="C186" s="2">
        <v>9175801</v>
      </c>
      <c r="D186" s="2">
        <v>4579107</v>
      </c>
    </row>
    <row r="187" spans="1:4" x14ac:dyDescent="0.25">
      <c r="A187" s="2">
        <v>2016</v>
      </c>
      <c r="B187" s="84" t="s">
        <v>3</v>
      </c>
      <c r="C187" s="2">
        <v>9308502</v>
      </c>
      <c r="D187" s="2">
        <v>4643064</v>
      </c>
    </row>
    <row r="188" spans="1:4" x14ac:dyDescent="0.25">
      <c r="A188" s="2">
        <v>2017</v>
      </c>
      <c r="B188" s="84" t="s">
        <v>3</v>
      </c>
      <c r="C188" s="2">
        <v>9439303</v>
      </c>
      <c r="D188" s="2">
        <v>4705864</v>
      </c>
    </row>
    <row r="189" spans="1:4" x14ac:dyDescent="0.25">
      <c r="A189" s="2">
        <v>2018</v>
      </c>
      <c r="B189" s="84" t="s">
        <v>3</v>
      </c>
      <c r="C189" s="2">
        <v>9567621</v>
      </c>
      <c r="D189" s="2">
        <v>4767189</v>
      </c>
    </row>
    <row r="190" spans="1:4" x14ac:dyDescent="0.25">
      <c r="A190" s="2">
        <v>2019</v>
      </c>
      <c r="B190" s="84" t="s">
        <v>3</v>
      </c>
      <c r="C190" s="2">
        <v>9692789</v>
      </c>
      <c r="D190" s="2">
        <v>4826694</v>
      </c>
    </row>
    <row r="191" spans="1:4" x14ac:dyDescent="0.25">
      <c r="A191" s="2">
        <v>2020</v>
      </c>
      <c r="B191" s="84" t="s">
        <v>3</v>
      </c>
      <c r="C191" s="2">
        <v>9813819</v>
      </c>
      <c r="D191" s="2">
        <v>4884011</v>
      </c>
    </row>
    <row r="192" spans="1:4" x14ac:dyDescent="0.25">
      <c r="A192" s="2">
        <v>2021</v>
      </c>
      <c r="B192" s="84" t="s">
        <v>3</v>
      </c>
      <c r="C192" s="2">
        <v>9930251</v>
      </c>
      <c r="D192" s="2">
        <v>4938950</v>
      </c>
    </row>
    <row r="193" spans="1:4" x14ac:dyDescent="0.25">
      <c r="A193" s="2">
        <v>2022</v>
      </c>
      <c r="B193" s="84" t="s">
        <v>3</v>
      </c>
      <c r="C193" s="2">
        <v>10041289.8193714</v>
      </c>
      <c r="D193" s="2">
        <v>4991116.9863489904</v>
      </c>
    </row>
    <row r="194" spans="1:4" x14ac:dyDescent="0.25">
      <c r="A194" s="2">
        <v>2023</v>
      </c>
      <c r="B194" s="84" t="s">
        <v>3</v>
      </c>
      <c r="C194" s="2">
        <v>10146152.620208099</v>
      </c>
      <c r="D194" s="2">
        <v>5040143.4329743003</v>
      </c>
    </row>
    <row r="195" spans="1:4" x14ac:dyDescent="0.25">
      <c r="A195" s="2">
        <v>2024</v>
      </c>
      <c r="B195" s="84" t="s">
        <v>3</v>
      </c>
      <c r="C195" s="2">
        <v>10244097.8609407</v>
      </c>
      <c r="D195" s="2">
        <v>5085686.9131124597</v>
      </c>
    </row>
    <row r="196" spans="1:4" x14ac:dyDescent="0.25">
      <c r="A196" s="2">
        <v>2025</v>
      </c>
      <c r="B196" s="84" t="s">
        <v>3</v>
      </c>
      <c r="C196" s="2">
        <v>10334384</v>
      </c>
      <c r="D196" s="2">
        <v>5127405</v>
      </c>
    </row>
    <row r="197" spans="1:4" x14ac:dyDescent="0.25">
      <c r="A197" s="2">
        <v>2026</v>
      </c>
      <c r="B197" s="84" t="s">
        <v>3</v>
      </c>
      <c r="C197" s="2">
        <v>10416432.6860944</v>
      </c>
      <c r="D197" s="2">
        <v>5165033.5900817998</v>
      </c>
    </row>
    <row r="198" spans="1:4" x14ac:dyDescent="0.25">
      <c r="A198" s="2">
        <v>2027</v>
      </c>
      <c r="B198" s="84" t="s">
        <v>3</v>
      </c>
      <c r="C198" s="2">
        <v>10490318.3290438</v>
      </c>
      <c r="D198" s="2">
        <v>5198621.8726361198</v>
      </c>
    </row>
    <row r="199" spans="1:4" x14ac:dyDescent="0.25">
      <c r="A199" s="2">
        <v>2028</v>
      </c>
      <c r="B199" s="84" t="s">
        <v>3</v>
      </c>
      <c r="C199" s="2">
        <v>10556278.528945999</v>
      </c>
      <c r="D199" s="2">
        <v>5228297.3601495298</v>
      </c>
    </row>
    <row r="200" spans="1:4" x14ac:dyDescent="0.25">
      <c r="A200" s="2">
        <v>2029</v>
      </c>
      <c r="B200" s="84" t="s">
        <v>3</v>
      </c>
      <c r="C200" s="2">
        <v>10614550.885898801</v>
      </c>
      <c r="D200" s="2">
        <v>5254187.5651086196</v>
      </c>
    </row>
    <row r="201" spans="1:4" x14ac:dyDescent="0.25">
      <c r="A201" s="2">
        <v>2030</v>
      </c>
      <c r="B201" s="84" t="s">
        <v>3</v>
      </c>
      <c r="C201" s="2">
        <v>10665373</v>
      </c>
      <c r="D201" s="2">
        <v>5276420</v>
      </c>
    </row>
    <row r="202" spans="1:4" x14ac:dyDescent="0.25">
      <c r="A202" s="2">
        <v>2031</v>
      </c>
      <c r="B202" s="84" t="s">
        <v>3</v>
      </c>
      <c r="C202" s="2">
        <v>10709162.607898099</v>
      </c>
      <c r="D202" s="2">
        <v>5295213.0128264697</v>
      </c>
    </row>
    <row r="203" spans="1:4" x14ac:dyDescent="0.25">
      <c r="A203" s="2">
        <v>2032</v>
      </c>
      <c r="B203" s="84" t="s">
        <v>3</v>
      </c>
      <c r="C203" s="2">
        <v>10747057.9924448</v>
      </c>
      <c r="D203" s="2">
        <v>5311148.2936557503</v>
      </c>
    </row>
    <row r="204" spans="1:4" x14ac:dyDescent="0.25">
      <c r="A204" s="2">
        <v>2033</v>
      </c>
      <c r="B204" s="84" t="s">
        <v>3</v>
      </c>
      <c r="C204" s="2">
        <v>10780377.573042501</v>
      </c>
      <c r="D204" s="2">
        <v>5324898.3680718103</v>
      </c>
    </row>
    <row r="205" spans="1:4" x14ac:dyDescent="0.25">
      <c r="A205" s="2">
        <v>2034</v>
      </c>
      <c r="B205" s="84" t="s">
        <v>3</v>
      </c>
      <c r="C205" s="2">
        <v>10810439.7690934</v>
      </c>
      <c r="D205" s="2">
        <v>5337135.7616585698</v>
      </c>
    </row>
    <row r="206" spans="1:4" x14ac:dyDescent="0.25">
      <c r="A206" s="2">
        <v>2035</v>
      </c>
      <c r="B206" s="84" t="s">
        <v>3</v>
      </c>
      <c r="C206" s="2">
        <v>10838563</v>
      </c>
      <c r="D206" s="2">
        <v>5348533</v>
      </c>
    </row>
    <row r="207" spans="1:4" x14ac:dyDescent="0.25">
      <c r="A207" s="2">
        <v>2036</v>
      </c>
      <c r="B207" s="84" t="s">
        <v>3</v>
      </c>
      <c r="C207" s="2">
        <v>10865668.714313099</v>
      </c>
      <c r="D207" s="2">
        <v>5359559.2546123201</v>
      </c>
    </row>
    <row r="208" spans="1:4" x14ac:dyDescent="0.25">
      <c r="A208" s="2">
        <v>2037</v>
      </c>
      <c r="B208" s="84" t="s">
        <v>3</v>
      </c>
      <c r="C208" s="2">
        <v>10891090.477176899</v>
      </c>
      <c r="D208" s="2">
        <v>5369870.2807408702</v>
      </c>
    </row>
    <row r="209" spans="1:4" x14ac:dyDescent="0.25">
      <c r="A209" s="2">
        <v>2038</v>
      </c>
      <c r="B209" s="84" t="s">
        <v>3</v>
      </c>
      <c r="C209" s="2">
        <v>10913764.882884201</v>
      </c>
      <c r="D209" s="2">
        <v>5378918.4795632502</v>
      </c>
    </row>
    <row r="210" spans="1:4" x14ac:dyDescent="0.25">
      <c r="A210" s="2">
        <v>2039</v>
      </c>
      <c r="B210" s="84" t="s">
        <v>3</v>
      </c>
      <c r="C210" s="2">
        <v>10932628.5257277</v>
      </c>
      <c r="D210" s="2">
        <v>5386156.2522570901</v>
      </c>
    </row>
    <row r="211" spans="1:4" x14ac:dyDescent="0.25">
      <c r="A211" s="2">
        <v>2040</v>
      </c>
      <c r="B211" s="84" t="s">
        <v>3</v>
      </c>
      <c r="C211" s="2">
        <v>10946618</v>
      </c>
      <c r="D211" s="2">
        <v>5391036</v>
      </c>
    </row>
    <row r="212" spans="1:4" x14ac:dyDescent="0.25">
      <c r="A212" s="2">
        <v>2041</v>
      </c>
      <c r="B212" s="84" t="s">
        <v>3</v>
      </c>
      <c r="C212" s="2">
        <v>10954889.3828496</v>
      </c>
      <c r="D212" s="2">
        <v>5393122.5687242504</v>
      </c>
    </row>
    <row r="213" spans="1:4" x14ac:dyDescent="0.25">
      <c r="A213" s="2">
        <v>2042</v>
      </c>
      <c r="B213" s="84" t="s">
        <v>3</v>
      </c>
      <c r="C213" s="2">
        <v>10957476.6828475</v>
      </c>
      <c r="D213" s="2">
        <v>5392430.5833807802</v>
      </c>
    </row>
    <row r="214" spans="1:4" x14ac:dyDescent="0.25">
      <c r="A214" s="2">
        <v>2043</v>
      </c>
      <c r="B214" s="84" t="s">
        <v>3</v>
      </c>
      <c r="C214" s="2">
        <v>10954633.3914207</v>
      </c>
      <c r="D214" s="2">
        <v>5389087.1136751799</v>
      </c>
    </row>
    <row r="215" spans="1:4" x14ac:dyDescent="0.25">
      <c r="A215" s="2">
        <v>2044</v>
      </c>
      <c r="B215" s="84" t="s">
        <v>3</v>
      </c>
      <c r="C215" s="2">
        <v>10946612.9999959</v>
      </c>
      <c r="D215" s="2">
        <v>5383219.2293130597</v>
      </c>
    </row>
    <row r="216" spans="1:4" x14ac:dyDescent="0.25">
      <c r="A216" s="2">
        <v>2045</v>
      </c>
      <c r="B216" s="84" t="s">
        <v>3</v>
      </c>
      <c r="C216" s="2">
        <v>10933669</v>
      </c>
      <c r="D216" s="2">
        <v>5374954</v>
      </c>
    </row>
    <row r="217" spans="1:4" x14ac:dyDescent="0.25">
      <c r="A217" s="2">
        <v>2046</v>
      </c>
      <c r="B217" s="84" t="s">
        <v>3</v>
      </c>
      <c r="C217" s="2">
        <v>10916010.9862886</v>
      </c>
      <c r="D217" s="2">
        <v>5364396.0064906701</v>
      </c>
    </row>
    <row r="218" spans="1:4" x14ac:dyDescent="0.25">
      <c r="A218" s="2">
        <v>2047</v>
      </c>
      <c r="B218" s="84" t="s">
        <v>3</v>
      </c>
      <c r="C218" s="2">
        <v>10893672.967432899</v>
      </c>
      <c r="D218" s="2">
        <v>5351559.8737360099</v>
      </c>
    </row>
    <row r="219" spans="1:4" x14ac:dyDescent="0.25">
      <c r="A219" s="2">
        <v>2048</v>
      </c>
      <c r="B219" s="84" t="s">
        <v>3</v>
      </c>
      <c r="C219" s="2">
        <v>10866645.055432901</v>
      </c>
      <c r="D219" s="2">
        <v>5336437.73773601</v>
      </c>
    </row>
    <row r="220" spans="1:4" x14ac:dyDescent="0.25">
      <c r="A220" s="2">
        <v>2049</v>
      </c>
      <c r="B220" s="84" t="s">
        <v>3</v>
      </c>
      <c r="C220" s="2">
        <v>10834917.3622886</v>
      </c>
      <c r="D220" s="2">
        <v>5319021.7344906703</v>
      </c>
    </row>
    <row r="221" spans="1:4" x14ac:dyDescent="0.25">
      <c r="A221" s="2">
        <v>2050</v>
      </c>
      <c r="B221" s="84" t="s">
        <v>3</v>
      </c>
      <c r="C221" s="2">
        <v>10798480</v>
      </c>
      <c r="D221" s="2">
        <v>5299304</v>
      </c>
    </row>
    <row r="222" spans="1:4" x14ac:dyDescent="0.25">
      <c r="A222" s="2">
        <v>1996</v>
      </c>
      <c r="B222" s="84" t="s">
        <v>2</v>
      </c>
      <c r="C222" s="2">
        <v>2862216.4853526298</v>
      </c>
      <c r="D222" s="2">
        <v>1448877.9572723201</v>
      </c>
    </row>
    <row r="223" spans="1:4" x14ac:dyDescent="0.25">
      <c r="A223" s="2">
        <v>1997</v>
      </c>
      <c r="B223" s="84" t="s">
        <v>2</v>
      </c>
      <c r="C223" s="2">
        <v>2950439.89121158</v>
      </c>
      <c r="D223" s="2">
        <v>1494497.7743633899</v>
      </c>
    </row>
    <row r="224" spans="1:4" x14ac:dyDescent="0.25">
      <c r="A224" s="2">
        <v>1998</v>
      </c>
      <c r="B224" s="84" t="s">
        <v>2</v>
      </c>
      <c r="C224" s="2">
        <v>3048176.4456057898</v>
      </c>
      <c r="D224" s="2">
        <v>1544756.3871817</v>
      </c>
    </row>
    <row r="225" spans="1:4" x14ac:dyDescent="0.25">
      <c r="A225" s="2">
        <v>1999</v>
      </c>
      <c r="B225" s="84" t="s">
        <v>2</v>
      </c>
      <c r="C225" s="2">
        <v>3155060.14853526</v>
      </c>
      <c r="D225" s="2">
        <v>1599513.7957272299</v>
      </c>
    </row>
    <row r="226" spans="1:4" x14ac:dyDescent="0.25">
      <c r="A226" s="2">
        <v>2000</v>
      </c>
      <c r="B226" s="84" t="s">
        <v>2</v>
      </c>
      <c r="C226" s="2">
        <v>3270725</v>
      </c>
      <c r="D226" s="2">
        <v>1658630</v>
      </c>
    </row>
    <row r="227" spans="1:4" x14ac:dyDescent="0.25">
      <c r="A227" s="2">
        <v>2001</v>
      </c>
      <c r="B227" s="84" t="s">
        <v>2</v>
      </c>
      <c r="C227" s="2">
        <v>3394805</v>
      </c>
      <c r="D227" s="2">
        <v>1721965</v>
      </c>
    </row>
    <row r="228" spans="1:4" x14ac:dyDescent="0.25">
      <c r="A228" s="2">
        <v>2002</v>
      </c>
      <c r="B228" s="84" t="s">
        <v>2</v>
      </c>
      <c r="C228" s="2">
        <v>3526909</v>
      </c>
      <c r="D228" s="2">
        <v>1789361</v>
      </c>
    </row>
    <row r="229" spans="1:4" x14ac:dyDescent="0.25">
      <c r="A229" s="2">
        <v>2003</v>
      </c>
      <c r="B229" s="84" t="s">
        <v>2</v>
      </c>
      <c r="C229" s="2">
        <v>3666671</v>
      </c>
      <c r="D229" s="2">
        <v>1860678</v>
      </c>
    </row>
    <row r="230" spans="1:4" x14ac:dyDescent="0.25">
      <c r="A230" s="2">
        <v>2004</v>
      </c>
      <c r="B230" s="84" t="s">
        <v>2</v>
      </c>
      <c r="C230" s="2">
        <v>3814359</v>
      </c>
      <c r="D230" s="2">
        <v>1936129</v>
      </c>
    </row>
    <row r="231" spans="1:4" x14ac:dyDescent="0.25">
      <c r="A231" s="2">
        <v>2005</v>
      </c>
      <c r="B231" s="84" t="s">
        <v>2</v>
      </c>
      <c r="C231" s="2">
        <v>3970997</v>
      </c>
      <c r="D231" s="2">
        <v>2016148</v>
      </c>
    </row>
    <row r="232" spans="1:4" x14ac:dyDescent="0.25">
      <c r="A232" s="2">
        <v>2006</v>
      </c>
      <c r="B232" s="84" t="s">
        <v>2</v>
      </c>
      <c r="C232" s="2">
        <v>4136588</v>
      </c>
      <c r="D232" s="2">
        <v>2100791</v>
      </c>
    </row>
    <row r="233" spans="1:4" x14ac:dyDescent="0.25">
      <c r="A233" s="2">
        <v>2007</v>
      </c>
      <c r="B233" s="84" t="s">
        <v>2</v>
      </c>
      <c r="C233" s="2">
        <v>4307510</v>
      </c>
      <c r="D233" s="2">
        <v>2188071</v>
      </c>
    </row>
    <row r="234" spans="1:4" x14ac:dyDescent="0.25">
      <c r="A234" s="2">
        <v>2008</v>
      </c>
      <c r="B234" s="84" t="s">
        <v>2</v>
      </c>
      <c r="C234" s="2">
        <v>4483302</v>
      </c>
      <c r="D234" s="2">
        <v>2277674</v>
      </c>
    </row>
    <row r="235" spans="1:4" x14ac:dyDescent="0.25">
      <c r="A235" s="2">
        <v>2009</v>
      </c>
      <c r="B235" s="84" t="s">
        <v>2</v>
      </c>
      <c r="C235" s="2">
        <v>4663733</v>
      </c>
      <c r="D235" s="2">
        <v>2369589</v>
      </c>
    </row>
    <row r="236" spans="1:4" x14ac:dyDescent="0.25">
      <c r="A236" s="2">
        <v>2010</v>
      </c>
      <c r="B236" s="84" t="s">
        <v>2</v>
      </c>
      <c r="C236" s="2">
        <v>4849717</v>
      </c>
      <c r="D236" s="2">
        <v>2464321</v>
      </c>
    </row>
    <row r="237" spans="1:4" x14ac:dyDescent="0.25">
      <c r="A237" s="2">
        <v>2011</v>
      </c>
      <c r="B237" s="84" t="s">
        <v>2</v>
      </c>
      <c r="C237" s="2">
        <v>5041154</v>
      </c>
      <c r="D237" s="2">
        <v>2561836</v>
      </c>
    </row>
    <row r="238" spans="1:4" x14ac:dyDescent="0.25">
      <c r="A238" s="2">
        <v>2012</v>
      </c>
      <c r="B238" s="84" t="s">
        <v>2</v>
      </c>
      <c r="C238" s="2">
        <v>5230482.0778962998</v>
      </c>
      <c r="D238" s="2">
        <v>2658291.2681631502</v>
      </c>
    </row>
    <row r="239" spans="1:4" x14ac:dyDescent="0.25">
      <c r="A239" s="2">
        <v>2013</v>
      </c>
      <c r="B239" s="84" t="s">
        <v>2</v>
      </c>
      <c r="C239" s="2">
        <v>5415783.9591287402</v>
      </c>
      <c r="D239" s="2">
        <v>2752738.9724179399</v>
      </c>
    </row>
    <row r="240" spans="1:4" x14ac:dyDescent="0.25">
      <c r="A240" s="2">
        <v>2014</v>
      </c>
      <c r="B240" s="84" t="s">
        <v>2</v>
      </c>
      <c r="C240" s="2">
        <v>5597164</v>
      </c>
      <c r="D240" s="2">
        <v>2845267</v>
      </c>
    </row>
    <row r="241" spans="1:4" x14ac:dyDescent="0.25">
      <c r="A241" s="2">
        <v>2015</v>
      </c>
      <c r="B241" s="84" t="s">
        <v>2</v>
      </c>
      <c r="C241" s="2">
        <v>5775263</v>
      </c>
      <c r="D241" s="2">
        <v>2936287</v>
      </c>
    </row>
    <row r="242" spans="1:4" x14ac:dyDescent="0.25">
      <c r="A242" s="2">
        <v>2016</v>
      </c>
      <c r="B242" s="84" t="s">
        <v>2</v>
      </c>
      <c r="C242" s="2">
        <v>5951212</v>
      </c>
      <c r="D242" s="2">
        <v>3026508</v>
      </c>
    </row>
    <row r="243" spans="1:4" x14ac:dyDescent="0.25">
      <c r="A243" s="2">
        <v>2017</v>
      </c>
      <c r="B243" s="84" t="s">
        <v>2</v>
      </c>
      <c r="C243" s="2">
        <v>6121481</v>
      </c>
      <c r="D243" s="2">
        <v>3113814</v>
      </c>
    </row>
    <row r="244" spans="1:4" x14ac:dyDescent="0.25">
      <c r="A244" s="2">
        <v>2018</v>
      </c>
      <c r="B244" s="84" t="s">
        <v>2</v>
      </c>
      <c r="C244" s="2">
        <v>6286135</v>
      </c>
      <c r="D244" s="2">
        <v>3198208</v>
      </c>
    </row>
    <row r="245" spans="1:4" x14ac:dyDescent="0.25">
      <c r="A245" s="2">
        <v>2019</v>
      </c>
      <c r="B245" s="84" t="s">
        <v>2</v>
      </c>
      <c r="C245" s="2">
        <v>6445325</v>
      </c>
      <c r="D245" s="2">
        <v>3279753</v>
      </c>
    </row>
    <row r="246" spans="1:4" x14ac:dyDescent="0.25">
      <c r="A246" s="2">
        <v>2020</v>
      </c>
      <c r="B246" s="84" t="s">
        <v>2</v>
      </c>
      <c r="C246" s="2">
        <v>6599955</v>
      </c>
      <c r="D246" s="2">
        <v>3358849</v>
      </c>
    </row>
    <row r="247" spans="1:4" x14ac:dyDescent="0.25">
      <c r="A247" s="2">
        <v>2021</v>
      </c>
      <c r="B247" s="84" t="s">
        <v>2</v>
      </c>
      <c r="C247" s="2">
        <v>6750023</v>
      </c>
      <c r="D247" s="2">
        <v>3435467</v>
      </c>
    </row>
    <row r="248" spans="1:4" x14ac:dyDescent="0.25">
      <c r="A248" s="2">
        <v>2022</v>
      </c>
      <c r="B248" s="84" t="s">
        <v>2</v>
      </c>
      <c r="C248" s="2">
        <v>6898495.7158323303</v>
      </c>
      <c r="D248" s="2">
        <v>3511067.1228666902</v>
      </c>
    </row>
    <row r="249" spans="1:4" x14ac:dyDescent="0.25">
      <c r="A249" s="2">
        <v>2023</v>
      </c>
      <c r="B249" s="84" t="s">
        <v>2</v>
      </c>
      <c r="C249" s="2">
        <v>7046282.0434969701</v>
      </c>
      <c r="D249" s="2">
        <v>3586103.79280383</v>
      </c>
    </row>
    <row r="250" spans="1:4" x14ac:dyDescent="0.25">
      <c r="A250" s="2">
        <v>2024</v>
      </c>
      <c r="B250" s="84" t="s">
        <v>2</v>
      </c>
      <c r="C250" s="2">
        <v>7193503.3494131202</v>
      </c>
      <c r="D250" s="2">
        <v>3660644.06633905</v>
      </c>
    </row>
    <row r="251" spans="1:4" x14ac:dyDescent="0.25">
      <c r="A251" s="2">
        <v>2025</v>
      </c>
      <c r="B251" s="84" t="s">
        <v>2</v>
      </c>
      <c r="C251" s="2">
        <v>7340281</v>
      </c>
      <c r="D251" s="2">
        <v>3734755</v>
      </c>
    </row>
    <row r="252" spans="1:4" x14ac:dyDescent="0.25">
      <c r="A252" s="2">
        <v>2026</v>
      </c>
      <c r="B252" s="84" t="s">
        <v>2</v>
      </c>
      <c r="C252" s="2">
        <v>7486733.9836954903</v>
      </c>
      <c r="D252" s="2">
        <v>3808499.50992506</v>
      </c>
    </row>
    <row r="253" spans="1:4" x14ac:dyDescent="0.25">
      <c r="A253" s="2">
        <v>2027</v>
      </c>
      <c r="B253" s="84" t="s">
        <v>2</v>
      </c>
      <c r="C253" s="2">
        <v>7632971.77701208</v>
      </c>
      <c r="D253" s="2">
        <v>3881923.95069553</v>
      </c>
    </row>
    <row r="254" spans="1:4" x14ac:dyDescent="0.25">
      <c r="A254" s="2">
        <v>2028</v>
      </c>
      <c r="B254" s="84" t="s">
        <v>2</v>
      </c>
      <c r="C254" s="2">
        <v>7779101.4784809304</v>
      </c>
      <c r="D254" s="2">
        <v>3955070.5365034798</v>
      </c>
    </row>
    <row r="255" spans="1:4" x14ac:dyDescent="0.25">
      <c r="A255" s="2">
        <v>2029</v>
      </c>
      <c r="B255" s="84" t="s">
        <v>2</v>
      </c>
      <c r="C255" s="2">
        <v>7925230.1866331901</v>
      </c>
      <c r="D255" s="2">
        <v>4027981.48154095</v>
      </c>
    </row>
    <row r="256" spans="1:4" x14ac:dyDescent="0.25">
      <c r="A256" s="2">
        <v>2030</v>
      </c>
      <c r="B256" s="84" t="s">
        <v>2</v>
      </c>
      <c r="C256" s="2">
        <v>8071465</v>
      </c>
      <c r="D256" s="2">
        <v>4100699</v>
      </c>
    </row>
    <row r="257" spans="1:4" x14ac:dyDescent="0.25">
      <c r="A257" s="2">
        <v>2031</v>
      </c>
      <c r="B257" s="84" t="s">
        <v>2</v>
      </c>
      <c r="C257" s="2">
        <v>8217736.8963633804</v>
      </c>
      <c r="D257" s="2">
        <v>4173181.16454995</v>
      </c>
    </row>
    <row r="258" spans="1:4" x14ac:dyDescent="0.25">
      <c r="A258" s="2">
        <v>2032</v>
      </c>
      <c r="B258" s="84" t="s">
        <v>2</v>
      </c>
      <c r="C258" s="2">
        <v>8363272.3705087798</v>
      </c>
      <c r="D258" s="2">
        <v>4245049.48176922</v>
      </c>
    </row>
    <row r="259" spans="1:4" x14ac:dyDescent="0.25">
      <c r="A259" s="2">
        <v>2033</v>
      </c>
      <c r="B259" s="84" t="s">
        <v>2</v>
      </c>
      <c r="C259" s="2">
        <v>8507121.7964724805</v>
      </c>
      <c r="D259" s="2">
        <v>4315841.3167135203</v>
      </c>
    </row>
    <row r="260" spans="1:4" x14ac:dyDescent="0.25">
      <c r="A260" s="2">
        <v>2034</v>
      </c>
      <c r="B260" s="84" t="s">
        <v>2</v>
      </c>
      <c r="C260" s="2">
        <v>8648335.5482907891</v>
      </c>
      <c r="D260" s="2">
        <v>4385094.0344385495</v>
      </c>
    </row>
    <row r="261" spans="1:4" x14ac:dyDescent="0.25">
      <c r="A261" s="2">
        <v>2035</v>
      </c>
      <c r="B261" s="84" t="s">
        <v>2</v>
      </c>
      <c r="C261" s="2">
        <v>8785964</v>
      </c>
      <c r="D261" s="2">
        <v>4452345</v>
      </c>
    </row>
    <row r="262" spans="1:4" x14ac:dyDescent="0.25">
      <c r="A262" s="2">
        <v>2036</v>
      </c>
      <c r="B262" s="84" t="s">
        <v>2</v>
      </c>
      <c r="C262" s="2">
        <v>8919225.1108509805</v>
      </c>
      <c r="D262" s="2">
        <v>4517216.5438751597</v>
      </c>
    </row>
    <row r="263" spans="1:4" x14ac:dyDescent="0.25">
      <c r="A263" s="2">
        <v>2037</v>
      </c>
      <c r="B263" s="84" t="s">
        <v>2</v>
      </c>
      <c r="C263" s="2">
        <v>9048007.1809528098</v>
      </c>
      <c r="D263" s="2">
        <v>4579670.8582275901</v>
      </c>
    </row>
    <row r="264" spans="1:4" x14ac:dyDescent="0.25">
      <c r="A264" s="2">
        <v>2038</v>
      </c>
      <c r="B264" s="84" t="s">
        <v>2</v>
      </c>
      <c r="C264" s="2">
        <v>9172366.0956291594</v>
      </c>
      <c r="D264" s="2">
        <v>4639755.1006424399</v>
      </c>
    </row>
    <row r="265" spans="1:4" x14ac:dyDescent="0.25">
      <c r="A265" s="2">
        <v>2039</v>
      </c>
      <c r="B265" s="84" t="s">
        <v>2</v>
      </c>
      <c r="C265" s="2">
        <v>9292357.7402036693</v>
      </c>
      <c r="D265" s="2">
        <v>4697516.4287048597</v>
      </c>
    </row>
    <row r="266" spans="1:4" x14ac:dyDescent="0.25">
      <c r="A266" s="2">
        <v>2040</v>
      </c>
      <c r="B266" s="84" t="s">
        <v>2</v>
      </c>
      <c r="C266" s="2">
        <v>9408038</v>
      </c>
      <c r="D266" s="2">
        <v>4753002</v>
      </c>
    </row>
    <row r="267" spans="1:4" x14ac:dyDescent="0.25">
      <c r="A267" s="2">
        <v>2041</v>
      </c>
      <c r="B267" s="84" t="s">
        <v>2</v>
      </c>
      <c r="C267" s="2">
        <v>9519357.6842327099</v>
      </c>
      <c r="D267" s="2">
        <v>4806204.6759494198</v>
      </c>
    </row>
    <row r="268" spans="1:4" x14ac:dyDescent="0.25">
      <c r="A268" s="2">
        <v>2042</v>
      </c>
      <c r="B268" s="84" t="s">
        <v>2</v>
      </c>
      <c r="C268" s="2">
        <v>9625847.2976799794</v>
      </c>
      <c r="D268" s="2">
        <v>4856900.13332042</v>
      </c>
    </row>
    <row r="269" spans="1:4" x14ac:dyDescent="0.25">
      <c r="A269" s="2">
        <v>2043</v>
      </c>
      <c r="B269" s="84" t="s">
        <v>2</v>
      </c>
      <c r="C269" s="2">
        <v>9726932.2690108903</v>
      </c>
      <c r="D269" s="2">
        <v>4904809.7527167099</v>
      </c>
    </row>
    <row r="270" spans="1:4" x14ac:dyDescent="0.25">
      <c r="A270" s="2">
        <v>2044</v>
      </c>
      <c r="B270" s="84" t="s">
        <v>2</v>
      </c>
      <c r="C270" s="2">
        <v>9822038.0268945396</v>
      </c>
      <c r="D270" s="2">
        <v>4949654.9147420004</v>
      </c>
    </row>
    <row r="271" spans="1:4" x14ac:dyDescent="0.25">
      <c r="A271" s="2">
        <v>2045</v>
      </c>
      <c r="B271" s="84" t="s">
        <v>2</v>
      </c>
      <c r="C271" s="2">
        <v>9910590</v>
      </c>
      <c r="D271" s="2">
        <v>4991157</v>
      </c>
    </row>
    <row r="272" spans="1:4" x14ac:dyDescent="0.25">
      <c r="A272" s="2">
        <v>2046</v>
      </c>
      <c r="B272" s="84" t="s">
        <v>2</v>
      </c>
      <c r="C272" s="2">
        <v>9992034.6322181895</v>
      </c>
      <c r="D272" s="2">
        <v>5029048.2483271398</v>
      </c>
    </row>
    <row r="273" spans="1:4" x14ac:dyDescent="0.25">
      <c r="A273" s="2">
        <v>2047</v>
      </c>
      <c r="B273" s="84" t="s">
        <v>2</v>
      </c>
      <c r="C273" s="2">
        <v>10065902.4283273</v>
      </c>
      <c r="D273" s="2">
        <v>5063104.3364907196</v>
      </c>
    </row>
    <row r="274" spans="1:4" x14ac:dyDescent="0.25">
      <c r="A274" s="2">
        <v>2048</v>
      </c>
      <c r="B274" s="84" t="s">
        <v>2</v>
      </c>
      <c r="C274" s="2">
        <v>10131744.9083273</v>
      </c>
      <c r="D274" s="2">
        <v>5093111.8004907202</v>
      </c>
    </row>
    <row r="275" spans="1:4" x14ac:dyDescent="0.25">
      <c r="A275" s="2">
        <v>2049</v>
      </c>
      <c r="B275" s="84" t="s">
        <v>2</v>
      </c>
      <c r="C275" s="2">
        <v>10189113.5922182</v>
      </c>
      <c r="D275" s="2">
        <v>5118857.1763271401</v>
      </c>
    </row>
    <row r="276" spans="1:4" x14ac:dyDescent="0.25">
      <c r="A276" s="2">
        <v>2050</v>
      </c>
      <c r="B276" s="84" t="s">
        <v>2</v>
      </c>
      <c r="C276" s="2">
        <v>10237560</v>
      </c>
      <c r="D276" s="2">
        <v>5140127</v>
      </c>
    </row>
    <row r="277" spans="1:4" x14ac:dyDescent="0.25">
      <c r="A277" s="2">
        <v>1996</v>
      </c>
      <c r="B277" s="84" t="s">
        <v>1</v>
      </c>
      <c r="C277" s="2">
        <v>710343.28776711202</v>
      </c>
      <c r="D277" s="2">
        <v>373487.34083337098</v>
      </c>
    </row>
    <row r="278" spans="1:4" x14ac:dyDescent="0.25">
      <c r="A278" s="2">
        <v>1997</v>
      </c>
      <c r="B278" s="84" t="s">
        <v>1</v>
      </c>
      <c r="C278" s="2">
        <v>717390.37266026705</v>
      </c>
      <c r="D278" s="2">
        <v>377918.60450002301</v>
      </c>
    </row>
    <row r="279" spans="1:4" x14ac:dyDescent="0.25">
      <c r="A279" s="2">
        <v>1998</v>
      </c>
      <c r="B279" s="84" t="s">
        <v>1</v>
      </c>
      <c r="C279" s="2">
        <v>727932.186330133</v>
      </c>
      <c r="D279" s="2">
        <v>383636.80225001101</v>
      </c>
    </row>
    <row r="280" spans="1:4" x14ac:dyDescent="0.25">
      <c r="A280" s="2">
        <v>1999</v>
      </c>
      <c r="B280" s="84" t="s">
        <v>1</v>
      </c>
      <c r="C280" s="2">
        <v>741553.72877671104</v>
      </c>
      <c r="D280" s="2">
        <v>390568.93408333702</v>
      </c>
    </row>
    <row r="281" spans="1:4" x14ac:dyDescent="0.25">
      <c r="A281" s="2">
        <v>2000</v>
      </c>
      <c r="B281" s="84" t="s">
        <v>1</v>
      </c>
      <c r="C281" s="2">
        <v>757840</v>
      </c>
      <c r="D281" s="2">
        <v>398642</v>
      </c>
    </row>
    <row r="282" spans="1:4" x14ac:dyDescent="0.25">
      <c r="A282" s="2">
        <v>2001</v>
      </c>
      <c r="B282" s="84" t="s">
        <v>1</v>
      </c>
      <c r="C282" s="2">
        <v>776376</v>
      </c>
      <c r="D282" s="2">
        <v>407783</v>
      </c>
    </row>
    <row r="283" spans="1:4" x14ac:dyDescent="0.25">
      <c r="A283" s="2">
        <v>2002</v>
      </c>
      <c r="B283" s="84" t="s">
        <v>1</v>
      </c>
      <c r="C283" s="2">
        <v>796712</v>
      </c>
      <c r="D283" s="2">
        <v>417907</v>
      </c>
    </row>
    <row r="284" spans="1:4" x14ac:dyDescent="0.25">
      <c r="A284" s="2">
        <v>2003</v>
      </c>
      <c r="B284" s="84" t="s">
        <v>1</v>
      </c>
      <c r="C284" s="2">
        <v>818433</v>
      </c>
      <c r="D284" s="2">
        <v>428941</v>
      </c>
    </row>
    <row r="285" spans="1:4" x14ac:dyDescent="0.25">
      <c r="A285" s="2">
        <v>2004</v>
      </c>
      <c r="B285" s="84" t="s">
        <v>1</v>
      </c>
      <c r="C285" s="2">
        <v>841739</v>
      </c>
      <c r="D285" s="2">
        <v>441018</v>
      </c>
    </row>
    <row r="286" spans="1:4" x14ac:dyDescent="0.25">
      <c r="A286" s="2">
        <v>2005</v>
      </c>
      <c r="B286" s="84" t="s">
        <v>1</v>
      </c>
      <c r="C286" s="2">
        <v>866819</v>
      </c>
      <c r="D286" s="2">
        <v>454245</v>
      </c>
    </row>
    <row r="287" spans="1:4" x14ac:dyDescent="0.25">
      <c r="A287" s="2">
        <v>2006</v>
      </c>
      <c r="B287" s="84" t="s">
        <v>1</v>
      </c>
      <c r="C287" s="2">
        <v>893794</v>
      </c>
      <c r="D287" s="2">
        <v>468680</v>
      </c>
    </row>
    <row r="288" spans="1:4" x14ac:dyDescent="0.25">
      <c r="A288" s="2">
        <v>2007</v>
      </c>
      <c r="B288" s="84" t="s">
        <v>1</v>
      </c>
      <c r="C288" s="2">
        <v>922773</v>
      </c>
      <c r="D288" s="2">
        <v>484321</v>
      </c>
    </row>
    <row r="289" spans="1:4" x14ac:dyDescent="0.25">
      <c r="A289" s="2">
        <v>2008</v>
      </c>
      <c r="B289" s="84" t="s">
        <v>1</v>
      </c>
      <c r="C289" s="2">
        <v>953869</v>
      </c>
      <c r="D289" s="2">
        <v>501201</v>
      </c>
    </row>
    <row r="290" spans="1:4" x14ac:dyDescent="0.25">
      <c r="A290" s="2">
        <v>2009</v>
      </c>
      <c r="B290" s="84" t="s">
        <v>1</v>
      </c>
      <c r="C290" s="2">
        <v>987212</v>
      </c>
      <c r="D290" s="2">
        <v>519377</v>
      </c>
    </row>
    <row r="291" spans="1:4" x14ac:dyDescent="0.25">
      <c r="A291" s="2">
        <v>2010</v>
      </c>
      <c r="B291" s="84" t="s">
        <v>1</v>
      </c>
      <c r="C291" s="2">
        <v>1022974</v>
      </c>
      <c r="D291" s="2">
        <v>538921</v>
      </c>
    </row>
    <row r="292" spans="1:4" x14ac:dyDescent="0.25">
      <c r="A292" s="2">
        <v>2011</v>
      </c>
      <c r="B292" s="84" t="s">
        <v>1</v>
      </c>
      <c r="C292" s="2">
        <v>1061340</v>
      </c>
      <c r="D292" s="2">
        <v>559899</v>
      </c>
    </row>
    <row r="293" spans="1:4" x14ac:dyDescent="0.25">
      <c r="A293" s="2">
        <v>2012</v>
      </c>
      <c r="B293" s="84" t="s">
        <v>1</v>
      </c>
      <c r="C293" s="2">
        <v>1102796.7939262099</v>
      </c>
      <c r="D293" s="2">
        <v>582433.94467592705</v>
      </c>
    </row>
    <row r="294" spans="1:4" x14ac:dyDescent="0.25">
      <c r="A294" s="2">
        <v>2013</v>
      </c>
      <c r="B294" s="84" t="s">
        <v>1</v>
      </c>
      <c r="C294" s="2">
        <v>1147296.6505007599</v>
      </c>
      <c r="D294" s="2">
        <v>606480.27141564596</v>
      </c>
    </row>
    <row r="295" spans="1:4" x14ac:dyDescent="0.25">
      <c r="A295" s="2">
        <v>2014</v>
      </c>
      <c r="B295" s="84" t="s">
        <v>1</v>
      </c>
      <c r="C295" s="2">
        <v>1194627</v>
      </c>
      <c r="D295" s="2">
        <v>631943</v>
      </c>
    </row>
    <row r="296" spans="1:4" x14ac:dyDescent="0.25">
      <c r="A296" s="2">
        <v>2015</v>
      </c>
      <c r="B296" s="84" t="s">
        <v>1</v>
      </c>
      <c r="C296" s="2">
        <v>1243739</v>
      </c>
      <c r="D296" s="2">
        <v>658220</v>
      </c>
    </row>
    <row r="297" spans="1:4" x14ac:dyDescent="0.25">
      <c r="A297" s="2">
        <v>2016</v>
      </c>
      <c r="B297" s="84" t="s">
        <v>1</v>
      </c>
      <c r="C297" s="2">
        <v>1292953</v>
      </c>
      <c r="D297" s="2">
        <v>684235</v>
      </c>
    </row>
    <row r="298" spans="1:4" x14ac:dyDescent="0.25">
      <c r="A298" s="2">
        <v>2017</v>
      </c>
      <c r="B298" s="84" t="s">
        <v>1</v>
      </c>
      <c r="C298" s="2">
        <v>1348121</v>
      </c>
      <c r="D298" s="2">
        <v>713237</v>
      </c>
    </row>
    <row r="299" spans="1:4" x14ac:dyDescent="0.25">
      <c r="A299" s="2">
        <v>2018</v>
      </c>
      <c r="B299" s="84" t="s">
        <v>1</v>
      </c>
      <c r="C299" s="2">
        <v>1408591</v>
      </c>
      <c r="D299" s="2">
        <v>744935</v>
      </c>
    </row>
    <row r="300" spans="1:4" x14ac:dyDescent="0.25">
      <c r="A300" s="2">
        <v>2019</v>
      </c>
      <c r="B300" s="84" t="s">
        <v>1</v>
      </c>
      <c r="C300" s="2">
        <v>1473950</v>
      </c>
      <c r="D300" s="2">
        <v>779238</v>
      </c>
    </row>
    <row r="301" spans="1:4" x14ac:dyDescent="0.25">
      <c r="A301" s="2">
        <v>2020</v>
      </c>
      <c r="B301" s="84" t="s">
        <v>1</v>
      </c>
      <c r="C301" s="2">
        <v>1543699</v>
      </c>
      <c r="D301" s="2">
        <v>815798</v>
      </c>
    </row>
    <row r="302" spans="1:4" x14ac:dyDescent="0.25">
      <c r="A302" s="2">
        <v>2021</v>
      </c>
      <c r="B302" s="84" t="s">
        <v>1</v>
      </c>
      <c r="C302" s="2">
        <v>1617531</v>
      </c>
      <c r="D302" s="2">
        <v>854515</v>
      </c>
    </row>
    <row r="303" spans="1:4" x14ac:dyDescent="0.25">
      <c r="A303" s="2">
        <v>2022</v>
      </c>
      <c r="B303" s="84" t="s">
        <v>1</v>
      </c>
      <c r="C303" s="2">
        <v>1695561.6179397299</v>
      </c>
      <c r="D303" s="2">
        <v>895435.59485032898</v>
      </c>
    </row>
    <row r="304" spans="1:4" x14ac:dyDescent="0.25">
      <c r="A304" s="2">
        <v>2023</v>
      </c>
      <c r="B304" s="84" t="s">
        <v>1</v>
      </c>
      <c r="C304" s="2">
        <v>1777773.0231401001</v>
      </c>
      <c r="D304" s="2">
        <v>938553.24645900598</v>
      </c>
    </row>
    <row r="305" spans="1:4" x14ac:dyDescent="0.25">
      <c r="A305" s="2">
        <v>2024</v>
      </c>
      <c r="B305" s="84" t="s">
        <v>1</v>
      </c>
      <c r="C305" s="2">
        <v>1864088.91677042</v>
      </c>
      <c r="D305" s="2">
        <v>983844.774838179</v>
      </c>
    </row>
    <row r="306" spans="1:4" x14ac:dyDescent="0.25">
      <c r="A306" s="2">
        <v>2025</v>
      </c>
      <c r="B306" s="84" t="s">
        <v>1</v>
      </c>
      <c r="C306" s="2">
        <v>1954433</v>
      </c>
      <c r="D306" s="2">
        <v>1031287</v>
      </c>
    </row>
    <row r="307" spans="1:4" x14ac:dyDescent="0.25">
      <c r="A307" s="2">
        <v>2026</v>
      </c>
      <c r="B307" s="84" t="s">
        <v>1</v>
      </c>
      <c r="C307" s="2">
        <v>2048490.86358963</v>
      </c>
      <c r="D307" s="2">
        <v>1080724.1317328301</v>
      </c>
    </row>
    <row r="308" spans="1:4" x14ac:dyDescent="0.25">
      <c r="A308" s="2">
        <v>2027</v>
      </c>
      <c r="B308" s="84" t="s">
        <v>1</v>
      </c>
      <c r="C308" s="2">
        <v>2144995.6566661401</v>
      </c>
      <c r="D308" s="2">
        <v>1131469.93892984</v>
      </c>
    </row>
    <row r="309" spans="1:4" x14ac:dyDescent="0.25">
      <c r="A309" s="2">
        <v>2028</v>
      </c>
      <c r="B309" s="84" t="s">
        <v>1</v>
      </c>
      <c r="C309" s="2">
        <v>2242442.4179478199</v>
      </c>
      <c r="D309" s="2">
        <v>1182705.58026045</v>
      </c>
    </row>
    <row r="310" spans="1:4" x14ac:dyDescent="0.25">
      <c r="A310" s="2">
        <v>2029</v>
      </c>
      <c r="B310" s="84" t="s">
        <v>1</v>
      </c>
      <c r="C310" s="2">
        <v>2339326.18615301</v>
      </c>
      <c r="D310" s="2">
        <v>1233612.2143940399</v>
      </c>
    </row>
    <row r="311" spans="1:4" x14ac:dyDescent="0.25">
      <c r="A311" s="2">
        <v>2030</v>
      </c>
      <c r="B311" s="84" t="s">
        <v>1</v>
      </c>
      <c r="C311" s="2">
        <v>2434142</v>
      </c>
      <c r="D311" s="2">
        <v>1283371</v>
      </c>
    </row>
    <row r="312" spans="1:4" x14ac:dyDescent="0.25">
      <c r="A312" s="2">
        <v>2031</v>
      </c>
      <c r="B312" s="84" t="s">
        <v>1</v>
      </c>
      <c r="C312" s="2">
        <v>2525497.0653350898</v>
      </c>
      <c r="D312" s="2">
        <v>1331229.28971938</v>
      </c>
    </row>
    <row r="313" spans="1:4" x14ac:dyDescent="0.25">
      <c r="A313" s="2">
        <v>2032</v>
      </c>
      <c r="B313" s="84" t="s">
        <v>1</v>
      </c>
      <c r="C313" s="2">
        <v>2612447.2565164701</v>
      </c>
      <c r="D313" s="2">
        <v>1376699.2120798</v>
      </c>
    </row>
    <row r="314" spans="1:4" x14ac:dyDescent="0.25">
      <c r="A314" s="2">
        <v>2033</v>
      </c>
      <c r="B314" s="84" t="s">
        <v>1</v>
      </c>
      <c r="C314" s="2">
        <v>2694160.6150302999</v>
      </c>
      <c r="D314" s="2">
        <v>1419359.0895805301</v>
      </c>
    </row>
    <row r="315" spans="1:4" x14ac:dyDescent="0.25">
      <c r="A315" s="2">
        <v>2034</v>
      </c>
      <c r="B315" s="84" t="s">
        <v>1</v>
      </c>
      <c r="C315" s="2">
        <v>2769805.18236276</v>
      </c>
      <c r="D315" s="2">
        <v>1458787.2447208399</v>
      </c>
    </row>
    <row r="316" spans="1:4" x14ac:dyDescent="0.25">
      <c r="A316" s="2">
        <v>2035</v>
      </c>
      <c r="B316" s="84" t="s">
        <v>1</v>
      </c>
      <c r="C316" s="2">
        <v>2838549</v>
      </c>
      <c r="D316" s="2">
        <v>1494562</v>
      </c>
    </row>
    <row r="317" spans="1:4" x14ac:dyDescent="0.25">
      <c r="A317" s="2">
        <v>2036</v>
      </c>
      <c r="B317" s="84" t="s">
        <v>1</v>
      </c>
      <c r="C317" s="2">
        <v>2900011.1150699998</v>
      </c>
      <c r="D317" s="2">
        <v>1526491.79738965</v>
      </c>
    </row>
    <row r="318" spans="1:4" x14ac:dyDescent="0.25">
      <c r="A318" s="2">
        <v>2037</v>
      </c>
      <c r="B318" s="84" t="s">
        <v>1</v>
      </c>
      <c r="C318" s="2">
        <v>2955614.5972679802</v>
      </c>
      <c r="D318" s="2">
        <v>1555305.5567509499</v>
      </c>
    </row>
    <row r="319" spans="1:4" x14ac:dyDescent="0.25">
      <c r="A319" s="2">
        <v>2038</v>
      </c>
      <c r="B319" s="84" t="s">
        <v>1</v>
      </c>
      <c r="C319" s="2">
        <v>3007233.52193096</v>
      </c>
      <c r="D319" s="2">
        <v>1581962.31741742</v>
      </c>
    </row>
    <row r="320" spans="1:4" x14ac:dyDescent="0.25">
      <c r="A320" s="2">
        <v>2039</v>
      </c>
      <c r="B320" s="84" t="s">
        <v>1</v>
      </c>
      <c r="C320" s="2">
        <v>3056741.9643959599</v>
      </c>
      <c r="D320" s="2">
        <v>1607421.1187225999</v>
      </c>
    </row>
    <row r="321" spans="1:4" x14ac:dyDescent="0.25">
      <c r="A321" s="2">
        <v>2040</v>
      </c>
      <c r="B321" s="84" t="s">
        <v>1</v>
      </c>
      <c r="C321" s="2">
        <v>3106014</v>
      </c>
      <c r="D321" s="2">
        <v>1632641</v>
      </c>
    </row>
    <row r="322" spans="1:4" x14ac:dyDescent="0.25">
      <c r="A322" s="2">
        <v>2041</v>
      </c>
      <c r="B322" s="84" t="s">
        <v>1</v>
      </c>
      <c r="C322" s="2">
        <v>3156725.2583848899</v>
      </c>
      <c r="D322" s="2">
        <v>1658481.08072201</v>
      </c>
    </row>
    <row r="323" spans="1:4" x14ac:dyDescent="0.25">
      <c r="A323" s="2">
        <v>2042</v>
      </c>
      <c r="B323" s="84" t="s">
        <v>1</v>
      </c>
      <c r="C323" s="2">
        <v>3209757.5864115902</v>
      </c>
      <c r="D323" s="2">
        <v>1685400.8009164</v>
      </c>
    </row>
    <row r="324" spans="1:4" x14ac:dyDescent="0.25">
      <c r="A324" s="2">
        <v>2043</v>
      </c>
      <c r="B324" s="84" t="s">
        <v>1</v>
      </c>
      <c r="C324" s="2">
        <v>3265794.3852458498</v>
      </c>
      <c r="D324" s="2">
        <v>1713759.68074978</v>
      </c>
    </row>
    <row r="325" spans="1:4" x14ac:dyDescent="0.25">
      <c r="A325" s="2">
        <v>2044</v>
      </c>
      <c r="B325" s="84" t="s">
        <v>1</v>
      </c>
      <c r="C325" s="2">
        <v>3325519.0560534</v>
      </c>
      <c r="D325" s="2">
        <v>1743917.2403887799</v>
      </c>
    </row>
    <row r="326" spans="1:4" x14ac:dyDescent="0.25">
      <c r="A326" s="2">
        <v>2045</v>
      </c>
      <c r="B326" s="84" t="s">
        <v>1</v>
      </c>
      <c r="C326" s="2">
        <v>3389615</v>
      </c>
      <c r="D326" s="2">
        <v>1776233</v>
      </c>
    </row>
    <row r="327" spans="1:4" x14ac:dyDescent="0.25">
      <c r="A327" s="2">
        <v>2046</v>
      </c>
      <c r="B327" s="84" t="s">
        <v>1</v>
      </c>
      <c r="C327" s="2">
        <v>3458805.30739043</v>
      </c>
      <c r="D327" s="2">
        <v>1811086.4637223</v>
      </c>
    </row>
    <row r="328" spans="1:4" x14ac:dyDescent="0.25">
      <c r="A328" s="2">
        <v>2047</v>
      </c>
      <c r="B328" s="84" t="s">
        <v>1</v>
      </c>
      <c r="C328" s="2">
        <v>3533971.82508564</v>
      </c>
      <c r="D328" s="2">
        <v>1848937.0715834601</v>
      </c>
    </row>
    <row r="329" spans="1:4" x14ac:dyDescent="0.25">
      <c r="A329" s="2">
        <v>2048</v>
      </c>
      <c r="B329" s="84" t="s">
        <v>1</v>
      </c>
      <c r="C329" s="2">
        <v>3616036.0890856399</v>
      </c>
      <c r="D329" s="2">
        <v>1890264.2475834601</v>
      </c>
    </row>
    <row r="330" spans="1:4" x14ac:dyDescent="0.25">
      <c r="A330" s="2">
        <v>2049</v>
      </c>
      <c r="B330" s="84" t="s">
        <v>1</v>
      </c>
      <c r="C330" s="2">
        <v>3705919.6353904302</v>
      </c>
      <c r="D330" s="2">
        <v>1935547.4157223001</v>
      </c>
    </row>
    <row r="331" spans="1:4" x14ac:dyDescent="0.25">
      <c r="A331" s="2">
        <v>2050</v>
      </c>
      <c r="B331" s="84" t="s">
        <v>1</v>
      </c>
      <c r="C331" s="2">
        <v>3804544</v>
      </c>
      <c r="D331" s="2">
        <v>1985266</v>
      </c>
    </row>
    <row r="332" spans="1:4" x14ac:dyDescent="0.25">
      <c r="A332" s="2">
        <v>1996</v>
      </c>
      <c r="B332" s="84" t="s">
        <v>0</v>
      </c>
      <c r="C332" s="2">
        <v>710343.28776711202</v>
      </c>
      <c r="D332" s="2">
        <v>373487.34083337098</v>
      </c>
    </row>
    <row r="333" spans="1:4" x14ac:dyDescent="0.25">
      <c r="A333" s="2">
        <v>1997</v>
      </c>
      <c r="B333" s="84" t="s">
        <v>0</v>
      </c>
      <c r="C333" s="2">
        <v>717390.37266026705</v>
      </c>
      <c r="D333" s="2">
        <v>377918.60450002301</v>
      </c>
    </row>
    <row r="334" spans="1:4" x14ac:dyDescent="0.25">
      <c r="A334" s="2">
        <v>1998</v>
      </c>
      <c r="B334" s="84" t="s">
        <v>0</v>
      </c>
      <c r="C334" s="2">
        <v>727932.186330133</v>
      </c>
      <c r="D334" s="2">
        <v>383636.80225001101</v>
      </c>
    </row>
    <row r="335" spans="1:4" x14ac:dyDescent="0.25">
      <c r="A335" s="2">
        <v>1999</v>
      </c>
      <c r="B335" s="84" t="s">
        <v>0</v>
      </c>
      <c r="C335" s="2">
        <v>741553.72877671104</v>
      </c>
      <c r="D335" s="2">
        <v>390568.93408333702</v>
      </c>
    </row>
    <row r="336" spans="1:4" x14ac:dyDescent="0.25">
      <c r="A336" s="2">
        <v>2000</v>
      </c>
      <c r="B336" s="84" t="s">
        <v>0</v>
      </c>
      <c r="C336" s="2">
        <v>757840</v>
      </c>
      <c r="D336" s="2">
        <v>398642</v>
      </c>
    </row>
    <row r="337" spans="1:4" x14ac:dyDescent="0.25">
      <c r="A337" s="2">
        <v>2001</v>
      </c>
      <c r="B337" s="84" t="s">
        <v>0</v>
      </c>
      <c r="C337" s="2">
        <v>776376</v>
      </c>
      <c r="D337" s="2">
        <v>407783</v>
      </c>
    </row>
    <row r="338" spans="1:4" x14ac:dyDescent="0.25">
      <c r="A338" s="2">
        <v>2002</v>
      </c>
      <c r="B338" s="84" t="s">
        <v>0</v>
      </c>
      <c r="C338" s="2">
        <v>796712</v>
      </c>
      <c r="D338" s="2">
        <v>417907</v>
      </c>
    </row>
    <row r="339" spans="1:4" x14ac:dyDescent="0.25">
      <c r="A339" s="2">
        <v>2003</v>
      </c>
      <c r="B339" s="84" t="s">
        <v>0</v>
      </c>
      <c r="C339" s="2">
        <v>818433</v>
      </c>
      <c r="D339" s="2">
        <v>428941</v>
      </c>
    </row>
    <row r="340" spans="1:4" x14ac:dyDescent="0.25">
      <c r="A340" s="2">
        <v>2004</v>
      </c>
      <c r="B340" s="84" t="s">
        <v>0</v>
      </c>
      <c r="C340" s="2">
        <v>841739</v>
      </c>
      <c r="D340" s="2">
        <v>441018</v>
      </c>
    </row>
    <row r="341" spans="1:4" x14ac:dyDescent="0.25">
      <c r="A341" s="2">
        <v>2005</v>
      </c>
      <c r="B341" s="84" t="s">
        <v>0</v>
      </c>
      <c r="C341" s="2">
        <v>866819</v>
      </c>
      <c r="D341" s="2">
        <v>454245</v>
      </c>
    </row>
    <row r="342" spans="1:4" x14ac:dyDescent="0.25">
      <c r="A342" s="2">
        <v>2006</v>
      </c>
      <c r="B342" s="84" t="s">
        <v>0</v>
      </c>
      <c r="C342" s="2">
        <v>893794</v>
      </c>
      <c r="D342" s="2">
        <v>468680</v>
      </c>
    </row>
    <row r="343" spans="1:4" x14ac:dyDescent="0.25">
      <c r="A343" s="2">
        <v>2007</v>
      </c>
      <c r="B343" s="84" t="s">
        <v>0</v>
      </c>
      <c r="C343" s="2">
        <v>922773</v>
      </c>
      <c r="D343" s="2">
        <v>484321</v>
      </c>
    </row>
    <row r="344" spans="1:4" x14ac:dyDescent="0.25">
      <c r="A344" s="2">
        <v>2008</v>
      </c>
      <c r="B344" s="84" t="s">
        <v>0</v>
      </c>
      <c r="C344" s="2">
        <v>953869</v>
      </c>
      <c r="D344" s="2">
        <v>501201</v>
      </c>
    </row>
    <row r="345" spans="1:4" x14ac:dyDescent="0.25">
      <c r="A345" s="2">
        <v>2009</v>
      </c>
      <c r="B345" s="84" t="s">
        <v>0</v>
      </c>
      <c r="C345" s="2">
        <v>987212</v>
      </c>
      <c r="D345" s="2">
        <v>519377</v>
      </c>
    </row>
    <row r="346" spans="1:4" x14ac:dyDescent="0.25">
      <c r="A346" s="2">
        <v>2010</v>
      </c>
      <c r="B346" s="84" t="s">
        <v>0</v>
      </c>
      <c r="C346" s="2">
        <v>1022974</v>
      </c>
      <c r="D346" s="2">
        <v>538921</v>
      </c>
    </row>
    <row r="347" spans="1:4" x14ac:dyDescent="0.25">
      <c r="A347" s="2">
        <v>2011</v>
      </c>
      <c r="B347" s="84" t="s">
        <v>0</v>
      </c>
      <c r="C347" s="2">
        <v>1061340</v>
      </c>
      <c r="D347" s="2">
        <v>559899</v>
      </c>
    </row>
    <row r="348" spans="1:4" x14ac:dyDescent="0.25">
      <c r="A348" s="2">
        <v>2012</v>
      </c>
      <c r="B348" s="84" t="s">
        <v>0</v>
      </c>
      <c r="C348" s="2">
        <v>1102796.7939262099</v>
      </c>
      <c r="D348" s="2">
        <v>582433.94467592705</v>
      </c>
    </row>
    <row r="349" spans="1:4" x14ac:dyDescent="0.25">
      <c r="A349" s="2">
        <v>2013</v>
      </c>
      <c r="B349" s="84" t="s">
        <v>0</v>
      </c>
      <c r="C349" s="2">
        <v>1147296.6505007599</v>
      </c>
      <c r="D349" s="2">
        <v>606480.27141564596</v>
      </c>
    </row>
    <row r="350" spans="1:4" x14ac:dyDescent="0.25">
      <c r="A350" s="2">
        <v>2014</v>
      </c>
      <c r="B350" s="84" t="s">
        <v>0</v>
      </c>
      <c r="C350" s="2">
        <v>1194627</v>
      </c>
      <c r="D350" s="2">
        <v>631943</v>
      </c>
    </row>
    <row r="351" spans="1:4" x14ac:dyDescent="0.25">
      <c r="A351" s="2">
        <v>2015</v>
      </c>
      <c r="B351" s="84" t="s">
        <v>0</v>
      </c>
      <c r="C351" s="2">
        <v>1243739</v>
      </c>
      <c r="D351" s="2">
        <v>658220</v>
      </c>
    </row>
    <row r="352" spans="1:4" x14ac:dyDescent="0.25">
      <c r="A352" s="2">
        <v>2016</v>
      </c>
      <c r="B352" s="84" t="s">
        <v>0</v>
      </c>
      <c r="C352" s="2">
        <v>1292953</v>
      </c>
      <c r="D352" s="2">
        <v>684235</v>
      </c>
    </row>
    <row r="353" spans="1:4" x14ac:dyDescent="0.25">
      <c r="A353" s="2">
        <v>2017</v>
      </c>
      <c r="B353" s="84" t="s">
        <v>0</v>
      </c>
      <c r="C353" s="2">
        <v>1348121</v>
      </c>
      <c r="D353" s="2">
        <v>713237</v>
      </c>
    </row>
    <row r="354" spans="1:4" x14ac:dyDescent="0.25">
      <c r="A354" s="2">
        <v>2018</v>
      </c>
      <c r="B354" s="84" t="s">
        <v>0</v>
      </c>
      <c r="C354" s="2">
        <v>1408591</v>
      </c>
      <c r="D354" s="2">
        <v>744935</v>
      </c>
    </row>
    <row r="355" spans="1:4" x14ac:dyDescent="0.25">
      <c r="A355" s="2">
        <v>2019</v>
      </c>
      <c r="B355" s="84" t="s">
        <v>0</v>
      </c>
      <c r="C355" s="2">
        <v>1473950</v>
      </c>
      <c r="D355" s="2">
        <v>779238</v>
      </c>
    </row>
    <row r="356" spans="1:4" x14ac:dyDescent="0.25">
      <c r="A356" s="2">
        <v>2020</v>
      </c>
      <c r="B356" s="84" t="s">
        <v>0</v>
      </c>
      <c r="C356" s="2">
        <v>1543699</v>
      </c>
      <c r="D356" s="2">
        <v>815798</v>
      </c>
    </row>
    <row r="357" spans="1:4" x14ac:dyDescent="0.25">
      <c r="A357" s="2">
        <v>2021</v>
      </c>
      <c r="B357" s="84" t="s">
        <v>0</v>
      </c>
      <c r="C357" s="2">
        <v>1617531</v>
      </c>
      <c r="D357" s="2">
        <v>854515</v>
      </c>
    </row>
    <row r="358" spans="1:4" x14ac:dyDescent="0.25">
      <c r="A358" s="2">
        <v>2022</v>
      </c>
      <c r="B358" s="84" t="s">
        <v>0</v>
      </c>
      <c r="C358" s="2">
        <v>1695561.6179397299</v>
      </c>
      <c r="D358" s="2">
        <v>895435.59485032898</v>
      </c>
    </row>
    <row r="359" spans="1:4" x14ac:dyDescent="0.25">
      <c r="A359" s="2">
        <v>2023</v>
      </c>
      <c r="B359" s="84" t="s">
        <v>0</v>
      </c>
      <c r="C359" s="2">
        <v>1777773.0231401001</v>
      </c>
      <c r="D359" s="2">
        <v>938553.24645900598</v>
      </c>
    </row>
    <row r="360" spans="1:4" x14ac:dyDescent="0.25">
      <c r="A360" s="2">
        <v>2024</v>
      </c>
      <c r="B360" s="84" t="s">
        <v>0</v>
      </c>
      <c r="C360" s="2">
        <v>1864088.91677042</v>
      </c>
      <c r="D360" s="2">
        <v>983844.774838179</v>
      </c>
    </row>
    <row r="361" spans="1:4" x14ac:dyDescent="0.25">
      <c r="A361" s="2">
        <v>2025</v>
      </c>
      <c r="B361" s="84" t="s">
        <v>0</v>
      </c>
      <c r="C361" s="2">
        <v>1954433</v>
      </c>
      <c r="D361" s="2">
        <v>1031287</v>
      </c>
    </row>
    <row r="362" spans="1:4" x14ac:dyDescent="0.25">
      <c r="A362" s="2">
        <v>2026</v>
      </c>
      <c r="B362" s="84" t="s">
        <v>0</v>
      </c>
      <c r="C362" s="2">
        <v>2048490.86358963</v>
      </c>
      <c r="D362" s="2">
        <v>1080724.1317328301</v>
      </c>
    </row>
    <row r="363" spans="1:4" x14ac:dyDescent="0.25">
      <c r="A363" s="2">
        <v>2027</v>
      </c>
      <c r="B363" s="84" t="s">
        <v>0</v>
      </c>
      <c r="C363" s="2">
        <v>2144995.6566661401</v>
      </c>
      <c r="D363" s="2">
        <v>1131469.93892984</v>
      </c>
    </row>
    <row r="364" spans="1:4" x14ac:dyDescent="0.25">
      <c r="A364" s="2">
        <v>2028</v>
      </c>
      <c r="B364" s="84" t="s">
        <v>0</v>
      </c>
      <c r="C364" s="2">
        <v>2242442.4179478199</v>
      </c>
      <c r="D364" s="2">
        <v>1182705.58026045</v>
      </c>
    </row>
    <row r="365" spans="1:4" x14ac:dyDescent="0.25">
      <c r="A365" s="2">
        <v>2029</v>
      </c>
      <c r="B365" s="84" t="s">
        <v>0</v>
      </c>
      <c r="C365" s="2">
        <v>2339326.18615301</v>
      </c>
      <c r="D365" s="2">
        <v>1233612.2143940399</v>
      </c>
    </row>
    <row r="366" spans="1:4" x14ac:dyDescent="0.25">
      <c r="A366" s="2">
        <v>2030</v>
      </c>
      <c r="B366" s="84" t="s">
        <v>0</v>
      </c>
      <c r="C366" s="2">
        <v>2434142</v>
      </c>
      <c r="D366" s="2">
        <v>1283371</v>
      </c>
    </row>
    <row r="367" spans="1:4" x14ac:dyDescent="0.25">
      <c r="A367" s="2">
        <v>2031</v>
      </c>
      <c r="B367" s="84" t="s">
        <v>0</v>
      </c>
      <c r="C367" s="2">
        <v>2525497.0653350898</v>
      </c>
      <c r="D367" s="2">
        <v>1331229.28971938</v>
      </c>
    </row>
    <row r="368" spans="1:4" x14ac:dyDescent="0.25">
      <c r="A368" s="2">
        <v>2032</v>
      </c>
      <c r="B368" s="84" t="s">
        <v>0</v>
      </c>
      <c r="C368" s="2">
        <v>2612447.2565164701</v>
      </c>
      <c r="D368" s="2">
        <v>1376699.2120798</v>
      </c>
    </row>
    <row r="369" spans="1:4" x14ac:dyDescent="0.25">
      <c r="A369" s="2">
        <v>2033</v>
      </c>
      <c r="B369" s="84" t="s">
        <v>0</v>
      </c>
      <c r="C369" s="2">
        <v>2694160.6150302999</v>
      </c>
      <c r="D369" s="2">
        <v>1419359.0895805301</v>
      </c>
    </row>
    <row r="370" spans="1:4" x14ac:dyDescent="0.25">
      <c r="A370" s="2">
        <v>2034</v>
      </c>
      <c r="B370" s="84" t="s">
        <v>0</v>
      </c>
      <c r="C370" s="2">
        <v>2769805.18236276</v>
      </c>
      <c r="D370" s="2">
        <v>1458787.2447208399</v>
      </c>
    </row>
    <row r="371" spans="1:4" x14ac:dyDescent="0.25">
      <c r="A371" s="2">
        <v>2035</v>
      </c>
      <c r="B371" s="84" t="s">
        <v>0</v>
      </c>
      <c r="C371" s="2">
        <v>2838549</v>
      </c>
      <c r="D371" s="2">
        <v>1494562</v>
      </c>
    </row>
    <row r="372" spans="1:4" x14ac:dyDescent="0.25">
      <c r="A372" s="2">
        <v>2036</v>
      </c>
      <c r="B372" s="84" t="s">
        <v>0</v>
      </c>
      <c r="C372" s="2">
        <v>2900011.1150699998</v>
      </c>
      <c r="D372" s="2">
        <v>1526491.79738965</v>
      </c>
    </row>
    <row r="373" spans="1:4" x14ac:dyDescent="0.25">
      <c r="A373" s="2">
        <v>2037</v>
      </c>
      <c r="B373" s="84" t="s">
        <v>0</v>
      </c>
      <c r="C373" s="2">
        <v>2955614.5972679802</v>
      </c>
      <c r="D373" s="2">
        <v>1555305.5567509499</v>
      </c>
    </row>
    <row r="374" spans="1:4" x14ac:dyDescent="0.25">
      <c r="A374" s="2">
        <v>2038</v>
      </c>
      <c r="B374" s="84" t="s">
        <v>0</v>
      </c>
      <c r="C374" s="2">
        <v>3007233.52193096</v>
      </c>
      <c r="D374" s="2">
        <v>1581962.31741742</v>
      </c>
    </row>
    <row r="375" spans="1:4" x14ac:dyDescent="0.25">
      <c r="A375" s="2">
        <v>2039</v>
      </c>
      <c r="B375" s="84" t="s">
        <v>0</v>
      </c>
      <c r="C375" s="2">
        <v>3056741.9643959599</v>
      </c>
      <c r="D375" s="2">
        <v>1607421.1187225999</v>
      </c>
    </row>
    <row r="376" spans="1:4" x14ac:dyDescent="0.25">
      <c r="A376" s="2">
        <v>2040</v>
      </c>
      <c r="B376" s="84" t="s">
        <v>0</v>
      </c>
      <c r="C376" s="2">
        <v>3106014</v>
      </c>
      <c r="D376" s="2">
        <v>1632641</v>
      </c>
    </row>
    <row r="377" spans="1:4" x14ac:dyDescent="0.25">
      <c r="A377" s="2">
        <v>2041</v>
      </c>
      <c r="B377" s="84" t="s">
        <v>0</v>
      </c>
      <c r="C377" s="2">
        <v>3156725.2583848899</v>
      </c>
      <c r="D377" s="2">
        <v>1658481.08072201</v>
      </c>
    </row>
    <row r="378" spans="1:4" x14ac:dyDescent="0.25">
      <c r="A378" s="2">
        <v>2042</v>
      </c>
      <c r="B378" s="84" t="s">
        <v>0</v>
      </c>
      <c r="C378" s="2">
        <v>3209757.5864115902</v>
      </c>
      <c r="D378" s="2">
        <v>1685400.8009164</v>
      </c>
    </row>
    <row r="379" spans="1:4" x14ac:dyDescent="0.25">
      <c r="A379" s="2">
        <v>2043</v>
      </c>
      <c r="B379" s="84" t="s">
        <v>0</v>
      </c>
      <c r="C379" s="2">
        <v>3265794.3852458498</v>
      </c>
      <c r="D379" s="2">
        <v>1713759.68074978</v>
      </c>
    </row>
    <row r="380" spans="1:4" x14ac:dyDescent="0.25">
      <c r="A380" s="2">
        <v>2044</v>
      </c>
      <c r="B380" s="84" t="s">
        <v>0</v>
      </c>
      <c r="C380" s="2">
        <v>3325519.0560534</v>
      </c>
      <c r="D380" s="2">
        <v>1743917.2403887799</v>
      </c>
    </row>
    <row r="381" spans="1:4" x14ac:dyDescent="0.25">
      <c r="A381" s="2">
        <v>2045</v>
      </c>
      <c r="B381" s="84" t="s">
        <v>0</v>
      </c>
      <c r="C381" s="2">
        <v>3389615</v>
      </c>
      <c r="D381" s="2">
        <v>1776233</v>
      </c>
    </row>
    <row r="382" spans="1:4" x14ac:dyDescent="0.25">
      <c r="A382" s="2">
        <v>2046</v>
      </c>
      <c r="B382" s="84" t="s">
        <v>0</v>
      </c>
      <c r="C382" s="2">
        <v>3458805.30739043</v>
      </c>
      <c r="D382" s="2">
        <v>1811086.4637223</v>
      </c>
    </row>
    <row r="383" spans="1:4" x14ac:dyDescent="0.25">
      <c r="A383" s="2">
        <v>2047</v>
      </c>
      <c r="B383" s="84" t="s">
        <v>0</v>
      </c>
      <c r="C383" s="2">
        <v>3533971.82508564</v>
      </c>
      <c r="D383" s="2">
        <v>1848937.0715834601</v>
      </c>
    </row>
    <row r="384" spans="1:4" x14ac:dyDescent="0.25">
      <c r="A384" s="2">
        <v>2048</v>
      </c>
      <c r="B384" s="84" t="s">
        <v>0</v>
      </c>
      <c r="C384" s="2">
        <v>3616036.0890856399</v>
      </c>
      <c r="D384" s="2">
        <v>1890264.2475834601</v>
      </c>
    </row>
    <row r="385" spans="1:4" x14ac:dyDescent="0.25">
      <c r="A385" s="2">
        <v>2049</v>
      </c>
      <c r="B385" s="84" t="s">
        <v>0</v>
      </c>
      <c r="C385" s="2">
        <v>3705919.6353904302</v>
      </c>
      <c r="D385" s="2">
        <v>1935547.4157223001</v>
      </c>
    </row>
    <row r="386" spans="1:4" x14ac:dyDescent="0.25">
      <c r="A386" s="2">
        <v>2050</v>
      </c>
      <c r="B386" s="84" t="s">
        <v>0</v>
      </c>
      <c r="C386" s="2">
        <v>3804544</v>
      </c>
      <c r="D386" s="2">
        <v>1985266</v>
      </c>
    </row>
  </sheetData>
  <autoFilter ref="J4:K59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21" sqref="D21"/>
    </sheetView>
  </sheetViews>
  <sheetFormatPr baseColWidth="10" defaultRowHeight="15" x14ac:dyDescent="0.25"/>
  <cols>
    <col min="2" max="2" width="12" bestFit="1" customWidth="1"/>
    <col min="3" max="3" width="14.5703125" customWidth="1"/>
    <col min="4" max="4" width="16.85546875" customWidth="1"/>
  </cols>
  <sheetData>
    <row r="1" spans="1:4" x14ac:dyDescent="0.25">
      <c r="C1" t="s">
        <v>218</v>
      </c>
      <c r="D1" t="s">
        <v>219</v>
      </c>
    </row>
    <row r="2" spans="1:4" x14ac:dyDescent="0.25">
      <c r="A2" t="s">
        <v>23</v>
      </c>
      <c r="B2" t="s">
        <v>22</v>
      </c>
      <c r="C2" t="s">
        <v>221</v>
      </c>
      <c r="D2" t="s">
        <v>220</v>
      </c>
    </row>
    <row r="3" spans="1:4" x14ac:dyDescent="0.25">
      <c r="A3">
        <f>+TDM_Mujeres!E7</f>
        <v>1996</v>
      </c>
      <c r="B3" t="str">
        <f>+TDM_Mujeres!F7</f>
        <v>0-4</v>
      </c>
      <c r="C3">
        <f>+TDM_Mujeres!I7</f>
        <v>3.8913277702580587E-3</v>
      </c>
      <c r="D3">
        <f>+TDM_Total!I7</f>
        <v>4.4375986898650497E-3</v>
      </c>
    </row>
    <row r="4" spans="1:4" x14ac:dyDescent="0.25">
      <c r="A4">
        <f>+TDM_Mujeres!E8</f>
        <v>1996</v>
      </c>
      <c r="B4" t="str">
        <f>+TDM_Mujeres!F8</f>
        <v>5-14</v>
      </c>
      <c r="C4">
        <f>+TDM_Mujeres!I8</f>
        <v>2.1736084815069442E-4</v>
      </c>
      <c r="D4">
        <f>+TDM_Total!I8</f>
        <v>2.7826240712472319E-4</v>
      </c>
    </row>
    <row r="5" spans="1:4" x14ac:dyDescent="0.25">
      <c r="A5">
        <f>+TDM_Mujeres!E9</f>
        <v>1996</v>
      </c>
      <c r="B5" t="str">
        <f>+TDM_Mujeres!F9</f>
        <v>15-24</v>
      </c>
      <c r="C5">
        <f>+TDM_Mujeres!I9</f>
        <v>3.6970727406383878E-4</v>
      </c>
      <c r="D5">
        <f>+TDM_Total!I9</f>
        <v>9.1643407234931235E-4</v>
      </c>
    </row>
    <row r="6" spans="1:4" x14ac:dyDescent="0.25">
      <c r="A6">
        <f>+TDM_Mujeres!E10</f>
        <v>1996</v>
      </c>
      <c r="B6" t="str">
        <f>+TDM_Mujeres!F10</f>
        <v>25-44</v>
      </c>
      <c r="C6">
        <f>+TDM_Mujeres!I10</f>
        <v>8.8798637618830317E-4</v>
      </c>
      <c r="D6">
        <f>+TDM_Total!I10</f>
        <v>1.5032106632423743E-3</v>
      </c>
    </row>
    <row r="7" spans="1:4" x14ac:dyDescent="0.25">
      <c r="A7">
        <f>+TDM_Mujeres!E11</f>
        <v>1996</v>
      </c>
      <c r="B7" t="str">
        <f>+TDM_Mujeres!F11</f>
        <v>45-64</v>
      </c>
      <c r="C7">
        <f>+TDM_Mujeres!I11</f>
        <v>4.6042525297016234E-3</v>
      </c>
      <c r="D7">
        <f>+TDM_Total!I11</f>
        <v>5.8639869087093819E-3</v>
      </c>
    </row>
    <row r="8" spans="1:4" x14ac:dyDescent="0.25">
      <c r="A8">
        <f>+TDM_Mujeres!E12</f>
        <v>1996</v>
      </c>
      <c r="B8" t="str">
        <f>+TDM_Mujeres!F12</f>
        <v>65-74</v>
      </c>
      <c r="C8">
        <f>+TDM_Mujeres!I12</f>
        <v>1.6070156451909717E-2</v>
      </c>
      <c r="D8">
        <f>+TDM_Total!I12</f>
        <v>1.9762275848522408E-2</v>
      </c>
    </row>
    <row r="9" spans="1:4" x14ac:dyDescent="0.25">
      <c r="A9">
        <f>+TDM_Mujeres!E13</f>
        <v>1996</v>
      </c>
      <c r="B9" t="str">
        <f>+TDM_Mujeres!F13</f>
        <v>75+</v>
      </c>
      <c r="C9">
        <f>+TDM_Mujeres!I13</f>
        <v>6.1970866000270734E-2</v>
      </c>
      <c r="D9">
        <f>+TDM_Total!I13</f>
        <v>3.0441619386554247E-2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Poblacion_Estudio (2)</vt:lpstr>
      <vt:lpstr>TDM_Mujeres</vt:lpstr>
      <vt:lpstr>TDM_Mujeres_Causa</vt:lpstr>
      <vt:lpstr>TDM_Total</vt:lpstr>
      <vt:lpstr>TDM_Total_Causa</vt:lpstr>
      <vt:lpstr>BD_Mujeres</vt:lpstr>
      <vt:lpstr>BD_Total</vt:lpstr>
      <vt:lpstr>Pobl_TOTAL</vt:lpstr>
      <vt:lpstr>Pobl_Fem</vt:lpstr>
      <vt:lpstr>Poblacion_Estudio</vt:lpstr>
      <vt:lpstr>Analisis de la Mortalidad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Dorielys</dc:creator>
  <cp:lastModifiedBy>Dorielys</cp:lastModifiedBy>
  <dcterms:created xsi:type="dcterms:W3CDTF">2023-09-02T02:24:46Z</dcterms:created>
  <dcterms:modified xsi:type="dcterms:W3CDTF">2023-09-09T02:26:27Z</dcterms:modified>
</cp:coreProperties>
</file>