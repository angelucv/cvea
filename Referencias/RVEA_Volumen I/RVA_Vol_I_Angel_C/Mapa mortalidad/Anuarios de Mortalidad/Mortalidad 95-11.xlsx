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pivotCache/pivotCacheRecords1.xml" ContentType="application/vnd.openxmlformats-officedocument.spreadsheetml.pivotCacheRecord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8320" windowHeight="12600"/>
  </bookViews>
  <sheets>
    <sheet name="Venezuela Suma" sheetId="4" r:id="rId1"/>
    <sheet name="Mortalidad" sheetId="1" r:id="rId2"/>
    <sheet name="Mortalidad1" sheetId="2" r:id="rId3"/>
    <sheet name="Población" sheetId="3" r:id="rId4"/>
    <sheet name="Hoja2" sheetId="6" r:id="rId5"/>
  </sheets>
  <externalReferences>
    <externalReference r:id="rId6"/>
    <externalReference r:id="rId7"/>
  </externalReferences>
  <definedNames>
    <definedName name="\a">#REF!</definedName>
    <definedName name="\b">[1]CEN90PU8!$IN$96</definedName>
    <definedName name="\c">[1]CEN90PU8!$IH$96</definedName>
    <definedName name="\d">[1]CE90PU26!$IS$97</definedName>
    <definedName name="\e">[1]CE90PU26!$IV$8192</definedName>
    <definedName name="\f">[1]CE90PU25!$IS$100</definedName>
    <definedName name="\g">[1]CE90PU25!$IC$248</definedName>
    <definedName name="\h">[1]CE90PU25!$IL$105</definedName>
    <definedName name="\i">[1]CE90PU25!$C$113</definedName>
    <definedName name="\j">[1]CE90PU25!$F$113</definedName>
    <definedName name="\k">[1]CE90PU25!$M$100</definedName>
    <definedName name="\u">[1]CEN90PU8!$IH$264</definedName>
    <definedName name="\w">[1]CE90PU26!$IV$8192</definedName>
    <definedName name="\x">[1]CE90PU25!$C$101</definedName>
    <definedName name="\y">[1]CE90PU25!$IE$255</definedName>
    <definedName name="\z">[1]CEN90PU8!$IN$102</definedName>
    <definedName name="_1">#REF!</definedName>
    <definedName name="_2">#REF!</definedName>
    <definedName name="_3">#REF!</definedName>
    <definedName name="_4">#REF!</definedName>
    <definedName name="_5">#REF!</definedName>
    <definedName name="_Fill" hidden="1">#REF!</definedName>
    <definedName name="_xlnm._FilterDatabase" localSheetId="4" hidden="1">Hoja2!$A$1:$T$18</definedName>
    <definedName name="_xlnm._FilterDatabase" localSheetId="1" hidden="1">Mortalidad!$A$1:$Z$52</definedName>
    <definedName name="_xlnm._FilterDatabase" localSheetId="3" hidden="1">Población!$K$1:$O$196</definedName>
    <definedName name="_Key1" hidden="1">#REF!</definedName>
    <definedName name="_Order1" hidden="1">0</definedName>
    <definedName name="_PAS1">[2]Anaco!#REF!</definedName>
    <definedName name="_PAS2">[2]Anaco!#REF!</definedName>
    <definedName name="_Sort" hidden="1">#REF!</definedName>
    <definedName name="_Table1_In1" hidden="1">#REF!</definedName>
    <definedName name="_Table1_Out" hidden="1">#REF!</definedName>
    <definedName name="_xlnm.Print_Area" localSheetId="0">'Venezuela Suma'!$A$1:$AC$304</definedName>
    <definedName name="ddd">#REF!</definedName>
    <definedName name="PAS">[2]Anaco!#REF!</definedName>
    <definedName name="PRINT_TITLES">#REF!</definedName>
    <definedName name="PRINT_TITLES_MI">#REF!</definedName>
    <definedName name="_xlnm.Print_Titles" localSheetId="0">'Venezuela Suma'!$A$1:$A$65536,'Venezuela Suma'!$A$1:$IV$6</definedName>
  </definedNames>
  <calcPr calcId="124519"/>
  <pivotCaches>
    <pivotCache cacheId="3" r:id="rId8"/>
  </pivotCaches>
</workbook>
</file>

<file path=xl/calcChain.xml><?xml version="1.0" encoding="utf-8"?>
<calcChain xmlns="http://schemas.openxmlformats.org/spreadsheetml/2006/main">
  <c r="AH195" i="3"/>
  <c r="AH196"/>
  <c r="AH197"/>
  <c r="AH198"/>
  <c r="AH199"/>
  <c r="AH200"/>
  <c r="AH201"/>
  <c r="AH202"/>
  <c r="AH203"/>
  <c r="AH204"/>
  <c r="AH205"/>
  <c r="AH206"/>
  <c r="AH207"/>
  <c r="AH208"/>
  <c r="AH209"/>
  <c r="AH210"/>
  <c r="AH194"/>
  <c r="AV9"/>
  <c r="AU4"/>
  <c r="AU5"/>
  <c r="AU6"/>
  <c r="AU7"/>
  <c r="AU8"/>
  <c r="AU10"/>
  <c r="AU11"/>
  <c r="AU12"/>
  <c r="AT4"/>
  <c r="AT5"/>
  <c r="AT6"/>
  <c r="AT7"/>
  <c r="AT8"/>
  <c r="AT9"/>
  <c r="AT10"/>
  <c r="AT11"/>
  <c r="AT12"/>
  <c r="AT3"/>
  <c r="AS4"/>
  <c r="AS5"/>
  <c r="AS6"/>
  <c r="AS7"/>
  <c r="AS8"/>
  <c r="AS9"/>
  <c r="AS10"/>
  <c r="AS11"/>
  <c r="AS12"/>
  <c r="AS3"/>
  <c r="V195"/>
  <c r="V196"/>
  <c r="V197"/>
  <c r="V198"/>
  <c r="V199"/>
  <c r="V200"/>
  <c r="V201"/>
  <c r="V202"/>
  <c r="V203"/>
  <c r="V204"/>
  <c r="V205"/>
  <c r="V206"/>
  <c r="V207"/>
  <c r="V208"/>
  <c r="V209"/>
  <c r="V210"/>
  <c r="V194"/>
  <c r="AH173"/>
  <c r="AH174"/>
  <c r="AH175"/>
  <c r="AH176"/>
  <c r="AH177"/>
  <c r="AH178"/>
  <c r="AH179"/>
  <c r="AH180"/>
  <c r="AH181"/>
  <c r="AH182"/>
  <c r="AH183"/>
  <c r="AH184"/>
  <c r="AH185"/>
  <c r="AH186"/>
  <c r="AH187"/>
  <c r="AH188"/>
  <c r="AH172"/>
  <c r="V173"/>
  <c r="V174"/>
  <c r="V175"/>
  <c r="V176"/>
  <c r="V177"/>
  <c r="V178"/>
  <c r="V179"/>
  <c r="V180"/>
  <c r="V181"/>
  <c r="V182"/>
  <c r="V183"/>
  <c r="V184"/>
  <c r="V185"/>
  <c r="V186"/>
  <c r="V187"/>
  <c r="V188"/>
  <c r="V172"/>
  <c r="AH151"/>
  <c r="AH152"/>
  <c r="AH153"/>
  <c r="AH154"/>
  <c r="AH155"/>
  <c r="AH156"/>
  <c r="AH157"/>
  <c r="AH158"/>
  <c r="AH159"/>
  <c r="AH160"/>
  <c r="AH161"/>
  <c r="AH162"/>
  <c r="AH163"/>
  <c r="AH164"/>
  <c r="AH165"/>
  <c r="AH166"/>
  <c r="V151"/>
  <c r="V152"/>
  <c r="V153"/>
  <c r="V154"/>
  <c r="V155"/>
  <c r="V156"/>
  <c r="V157"/>
  <c r="V158"/>
  <c r="V159"/>
  <c r="V160"/>
  <c r="V161"/>
  <c r="V162"/>
  <c r="V163"/>
  <c r="V164"/>
  <c r="V165"/>
  <c r="V166"/>
  <c r="AH150"/>
  <c r="V150"/>
  <c r="AH129"/>
  <c r="AH130"/>
  <c r="AH131"/>
  <c r="AH132"/>
  <c r="AH133"/>
  <c r="AH134"/>
  <c r="AH135"/>
  <c r="AH136"/>
  <c r="AH137"/>
  <c r="AH138"/>
  <c r="AH139"/>
  <c r="AH140"/>
  <c r="AH141"/>
  <c r="AH142"/>
  <c r="AH143"/>
  <c r="AH144"/>
  <c r="AH128"/>
  <c r="V129"/>
  <c r="V130"/>
  <c r="V131"/>
  <c r="V132"/>
  <c r="V133"/>
  <c r="V134"/>
  <c r="V135"/>
  <c r="V136"/>
  <c r="V137"/>
  <c r="V138"/>
  <c r="V139"/>
  <c r="V140"/>
  <c r="V141"/>
  <c r="V142"/>
  <c r="V143"/>
  <c r="V144"/>
  <c r="V128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06"/>
  <c r="V107"/>
  <c r="V108"/>
  <c r="V109"/>
  <c r="V110"/>
  <c r="V111"/>
  <c r="V112"/>
  <c r="V113"/>
  <c r="V114"/>
  <c r="V115"/>
  <c r="V116"/>
  <c r="V117"/>
  <c r="V118"/>
  <c r="V119"/>
  <c r="V120"/>
  <c r="V121"/>
  <c r="V122"/>
  <c r="V106"/>
  <c r="AH85"/>
  <c r="AH86"/>
  <c r="AH87"/>
  <c r="AH88"/>
  <c r="AH89"/>
  <c r="AH90"/>
  <c r="AH91"/>
  <c r="AH92"/>
  <c r="AH93"/>
  <c r="AH94"/>
  <c r="AH95"/>
  <c r="AH96"/>
  <c r="AH97"/>
  <c r="AH98"/>
  <c r="AH99"/>
  <c r="AH100"/>
  <c r="AH84"/>
  <c r="V85"/>
  <c r="V86"/>
  <c r="V87"/>
  <c r="V88"/>
  <c r="V89"/>
  <c r="V90"/>
  <c r="V91"/>
  <c r="V92"/>
  <c r="V93"/>
  <c r="V94"/>
  <c r="V95"/>
  <c r="V96"/>
  <c r="V97"/>
  <c r="V98"/>
  <c r="V99"/>
  <c r="V100"/>
  <c r="V84"/>
  <c r="AH63"/>
  <c r="AH64"/>
  <c r="AH65"/>
  <c r="AH66"/>
  <c r="AH67"/>
  <c r="AH68"/>
  <c r="AH69"/>
  <c r="AH70"/>
  <c r="AH71"/>
  <c r="AH72"/>
  <c r="AH73"/>
  <c r="AH74"/>
  <c r="AH75"/>
  <c r="AH76"/>
  <c r="AH77"/>
  <c r="AH78"/>
  <c r="AH62"/>
  <c r="V63"/>
  <c r="V64"/>
  <c r="V65"/>
  <c r="V66"/>
  <c r="V67"/>
  <c r="V68"/>
  <c r="V69"/>
  <c r="V70"/>
  <c r="V71"/>
  <c r="V72"/>
  <c r="V73"/>
  <c r="V74"/>
  <c r="V75"/>
  <c r="V76"/>
  <c r="V77"/>
  <c r="V78"/>
  <c r="V62"/>
  <c r="AH41"/>
  <c r="AH42"/>
  <c r="AH43"/>
  <c r="AH44"/>
  <c r="AH45"/>
  <c r="AH46"/>
  <c r="AH47"/>
  <c r="AH48"/>
  <c r="AH49"/>
  <c r="AH50"/>
  <c r="AH51"/>
  <c r="AH52"/>
  <c r="AH53"/>
  <c r="AH54"/>
  <c r="AH55"/>
  <c r="AH56"/>
  <c r="AH40"/>
  <c r="V41"/>
  <c r="V42"/>
  <c r="V43"/>
  <c r="V44"/>
  <c r="V45"/>
  <c r="V46"/>
  <c r="V47"/>
  <c r="V48"/>
  <c r="V49"/>
  <c r="V50"/>
  <c r="V51"/>
  <c r="V52"/>
  <c r="V53"/>
  <c r="V54"/>
  <c r="V55"/>
  <c r="V56"/>
  <c r="V40"/>
  <c r="AH19"/>
  <c r="AH20"/>
  <c r="AH21"/>
  <c r="AH22"/>
  <c r="AH23"/>
  <c r="AH24"/>
  <c r="AH25"/>
  <c r="AH26"/>
  <c r="AH27"/>
  <c r="AH28"/>
  <c r="AH29"/>
  <c r="AH30"/>
  <c r="AH31"/>
  <c r="AH32"/>
  <c r="AH33"/>
  <c r="AH34"/>
  <c r="AH18"/>
  <c r="V33"/>
  <c r="V34"/>
  <c r="V19"/>
  <c r="V20"/>
  <c r="V21"/>
  <c r="V22"/>
  <c r="V23"/>
  <c r="V24"/>
  <c r="V25"/>
  <c r="V26"/>
  <c r="V27"/>
  <c r="V28"/>
  <c r="V29"/>
  <c r="V30"/>
  <c r="V31"/>
  <c r="V32"/>
  <c r="V18"/>
  <c r="E21" i="2"/>
  <c r="F21"/>
  <c r="G21"/>
  <c r="H21"/>
  <c r="I21"/>
  <c r="J21"/>
  <c r="K21"/>
  <c r="L21"/>
  <c r="M21"/>
  <c r="N21"/>
  <c r="O21"/>
  <c r="P21"/>
  <c r="Q21"/>
  <c r="R21"/>
  <c r="S21"/>
  <c r="T21"/>
  <c r="U21"/>
  <c r="D21"/>
  <c r="E22"/>
  <c r="F22"/>
  <c r="G22"/>
  <c r="H22"/>
  <c r="I22"/>
  <c r="J22"/>
  <c r="K22"/>
  <c r="L22"/>
  <c r="M22"/>
  <c r="N22"/>
  <c r="O22"/>
  <c r="P22"/>
  <c r="Q22"/>
  <c r="R22"/>
  <c r="S22"/>
  <c r="T22"/>
  <c r="U22"/>
  <c r="E23"/>
  <c r="F23"/>
  <c r="G23"/>
  <c r="H23"/>
  <c r="I23"/>
  <c r="J23"/>
  <c r="K23"/>
  <c r="L23"/>
  <c r="M23"/>
  <c r="N23"/>
  <c r="O23"/>
  <c r="P23"/>
  <c r="Q23"/>
  <c r="R23"/>
  <c r="S23"/>
  <c r="T23"/>
  <c r="U23"/>
  <c r="E24"/>
  <c r="F24"/>
  <c r="G24"/>
  <c r="H24"/>
  <c r="I24"/>
  <c r="J24"/>
  <c r="K24"/>
  <c r="L24"/>
  <c r="M24"/>
  <c r="N24"/>
  <c r="O24"/>
  <c r="P24"/>
  <c r="Q24"/>
  <c r="R24"/>
  <c r="S24"/>
  <c r="T24"/>
  <c r="U24"/>
  <c r="E25"/>
  <c r="F25"/>
  <c r="G25"/>
  <c r="H25"/>
  <c r="I25"/>
  <c r="J25"/>
  <c r="K25"/>
  <c r="L25"/>
  <c r="M25"/>
  <c r="N25"/>
  <c r="O25"/>
  <c r="P25"/>
  <c r="Q25"/>
  <c r="R25"/>
  <c r="S25"/>
  <c r="T25"/>
  <c r="U25"/>
  <c r="E26"/>
  <c r="F26"/>
  <c r="G26"/>
  <c r="H26"/>
  <c r="I26"/>
  <c r="J26"/>
  <c r="K26"/>
  <c r="L26"/>
  <c r="M26"/>
  <c r="N26"/>
  <c r="O26"/>
  <c r="P26"/>
  <c r="Q26"/>
  <c r="R26"/>
  <c r="S26"/>
  <c r="T26"/>
  <c r="U26"/>
  <c r="E27"/>
  <c r="F27"/>
  <c r="G27"/>
  <c r="H27"/>
  <c r="I27"/>
  <c r="J27"/>
  <c r="K27"/>
  <c r="L27"/>
  <c r="M27"/>
  <c r="N27"/>
  <c r="O27"/>
  <c r="P27"/>
  <c r="Q27"/>
  <c r="R27"/>
  <c r="S27"/>
  <c r="T27"/>
  <c r="U27"/>
  <c r="E28"/>
  <c r="F28"/>
  <c r="G28"/>
  <c r="H28"/>
  <c r="I28"/>
  <c r="J28"/>
  <c r="K28"/>
  <c r="L28"/>
  <c r="M28"/>
  <c r="N28"/>
  <c r="O28"/>
  <c r="P28"/>
  <c r="Q28"/>
  <c r="R28"/>
  <c r="S28"/>
  <c r="T28"/>
  <c r="U28"/>
  <c r="E29"/>
  <c r="F29"/>
  <c r="G29"/>
  <c r="H29"/>
  <c r="I29"/>
  <c r="J29"/>
  <c r="K29"/>
  <c r="L29"/>
  <c r="M29"/>
  <c r="N29"/>
  <c r="O29"/>
  <c r="P29"/>
  <c r="Q29"/>
  <c r="R29"/>
  <c r="S29"/>
  <c r="T29"/>
  <c r="U29"/>
  <c r="E30"/>
  <c r="F30"/>
  <c r="G30"/>
  <c r="H30"/>
  <c r="I30"/>
  <c r="J30"/>
  <c r="K30"/>
  <c r="L30"/>
  <c r="M30"/>
  <c r="N30"/>
  <c r="O30"/>
  <c r="P30"/>
  <c r="Q30"/>
  <c r="R30"/>
  <c r="S30"/>
  <c r="T30"/>
  <c r="U30"/>
  <c r="E31"/>
  <c r="F31"/>
  <c r="G31"/>
  <c r="H31"/>
  <c r="I31"/>
  <c r="J31"/>
  <c r="K31"/>
  <c r="L31"/>
  <c r="M31"/>
  <c r="N31"/>
  <c r="O31"/>
  <c r="P31"/>
  <c r="Q31"/>
  <c r="R31"/>
  <c r="S31"/>
  <c r="T31"/>
  <c r="U31"/>
  <c r="E32"/>
  <c r="F32"/>
  <c r="G32"/>
  <c r="H32"/>
  <c r="I32"/>
  <c r="J32"/>
  <c r="K32"/>
  <c r="L32"/>
  <c r="M32"/>
  <c r="N32"/>
  <c r="O32"/>
  <c r="P32"/>
  <c r="Q32"/>
  <c r="R32"/>
  <c r="S32"/>
  <c r="T32"/>
  <c r="U32"/>
  <c r="E33"/>
  <c r="F33"/>
  <c r="G33"/>
  <c r="H33"/>
  <c r="I33"/>
  <c r="J33"/>
  <c r="K33"/>
  <c r="L33"/>
  <c r="M33"/>
  <c r="N33"/>
  <c r="O33"/>
  <c r="P33"/>
  <c r="Q33"/>
  <c r="R33"/>
  <c r="S33"/>
  <c r="T33"/>
  <c r="U33"/>
  <c r="E34"/>
  <c r="F34"/>
  <c r="G34"/>
  <c r="H34"/>
  <c r="I34"/>
  <c r="J34"/>
  <c r="K34"/>
  <c r="L34"/>
  <c r="M34"/>
  <c r="N34"/>
  <c r="O34"/>
  <c r="P34"/>
  <c r="Q34"/>
  <c r="R34"/>
  <c r="S34"/>
  <c r="T34"/>
  <c r="U34"/>
  <c r="E35"/>
  <c r="F35"/>
  <c r="G35"/>
  <c r="H35"/>
  <c r="I35"/>
  <c r="J35"/>
  <c r="K35"/>
  <c r="L35"/>
  <c r="M35"/>
  <c r="N35"/>
  <c r="O35"/>
  <c r="P35"/>
  <c r="Q35"/>
  <c r="R35"/>
  <c r="S35"/>
  <c r="T35"/>
  <c r="U35"/>
  <c r="E36"/>
  <c r="F36"/>
  <c r="G36"/>
  <c r="H36"/>
  <c r="I36"/>
  <c r="J36"/>
  <c r="K36"/>
  <c r="L36"/>
  <c r="M36"/>
  <c r="N36"/>
  <c r="O36"/>
  <c r="P36"/>
  <c r="Q36"/>
  <c r="R36"/>
  <c r="S36"/>
  <c r="T36"/>
  <c r="U36"/>
  <c r="E37"/>
  <c r="F37"/>
  <c r="G37"/>
  <c r="H37"/>
  <c r="I37"/>
  <c r="J37"/>
  <c r="K37"/>
  <c r="L37"/>
  <c r="M37"/>
  <c r="N37"/>
  <c r="O37"/>
  <c r="P37"/>
  <c r="Q37"/>
  <c r="R37"/>
  <c r="S37"/>
  <c r="T37"/>
  <c r="U37"/>
  <c r="E38"/>
  <c r="F38"/>
  <c r="G38"/>
  <c r="H38"/>
  <c r="I38"/>
  <c r="J38"/>
  <c r="K38"/>
  <c r="L38"/>
  <c r="M38"/>
  <c r="N38"/>
  <c r="O38"/>
  <c r="P38"/>
  <c r="Q38"/>
  <c r="R38"/>
  <c r="S38"/>
  <c r="T38"/>
  <c r="U38"/>
  <c r="D23"/>
  <c r="D24"/>
  <c r="D25"/>
  <c r="D26"/>
  <c r="D27"/>
  <c r="D28"/>
  <c r="D29"/>
  <c r="D30"/>
  <c r="D31"/>
  <c r="D32"/>
  <c r="D33"/>
  <c r="D34"/>
  <c r="D35"/>
  <c r="D36"/>
  <c r="D37"/>
  <c r="D38"/>
  <c r="D22"/>
  <c r="C23"/>
  <c r="C24"/>
  <c r="C25"/>
  <c r="C26"/>
  <c r="C27"/>
  <c r="C28"/>
  <c r="C29"/>
  <c r="C30"/>
  <c r="C31"/>
  <c r="C32"/>
  <c r="C33"/>
  <c r="C34"/>
  <c r="C35"/>
  <c r="C36"/>
  <c r="C37"/>
  <c r="C38"/>
  <c r="C22"/>
  <c r="C14" i="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03"/>
  <c r="AD102"/>
  <c r="AD101"/>
  <c r="AD100"/>
  <c r="AD99"/>
  <c r="AD97"/>
  <c r="AD96"/>
  <c r="AD95"/>
  <c r="AD94"/>
  <c r="AD93"/>
  <c r="AD91"/>
  <c r="AD90"/>
  <c r="AD89"/>
  <c r="AD88"/>
  <c r="AD87"/>
  <c r="AD85"/>
  <c r="AD84"/>
  <c r="AD83"/>
  <c r="AD82"/>
  <c r="AD81"/>
  <c r="AD79"/>
  <c r="AD78"/>
  <c r="AD77"/>
  <c r="AD76"/>
  <c r="AD75"/>
  <c r="AD73"/>
  <c r="AD72"/>
  <c r="AD71"/>
  <c r="AD70"/>
  <c r="AD69"/>
  <c r="AD67"/>
  <c r="AD66"/>
  <c r="AD65"/>
  <c r="AD64"/>
  <c r="AD63"/>
  <c r="AD61"/>
  <c r="AD60"/>
  <c r="AD59"/>
  <c r="AD58"/>
  <c r="AD57"/>
  <c r="AD55"/>
  <c r="AD54"/>
  <c r="AD53"/>
  <c r="AD52"/>
  <c r="AD51"/>
  <c r="AD49"/>
  <c r="AD48"/>
  <c r="AD47"/>
  <c r="AD46"/>
  <c r="AD45"/>
  <c r="AD43"/>
  <c r="AD42"/>
  <c r="AD41"/>
  <c r="AD40"/>
  <c r="AD39"/>
  <c r="AD37"/>
  <c r="AD36"/>
  <c r="AD35"/>
  <c r="AD34"/>
  <c r="AD33"/>
  <c r="AD31"/>
  <c r="AD30"/>
  <c r="AD29"/>
  <c r="AD28"/>
  <c r="AD27"/>
  <c r="AD25"/>
  <c r="AD24"/>
  <c r="AD23"/>
  <c r="AD22"/>
  <c r="AD21"/>
  <c r="AD19"/>
  <c r="AD18"/>
  <c r="AD17"/>
  <c r="AD16"/>
  <c r="AD15"/>
  <c r="AD13"/>
  <c r="AD12"/>
  <c r="AD11"/>
  <c r="AD10"/>
  <c r="AD9"/>
  <c r="B98"/>
  <c r="B92"/>
  <c r="B86"/>
  <c r="B80"/>
  <c r="B74"/>
  <c r="B68"/>
  <c r="B62"/>
  <c r="B56"/>
  <c r="B50"/>
  <c r="B44"/>
  <c r="B38"/>
  <c r="B32"/>
  <c r="B26"/>
  <c r="B20"/>
  <c r="B14"/>
  <c r="A6" i="1"/>
  <c r="A9" s="1"/>
  <c r="A12" s="1"/>
  <c r="A15" s="1"/>
  <c r="A18" s="1"/>
  <c r="A21" s="1"/>
  <c r="A24" s="1"/>
  <c r="A27" s="1"/>
  <c r="A30" s="1"/>
  <c r="A33" s="1"/>
  <c r="A36" s="1"/>
  <c r="A39" s="1"/>
  <c r="A42" s="1"/>
  <c r="A45" s="1"/>
  <c r="A48" s="1"/>
  <c r="A51" s="1"/>
  <c r="A7"/>
  <c r="A10" s="1"/>
  <c r="A13" s="1"/>
  <c r="A16" s="1"/>
  <c r="A19" s="1"/>
  <c r="A22" s="1"/>
  <c r="A25" s="1"/>
  <c r="A28" s="1"/>
  <c r="A31" s="1"/>
  <c r="A34" s="1"/>
  <c r="A37" s="1"/>
  <c r="A40" s="1"/>
  <c r="A43" s="1"/>
  <c r="A46" s="1"/>
  <c r="A49" s="1"/>
  <c r="A52" s="1"/>
  <c r="A5"/>
  <c r="A8" s="1"/>
  <c r="A11" s="1"/>
  <c r="A14" s="1"/>
  <c r="A17" s="1"/>
  <c r="A20" s="1"/>
  <c r="A23" s="1"/>
  <c r="A26" s="1"/>
  <c r="A29" s="1"/>
  <c r="A32" s="1"/>
  <c r="A35" s="1"/>
  <c r="A38" s="1"/>
  <c r="A41" s="1"/>
  <c r="A44" s="1"/>
  <c r="A47" s="1"/>
  <c r="A50" s="1"/>
</calcChain>
</file>

<file path=xl/sharedStrings.xml><?xml version="1.0" encoding="utf-8"?>
<sst xmlns="http://schemas.openxmlformats.org/spreadsheetml/2006/main" count="564" uniqueCount="109">
  <si>
    <t>T</t>
  </si>
  <si>
    <t>V</t>
  </si>
  <si>
    <t>H</t>
  </si>
  <si>
    <t>5 a 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</si>
  <si>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</si>
  <si>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</si>
  <si>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</si>
  <si>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</si>
  <si>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</si>
  <si>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</si>
  <si>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</si>
  <si>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</si>
  <si>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</si>
  <si>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</si>
  <si>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</si>
  <si>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</si>
  <si>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</si>
  <si>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</si>
  <si>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</si>
  <si>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y +</t>
  </si>
  <si>
    <t>Total</t>
  </si>
  <si>
    <t>Año</t>
  </si>
  <si>
    <t>C</t>
  </si>
  <si>
    <t>O</t>
  </si>
  <si>
    <t>Menores de 7</t>
  </si>
  <si>
    <t>07 - 14</t>
  </si>
  <si>
    <t>15 - 21</t>
  </si>
  <si>
    <t>22 - 28</t>
  </si>
  <si>
    <t>29 - 35</t>
  </si>
  <si>
    <t>36 - 42</t>
  </si>
  <si>
    <t>43 - 45</t>
  </si>
  <si>
    <t>46 - 100</t>
  </si>
  <si>
    <t>Mayores de 100</t>
  </si>
  <si>
    <t>Población por sexo, según grupo de edad, censo 1920</t>
  </si>
  <si>
    <t xml:space="preserve">Grupo de edad </t>
  </si>
  <si>
    <t>Hombres</t>
  </si>
  <si>
    <t>%</t>
  </si>
  <si>
    <t>Mujeres</t>
  </si>
  <si>
    <t>Nota: no incluye 45.642 indígenas del  Amazonas, 2.001 de Zulia y 1.324 de Delta Amacuro.</t>
  </si>
  <si>
    <t>Fuente: Instituto Nacional de Estadística, (INE)</t>
  </si>
  <si>
    <t>00 - 04</t>
  </si>
  <si>
    <t>05 - 09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</si>
  <si>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</si>
  <si>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</si>
  <si>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</si>
  <si>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</si>
  <si>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</si>
  <si>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</si>
  <si>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</si>
  <si>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</si>
  <si>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</si>
  <si>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</si>
  <si>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</si>
  <si>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</si>
  <si>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</si>
  <si>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</si>
  <si>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</si>
  <si>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y más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</si>
  <si>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</si>
  <si>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</si>
  <si>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</si>
  <si>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</si>
  <si>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</si>
  <si>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</si>
  <si>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</si>
  <si>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</si>
  <si>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</si>
  <si>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</si>
  <si>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</si>
  <si>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</si>
  <si>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</si>
  <si>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</si>
  <si>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90 y más</t>
  </si>
  <si>
    <t xml:space="preserve">Grupo  de edad </t>
  </si>
  <si>
    <t xml:space="preserve">90 - 94 </t>
  </si>
  <si>
    <t>85 - 89</t>
  </si>
  <si>
    <t>95 y más</t>
  </si>
  <si>
    <t>POBLACION POR GRUPO DE EDAD DE VENEZUELA</t>
  </si>
  <si>
    <t>GRUPOS</t>
  </si>
  <si>
    <t>EDAD/ANO</t>
  </si>
  <si>
    <t>DE EDAD</t>
  </si>
  <si>
    <t>HOMBRES</t>
  </si>
  <si>
    <t>TOTAL</t>
  </si>
  <si>
    <t xml:space="preserve">  0-4</t>
  </si>
  <si>
    <t xml:space="preserve">  5-9</t>
  </si>
  <si>
    <t xml:space="preserve"> 10-14</t>
  </si>
  <si>
    <t xml:space="preserve"> 15-19</t>
  </si>
  <si>
    <t xml:space="preserve"> 20-24</t>
  </si>
  <si>
    <t xml:space="preserve"> 25-29</t>
  </si>
  <si>
    <t xml:space="preserve"> 30-34</t>
  </si>
  <si>
    <t xml:space="preserve"> 35-39</t>
  </si>
  <si>
    <t xml:space="preserve"> 40-44</t>
  </si>
  <si>
    <t xml:space="preserve"> 45-49</t>
  </si>
  <si>
    <t xml:space="preserve"> 50-54</t>
  </si>
  <si>
    <t xml:space="preserve"> 55-59</t>
  </si>
  <si>
    <t xml:space="preserve"> 60-64</t>
  </si>
  <si>
    <t xml:space="preserve"> 65-69</t>
  </si>
  <si>
    <t xml:space="preserve"> 70-74</t>
  </si>
  <si>
    <t xml:space="preserve"> 75-79</t>
  </si>
  <si>
    <t>80+</t>
  </si>
  <si>
    <t>0- 4</t>
  </si>
  <si>
    <t>5- 9</t>
  </si>
  <si>
    <t>MUJERES</t>
  </si>
  <si>
    <t>0 a 4</t>
  </si>
  <si>
    <t>Rótulos de fila</t>
  </si>
  <si>
    <t>Total general</t>
  </si>
  <si>
    <t>Rótulos de columna</t>
  </si>
  <si>
    <t>Suma de Total</t>
  </si>
  <si>
    <t>Inter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</si>
</sst>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_ * #,##0_ ;_ * \-#,##0_ ;_ * &quot;-&quot;??_ ;_ @_ "/>
    <numFmt numFmtId="165" formatCode="#,##0;[Red]#,##0"/>
    <numFmt numFmtId="166" formatCode="#,##0.00;[Red]#,##0.00"/>
    <numFmt numFmtId="167" formatCode="0.0"/>
    <numFmt numFmtId="174" formatCode="_ * #,##0.0000_ ;_ * \-#,##0.000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Courier"/>
      <family val="3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76">
    <xf numFmtId="0" fontId="0" fillId="0" borderId="0" xfId="0"/>
    <xf numFmtId="3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2" fontId="2" fillId="0" borderId="0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/>
    <xf numFmtId="166" fontId="0" fillId="0" borderId="0" xfId="0" applyNumberFormat="1"/>
    <xf numFmtId="49" fontId="3" fillId="0" borderId="0" xfId="0" applyNumberFormat="1" applyFont="1" applyAlignment="1">
      <alignment horizontal="center"/>
    </xf>
    <xf numFmtId="2" fontId="3" fillId="0" borderId="0" xfId="0" applyNumberFormat="1" applyFont="1" applyBorder="1" applyAlignment="1">
      <alignment horizontal="center"/>
    </xf>
    <xf numFmtId="165" fontId="3" fillId="0" borderId="0" xfId="0" applyNumberFormat="1" applyFont="1" applyBorder="1"/>
    <xf numFmtId="0" fontId="3" fillId="0" borderId="0" xfId="0" applyFont="1"/>
    <xf numFmtId="2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165" fontId="3" fillId="0" borderId="4" xfId="0" applyNumberFormat="1" applyFont="1" applyBorder="1"/>
    <xf numFmtId="2" fontId="3" fillId="0" borderId="4" xfId="0" applyNumberFormat="1" applyFont="1" applyBorder="1"/>
    <xf numFmtId="166" fontId="0" fillId="0" borderId="4" xfId="0" applyNumberFormat="1" applyBorder="1"/>
    <xf numFmtId="2" fontId="3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165" fontId="3" fillId="0" borderId="0" xfId="0" applyNumberFormat="1" applyFont="1" applyBorder="1" applyAlignment="1">
      <alignment horizontal="right"/>
    </xf>
    <xf numFmtId="37" fontId="3" fillId="0" borderId="0" xfId="0" applyNumberFormat="1" applyFont="1"/>
    <xf numFmtId="0" fontId="3" fillId="0" borderId="0" xfId="0" applyFont="1" applyBorder="1" applyAlignment="1">
      <alignment horizontal="center"/>
    </xf>
    <xf numFmtId="37" fontId="3" fillId="0" borderId="0" xfId="0" applyNumberFormat="1" applyFont="1" applyBorder="1"/>
    <xf numFmtId="3" fontId="2" fillId="0" borderId="0" xfId="0" applyNumberFormat="1" applyFont="1"/>
    <xf numFmtId="3" fontId="3" fillId="0" borderId="0" xfId="0" applyNumberFormat="1" applyFont="1"/>
    <xf numFmtId="165" fontId="3" fillId="0" borderId="0" xfId="0" applyNumberFormat="1" applyFont="1" applyAlignment="1">
      <alignment horizontal="right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16" fontId="0" fillId="0" borderId="0" xfId="0" applyNumberFormat="1" applyAlignment="1">
      <alignment horizontal="left" vertical="center"/>
    </xf>
    <xf numFmtId="0" fontId="5" fillId="0" borderId="0" xfId="3" applyFill="1" applyProtection="1"/>
    <xf numFmtId="0" fontId="5" fillId="0" borderId="0" xfId="3" applyFill="1"/>
    <xf numFmtId="0" fontId="2" fillId="0" borderId="0" xfId="3" quotePrefix="1" applyFont="1" applyFill="1" applyAlignment="1">
      <alignment horizontal="left"/>
    </xf>
    <xf numFmtId="0" fontId="2" fillId="0" borderId="0" xfId="3" applyFont="1" applyFill="1"/>
    <xf numFmtId="0" fontId="5" fillId="0" borderId="0" xfId="3" applyFill="1" applyAlignment="1" applyProtection="1">
      <alignment horizontal="left"/>
    </xf>
    <xf numFmtId="0" fontId="5" fillId="0" borderId="0" xfId="3" applyFill="1" applyBorder="1" applyAlignment="1" applyProtection="1">
      <alignment horizontal="center"/>
    </xf>
    <xf numFmtId="0" fontId="5" fillId="0" borderId="0" xfId="3" applyFill="1" applyBorder="1"/>
    <xf numFmtId="0" fontId="2" fillId="0" borderId="0" xfId="3" applyFont="1" applyFill="1" applyAlignment="1">
      <alignment horizontal="center"/>
    </xf>
    <xf numFmtId="3" fontId="5" fillId="0" borderId="0" xfId="3" applyNumberFormat="1" applyFill="1" applyBorder="1" applyProtection="1"/>
    <xf numFmtId="0" fontId="5" fillId="0" borderId="0" xfId="3" applyFill="1" applyAlignment="1">
      <alignment horizontal="center"/>
    </xf>
    <xf numFmtId="0" fontId="5" fillId="0" borderId="0" xfId="3" applyFill="1" applyBorder="1" applyAlignment="1" applyProtection="1">
      <alignment horizontal="fill"/>
    </xf>
    <xf numFmtId="0" fontId="2" fillId="0" borderId="0" xfId="3" applyFont="1" applyFill="1" applyBorder="1" applyAlignment="1">
      <alignment horizontal="center"/>
    </xf>
    <xf numFmtId="3" fontId="5" fillId="0" borderId="0" xfId="3" applyNumberFormat="1" applyFill="1" applyBorder="1" applyAlignment="1">
      <alignment horizontal="center"/>
    </xf>
    <xf numFmtId="0" fontId="6" fillId="0" borderId="0" xfId="3" applyFont="1" applyFill="1" applyAlignment="1" applyProtection="1">
      <alignment horizontal="left"/>
    </xf>
    <xf numFmtId="0" fontId="6" fillId="0" borderId="0" xfId="3" applyFont="1" applyFill="1" applyProtection="1"/>
    <xf numFmtId="0" fontId="6" fillId="0" borderId="0" xfId="3" applyFont="1" applyFill="1"/>
    <xf numFmtId="0" fontId="6" fillId="0" borderId="0" xfId="3" quotePrefix="1" applyFont="1" applyFill="1" applyAlignment="1" applyProtection="1">
      <alignment horizontal="left"/>
    </xf>
    <xf numFmtId="0" fontId="2" fillId="0" borderId="0" xfId="4" applyFont="1" applyFill="1" applyAlignment="1">
      <alignment horizontal="center"/>
    </xf>
    <xf numFmtId="3" fontId="5" fillId="0" borderId="0" xfId="3" applyNumberFormat="1" applyFill="1" applyAlignment="1">
      <alignment horizontal="center"/>
    </xf>
    <xf numFmtId="49" fontId="2" fillId="0" borderId="0" xfId="3" applyNumberFormat="1" applyFont="1" applyFill="1" applyAlignment="1">
      <alignment horizontal="center"/>
    </xf>
    <xf numFmtId="2" fontId="5" fillId="0" borderId="0" xfId="3" applyNumberFormat="1" applyFill="1" applyAlignment="1">
      <alignment horizontal="center"/>
    </xf>
    <xf numFmtId="0" fontId="5" fillId="0" borderId="0" xfId="3" applyFill="1" applyBorder="1" applyAlignment="1">
      <alignment horizontal="center"/>
    </xf>
    <xf numFmtId="167" fontId="5" fillId="0" borderId="0" xfId="3" applyNumberFormat="1" applyFill="1" applyAlignment="1">
      <alignment horizontal="center"/>
    </xf>
    <xf numFmtId="1" fontId="5" fillId="0" borderId="0" xfId="3" applyNumberFormat="1" applyFill="1" applyAlignment="1">
      <alignment horizontal="center"/>
    </xf>
    <xf numFmtId="10" fontId="5" fillId="0" borderId="0" xfId="2" applyNumberFormat="1" applyFont="1" applyFill="1"/>
    <xf numFmtId="10" fontId="5" fillId="0" borderId="0" xfId="2" applyNumberFormat="1" applyFont="1" applyFill="1" applyBorder="1"/>
    <xf numFmtId="0" fontId="4" fillId="0" borderId="0" xfId="0" applyFont="1" applyAlignment="1">
      <alignment horizontal="center"/>
    </xf>
    <xf numFmtId="3" fontId="2" fillId="0" borderId="0" xfId="3" applyNumberFormat="1" applyFont="1" applyFill="1" applyBorder="1" applyProtection="1"/>
    <xf numFmtId="0" fontId="0" fillId="0" borderId="0" xfId="0" pivotButton="1"/>
    <xf numFmtId="164" fontId="0" fillId="0" borderId="0" xfId="0" applyNumberFormat="1" applyAlignment="1">
      <alignment horizontal="left"/>
    </xf>
    <xf numFmtId="164" fontId="0" fillId="0" borderId="0" xfId="1" pivotButton="1" applyNumberFormat="1" applyFont="1"/>
    <xf numFmtId="0" fontId="7" fillId="2" borderId="5" xfId="0" applyFont="1" applyFill="1" applyBorder="1"/>
    <xf numFmtId="164" fontId="7" fillId="2" borderId="5" xfId="1" applyNumberFormat="1" applyFont="1" applyFill="1" applyBorder="1"/>
    <xf numFmtId="4" fontId="0" fillId="0" borderId="0" xfId="0" applyNumberFormat="1"/>
    <xf numFmtId="174" fontId="0" fillId="0" borderId="0" xfId="1" applyNumberFormat="1" applyFont="1"/>
    <xf numFmtId="164" fontId="0" fillId="0" borderId="0" xfId="0" applyNumberFormat="1"/>
    <xf numFmtId="10" fontId="0" fillId="0" borderId="0" xfId="2" applyNumberFormat="1" applyFont="1"/>
    <xf numFmtId="10" fontId="0" fillId="0" borderId="0" xfId="0" applyNumberFormat="1"/>
  </cellXfs>
  <cellStyles count="5">
    <cellStyle name="Millares" xfId="1" builtinId="3"/>
    <cellStyle name="Normal" xfId="0" builtinId="0"/>
    <cellStyle name="Normal 2" xfId="3"/>
    <cellStyle name="Normal_Lara_mun_edad1" xfId="4"/>
    <cellStyle name="Porcentual" xfId="2" builtinId="5"/>
  </cellStyles>
  <dxfs count="6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8.6709973753280836E-2"/>
                  <c:y val="0.43793307086614175"/>
                </c:manualLayout>
              </c:layout>
              <c:numFmt formatCode="#,##0.0000" sourceLinked="0"/>
            </c:trendlineLbl>
          </c:trendline>
          <c:xVal>
            <c:numRef>
              <c:f>Población!$S$18:$S$20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Población!$T$18:$T$20</c:f>
              <c:numCache>
                <c:formatCode>_ * #,##0_ ;_ * \-#,##0_ ;_ * "-"??_ ;_ @_ </c:formatCode>
                <c:ptCount val="3"/>
                <c:pt idx="0">
                  <c:v>2343059</c:v>
                </c:pt>
                <c:pt idx="1">
                  <c:v>2501894</c:v>
                </c:pt>
                <c:pt idx="2">
                  <c:v>2437631</c:v>
                </c:pt>
              </c:numCache>
            </c:numRef>
          </c:yVal>
          <c:smooth val="1"/>
        </c:ser>
        <c:axId val="99685504"/>
        <c:axId val="83597184"/>
      </c:scatterChart>
      <c:valAx>
        <c:axId val="99685504"/>
        <c:scaling>
          <c:orientation val="minMax"/>
        </c:scaling>
        <c:axPos val="b"/>
        <c:numFmt formatCode="_ * #,##0_ ;_ * \-#,##0_ ;_ * &quot;-&quot;??_ ;_ @_ " sourceLinked="1"/>
        <c:tickLblPos val="nextTo"/>
        <c:crossAx val="83597184"/>
        <c:crosses val="autoZero"/>
        <c:crossBetween val="midCat"/>
      </c:valAx>
      <c:valAx>
        <c:axId val="83597184"/>
        <c:scaling>
          <c:orientation val="minMax"/>
        </c:scaling>
        <c:axPos val="l"/>
        <c:numFmt formatCode="_ * #,##0_ ;_ * \-#,##0_ ;_ * &quot;-&quot;??_ ;_ @_ " sourceLinked="1"/>
        <c:tickLblPos val="nextTo"/>
        <c:crossAx val="9968550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6.4470691163604543E-2"/>
                  <c:y val="0.12788823272090988"/>
                </c:manualLayout>
              </c:layout>
              <c:numFmt formatCode="#,##0.0000" sourceLinked="0"/>
            </c:trendlineLbl>
          </c:trendline>
          <c:xVal>
            <c:numRef>
              <c:f>Población!$S$18:$S$20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Población!$AF$18:$AF$20</c:f>
              <c:numCache>
                <c:formatCode>_ * #,##0_ ;_ * \-#,##0_ ;_ * "-"??_ ;_ @_ </c:formatCode>
                <c:ptCount val="3"/>
                <c:pt idx="0">
                  <c:v>2253798</c:v>
                </c:pt>
                <c:pt idx="1">
                  <c:v>2680308</c:v>
                </c:pt>
                <c:pt idx="2">
                  <c:v>2402364</c:v>
                </c:pt>
              </c:numCache>
            </c:numRef>
          </c:yVal>
          <c:smooth val="1"/>
        </c:ser>
        <c:axId val="182706176"/>
        <c:axId val="182691712"/>
      </c:scatterChart>
      <c:valAx>
        <c:axId val="182706176"/>
        <c:scaling>
          <c:orientation val="minMax"/>
        </c:scaling>
        <c:axPos val="b"/>
        <c:numFmt formatCode="_ * #,##0_ ;_ * \-#,##0_ ;_ * &quot;-&quot;??_ ;_ @_ " sourceLinked="1"/>
        <c:tickLblPos val="nextTo"/>
        <c:crossAx val="182691712"/>
        <c:crosses val="autoZero"/>
        <c:crossBetween val="midCat"/>
      </c:valAx>
      <c:valAx>
        <c:axId val="182691712"/>
        <c:scaling>
          <c:orientation val="minMax"/>
        </c:scaling>
        <c:axPos val="l"/>
        <c:numFmt formatCode="_ * #,##0_ ;_ * \-#,##0_ ;_ * &quot;-&quot;??_ ;_ @_ " sourceLinked="1"/>
        <c:tickLblPos val="nextTo"/>
        <c:crossAx val="18270617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8.6709973753280878E-2"/>
                  <c:y val="0.4379330708661418"/>
                </c:manualLayout>
              </c:layout>
              <c:numFmt formatCode="#,##0.0000" sourceLinked="0"/>
            </c:trendlineLbl>
          </c:trendline>
          <c:xVal>
            <c:numRef>
              <c:f>Población!$S$40:$S$42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Población!$T$40:$T$42</c:f>
              <c:numCache>
                <c:formatCode>_ * #,##0_ ;_ * \-#,##0_ ;_ * "-"??_ ;_ @_ </c:formatCode>
                <c:ptCount val="3"/>
                <c:pt idx="0">
                  <c:v>2146994</c:v>
                </c:pt>
                <c:pt idx="1">
                  <c:v>2535766</c:v>
                </c:pt>
                <c:pt idx="2">
                  <c:v>2516779</c:v>
                </c:pt>
              </c:numCache>
            </c:numRef>
          </c:yVal>
          <c:smooth val="1"/>
        </c:ser>
        <c:axId val="183904896"/>
        <c:axId val="183935744"/>
      </c:scatterChart>
      <c:valAx>
        <c:axId val="183904896"/>
        <c:scaling>
          <c:orientation val="minMax"/>
        </c:scaling>
        <c:axPos val="b"/>
        <c:numFmt formatCode="_ * #,##0_ ;_ * \-#,##0_ ;_ * &quot;-&quot;??_ ;_ @_ " sourceLinked="1"/>
        <c:tickLblPos val="nextTo"/>
        <c:crossAx val="183935744"/>
        <c:crosses val="autoZero"/>
        <c:crossBetween val="midCat"/>
      </c:valAx>
      <c:valAx>
        <c:axId val="183935744"/>
        <c:scaling>
          <c:orientation val="minMax"/>
        </c:scaling>
        <c:axPos val="l"/>
        <c:numFmt formatCode="_ * #,##0_ ;_ * \-#,##0_ ;_ * &quot;-&quot;??_ ;_ @_ " sourceLinked="1"/>
        <c:tickLblPos val="nextTo"/>
        <c:crossAx val="183904896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1.3066889366101965E-2"/>
                  <c:y val="0.47385170603674542"/>
                </c:manualLayout>
              </c:layout>
              <c:numFmt formatCode="#,##0.0000" sourceLinked="0"/>
            </c:trendlineLbl>
          </c:trendline>
          <c:xVal>
            <c:numRef>
              <c:f>Población!$S$18:$S$20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Población!$AF$40:$AF$42</c:f>
              <c:numCache>
                <c:formatCode>_ * #,##0_ ;_ * \-#,##0_ ;_ * "-"??_ ;_ @_ </c:formatCode>
                <c:ptCount val="3"/>
                <c:pt idx="0">
                  <c:v>1725187</c:v>
                </c:pt>
                <c:pt idx="1">
                  <c:v>2185621</c:v>
                </c:pt>
                <c:pt idx="2">
                  <c:v>2560649</c:v>
                </c:pt>
              </c:numCache>
            </c:numRef>
          </c:yVal>
          <c:smooth val="1"/>
        </c:ser>
        <c:axId val="100164352"/>
        <c:axId val="100165888"/>
      </c:scatterChart>
      <c:valAx>
        <c:axId val="100164352"/>
        <c:scaling>
          <c:orientation val="minMax"/>
        </c:scaling>
        <c:axPos val="b"/>
        <c:numFmt formatCode="_ * #,##0_ ;_ * \-#,##0_ ;_ * &quot;-&quot;??_ ;_ @_ " sourceLinked="1"/>
        <c:tickLblPos val="nextTo"/>
        <c:crossAx val="100165888"/>
        <c:crosses val="autoZero"/>
        <c:crossBetween val="midCat"/>
      </c:valAx>
      <c:valAx>
        <c:axId val="100165888"/>
        <c:scaling>
          <c:orientation val="minMax"/>
        </c:scaling>
        <c:axPos val="l"/>
        <c:numFmt formatCode="_ * #,##0_ ;_ * \-#,##0_ ;_ * &quot;-&quot;??_ ;_ @_ " sourceLinked="1"/>
        <c:tickLblPos val="nextTo"/>
        <c:crossAx val="100164352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8.6709973753280906E-2"/>
                  <c:y val="0.4379330708661418"/>
                </c:manualLayout>
              </c:layout>
              <c:numFmt formatCode="#,##0.0000" sourceLinked="0"/>
            </c:trendlineLbl>
          </c:trendline>
          <c:xVal>
            <c:numRef>
              <c:f>Población!$S$40:$S$42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Población!$T$62:$T$64</c:f>
              <c:numCache>
                <c:formatCode>_ * #,##0_ ;_ * \-#,##0_ ;_ * "-"??_ ;_ @_ </c:formatCode>
                <c:ptCount val="3"/>
                <c:pt idx="0">
                  <c:v>1569542</c:v>
                </c:pt>
                <c:pt idx="1">
                  <c:v>1888838</c:v>
                </c:pt>
                <c:pt idx="2">
                  <c:v>2344332</c:v>
                </c:pt>
              </c:numCache>
            </c:numRef>
          </c:yVal>
          <c:smooth val="1"/>
        </c:ser>
        <c:axId val="186765696"/>
        <c:axId val="186767232"/>
      </c:scatterChart>
      <c:valAx>
        <c:axId val="186765696"/>
        <c:scaling>
          <c:orientation val="minMax"/>
        </c:scaling>
        <c:axPos val="b"/>
        <c:numFmt formatCode="_ * #,##0_ ;_ * \-#,##0_ ;_ * &quot;-&quot;??_ ;_ @_ " sourceLinked="1"/>
        <c:tickLblPos val="nextTo"/>
        <c:crossAx val="186767232"/>
        <c:crosses val="autoZero"/>
        <c:crossBetween val="midCat"/>
      </c:valAx>
      <c:valAx>
        <c:axId val="186767232"/>
        <c:scaling>
          <c:orientation val="minMax"/>
        </c:scaling>
        <c:axPos val="l"/>
        <c:numFmt formatCode="_ * #,##0_ ;_ * \-#,##0_ ;_ * &quot;-&quot;??_ ;_ @_ " sourceLinked="1"/>
        <c:tickLblPos val="nextTo"/>
        <c:crossAx val="186765696"/>
        <c:crosses val="autoZero"/>
        <c:crossBetween val="midCat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1.3066889366101972E-2"/>
                  <c:y val="0.47385170603674542"/>
                </c:manualLayout>
              </c:layout>
              <c:numFmt formatCode="#,##0.0000" sourceLinked="0"/>
            </c:trendlineLbl>
          </c:trendline>
          <c:xVal>
            <c:numRef>
              <c:f>Población!$S$18:$S$20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Población!$AF$62:$AF$64</c:f>
              <c:numCache>
                <c:formatCode>_ * #,##0_ ;_ * \-#,##0_ ;_ * "-"??_ ;_ @_ </c:formatCode>
                <c:ptCount val="3"/>
                <c:pt idx="0">
                  <c:v>1366694</c:v>
                </c:pt>
                <c:pt idx="1">
                  <c:v>1762621</c:v>
                </c:pt>
                <c:pt idx="2">
                  <c:v>2219741</c:v>
                </c:pt>
              </c:numCache>
            </c:numRef>
          </c:yVal>
          <c:smooth val="1"/>
        </c:ser>
        <c:axId val="187800192"/>
        <c:axId val="190137088"/>
      </c:scatterChart>
      <c:valAx>
        <c:axId val="187800192"/>
        <c:scaling>
          <c:orientation val="minMax"/>
        </c:scaling>
        <c:axPos val="b"/>
        <c:numFmt formatCode="_ * #,##0_ ;_ * \-#,##0_ ;_ * &quot;-&quot;??_ ;_ @_ " sourceLinked="1"/>
        <c:tickLblPos val="nextTo"/>
        <c:crossAx val="190137088"/>
        <c:crosses val="autoZero"/>
        <c:crossBetween val="midCat"/>
      </c:valAx>
      <c:valAx>
        <c:axId val="190137088"/>
        <c:scaling>
          <c:orientation val="minMax"/>
        </c:scaling>
        <c:axPos val="l"/>
        <c:numFmt formatCode="_ * #,##0_ ;_ * \-#,##0_ ;_ * &quot;-&quot;??_ ;_ @_ " sourceLinked="1"/>
        <c:tickLblPos val="nextTo"/>
        <c:crossAx val="187800192"/>
        <c:crosses val="autoZero"/>
        <c:crossBetween val="midCat"/>
      </c:valAx>
    </c:plotArea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8.6709973753280961E-2"/>
                  <c:y val="0.4379330708661418"/>
                </c:manualLayout>
              </c:layout>
              <c:numFmt formatCode="#,##0.0000" sourceLinked="0"/>
            </c:trendlineLbl>
          </c:trendline>
          <c:xVal>
            <c:numRef>
              <c:f>Población!$S$40:$S$42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Población!$T$84:$T$86</c:f>
              <c:numCache>
                <c:formatCode>_ * #,##0_ ;_ * \-#,##0_ ;_ * "-"??_ ;_ @_ </c:formatCode>
                <c:ptCount val="3"/>
                <c:pt idx="0">
                  <c:v>1163580</c:v>
                </c:pt>
                <c:pt idx="1">
                  <c:v>1593742</c:v>
                </c:pt>
                <c:pt idx="2">
                  <c:v>1905253</c:v>
                </c:pt>
              </c:numCache>
            </c:numRef>
          </c:yVal>
          <c:smooth val="1"/>
        </c:ser>
        <c:axId val="100009856"/>
        <c:axId val="100011392"/>
      </c:scatterChart>
      <c:valAx>
        <c:axId val="100009856"/>
        <c:scaling>
          <c:orientation val="minMax"/>
        </c:scaling>
        <c:axPos val="b"/>
        <c:numFmt formatCode="_ * #,##0_ ;_ * \-#,##0_ ;_ * &quot;-&quot;??_ ;_ @_ " sourceLinked="1"/>
        <c:tickLblPos val="nextTo"/>
        <c:crossAx val="100011392"/>
        <c:crosses val="autoZero"/>
        <c:crossBetween val="midCat"/>
      </c:valAx>
      <c:valAx>
        <c:axId val="100011392"/>
        <c:scaling>
          <c:orientation val="minMax"/>
        </c:scaling>
        <c:axPos val="l"/>
        <c:numFmt formatCode="_ * #,##0_ ;_ * \-#,##0_ ;_ * &quot;-&quot;??_ ;_ @_ " sourceLinked="1"/>
        <c:tickLblPos val="nextTo"/>
        <c:crossAx val="100009856"/>
        <c:crosses val="autoZero"/>
        <c:crossBetween val="midCat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1.306688936610198E-2"/>
                  <c:y val="0.47385170603674542"/>
                </c:manualLayout>
              </c:layout>
              <c:numFmt formatCode="#,##0.0000" sourceLinked="0"/>
            </c:trendlineLbl>
          </c:trendline>
          <c:xVal>
            <c:numRef>
              <c:f>Población!$S$18:$S$20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Población!$AF$84:$AF$86</c:f>
              <c:numCache>
                <c:formatCode>_ * #,##0_ ;_ * \-#,##0_ ;_ * "-"??_ ;_ @_ </c:formatCode>
                <c:ptCount val="3"/>
                <c:pt idx="0">
                  <c:v>887884</c:v>
                </c:pt>
                <c:pt idx="1">
                  <c:v>1428506</c:v>
                </c:pt>
                <c:pt idx="2">
                  <c:v>1755490</c:v>
                </c:pt>
              </c:numCache>
            </c:numRef>
          </c:yVal>
          <c:smooth val="1"/>
        </c:ser>
        <c:axId val="100055680"/>
        <c:axId val="152248704"/>
      </c:scatterChart>
      <c:valAx>
        <c:axId val="100055680"/>
        <c:scaling>
          <c:orientation val="minMax"/>
        </c:scaling>
        <c:axPos val="b"/>
        <c:numFmt formatCode="_ * #,##0_ ;_ * \-#,##0_ ;_ * &quot;-&quot;??_ ;_ @_ " sourceLinked="1"/>
        <c:tickLblPos val="nextTo"/>
        <c:crossAx val="152248704"/>
        <c:crosses val="autoZero"/>
        <c:crossBetween val="midCat"/>
      </c:valAx>
      <c:valAx>
        <c:axId val="152248704"/>
        <c:scaling>
          <c:orientation val="minMax"/>
        </c:scaling>
        <c:axPos val="l"/>
        <c:numFmt formatCode="_ * #,##0_ ;_ * \-#,##0_ ;_ * &quot;-&quot;??_ ;_ @_ " sourceLinked="1"/>
        <c:tickLblPos val="nextTo"/>
        <c:crossAx val="100055680"/>
        <c:crosses val="autoZero"/>
        <c:crossBetween val="midCat"/>
      </c:valAx>
    </c:plotArea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7.0043307086614173E-2"/>
                  <c:y val="0.52140347039953339"/>
                </c:manualLayout>
              </c:layout>
              <c:numFmt formatCode="#,##0.0000" sourceLinked="0"/>
            </c:trendlineLbl>
          </c:trendline>
          <c:xVal>
            <c:numRef>
              <c:f>Población!$S$40:$S$42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Población!$T$106:$T$108</c:f>
              <c:numCache>
                <c:formatCode>_ * #,##0_ ;_ * \-#,##0_ ;_ * "-"??_ ;_ @_ </c:formatCode>
                <c:ptCount val="3"/>
                <c:pt idx="0">
                  <c:v>644217</c:v>
                </c:pt>
                <c:pt idx="1">
                  <c:v>1159743</c:v>
                </c:pt>
                <c:pt idx="2">
                  <c:v>1528781</c:v>
                </c:pt>
              </c:numCache>
            </c:numRef>
          </c:yVal>
          <c:smooth val="1"/>
        </c:ser>
        <c:axId val="186923648"/>
        <c:axId val="186937728"/>
      </c:scatterChart>
      <c:valAx>
        <c:axId val="186923648"/>
        <c:scaling>
          <c:orientation val="minMax"/>
        </c:scaling>
        <c:axPos val="b"/>
        <c:numFmt formatCode="_ * #,##0_ ;_ * \-#,##0_ ;_ * &quot;-&quot;??_ ;_ @_ " sourceLinked="1"/>
        <c:tickLblPos val="nextTo"/>
        <c:crossAx val="186937728"/>
        <c:crosses val="autoZero"/>
        <c:crossBetween val="midCat"/>
      </c:valAx>
      <c:valAx>
        <c:axId val="186937728"/>
        <c:scaling>
          <c:orientation val="minMax"/>
        </c:scaling>
        <c:axPos val="l"/>
        <c:numFmt formatCode="_ * #,##0_ ;_ * \-#,##0_ ;_ * &quot;-&quot;??_ ;_ @_ " sourceLinked="1"/>
        <c:tickLblPos val="nextTo"/>
        <c:crossAx val="186923648"/>
        <c:crosses val="autoZero"/>
        <c:crossBetween val="midCat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1.3066889366101985E-2"/>
                  <c:y val="0.47385170603674542"/>
                </c:manualLayout>
              </c:layout>
              <c:numFmt formatCode="#,##0.0000" sourceLinked="0"/>
            </c:trendlineLbl>
          </c:trendline>
          <c:xVal>
            <c:numRef>
              <c:f>Población!$S$18:$S$20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Población!$AF$106:$AF$108</c:f>
              <c:numCache>
                <c:formatCode>_ * #,##0_ ;_ * \-#,##0_ ;_ * "-"??_ ;_ @_ </c:formatCode>
                <c:ptCount val="3"/>
                <c:pt idx="0">
                  <c:v>544860</c:v>
                </c:pt>
                <c:pt idx="1">
                  <c:v>925449</c:v>
                </c:pt>
                <c:pt idx="2">
                  <c:v>1337934</c:v>
                </c:pt>
              </c:numCache>
            </c:numRef>
          </c:yVal>
          <c:smooth val="1"/>
        </c:ser>
        <c:axId val="187887616"/>
        <c:axId val="187889152"/>
      </c:scatterChart>
      <c:valAx>
        <c:axId val="187887616"/>
        <c:scaling>
          <c:orientation val="minMax"/>
        </c:scaling>
        <c:axPos val="b"/>
        <c:numFmt formatCode="_ * #,##0_ ;_ * \-#,##0_ ;_ * &quot;-&quot;??_ ;_ @_ " sourceLinked="1"/>
        <c:tickLblPos val="nextTo"/>
        <c:crossAx val="187889152"/>
        <c:crosses val="autoZero"/>
        <c:crossBetween val="midCat"/>
      </c:valAx>
      <c:valAx>
        <c:axId val="187889152"/>
        <c:scaling>
          <c:orientation val="minMax"/>
        </c:scaling>
        <c:axPos val="l"/>
        <c:numFmt formatCode="_ * #,##0_ ;_ * \-#,##0_ ;_ * &quot;-&quot;??_ ;_ @_ " sourceLinked="1"/>
        <c:tickLblPos val="nextTo"/>
        <c:crossAx val="187887616"/>
        <c:crosses val="autoZero"/>
        <c:crossBetween val="midCat"/>
      </c:valAx>
    </c:plotArea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7.0043307086614173E-2"/>
                  <c:y val="0.52140347039953361"/>
                </c:manualLayout>
              </c:layout>
              <c:numFmt formatCode="#,##0.0000" sourceLinked="0"/>
            </c:trendlineLbl>
          </c:trendline>
          <c:xVal>
            <c:numRef>
              <c:f>Población!$S$40:$S$42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Población!$T$128:$T$130</c:f>
              <c:numCache>
                <c:formatCode>_ * #,##0_ ;_ * \-#,##0_ ;_ * "-"??_ ;_ @_ </c:formatCode>
                <c:ptCount val="3"/>
                <c:pt idx="0">
                  <c:v>435339</c:v>
                </c:pt>
                <c:pt idx="1">
                  <c:v>619029</c:v>
                </c:pt>
                <c:pt idx="2">
                  <c:v>1108799</c:v>
                </c:pt>
              </c:numCache>
            </c:numRef>
          </c:yVal>
          <c:smooth val="1"/>
        </c:ser>
        <c:axId val="192189184"/>
        <c:axId val="192190720"/>
      </c:scatterChart>
      <c:valAx>
        <c:axId val="192189184"/>
        <c:scaling>
          <c:orientation val="minMax"/>
        </c:scaling>
        <c:axPos val="b"/>
        <c:numFmt formatCode="_ * #,##0_ ;_ * \-#,##0_ ;_ * &quot;-&quot;??_ ;_ @_ " sourceLinked="1"/>
        <c:tickLblPos val="nextTo"/>
        <c:crossAx val="192190720"/>
        <c:crosses val="autoZero"/>
        <c:crossBetween val="midCat"/>
      </c:valAx>
      <c:valAx>
        <c:axId val="192190720"/>
        <c:scaling>
          <c:orientation val="minMax"/>
        </c:scaling>
        <c:axPos val="l"/>
        <c:numFmt formatCode="_ * #,##0_ ;_ * \-#,##0_ ;_ * &quot;-&quot;??_ ;_ @_ " sourceLinked="1"/>
        <c:tickLblPos val="nextTo"/>
        <c:crossAx val="192189184"/>
        <c:crosses val="autoZero"/>
        <c:crossBetween val="midCat"/>
      </c:valAx>
    </c:plotArea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1.3066889366101989E-2"/>
                  <c:y val="0.47385170603674542"/>
                </c:manualLayout>
              </c:layout>
              <c:numFmt formatCode="#,##0.0000" sourceLinked="0"/>
            </c:trendlineLbl>
          </c:trendline>
          <c:xVal>
            <c:numRef>
              <c:f>Población!$S$18:$S$20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Población!$AF$128:$AF$130</c:f>
              <c:numCache>
                <c:formatCode>_ * #,##0_ ;_ * \-#,##0_ ;_ * "-"??_ ;_ @_ </c:formatCode>
                <c:ptCount val="3"/>
                <c:pt idx="0">
                  <c:v>375538</c:v>
                </c:pt>
                <c:pt idx="1">
                  <c:v>503568</c:v>
                </c:pt>
                <c:pt idx="2">
                  <c:v>848358</c:v>
                </c:pt>
              </c:numCache>
            </c:numRef>
          </c:yVal>
          <c:smooth val="1"/>
        </c:ser>
        <c:axId val="196306816"/>
        <c:axId val="196308352"/>
      </c:scatterChart>
      <c:valAx>
        <c:axId val="196306816"/>
        <c:scaling>
          <c:orientation val="minMax"/>
        </c:scaling>
        <c:axPos val="b"/>
        <c:numFmt formatCode="_ * #,##0_ ;_ * \-#,##0_ ;_ * &quot;-&quot;??_ ;_ @_ " sourceLinked="1"/>
        <c:tickLblPos val="nextTo"/>
        <c:crossAx val="196308352"/>
        <c:crosses val="autoZero"/>
        <c:crossBetween val="midCat"/>
      </c:valAx>
      <c:valAx>
        <c:axId val="196308352"/>
        <c:scaling>
          <c:orientation val="minMax"/>
        </c:scaling>
        <c:axPos val="l"/>
        <c:numFmt formatCode="_ * #,##0_ ;_ * \-#,##0_ ;_ * &quot;-&quot;??_ ;_ @_ " sourceLinked="1"/>
        <c:tickLblPos val="nextTo"/>
        <c:crossAx val="196306816"/>
        <c:crosses val="autoZero"/>
        <c:crossBetween val="midCat"/>
      </c:valAx>
    </c:plotArea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7.0043307086614173E-2"/>
                  <c:y val="0.52140347039953361"/>
                </c:manualLayout>
              </c:layout>
              <c:numFmt formatCode="#,##0.0000" sourceLinked="0"/>
            </c:trendlineLbl>
          </c:trendline>
          <c:xVal>
            <c:numRef>
              <c:f>Población!$S$40:$S$42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Población!$T$150:$T$152</c:f>
              <c:numCache>
                <c:formatCode>_ * #,##0_ ;_ * \-#,##0_ ;_ * "-"??_ ;_ @_ </c:formatCode>
                <c:ptCount val="3"/>
                <c:pt idx="0">
                  <c:v>258785</c:v>
                </c:pt>
                <c:pt idx="1">
                  <c:v>383306</c:v>
                </c:pt>
                <c:pt idx="2">
                  <c:v>568688</c:v>
                </c:pt>
              </c:numCache>
            </c:numRef>
          </c:yVal>
          <c:smooth val="1"/>
        </c:ser>
        <c:axId val="190060800"/>
        <c:axId val="190062592"/>
      </c:scatterChart>
      <c:valAx>
        <c:axId val="190060800"/>
        <c:scaling>
          <c:orientation val="minMax"/>
        </c:scaling>
        <c:axPos val="b"/>
        <c:numFmt formatCode="_ * #,##0_ ;_ * \-#,##0_ ;_ * &quot;-&quot;??_ ;_ @_ " sourceLinked="1"/>
        <c:tickLblPos val="nextTo"/>
        <c:crossAx val="190062592"/>
        <c:crosses val="autoZero"/>
        <c:crossBetween val="midCat"/>
      </c:valAx>
      <c:valAx>
        <c:axId val="190062592"/>
        <c:scaling>
          <c:orientation val="minMax"/>
        </c:scaling>
        <c:axPos val="l"/>
        <c:numFmt formatCode="_ * #,##0_ ;_ * \-#,##0_ ;_ * &quot;-&quot;??_ ;_ @_ " sourceLinked="1"/>
        <c:tickLblPos val="nextTo"/>
        <c:crossAx val="190060800"/>
        <c:crosses val="autoZero"/>
        <c:crossBetween val="midCat"/>
      </c:valAx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1.3066889366101996E-2"/>
                  <c:y val="0.47385170603674542"/>
                </c:manualLayout>
              </c:layout>
              <c:numFmt formatCode="#,##0.0000" sourceLinked="0"/>
            </c:trendlineLbl>
          </c:trendline>
          <c:xVal>
            <c:numRef>
              <c:f>Población!$S$18:$S$20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Población!$AF$150:$AF$152</c:f>
              <c:numCache>
                <c:formatCode>_ * #,##0_ ;_ * \-#,##0_ ;_ * "-"??_ ;_ @_ </c:formatCode>
                <c:ptCount val="3"/>
                <c:pt idx="0">
                  <c:v>191662</c:v>
                </c:pt>
                <c:pt idx="1">
                  <c:v>304303</c:v>
                </c:pt>
                <c:pt idx="2">
                  <c:v>410455</c:v>
                </c:pt>
              </c:numCache>
            </c:numRef>
          </c:yVal>
          <c:smooth val="1"/>
        </c:ser>
        <c:axId val="190107008"/>
        <c:axId val="191669376"/>
      </c:scatterChart>
      <c:valAx>
        <c:axId val="190107008"/>
        <c:scaling>
          <c:orientation val="minMax"/>
        </c:scaling>
        <c:axPos val="b"/>
        <c:numFmt formatCode="_ * #,##0_ ;_ * \-#,##0_ ;_ * &quot;-&quot;??_ ;_ @_ " sourceLinked="1"/>
        <c:tickLblPos val="nextTo"/>
        <c:crossAx val="191669376"/>
        <c:crosses val="autoZero"/>
        <c:crossBetween val="midCat"/>
      </c:valAx>
      <c:valAx>
        <c:axId val="191669376"/>
        <c:scaling>
          <c:orientation val="minMax"/>
        </c:scaling>
        <c:axPos val="l"/>
        <c:numFmt formatCode="_ * #,##0_ ;_ * \-#,##0_ ;_ * &quot;-&quot;??_ ;_ @_ " sourceLinked="1"/>
        <c:tickLblPos val="nextTo"/>
        <c:crossAx val="190107008"/>
        <c:crosses val="autoZero"/>
        <c:crossBetween val="midCat"/>
      </c:valAx>
    </c:plotArea>
    <c:plotVisOnly val="1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7.0043307086614173E-2"/>
                  <c:y val="0.52140347039953361"/>
                </c:manualLayout>
              </c:layout>
              <c:numFmt formatCode="#,##0.0000" sourceLinked="0"/>
            </c:trendlineLbl>
          </c:trendline>
          <c:xVal>
            <c:numRef>
              <c:f>Población!$S$40:$S$42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Población!$T$172:$T$174</c:f>
              <c:numCache>
                <c:formatCode>_ * #,##0_ ;_ * \-#,##0_ ;_ * "-"??_ ;_ @_ </c:formatCode>
                <c:ptCount val="3"/>
                <c:pt idx="0">
                  <c:v>130782</c:v>
                </c:pt>
                <c:pt idx="1">
                  <c:v>206737</c:v>
                </c:pt>
                <c:pt idx="2">
                  <c:v>292992</c:v>
                </c:pt>
              </c:numCache>
            </c:numRef>
          </c:yVal>
          <c:smooth val="1"/>
        </c:ser>
        <c:axId val="199342720"/>
        <c:axId val="199434624"/>
      </c:scatterChart>
      <c:valAx>
        <c:axId val="199342720"/>
        <c:scaling>
          <c:orientation val="minMax"/>
        </c:scaling>
        <c:axPos val="b"/>
        <c:numFmt formatCode="_ * #,##0_ ;_ * \-#,##0_ ;_ * &quot;-&quot;??_ ;_ @_ " sourceLinked="1"/>
        <c:tickLblPos val="nextTo"/>
        <c:crossAx val="199434624"/>
        <c:crosses val="autoZero"/>
        <c:crossBetween val="midCat"/>
      </c:valAx>
      <c:valAx>
        <c:axId val="199434624"/>
        <c:scaling>
          <c:orientation val="minMax"/>
        </c:scaling>
        <c:axPos val="l"/>
        <c:numFmt formatCode="_ * #,##0_ ;_ * \-#,##0_ ;_ * &quot;-&quot;??_ ;_ @_ " sourceLinked="1"/>
        <c:tickLblPos val="nextTo"/>
        <c:crossAx val="199342720"/>
        <c:crosses val="autoZero"/>
        <c:crossBetween val="midCat"/>
      </c:valAx>
    </c:plotArea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-1.3066889366102005E-2"/>
                  <c:y val="0.47385170603674542"/>
                </c:manualLayout>
              </c:layout>
              <c:numFmt formatCode="#,##0.0000" sourceLinked="0"/>
            </c:trendlineLbl>
          </c:trendline>
          <c:xVal>
            <c:numRef>
              <c:f>Población!$S$18:$S$20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Población!$AF$172:$AF$174</c:f>
              <c:numCache>
                <c:formatCode>_ * #,##0_ ;_ * \-#,##0_ ;_ * "-"??_ ;_ @_ </c:formatCode>
                <c:ptCount val="3"/>
                <c:pt idx="0">
                  <c:v>87978</c:v>
                </c:pt>
                <c:pt idx="1">
                  <c:v>124442</c:v>
                </c:pt>
                <c:pt idx="2">
                  <c:v>188895</c:v>
                </c:pt>
              </c:numCache>
            </c:numRef>
          </c:yVal>
          <c:smooth val="1"/>
        </c:ser>
        <c:axId val="189358464"/>
        <c:axId val="189360000"/>
      </c:scatterChart>
      <c:valAx>
        <c:axId val="189358464"/>
        <c:scaling>
          <c:orientation val="minMax"/>
        </c:scaling>
        <c:axPos val="b"/>
        <c:numFmt formatCode="_ * #,##0_ ;_ * \-#,##0_ ;_ * &quot;-&quot;??_ ;_ @_ " sourceLinked="1"/>
        <c:tickLblPos val="nextTo"/>
        <c:crossAx val="189360000"/>
        <c:crosses val="autoZero"/>
        <c:crossBetween val="midCat"/>
      </c:valAx>
      <c:valAx>
        <c:axId val="189360000"/>
        <c:scaling>
          <c:orientation val="minMax"/>
        </c:scaling>
        <c:axPos val="l"/>
        <c:numFmt formatCode="_ * #,##0_ ;_ * \-#,##0_ ;_ * &quot;-&quot;??_ ;_ @_ " sourceLinked="1"/>
        <c:tickLblPos val="nextTo"/>
        <c:crossAx val="189358464"/>
        <c:crosses val="autoZero"/>
        <c:crossBetween val="midCat"/>
      </c:valAx>
    </c:plotArea>
    <c:plotVisOnly val="1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7.0043307086614173E-2"/>
                  <c:y val="0.52140347039953361"/>
                </c:manualLayout>
              </c:layout>
              <c:numFmt formatCode="#,##0.0000" sourceLinked="0"/>
            </c:trendlineLbl>
          </c:trendline>
          <c:xVal>
            <c:numRef>
              <c:f>Población!$S$40:$S$42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Población!$T$194:$T$196</c:f>
              <c:numCache>
                <c:formatCode>_ * #,##0_ ;_ * \-#,##0_ ;_ * "-"??_ ;_ @_ </c:formatCode>
                <c:ptCount val="3"/>
                <c:pt idx="0">
                  <c:v>1922514</c:v>
                </c:pt>
                <c:pt idx="1">
                  <c:v>2319853</c:v>
                </c:pt>
                <c:pt idx="2">
                  <c:v>2641320</c:v>
                </c:pt>
              </c:numCache>
            </c:numRef>
          </c:yVal>
          <c:smooth val="1"/>
        </c:ser>
        <c:axId val="153436160"/>
        <c:axId val="186040704"/>
      </c:scatterChart>
      <c:valAx>
        <c:axId val="153436160"/>
        <c:scaling>
          <c:orientation val="minMax"/>
        </c:scaling>
        <c:axPos val="b"/>
        <c:numFmt formatCode="_ * #,##0_ ;_ * \-#,##0_ ;_ * &quot;-&quot;??_ ;_ @_ " sourceLinked="1"/>
        <c:tickLblPos val="nextTo"/>
        <c:crossAx val="186040704"/>
        <c:crosses val="autoZero"/>
        <c:crossBetween val="midCat"/>
      </c:valAx>
      <c:valAx>
        <c:axId val="186040704"/>
        <c:scaling>
          <c:orientation val="minMax"/>
        </c:scaling>
        <c:axPos val="l"/>
        <c:numFmt formatCode="_ * #,##0_ ;_ * \-#,##0_ ;_ * &quot;-&quot;??_ ;_ @_ " sourceLinked="1"/>
        <c:tickLblPos val="nextTo"/>
        <c:crossAx val="153436160"/>
        <c:crosses val="autoZero"/>
        <c:crossBetween val="midCat"/>
      </c:valAx>
    </c:plotArea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VE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9.010578223176649E-3"/>
                  <c:y val="0.54119203849518815"/>
                </c:manualLayout>
              </c:layout>
              <c:numFmt formatCode="#,##0.0000" sourceLinked="0"/>
            </c:trendlineLbl>
          </c:trendline>
          <c:xVal>
            <c:numRef>
              <c:f>Población!$S$18:$S$20</c:f>
              <c:numCache>
                <c:formatCode>_ * #,##0_ ;_ * \-#,##0_ ;_ * "-"??_ ;_ @_ </c:formatCode>
                <c:ptCount val="3"/>
                <c:pt idx="0">
                  <c:v>1990</c:v>
                </c:pt>
                <c:pt idx="1">
                  <c:v>2001</c:v>
                </c:pt>
                <c:pt idx="2">
                  <c:v>2011</c:v>
                </c:pt>
              </c:numCache>
            </c:numRef>
          </c:xVal>
          <c:yVal>
            <c:numRef>
              <c:f>Población!$AF$194:$AF$196</c:f>
              <c:numCache>
                <c:formatCode>_ * #,##0_ ;_ * \-#,##0_ ;_ * "-"??_ ;_ @_ </c:formatCode>
                <c:ptCount val="3"/>
                <c:pt idx="0">
                  <c:v>56852</c:v>
                </c:pt>
                <c:pt idx="1">
                  <c:v>108827</c:v>
                </c:pt>
                <c:pt idx="2">
                  <c:v>159469</c:v>
                </c:pt>
              </c:numCache>
            </c:numRef>
          </c:yVal>
          <c:smooth val="1"/>
        </c:ser>
        <c:axId val="188597376"/>
        <c:axId val="199147520"/>
      </c:scatterChart>
      <c:valAx>
        <c:axId val="188597376"/>
        <c:scaling>
          <c:orientation val="minMax"/>
        </c:scaling>
        <c:axPos val="b"/>
        <c:numFmt formatCode="_ * #,##0_ ;_ * \-#,##0_ ;_ * &quot;-&quot;??_ ;_ @_ " sourceLinked="1"/>
        <c:tickLblPos val="nextTo"/>
        <c:crossAx val="199147520"/>
        <c:crosses val="autoZero"/>
        <c:crossBetween val="midCat"/>
      </c:valAx>
      <c:valAx>
        <c:axId val="199147520"/>
        <c:scaling>
          <c:orientation val="minMax"/>
        </c:scaling>
        <c:axPos val="l"/>
        <c:numFmt formatCode="_ * #,##0_ ;_ * \-#,##0_ ;_ * &quot;-&quot;??_ ;_ @_ " sourceLinked="1"/>
        <c:tickLblPos val="nextTo"/>
        <c:crossAx val="188597376"/>
        <c:crosses val="autoZero"/>
        <c:crossBetween val="midCat"/>
      </c:valAx>
    </c:plotArea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171450</xdr:colOff>
      <xdr:row>18</xdr:row>
      <xdr:rowOff>28575</xdr:rowOff>
    </xdr:from>
    <xdr:to>
      <xdr:col>28</xdr:col>
      <xdr:colOff>609600</xdr:colOff>
      <xdr:row>32</xdr:row>
      <xdr:rowOff>104775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190500</xdr:colOff>
      <xdr:row>18</xdr:row>
      <xdr:rowOff>28575</xdr:rowOff>
    </xdr:from>
    <xdr:to>
      <xdr:col>42</xdr:col>
      <xdr:colOff>352425</xdr:colOff>
      <xdr:row>32</xdr:row>
      <xdr:rowOff>104775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171450</xdr:colOff>
      <xdr:row>40</xdr:row>
      <xdr:rowOff>28575</xdr:rowOff>
    </xdr:from>
    <xdr:to>
      <xdr:col>28</xdr:col>
      <xdr:colOff>609600</xdr:colOff>
      <xdr:row>54</xdr:row>
      <xdr:rowOff>104775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180975</xdr:colOff>
      <xdr:row>40</xdr:row>
      <xdr:rowOff>9525</xdr:rowOff>
    </xdr:from>
    <xdr:to>
      <xdr:col>42</xdr:col>
      <xdr:colOff>342900</xdr:colOff>
      <xdr:row>54</xdr:row>
      <xdr:rowOff>85725</xdr:rowOff>
    </xdr:to>
    <xdr:graphicFrame macro="">
      <xdr:nvGraphicFramePr>
        <xdr:cNvPr id="8" name="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171450</xdr:colOff>
      <xdr:row>62</xdr:row>
      <xdr:rowOff>28575</xdr:rowOff>
    </xdr:from>
    <xdr:to>
      <xdr:col>28</xdr:col>
      <xdr:colOff>609600</xdr:colOff>
      <xdr:row>76</xdr:row>
      <xdr:rowOff>104775</xdr:rowOff>
    </xdr:to>
    <xdr:graphicFrame macro="">
      <xdr:nvGraphicFramePr>
        <xdr:cNvPr id="9" name="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180975</xdr:colOff>
      <xdr:row>62</xdr:row>
      <xdr:rowOff>9525</xdr:rowOff>
    </xdr:from>
    <xdr:to>
      <xdr:col>42</xdr:col>
      <xdr:colOff>342900</xdr:colOff>
      <xdr:row>76</xdr:row>
      <xdr:rowOff>85725</xdr:rowOff>
    </xdr:to>
    <xdr:graphicFrame macro="">
      <xdr:nvGraphicFramePr>
        <xdr:cNvPr id="10" name="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171450</xdr:colOff>
      <xdr:row>84</xdr:row>
      <xdr:rowOff>28575</xdr:rowOff>
    </xdr:from>
    <xdr:to>
      <xdr:col>28</xdr:col>
      <xdr:colOff>609600</xdr:colOff>
      <xdr:row>98</xdr:row>
      <xdr:rowOff>104775</xdr:rowOff>
    </xdr:to>
    <xdr:graphicFrame macro="">
      <xdr:nvGraphicFramePr>
        <xdr:cNvPr id="11" name="1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180975</xdr:colOff>
      <xdr:row>84</xdr:row>
      <xdr:rowOff>9525</xdr:rowOff>
    </xdr:from>
    <xdr:to>
      <xdr:col>42</xdr:col>
      <xdr:colOff>342900</xdr:colOff>
      <xdr:row>98</xdr:row>
      <xdr:rowOff>85725</xdr:rowOff>
    </xdr:to>
    <xdr:graphicFrame macro="">
      <xdr:nvGraphicFramePr>
        <xdr:cNvPr id="12" name="1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171450</xdr:colOff>
      <xdr:row>106</xdr:row>
      <xdr:rowOff>28575</xdr:rowOff>
    </xdr:from>
    <xdr:to>
      <xdr:col>28</xdr:col>
      <xdr:colOff>609600</xdr:colOff>
      <xdr:row>120</xdr:row>
      <xdr:rowOff>104775</xdr:rowOff>
    </xdr:to>
    <xdr:graphicFrame macro="">
      <xdr:nvGraphicFramePr>
        <xdr:cNvPr id="13" name="1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180975</xdr:colOff>
      <xdr:row>106</xdr:row>
      <xdr:rowOff>9525</xdr:rowOff>
    </xdr:from>
    <xdr:to>
      <xdr:col>42</xdr:col>
      <xdr:colOff>342900</xdr:colOff>
      <xdr:row>120</xdr:row>
      <xdr:rowOff>85725</xdr:rowOff>
    </xdr:to>
    <xdr:graphicFrame macro="">
      <xdr:nvGraphicFramePr>
        <xdr:cNvPr id="14" name="1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171450</xdr:colOff>
      <xdr:row>128</xdr:row>
      <xdr:rowOff>28575</xdr:rowOff>
    </xdr:from>
    <xdr:to>
      <xdr:col>28</xdr:col>
      <xdr:colOff>609600</xdr:colOff>
      <xdr:row>142</xdr:row>
      <xdr:rowOff>104775</xdr:rowOff>
    </xdr:to>
    <xdr:graphicFrame macro="">
      <xdr:nvGraphicFramePr>
        <xdr:cNvPr id="15" name="1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34</xdr:col>
      <xdr:colOff>180975</xdr:colOff>
      <xdr:row>128</xdr:row>
      <xdr:rowOff>9525</xdr:rowOff>
    </xdr:from>
    <xdr:to>
      <xdr:col>42</xdr:col>
      <xdr:colOff>342900</xdr:colOff>
      <xdr:row>142</xdr:row>
      <xdr:rowOff>85725</xdr:rowOff>
    </xdr:to>
    <xdr:graphicFrame macro="">
      <xdr:nvGraphicFramePr>
        <xdr:cNvPr id="16" name="1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171450</xdr:colOff>
      <xdr:row>150</xdr:row>
      <xdr:rowOff>28575</xdr:rowOff>
    </xdr:from>
    <xdr:to>
      <xdr:col>28</xdr:col>
      <xdr:colOff>609600</xdr:colOff>
      <xdr:row>164</xdr:row>
      <xdr:rowOff>104775</xdr:rowOff>
    </xdr:to>
    <xdr:graphicFrame macro="">
      <xdr:nvGraphicFramePr>
        <xdr:cNvPr id="17" name="1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180975</xdr:colOff>
      <xdr:row>150</xdr:row>
      <xdr:rowOff>9525</xdr:rowOff>
    </xdr:from>
    <xdr:to>
      <xdr:col>42</xdr:col>
      <xdr:colOff>342900</xdr:colOff>
      <xdr:row>164</xdr:row>
      <xdr:rowOff>85725</xdr:rowOff>
    </xdr:to>
    <xdr:graphicFrame macro="">
      <xdr:nvGraphicFramePr>
        <xdr:cNvPr id="18" name="17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171450</xdr:colOff>
      <xdr:row>172</xdr:row>
      <xdr:rowOff>28575</xdr:rowOff>
    </xdr:from>
    <xdr:to>
      <xdr:col>28</xdr:col>
      <xdr:colOff>609600</xdr:colOff>
      <xdr:row>186</xdr:row>
      <xdr:rowOff>104775</xdr:rowOff>
    </xdr:to>
    <xdr:graphicFrame macro="">
      <xdr:nvGraphicFramePr>
        <xdr:cNvPr id="19" name="18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34</xdr:col>
      <xdr:colOff>180975</xdr:colOff>
      <xdr:row>172</xdr:row>
      <xdr:rowOff>9525</xdr:rowOff>
    </xdr:from>
    <xdr:to>
      <xdr:col>42</xdr:col>
      <xdr:colOff>342900</xdr:colOff>
      <xdr:row>186</xdr:row>
      <xdr:rowOff>85725</xdr:rowOff>
    </xdr:to>
    <xdr:graphicFrame macro="">
      <xdr:nvGraphicFramePr>
        <xdr:cNvPr id="20" name="19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22</xdr:col>
      <xdr:colOff>171450</xdr:colOff>
      <xdr:row>194</xdr:row>
      <xdr:rowOff>28575</xdr:rowOff>
    </xdr:from>
    <xdr:to>
      <xdr:col>28</xdr:col>
      <xdr:colOff>609600</xdr:colOff>
      <xdr:row>208</xdr:row>
      <xdr:rowOff>104775</xdr:rowOff>
    </xdr:to>
    <xdr:graphicFrame macro="">
      <xdr:nvGraphicFramePr>
        <xdr:cNvPr id="21" name="20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34</xdr:col>
      <xdr:colOff>180975</xdr:colOff>
      <xdr:row>194</xdr:row>
      <xdr:rowOff>9525</xdr:rowOff>
    </xdr:from>
    <xdr:to>
      <xdr:col>42</xdr:col>
      <xdr:colOff>342900</xdr:colOff>
      <xdr:row>208</xdr:row>
      <xdr:rowOff>85725</xdr:rowOff>
    </xdr:to>
    <xdr:graphicFrame macro="">
      <xdr:nvGraphicFramePr>
        <xdr:cNvPr id="22" name="2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Katty/Plan%20de%20tabulaciones/Monograf&#236;as/Modelo/Libro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_epadem10\proyecci&#243;n%20e\Municipios%201990_2000\Municipios%20listos\Anz_mun200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EN90PU5"/>
      <sheetName val="CEN90PU6"/>
      <sheetName val="CEN90PU7"/>
      <sheetName val="C3 POB POR SEXO"/>
      <sheetName val="CEN90PU8"/>
      <sheetName val="CEN90PU9"/>
      <sheetName val="CE90PU16"/>
      <sheetName val="CE90PU25"/>
      <sheetName val="CE90PU26"/>
      <sheetName val="CE90PU28"/>
      <sheetName val="C1 EVOLUCIÓN 1936 - 200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iferencia (3)"/>
      <sheetName val="Factor"/>
      <sheetName val="Diferencia"/>
      <sheetName val="Anzoategui suma"/>
      <sheetName val="Anaco"/>
      <sheetName val="Aragua"/>
      <sheetName val="FernandodePeñalver"/>
      <sheetName val="FranciscodelCarmenCarvajal"/>
      <sheetName val="FranciscodeMiranda"/>
      <sheetName val="Guanta"/>
      <sheetName val="Independencia"/>
      <sheetName val="JuanAntonioSotillo"/>
      <sheetName val="JuanManuelCajigal"/>
      <sheetName val="JoseGregorioMonagas"/>
      <sheetName val="Libertad"/>
      <sheetName val="ManuelEzequielBruzual"/>
      <sheetName val="PedroMariaFreites"/>
      <sheetName val="Piritu"/>
      <sheetName val="SanJosedeGuanipa"/>
      <sheetName val="SanJuandeCapistrano"/>
      <sheetName val="SantaAna"/>
      <sheetName val="SimonBolivar"/>
      <sheetName val="SimonRodriguez"/>
      <sheetName val="SirArthurMacGregor"/>
      <sheetName val="DiegoBautistaUrbaneja"/>
      <sheetName val="Diferencia (2)"/>
      <sheetName val="Anzoategui"/>
      <sheetName val="Anzoategui suma (2)"/>
      <sheetName val="Anaco (2)"/>
      <sheetName val="Aragua (2)"/>
      <sheetName val="Fernando de Peñalver (2)"/>
      <sheetName val="Francisco del Carmen Carvaj (2)"/>
      <sheetName val="Francisco de Miranda (2)"/>
      <sheetName val="Guanta (2)"/>
      <sheetName val="Independencia (2)"/>
      <sheetName val="Juan Antonio Sotillo (2)"/>
      <sheetName val="Juan Manuel Cajigal (2)"/>
      <sheetName val="Jose Gregorio Monagas (2)"/>
      <sheetName val="Libertad (2)"/>
      <sheetName val="Manuel Ezequiel Bruzual (2)"/>
      <sheetName val="Hoja1 (2)"/>
      <sheetName val="Pedro Maria Freites (2)"/>
      <sheetName val="Piritu (2)"/>
      <sheetName val="San Jose de Guanipa (2)"/>
      <sheetName val="San Juan de Capistrano (2)"/>
      <sheetName val="Santa Ana (2)"/>
      <sheetName val="Simon Bolivar (3)"/>
      <sheetName val="Simon Bolivar (2)"/>
      <sheetName val="Simon Rodriguez (2)"/>
      <sheetName val=" Sir Arthur Mac Gregor (2)"/>
      <sheetName val=" Diego Bautista Urbaneja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gelc" refreshedDate="41722.321923726849" createdVersion="3" refreshedVersion="3" minRefreshableVersion="3" recordCount="192">
  <cacheSource type="worksheet">
    <worksheetSource ref="K1:O196" sheet="Población"/>
  </cacheSource>
  <cacheFields count="5">
    <cacheField name="Año" numFmtId="164">
      <sharedItems containsSemiMixedTypes="0" containsString="0" containsNumber="1" containsInteger="1" minValue="1926" maxValue="2011" count="10">
        <n v="1926"/>
        <n v="1936"/>
        <n v="1941"/>
        <n v="1950"/>
        <n v="1961"/>
        <n v="1971"/>
        <n v="1981"/>
        <n v="1990"/>
        <n v="2001"/>
        <n v="2011"/>
      </sharedItems>
    </cacheField>
    <cacheField name="Total" numFmtId="0">
      <sharedItems containsSemiMixedTypes="0" containsString="0" containsNumber="1" containsInteger="1" minValue="8079" maxValue="27227930"/>
    </cacheField>
    <cacheField name="Grupo  de edad " numFmtId="0">
      <sharedItems count="23">
        <s v="Total"/>
        <s v="00 - 04"/>
        <s v="05 - 09"/>
        <s v="10 - 14"/>
        <s v="15 - 19"/>
        <s v="20 - 24"/>
        <s v="25 - 29"/>
        <s v="30 - 34"/>
        <s v="35 - 39"/>
        <s v="40 - 44"/>
        <s v="45 - 49"/>
        <s v="50 - 54"/>
        <s v="55 - 59"/>
        <s v="60 - 64"/>
        <s v="65 - 69"/>
        <s v="70 - 74"/>
        <s v="75 - 79"/>
        <s v="80 - 84"/>
        <s v="85 y más"/>
        <s v="90 y más"/>
        <s v="85 - 89"/>
        <s v="90 - 94 "/>
        <s v="95 y más"/>
      </sharedItems>
    </cacheField>
    <cacheField name="Hombres" numFmtId="0">
      <sharedItems containsSemiMixedTypes="0" containsString="0" containsNumber="1" containsInteger="1" minValue="3407" maxValue="13549752"/>
    </cacheField>
    <cacheField name="Mujeres" numFmtId="0">
      <sharedItems containsSemiMixedTypes="0" containsString="0" containsNumber="1" containsInteger="1" minValue="3401" maxValue="1367817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2">
  <r>
    <x v="0"/>
    <n v="2890720"/>
    <x v="0"/>
    <n v="1414590"/>
    <n v="1476130"/>
  </r>
  <r>
    <x v="0"/>
    <n v="383236"/>
    <x v="1"/>
    <n v="192264"/>
    <n v="190972"/>
  </r>
  <r>
    <x v="0"/>
    <n v="338372"/>
    <x v="2"/>
    <n v="172610"/>
    <n v="165762"/>
  </r>
  <r>
    <x v="0"/>
    <n v="326781"/>
    <x v="3"/>
    <n v="168508"/>
    <n v="158273"/>
  </r>
  <r>
    <x v="0"/>
    <n v="309247"/>
    <x v="4"/>
    <n v="148420"/>
    <n v="160827"/>
  </r>
  <r>
    <x v="0"/>
    <n v="273599"/>
    <x v="5"/>
    <n v="130616"/>
    <n v="142983"/>
  </r>
  <r>
    <x v="0"/>
    <n v="252367"/>
    <x v="6"/>
    <n v="119159"/>
    <n v="133208"/>
  </r>
  <r>
    <x v="0"/>
    <n v="216612"/>
    <x v="7"/>
    <n v="102748"/>
    <n v="113864"/>
  </r>
  <r>
    <x v="0"/>
    <n v="167592"/>
    <x v="8"/>
    <n v="80202"/>
    <n v="87390"/>
  </r>
  <r>
    <x v="0"/>
    <n v="150735"/>
    <x v="9"/>
    <n v="71605"/>
    <n v="79130"/>
  </r>
  <r>
    <x v="0"/>
    <n v="106915"/>
    <x v="10"/>
    <n v="54991"/>
    <n v="51924"/>
  </r>
  <r>
    <x v="0"/>
    <n v="98705"/>
    <x v="11"/>
    <n v="47993"/>
    <n v="50712"/>
  </r>
  <r>
    <x v="0"/>
    <n v="46357"/>
    <x v="12"/>
    <n v="23661"/>
    <n v="22696"/>
  </r>
  <r>
    <x v="0"/>
    <n v="47801"/>
    <x v="13"/>
    <n v="21794"/>
    <n v="26007"/>
  </r>
  <r>
    <x v="0"/>
    <n v="24676"/>
    <x v="14"/>
    <n v="11530"/>
    <n v="13146"/>
  </r>
  <r>
    <x v="0"/>
    <n v="20515"/>
    <x v="15"/>
    <n v="8712"/>
    <n v="11803"/>
  </r>
  <r>
    <x v="0"/>
    <n v="11516"/>
    <x v="16"/>
    <n v="5228"/>
    <n v="6288"/>
  </r>
  <r>
    <x v="0"/>
    <n v="9880"/>
    <x v="17"/>
    <n v="3869"/>
    <n v="6011"/>
  </r>
  <r>
    <x v="0"/>
    <n v="105814"/>
    <x v="18"/>
    <n v="50680"/>
    <n v="55134"/>
  </r>
  <r>
    <x v="1"/>
    <n v="3364347"/>
    <x v="0"/>
    <n v="1652130"/>
    <n v="1712217"/>
  </r>
  <r>
    <x v="1"/>
    <n v="473628"/>
    <x v="1"/>
    <n v="240120"/>
    <n v="233508"/>
  </r>
  <r>
    <x v="1"/>
    <n v="471508"/>
    <x v="2"/>
    <n v="241375"/>
    <n v="230133"/>
  </r>
  <r>
    <x v="1"/>
    <n v="412115"/>
    <x v="3"/>
    <n v="214908"/>
    <n v="197207"/>
  </r>
  <r>
    <x v="1"/>
    <n v="349040"/>
    <x v="4"/>
    <n v="164434"/>
    <n v="184606"/>
  </r>
  <r>
    <x v="1"/>
    <n v="333070"/>
    <x v="5"/>
    <n v="158839"/>
    <n v="174231"/>
  </r>
  <r>
    <x v="1"/>
    <n v="285065"/>
    <x v="6"/>
    <n v="135653"/>
    <n v="149412"/>
  </r>
  <r>
    <x v="1"/>
    <n v="217779"/>
    <x v="7"/>
    <n v="104115"/>
    <n v="113664"/>
  </r>
  <r>
    <x v="1"/>
    <n v="200191"/>
    <x v="8"/>
    <n v="98195"/>
    <n v="101996"/>
  </r>
  <r>
    <x v="1"/>
    <n v="168589"/>
    <x v="9"/>
    <n v="80264"/>
    <n v="88325"/>
  </r>
  <r>
    <x v="1"/>
    <n v="125202"/>
    <x v="10"/>
    <n v="65393"/>
    <n v="59809"/>
  </r>
  <r>
    <x v="1"/>
    <n v="111159"/>
    <x v="11"/>
    <n v="52251"/>
    <n v="58908"/>
  </r>
  <r>
    <x v="1"/>
    <n v="65039"/>
    <x v="12"/>
    <n v="32890"/>
    <n v="32149"/>
  </r>
  <r>
    <x v="1"/>
    <n v="66708"/>
    <x v="13"/>
    <n v="28734"/>
    <n v="37974"/>
  </r>
  <r>
    <x v="1"/>
    <n v="29652"/>
    <x v="14"/>
    <n v="13591"/>
    <n v="16061"/>
  </r>
  <r>
    <x v="1"/>
    <n v="23248"/>
    <x v="15"/>
    <n v="9200"/>
    <n v="14048"/>
  </r>
  <r>
    <x v="1"/>
    <n v="10926"/>
    <x v="16"/>
    <n v="4498"/>
    <n v="6428"/>
  </r>
  <r>
    <x v="1"/>
    <n v="10202"/>
    <x v="17"/>
    <n v="3407"/>
    <n v="6795"/>
  </r>
  <r>
    <x v="1"/>
    <n v="11226"/>
    <x v="18"/>
    <n v="4263"/>
    <n v="6963"/>
  </r>
  <r>
    <x v="2"/>
    <n v="3850771"/>
    <x v="0"/>
    <n v="1908545"/>
    <n v="1942226"/>
  </r>
  <r>
    <x v="2"/>
    <n v="577993"/>
    <x v="1"/>
    <n v="292473"/>
    <n v="285520"/>
  </r>
  <r>
    <x v="2"/>
    <n v="522646"/>
    <x v="2"/>
    <n v="266753"/>
    <n v="255893"/>
  </r>
  <r>
    <x v="2"/>
    <n v="473152"/>
    <x v="3"/>
    <n v="246333"/>
    <n v="226819"/>
  </r>
  <r>
    <x v="2"/>
    <n v="402521"/>
    <x v="4"/>
    <n v="190892"/>
    <n v="211629"/>
  </r>
  <r>
    <x v="2"/>
    <n v="373287"/>
    <x v="5"/>
    <n v="182714"/>
    <n v="190573"/>
  </r>
  <r>
    <x v="2"/>
    <n v="321653"/>
    <x v="6"/>
    <n v="154307"/>
    <n v="167346"/>
  </r>
  <r>
    <x v="2"/>
    <n v="251468"/>
    <x v="7"/>
    <n v="124440"/>
    <n v="127028"/>
  </r>
  <r>
    <x v="2"/>
    <n v="215279"/>
    <x v="8"/>
    <n v="106042"/>
    <n v="109237"/>
  </r>
  <r>
    <x v="2"/>
    <n v="190461"/>
    <x v="9"/>
    <n v="93873"/>
    <n v="96588"/>
  </r>
  <r>
    <x v="2"/>
    <n v="152074"/>
    <x v="10"/>
    <n v="79815"/>
    <n v="72259"/>
  </r>
  <r>
    <x v="2"/>
    <n v="118307"/>
    <x v="11"/>
    <n v="57600"/>
    <n v="60707"/>
  </r>
  <r>
    <x v="2"/>
    <n v="76601"/>
    <x v="12"/>
    <n v="38303"/>
    <n v="38298"/>
  </r>
  <r>
    <x v="2"/>
    <n v="72612"/>
    <x v="13"/>
    <n v="31757"/>
    <n v="40855"/>
  </r>
  <r>
    <x v="2"/>
    <n v="35252"/>
    <x v="14"/>
    <n v="16089"/>
    <n v="19163"/>
  </r>
  <r>
    <x v="2"/>
    <n v="26920"/>
    <x v="15"/>
    <n v="10478"/>
    <n v="16442"/>
  </r>
  <r>
    <x v="2"/>
    <n v="13459"/>
    <x v="16"/>
    <n v="5521"/>
    <n v="7938"/>
  </r>
  <r>
    <x v="2"/>
    <n v="11503"/>
    <x v="17"/>
    <n v="4079"/>
    <n v="7424"/>
  </r>
  <r>
    <x v="2"/>
    <n v="15583"/>
    <x v="18"/>
    <n v="7076"/>
    <n v="8507"/>
  </r>
  <r>
    <x v="3"/>
    <n v="5034838"/>
    <x v="0"/>
    <n v="2552491"/>
    <n v="2482347"/>
  </r>
  <r>
    <x v="3"/>
    <n v="847748"/>
    <x v="1"/>
    <n v="432681"/>
    <n v="415067"/>
  </r>
  <r>
    <x v="3"/>
    <n v="687318"/>
    <x v="2"/>
    <n v="352758"/>
    <n v="334560"/>
  </r>
  <r>
    <x v="3"/>
    <n v="574722"/>
    <x v="3"/>
    <n v="298518"/>
    <n v="276204"/>
  </r>
  <r>
    <x v="3"/>
    <n v="496566"/>
    <x v="4"/>
    <n v="244191"/>
    <n v="252375"/>
  </r>
  <r>
    <x v="3"/>
    <n v="473748"/>
    <x v="5"/>
    <n v="236133"/>
    <n v="237615"/>
  </r>
  <r>
    <x v="3"/>
    <n v="400614"/>
    <x v="6"/>
    <n v="202418"/>
    <n v="198196"/>
  </r>
  <r>
    <x v="3"/>
    <n v="327613"/>
    <x v="7"/>
    <n v="170176"/>
    <n v="157437"/>
  </r>
  <r>
    <x v="3"/>
    <n v="301543"/>
    <x v="8"/>
    <n v="156330"/>
    <n v="145213"/>
  </r>
  <r>
    <x v="3"/>
    <n v="239608"/>
    <x v="9"/>
    <n v="124964"/>
    <n v="114644"/>
  </r>
  <r>
    <x v="3"/>
    <n v="184768"/>
    <x v="10"/>
    <n v="97832"/>
    <n v="86936"/>
  </r>
  <r>
    <x v="3"/>
    <n v="164736"/>
    <x v="11"/>
    <n v="82619"/>
    <n v="82117"/>
  </r>
  <r>
    <x v="3"/>
    <n v="101879"/>
    <x v="12"/>
    <n v="52359"/>
    <n v="49520"/>
  </r>
  <r>
    <x v="3"/>
    <n v="92466"/>
    <x v="13"/>
    <n v="41518"/>
    <n v="50948"/>
  </r>
  <r>
    <x v="3"/>
    <n v="47919"/>
    <x v="14"/>
    <n v="22025"/>
    <n v="25894"/>
  </r>
  <r>
    <x v="3"/>
    <n v="38280"/>
    <x v="15"/>
    <n v="15491"/>
    <n v="22789"/>
  </r>
  <r>
    <x v="3"/>
    <n v="18798"/>
    <x v="16"/>
    <n v="7802"/>
    <n v="10996"/>
  </r>
  <r>
    <x v="3"/>
    <n v="16560"/>
    <x v="17"/>
    <n v="5873"/>
    <n v="10687"/>
  </r>
  <r>
    <x v="3"/>
    <n v="11873"/>
    <x v="18"/>
    <n v="4125"/>
    <n v="7748"/>
  </r>
  <r>
    <x v="3"/>
    <n v="8079"/>
    <x v="19"/>
    <n v="4678"/>
    <n v="3401"/>
  </r>
  <r>
    <x v="4"/>
    <n v="7523999"/>
    <x v="0"/>
    <n v="3821722"/>
    <n v="3702277"/>
  </r>
  <r>
    <x v="4"/>
    <n v="1374096"/>
    <x v="1"/>
    <n v="698316"/>
    <n v="675780"/>
  </r>
  <r>
    <x v="4"/>
    <n v="1163320"/>
    <x v="2"/>
    <n v="591273"/>
    <n v="572047"/>
  </r>
  <r>
    <x v="4"/>
    <n v="901881"/>
    <x v="3"/>
    <n v="458372"/>
    <n v="443509"/>
  </r>
  <r>
    <x v="4"/>
    <n v="679636"/>
    <x v="4"/>
    <n v="340465"/>
    <n v="339171"/>
  </r>
  <r>
    <x v="4"/>
    <n v="618411"/>
    <x v="5"/>
    <n v="311678"/>
    <n v="306733"/>
  </r>
  <r>
    <x v="4"/>
    <n v="550882"/>
    <x v="6"/>
    <n v="283008"/>
    <n v="267874"/>
  </r>
  <r>
    <x v="4"/>
    <n v="502697"/>
    <x v="7"/>
    <n v="264861"/>
    <n v="237836"/>
  </r>
  <r>
    <x v="4"/>
    <n v="405172"/>
    <x v="8"/>
    <n v="210638"/>
    <n v="194534"/>
  </r>
  <r>
    <x v="4"/>
    <n v="331587"/>
    <x v="9"/>
    <n v="174323"/>
    <n v="157264"/>
  </r>
  <r>
    <x v="4"/>
    <n v="280801"/>
    <x v="10"/>
    <n v="146041"/>
    <n v="134760"/>
  </r>
  <r>
    <x v="4"/>
    <n v="218773"/>
    <x v="11"/>
    <n v="112531"/>
    <n v="106242"/>
  </r>
  <r>
    <x v="4"/>
    <n v="167309"/>
    <x v="12"/>
    <n v="84211"/>
    <n v="83098"/>
  </r>
  <r>
    <x v="4"/>
    <n v="131714"/>
    <x v="13"/>
    <n v="62356"/>
    <n v="69358"/>
  </r>
  <r>
    <x v="4"/>
    <n v="77722"/>
    <x v="14"/>
    <n v="36152"/>
    <n v="41570"/>
  </r>
  <r>
    <x v="4"/>
    <n v="51015"/>
    <x v="15"/>
    <n v="21657"/>
    <n v="29358"/>
  </r>
  <r>
    <x v="4"/>
    <n v="30949"/>
    <x v="16"/>
    <n v="12601"/>
    <n v="18348"/>
  </r>
  <r>
    <x v="4"/>
    <n v="20732"/>
    <x v="17"/>
    <n v="7431"/>
    <n v="13301"/>
  </r>
  <r>
    <x v="4"/>
    <n v="17302"/>
    <x v="18"/>
    <n v="5808"/>
    <n v="11494"/>
  </r>
  <r>
    <x v="5"/>
    <n v="10721522"/>
    <x v="0"/>
    <n v="5357157"/>
    <n v="5364365"/>
  </r>
  <r>
    <x v="5"/>
    <n v="1734538"/>
    <x v="1"/>
    <n v="878007"/>
    <n v="856531"/>
  </r>
  <r>
    <x v="5"/>
    <n v="1655032"/>
    <x v="2"/>
    <n v="851071"/>
    <n v="803961"/>
  </r>
  <r>
    <x v="5"/>
    <n v="1455861"/>
    <x v="3"/>
    <n v="728788"/>
    <n v="727073"/>
  </r>
  <r>
    <x v="5"/>
    <n v="1227697"/>
    <x v="4"/>
    <n v="601038"/>
    <n v="626659"/>
  </r>
  <r>
    <x v="5"/>
    <n v="954413"/>
    <x v="5"/>
    <n v="464191"/>
    <n v="490222"/>
  </r>
  <r>
    <x v="5"/>
    <n v="693185"/>
    <x v="6"/>
    <n v="336538"/>
    <n v="356647"/>
  </r>
  <r>
    <x v="5"/>
    <n v="582976"/>
    <x v="7"/>
    <n v="290210"/>
    <n v="292766"/>
  </r>
  <r>
    <x v="5"/>
    <n v="537496"/>
    <x v="8"/>
    <n v="269941"/>
    <n v="267555"/>
  </r>
  <r>
    <x v="5"/>
    <n v="468590"/>
    <x v="9"/>
    <n v="242951"/>
    <n v="225639"/>
  </r>
  <r>
    <x v="5"/>
    <n v="371042"/>
    <x v="10"/>
    <n v="191292"/>
    <n v="179750"/>
  </r>
  <r>
    <x v="5"/>
    <n v="303520"/>
    <x v="11"/>
    <n v="153806"/>
    <n v="149714"/>
  </r>
  <r>
    <x v="5"/>
    <n v="231769"/>
    <x v="12"/>
    <n v="115284"/>
    <n v="116485"/>
  </r>
  <r>
    <x v="5"/>
    <n v="189970"/>
    <x v="13"/>
    <n v="93197"/>
    <n v="96773"/>
  </r>
  <r>
    <x v="5"/>
    <n v="119823"/>
    <x v="14"/>
    <n v="57256"/>
    <n v="62567"/>
  </r>
  <r>
    <x v="5"/>
    <n v="88397"/>
    <x v="15"/>
    <n v="40723"/>
    <n v="47674"/>
  </r>
  <r>
    <x v="5"/>
    <n v="45799"/>
    <x v="16"/>
    <n v="19900"/>
    <n v="25899"/>
  </r>
  <r>
    <x v="5"/>
    <n v="31850"/>
    <x v="17"/>
    <n v="12470"/>
    <n v="19380"/>
  </r>
  <r>
    <x v="5"/>
    <n v="29564"/>
    <x v="18"/>
    <n v="10494"/>
    <n v="19070"/>
  </r>
  <r>
    <x v="6"/>
    <n v="14516735"/>
    <x v="0"/>
    <n v="7259812"/>
    <n v="7256923"/>
  </r>
  <r>
    <x v="6"/>
    <n v="2098639"/>
    <x v="1"/>
    <n v="1066796"/>
    <n v="1031843"/>
  </r>
  <r>
    <x v="6"/>
    <n v="1906047"/>
    <x v="2"/>
    <n v="966393"/>
    <n v="939654"/>
  </r>
  <r>
    <x v="6"/>
    <n v="1792583"/>
    <x v="3"/>
    <n v="903908"/>
    <n v="888675"/>
  </r>
  <r>
    <x v="6"/>
    <n v="1646343"/>
    <x v="4"/>
    <n v="822575"/>
    <n v="823768"/>
  </r>
  <r>
    <x v="6"/>
    <n v="1449072"/>
    <x v="5"/>
    <n v="716784"/>
    <n v="732288"/>
  </r>
  <r>
    <x v="6"/>
    <n v="1236929"/>
    <x v="6"/>
    <n v="610993"/>
    <n v="625936"/>
  </r>
  <r>
    <x v="6"/>
    <n v="986766"/>
    <x v="7"/>
    <n v="492405"/>
    <n v="494361"/>
  </r>
  <r>
    <x v="6"/>
    <n v="727764"/>
    <x v="8"/>
    <n v="363267"/>
    <n v="364497"/>
  </r>
  <r>
    <x v="6"/>
    <n v="601705"/>
    <x v="9"/>
    <n v="303292"/>
    <n v="298413"/>
  </r>
  <r>
    <x v="6"/>
    <n v="512503"/>
    <x v="10"/>
    <n v="258065"/>
    <n v="254438"/>
  </r>
  <r>
    <x v="6"/>
    <n v="445765"/>
    <x v="11"/>
    <n v="225406"/>
    <n v="220359"/>
  </r>
  <r>
    <x v="6"/>
    <n v="340139"/>
    <x v="12"/>
    <n v="170190"/>
    <n v="169949"/>
  </r>
  <r>
    <x v="6"/>
    <n v="260896"/>
    <x v="13"/>
    <n v="127759"/>
    <n v="133137"/>
  </r>
  <r>
    <x v="6"/>
    <n v="194759"/>
    <x v="14"/>
    <n v="92020"/>
    <n v="102739"/>
  </r>
  <r>
    <x v="6"/>
    <n v="138384"/>
    <x v="15"/>
    <n v="63663"/>
    <n v="74721"/>
  </r>
  <r>
    <x v="6"/>
    <n v="85354"/>
    <x v="16"/>
    <n v="38076"/>
    <n v="47278"/>
  </r>
  <r>
    <x v="6"/>
    <n v="93087"/>
    <x v="17"/>
    <n v="38220"/>
    <n v="54867"/>
  </r>
  <r>
    <x v="7"/>
    <n v="18105265"/>
    <x v="0"/>
    <n v="9019757"/>
    <n v="9085508"/>
  </r>
  <r>
    <x v="7"/>
    <n v="2343059"/>
    <x v="1"/>
    <n v="1194896"/>
    <n v="1148163"/>
  </r>
  <r>
    <x v="7"/>
    <n v="2253798"/>
    <x v="2"/>
    <n v="1146087"/>
    <n v="1107711"/>
  </r>
  <r>
    <x v="7"/>
    <n v="2146994"/>
    <x v="3"/>
    <n v="1087702"/>
    <n v="1059292"/>
  </r>
  <r>
    <x v="7"/>
    <n v="1922514"/>
    <x v="4"/>
    <n v="968497"/>
    <n v="954017"/>
  </r>
  <r>
    <x v="7"/>
    <n v="1725187"/>
    <x v="5"/>
    <n v="858225"/>
    <n v="866962"/>
  </r>
  <r>
    <x v="7"/>
    <n v="1569542"/>
    <x v="6"/>
    <n v="772081"/>
    <n v="797461"/>
  </r>
  <r>
    <x v="7"/>
    <n v="1366694"/>
    <x v="7"/>
    <n v="671020"/>
    <n v="695674"/>
  </r>
  <r>
    <x v="7"/>
    <n v="1163580"/>
    <x v="8"/>
    <n v="570519"/>
    <n v="593061"/>
  </r>
  <r>
    <x v="7"/>
    <n v="887884"/>
    <x v="9"/>
    <n v="437768"/>
    <n v="450116"/>
  </r>
  <r>
    <x v="7"/>
    <n v="644217"/>
    <x v="10"/>
    <n v="318990"/>
    <n v="325227"/>
  </r>
  <r>
    <x v="7"/>
    <n v="544860"/>
    <x v="11"/>
    <n v="268059"/>
    <n v="276801"/>
  </r>
  <r>
    <x v="7"/>
    <n v="435339"/>
    <x v="12"/>
    <n v="213658"/>
    <n v="221681"/>
  </r>
  <r>
    <x v="7"/>
    <n v="375538"/>
    <x v="13"/>
    <n v="182223"/>
    <n v="193315"/>
  </r>
  <r>
    <x v="7"/>
    <n v="258785"/>
    <x v="14"/>
    <n v="122834"/>
    <n v="135951"/>
  </r>
  <r>
    <x v="7"/>
    <n v="191662"/>
    <x v="15"/>
    <n v="88974"/>
    <n v="102688"/>
  </r>
  <r>
    <x v="7"/>
    <n v="130782"/>
    <x v="16"/>
    <n v="57796"/>
    <n v="72986"/>
  </r>
  <r>
    <x v="7"/>
    <n v="87978"/>
    <x v="17"/>
    <n v="37974"/>
    <n v="50004"/>
  </r>
  <r>
    <x v="7"/>
    <n v="56852"/>
    <x v="18"/>
    <n v="22454"/>
    <n v="34398"/>
  </r>
  <r>
    <x v="8"/>
    <n v="23232553"/>
    <x v="0"/>
    <n v="11495270"/>
    <n v="11737283"/>
  </r>
  <r>
    <x v="8"/>
    <n v="2501894"/>
    <x v="1"/>
    <n v="1282639"/>
    <n v="1219255"/>
  </r>
  <r>
    <x v="8"/>
    <n v="2680308"/>
    <x v="2"/>
    <n v="1367727"/>
    <n v="1312581"/>
  </r>
  <r>
    <x v="8"/>
    <n v="2535766"/>
    <x v="3"/>
    <n v="1281342"/>
    <n v="1254424"/>
  </r>
  <r>
    <x v="8"/>
    <n v="2319853"/>
    <x v="4"/>
    <n v="1164429"/>
    <n v="1155424"/>
  </r>
  <r>
    <x v="8"/>
    <n v="2185621"/>
    <x v="5"/>
    <n v="1080653"/>
    <n v="1104968"/>
  </r>
  <r>
    <x v="8"/>
    <n v="1888838"/>
    <x v="6"/>
    <n v="924446"/>
    <n v="964392"/>
  </r>
  <r>
    <x v="8"/>
    <n v="1762621"/>
    <x v="7"/>
    <n v="863034"/>
    <n v="899587"/>
  </r>
  <r>
    <x v="8"/>
    <n v="1593742"/>
    <x v="8"/>
    <n v="772881"/>
    <n v="820861"/>
  </r>
  <r>
    <x v="8"/>
    <n v="1428506"/>
    <x v="9"/>
    <n v="695516"/>
    <n v="732990"/>
  </r>
  <r>
    <x v="8"/>
    <n v="1159743"/>
    <x v="10"/>
    <n v="564987"/>
    <n v="594756"/>
  </r>
  <r>
    <x v="8"/>
    <n v="925449"/>
    <x v="11"/>
    <n v="452112"/>
    <n v="473337"/>
  </r>
  <r>
    <x v="8"/>
    <n v="619029"/>
    <x v="12"/>
    <n v="297806"/>
    <n v="321223"/>
  </r>
  <r>
    <x v="8"/>
    <n v="503568"/>
    <x v="13"/>
    <n v="240296"/>
    <n v="263272"/>
  </r>
  <r>
    <x v="8"/>
    <n v="383306"/>
    <x v="14"/>
    <n v="178264"/>
    <n v="205042"/>
  </r>
  <r>
    <x v="8"/>
    <n v="304303"/>
    <x v="15"/>
    <n v="140060"/>
    <n v="164243"/>
  </r>
  <r>
    <x v="8"/>
    <n v="206737"/>
    <x v="16"/>
    <n v="93302"/>
    <n v="113435"/>
  </r>
  <r>
    <x v="8"/>
    <n v="124442"/>
    <x v="17"/>
    <n v="52605"/>
    <n v="71837"/>
  </r>
  <r>
    <x v="8"/>
    <n v="108827"/>
    <x v="18"/>
    <n v="43171"/>
    <n v="65656"/>
  </r>
  <r>
    <x v="9"/>
    <n v="27227930"/>
    <x v="0"/>
    <n v="13549752"/>
    <n v="13678178"/>
  </r>
  <r>
    <x v="9"/>
    <n v="2437631"/>
    <x v="1"/>
    <n v="1254208"/>
    <n v="1183423"/>
  </r>
  <r>
    <x v="9"/>
    <n v="2402364"/>
    <x v="2"/>
    <n v="1236217"/>
    <n v="1166147"/>
  </r>
  <r>
    <x v="9"/>
    <n v="2516779"/>
    <x v="3"/>
    <n v="1298191"/>
    <n v="1218588"/>
  </r>
  <r>
    <x v="9"/>
    <n v="2641320"/>
    <x v="4"/>
    <n v="1336159"/>
    <n v="1305161"/>
  </r>
  <r>
    <x v="9"/>
    <n v="2560649"/>
    <x v="5"/>
    <n v="1280125"/>
    <n v="1280524"/>
  </r>
  <r>
    <x v="9"/>
    <n v="2344332"/>
    <x v="6"/>
    <n v="1159400"/>
    <n v="1184932"/>
  </r>
  <r>
    <x v="9"/>
    <n v="2219741"/>
    <x v="7"/>
    <n v="1105617"/>
    <n v="1114124"/>
  </r>
  <r>
    <x v="9"/>
    <n v="1905253"/>
    <x v="8"/>
    <n v="942311"/>
    <n v="962942"/>
  </r>
  <r>
    <x v="9"/>
    <n v="1755490"/>
    <x v="9"/>
    <n v="873509"/>
    <n v="881981"/>
  </r>
  <r>
    <x v="9"/>
    <n v="1528781"/>
    <x v="10"/>
    <n v="747704"/>
    <n v="781077"/>
  </r>
  <r>
    <x v="9"/>
    <n v="1337934"/>
    <x v="11"/>
    <n v="651255"/>
    <n v="686679"/>
  </r>
  <r>
    <x v="9"/>
    <n v="1108799"/>
    <x v="12"/>
    <n v="530935"/>
    <n v="577864"/>
  </r>
  <r>
    <x v="9"/>
    <n v="848358"/>
    <x v="13"/>
    <n v="407656"/>
    <n v="440702"/>
  </r>
  <r>
    <x v="9"/>
    <n v="568688"/>
    <x v="14"/>
    <n v="267691"/>
    <n v="300997"/>
  </r>
  <r>
    <x v="9"/>
    <n v="410455"/>
    <x v="15"/>
    <n v="189285"/>
    <n v="221170"/>
  </r>
  <r>
    <x v="9"/>
    <n v="292992"/>
    <x v="16"/>
    <n v="130126"/>
    <n v="162866"/>
  </r>
  <r>
    <x v="9"/>
    <n v="188895"/>
    <x v="17"/>
    <n v="78996"/>
    <n v="109899"/>
  </r>
  <r>
    <x v="9"/>
    <n v="104141"/>
    <x v="20"/>
    <n v="40560"/>
    <n v="63581"/>
  </r>
  <r>
    <x v="9"/>
    <n v="40370"/>
    <x v="21"/>
    <n v="14875"/>
    <n v="25495"/>
  </r>
  <r>
    <x v="9"/>
    <n v="14958"/>
    <x v="22"/>
    <n v="4932"/>
    <n v="10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3" applyNumberFormats="0" applyBorderFormats="0" applyFontFormats="0" applyPatternFormats="0" applyAlignmentFormats="0" applyWidthHeightFormats="1" dataCaption="Valores" updatedVersion="3" minRefreshableVersion="3" showCalcMbrs="0" useAutoFormatting="1" itemPrintTitles="1" createdVersion="3" indent="0" outline="1" outlineData="1" multipleFieldFilters="0">
  <location ref="S1:AQ13" firstHeaderRow="1" firstDataRow="2" firstDataCol="1"/>
  <pivotFields count="5">
    <pivotField axis="axisRow" numFmtId="164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axis="axisCol" showAll="0">
      <items count="2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20"/>
        <item x="18"/>
        <item x="21"/>
        <item x="19"/>
        <item x="22"/>
        <item x="0"/>
        <item t="default"/>
      </items>
    </pivotField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colItems>
  <dataFields count="1">
    <dataField name="Suma de Total" fld="1" baseField="0" baseItem="0" numFmtId="164"/>
  </dataFields>
  <formats count="6">
    <format dxfId="5">
      <pivotArea outline="0" collapsedLevelsAreSubtotals="1" fieldPosition="0">
        <references count="1">
          <reference field="2" count="17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4">
      <pivotArea outline="0" collapsedLevelsAreSubtotals="1" fieldPosition="0"/>
    </format>
    <format dxfId="3">
      <pivotArea field="2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V304"/>
  <sheetViews>
    <sheetView showGridLines="0" tabSelected="1" workbookViewId="0">
      <selection activeCell="AD9" sqref="AD9"/>
    </sheetView>
  </sheetViews>
  <sheetFormatPr baseColWidth="10" defaultRowHeight="12.75"/>
  <cols>
    <col min="1" max="8" width="11.5703125" style="39" bestFit="1" customWidth="1"/>
    <col min="9" max="9" width="11.85546875" style="39" bestFit="1" customWidth="1"/>
    <col min="10" max="11" width="11.5703125" style="39" bestFit="1" customWidth="1"/>
    <col min="12" max="12" width="11.85546875" style="39" bestFit="1" customWidth="1"/>
    <col min="13" max="13" width="11.5703125" style="39" bestFit="1" customWidth="1"/>
    <col min="14" max="21" width="11.42578125" style="39"/>
    <col min="22" max="29" width="10.140625" style="39" bestFit="1" customWidth="1"/>
    <col min="30" max="30" width="11.42578125" style="62"/>
    <col min="31" max="256" width="11.42578125" style="39"/>
    <col min="257" max="264" width="11.5703125" style="39" bestFit="1" customWidth="1"/>
    <col min="265" max="265" width="11.85546875" style="39" bestFit="1" customWidth="1"/>
    <col min="266" max="267" width="11.5703125" style="39" bestFit="1" customWidth="1"/>
    <col min="268" max="268" width="11.85546875" style="39" bestFit="1" customWidth="1"/>
    <col min="269" max="269" width="11.5703125" style="39" bestFit="1" customWidth="1"/>
    <col min="270" max="277" width="11.42578125" style="39"/>
    <col min="278" max="285" width="10.140625" style="39" bestFit="1" customWidth="1"/>
    <col min="286" max="512" width="11.42578125" style="39"/>
    <col min="513" max="520" width="11.5703125" style="39" bestFit="1" customWidth="1"/>
    <col min="521" max="521" width="11.85546875" style="39" bestFit="1" customWidth="1"/>
    <col min="522" max="523" width="11.5703125" style="39" bestFit="1" customWidth="1"/>
    <col min="524" max="524" width="11.85546875" style="39" bestFit="1" customWidth="1"/>
    <col min="525" max="525" width="11.5703125" style="39" bestFit="1" customWidth="1"/>
    <col min="526" max="533" width="11.42578125" style="39"/>
    <col min="534" max="541" width="10.140625" style="39" bestFit="1" customWidth="1"/>
    <col min="542" max="768" width="11.42578125" style="39"/>
    <col min="769" max="776" width="11.5703125" style="39" bestFit="1" customWidth="1"/>
    <col min="777" max="777" width="11.85546875" style="39" bestFit="1" customWidth="1"/>
    <col min="778" max="779" width="11.5703125" style="39" bestFit="1" customWidth="1"/>
    <col min="780" max="780" width="11.85546875" style="39" bestFit="1" customWidth="1"/>
    <col min="781" max="781" width="11.5703125" style="39" bestFit="1" customWidth="1"/>
    <col min="782" max="789" width="11.42578125" style="39"/>
    <col min="790" max="797" width="10.140625" style="39" bestFit="1" customWidth="1"/>
    <col min="798" max="1024" width="11.42578125" style="39"/>
    <col min="1025" max="1032" width="11.5703125" style="39" bestFit="1" customWidth="1"/>
    <col min="1033" max="1033" width="11.85546875" style="39" bestFit="1" customWidth="1"/>
    <col min="1034" max="1035" width="11.5703125" style="39" bestFit="1" customWidth="1"/>
    <col min="1036" max="1036" width="11.85546875" style="39" bestFit="1" customWidth="1"/>
    <col min="1037" max="1037" width="11.5703125" style="39" bestFit="1" customWidth="1"/>
    <col min="1038" max="1045" width="11.42578125" style="39"/>
    <col min="1046" max="1053" width="10.140625" style="39" bestFit="1" customWidth="1"/>
    <col min="1054" max="1280" width="11.42578125" style="39"/>
    <col min="1281" max="1288" width="11.5703125" style="39" bestFit="1" customWidth="1"/>
    <col min="1289" max="1289" width="11.85546875" style="39" bestFit="1" customWidth="1"/>
    <col min="1290" max="1291" width="11.5703125" style="39" bestFit="1" customWidth="1"/>
    <col min="1292" max="1292" width="11.85546875" style="39" bestFit="1" customWidth="1"/>
    <col min="1293" max="1293" width="11.5703125" style="39" bestFit="1" customWidth="1"/>
    <col min="1294" max="1301" width="11.42578125" style="39"/>
    <col min="1302" max="1309" width="10.140625" style="39" bestFit="1" customWidth="1"/>
    <col min="1310" max="1536" width="11.42578125" style="39"/>
    <col min="1537" max="1544" width="11.5703125" style="39" bestFit="1" customWidth="1"/>
    <col min="1545" max="1545" width="11.85546875" style="39" bestFit="1" customWidth="1"/>
    <col min="1546" max="1547" width="11.5703125" style="39" bestFit="1" customWidth="1"/>
    <col min="1548" max="1548" width="11.85546875" style="39" bestFit="1" customWidth="1"/>
    <col min="1549" max="1549" width="11.5703125" style="39" bestFit="1" customWidth="1"/>
    <col min="1550" max="1557" width="11.42578125" style="39"/>
    <col min="1558" max="1565" width="10.140625" style="39" bestFit="1" customWidth="1"/>
    <col min="1566" max="1792" width="11.42578125" style="39"/>
    <col min="1793" max="1800" width="11.5703125" style="39" bestFit="1" customWidth="1"/>
    <col min="1801" max="1801" width="11.85546875" style="39" bestFit="1" customWidth="1"/>
    <col min="1802" max="1803" width="11.5703125" style="39" bestFit="1" customWidth="1"/>
    <col min="1804" max="1804" width="11.85546875" style="39" bestFit="1" customWidth="1"/>
    <col min="1805" max="1805" width="11.5703125" style="39" bestFit="1" customWidth="1"/>
    <col min="1806" max="1813" width="11.42578125" style="39"/>
    <col min="1814" max="1821" width="10.140625" style="39" bestFit="1" customWidth="1"/>
    <col min="1822" max="2048" width="11.42578125" style="39"/>
    <col min="2049" max="2056" width="11.5703125" style="39" bestFit="1" customWidth="1"/>
    <col min="2057" max="2057" width="11.85546875" style="39" bestFit="1" customWidth="1"/>
    <col min="2058" max="2059" width="11.5703125" style="39" bestFit="1" customWidth="1"/>
    <col min="2060" max="2060" width="11.85546875" style="39" bestFit="1" customWidth="1"/>
    <col min="2061" max="2061" width="11.5703125" style="39" bestFit="1" customWidth="1"/>
    <col min="2062" max="2069" width="11.42578125" style="39"/>
    <col min="2070" max="2077" width="10.140625" style="39" bestFit="1" customWidth="1"/>
    <col min="2078" max="2304" width="11.42578125" style="39"/>
    <col min="2305" max="2312" width="11.5703125" style="39" bestFit="1" customWidth="1"/>
    <col min="2313" max="2313" width="11.85546875" style="39" bestFit="1" customWidth="1"/>
    <col min="2314" max="2315" width="11.5703125" style="39" bestFit="1" customWidth="1"/>
    <col min="2316" max="2316" width="11.85546875" style="39" bestFit="1" customWidth="1"/>
    <col min="2317" max="2317" width="11.5703125" style="39" bestFit="1" customWidth="1"/>
    <col min="2318" max="2325" width="11.42578125" style="39"/>
    <col min="2326" max="2333" width="10.140625" style="39" bestFit="1" customWidth="1"/>
    <col min="2334" max="2560" width="11.42578125" style="39"/>
    <col min="2561" max="2568" width="11.5703125" style="39" bestFit="1" customWidth="1"/>
    <col min="2569" max="2569" width="11.85546875" style="39" bestFit="1" customWidth="1"/>
    <col min="2570" max="2571" width="11.5703125" style="39" bestFit="1" customWidth="1"/>
    <col min="2572" max="2572" width="11.85546875" style="39" bestFit="1" customWidth="1"/>
    <col min="2573" max="2573" width="11.5703125" style="39" bestFit="1" customWidth="1"/>
    <col min="2574" max="2581" width="11.42578125" style="39"/>
    <col min="2582" max="2589" width="10.140625" style="39" bestFit="1" customWidth="1"/>
    <col min="2590" max="2816" width="11.42578125" style="39"/>
    <col min="2817" max="2824" width="11.5703125" style="39" bestFit="1" customWidth="1"/>
    <col min="2825" max="2825" width="11.85546875" style="39" bestFit="1" customWidth="1"/>
    <col min="2826" max="2827" width="11.5703125" style="39" bestFit="1" customWidth="1"/>
    <col min="2828" max="2828" width="11.85546875" style="39" bestFit="1" customWidth="1"/>
    <col min="2829" max="2829" width="11.5703125" style="39" bestFit="1" customWidth="1"/>
    <col min="2830" max="2837" width="11.42578125" style="39"/>
    <col min="2838" max="2845" width="10.140625" style="39" bestFit="1" customWidth="1"/>
    <col min="2846" max="3072" width="11.42578125" style="39"/>
    <col min="3073" max="3080" width="11.5703125" style="39" bestFit="1" customWidth="1"/>
    <col min="3081" max="3081" width="11.85546875" style="39" bestFit="1" customWidth="1"/>
    <col min="3082" max="3083" width="11.5703125" style="39" bestFit="1" customWidth="1"/>
    <col min="3084" max="3084" width="11.85546875" style="39" bestFit="1" customWidth="1"/>
    <col min="3085" max="3085" width="11.5703125" style="39" bestFit="1" customWidth="1"/>
    <col min="3086" max="3093" width="11.42578125" style="39"/>
    <col min="3094" max="3101" width="10.140625" style="39" bestFit="1" customWidth="1"/>
    <col min="3102" max="3328" width="11.42578125" style="39"/>
    <col min="3329" max="3336" width="11.5703125" style="39" bestFit="1" customWidth="1"/>
    <col min="3337" max="3337" width="11.85546875" style="39" bestFit="1" customWidth="1"/>
    <col min="3338" max="3339" width="11.5703125" style="39" bestFit="1" customWidth="1"/>
    <col min="3340" max="3340" width="11.85546875" style="39" bestFit="1" customWidth="1"/>
    <col min="3341" max="3341" width="11.5703125" style="39" bestFit="1" customWidth="1"/>
    <col min="3342" max="3349" width="11.42578125" style="39"/>
    <col min="3350" max="3357" width="10.140625" style="39" bestFit="1" customWidth="1"/>
    <col min="3358" max="3584" width="11.42578125" style="39"/>
    <col min="3585" max="3592" width="11.5703125" style="39" bestFit="1" customWidth="1"/>
    <col min="3593" max="3593" width="11.85546875" style="39" bestFit="1" customWidth="1"/>
    <col min="3594" max="3595" width="11.5703125" style="39" bestFit="1" customWidth="1"/>
    <col min="3596" max="3596" width="11.85546875" style="39" bestFit="1" customWidth="1"/>
    <col min="3597" max="3597" width="11.5703125" style="39" bestFit="1" customWidth="1"/>
    <col min="3598" max="3605" width="11.42578125" style="39"/>
    <col min="3606" max="3613" width="10.140625" style="39" bestFit="1" customWidth="1"/>
    <col min="3614" max="3840" width="11.42578125" style="39"/>
    <col min="3841" max="3848" width="11.5703125" style="39" bestFit="1" customWidth="1"/>
    <col min="3849" max="3849" width="11.85546875" style="39" bestFit="1" customWidth="1"/>
    <col min="3850" max="3851" width="11.5703125" style="39" bestFit="1" customWidth="1"/>
    <col min="3852" max="3852" width="11.85546875" style="39" bestFit="1" customWidth="1"/>
    <col min="3853" max="3853" width="11.5703125" style="39" bestFit="1" customWidth="1"/>
    <col min="3854" max="3861" width="11.42578125" style="39"/>
    <col min="3862" max="3869" width="10.140625" style="39" bestFit="1" customWidth="1"/>
    <col min="3870" max="4096" width="11.42578125" style="39"/>
    <col min="4097" max="4104" width="11.5703125" style="39" bestFit="1" customWidth="1"/>
    <col min="4105" max="4105" width="11.85546875" style="39" bestFit="1" customWidth="1"/>
    <col min="4106" max="4107" width="11.5703125" style="39" bestFit="1" customWidth="1"/>
    <col min="4108" max="4108" width="11.85546875" style="39" bestFit="1" customWidth="1"/>
    <col min="4109" max="4109" width="11.5703125" style="39" bestFit="1" customWidth="1"/>
    <col min="4110" max="4117" width="11.42578125" style="39"/>
    <col min="4118" max="4125" width="10.140625" style="39" bestFit="1" customWidth="1"/>
    <col min="4126" max="4352" width="11.42578125" style="39"/>
    <col min="4353" max="4360" width="11.5703125" style="39" bestFit="1" customWidth="1"/>
    <col min="4361" max="4361" width="11.85546875" style="39" bestFit="1" customWidth="1"/>
    <col min="4362" max="4363" width="11.5703125" style="39" bestFit="1" customWidth="1"/>
    <col min="4364" max="4364" width="11.85546875" style="39" bestFit="1" customWidth="1"/>
    <col min="4365" max="4365" width="11.5703125" style="39" bestFit="1" customWidth="1"/>
    <col min="4366" max="4373" width="11.42578125" style="39"/>
    <col min="4374" max="4381" width="10.140625" style="39" bestFit="1" customWidth="1"/>
    <col min="4382" max="4608" width="11.42578125" style="39"/>
    <col min="4609" max="4616" width="11.5703125" style="39" bestFit="1" customWidth="1"/>
    <col min="4617" max="4617" width="11.85546875" style="39" bestFit="1" customWidth="1"/>
    <col min="4618" max="4619" width="11.5703125" style="39" bestFit="1" customWidth="1"/>
    <col min="4620" max="4620" width="11.85546875" style="39" bestFit="1" customWidth="1"/>
    <col min="4621" max="4621" width="11.5703125" style="39" bestFit="1" customWidth="1"/>
    <col min="4622" max="4629" width="11.42578125" style="39"/>
    <col min="4630" max="4637" width="10.140625" style="39" bestFit="1" customWidth="1"/>
    <col min="4638" max="4864" width="11.42578125" style="39"/>
    <col min="4865" max="4872" width="11.5703125" style="39" bestFit="1" customWidth="1"/>
    <col min="4873" max="4873" width="11.85546875" style="39" bestFit="1" customWidth="1"/>
    <col min="4874" max="4875" width="11.5703125" style="39" bestFit="1" customWidth="1"/>
    <col min="4876" max="4876" width="11.85546875" style="39" bestFit="1" customWidth="1"/>
    <col min="4877" max="4877" width="11.5703125" style="39" bestFit="1" customWidth="1"/>
    <col min="4878" max="4885" width="11.42578125" style="39"/>
    <col min="4886" max="4893" width="10.140625" style="39" bestFit="1" customWidth="1"/>
    <col min="4894" max="5120" width="11.42578125" style="39"/>
    <col min="5121" max="5128" width="11.5703125" style="39" bestFit="1" customWidth="1"/>
    <col min="5129" max="5129" width="11.85546875" style="39" bestFit="1" customWidth="1"/>
    <col min="5130" max="5131" width="11.5703125" style="39" bestFit="1" customWidth="1"/>
    <col min="5132" max="5132" width="11.85546875" style="39" bestFit="1" customWidth="1"/>
    <col min="5133" max="5133" width="11.5703125" style="39" bestFit="1" customWidth="1"/>
    <col min="5134" max="5141" width="11.42578125" style="39"/>
    <col min="5142" max="5149" width="10.140625" style="39" bestFit="1" customWidth="1"/>
    <col min="5150" max="5376" width="11.42578125" style="39"/>
    <col min="5377" max="5384" width="11.5703125" style="39" bestFit="1" customWidth="1"/>
    <col min="5385" max="5385" width="11.85546875" style="39" bestFit="1" customWidth="1"/>
    <col min="5386" max="5387" width="11.5703125" style="39" bestFit="1" customWidth="1"/>
    <col min="5388" max="5388" width="11.85546875" style="39" bestFit="1" customWidth="1"/>
    <col min="5389" max="5389" width="11.5703125" style="39" bestFit="1" customWidth="1"/>
    <col min="5390" max="5397" width="11.42578125" style="39"/>
    <col min="5398" max="5405" width="10.140625" style="39" bestFit="1" customWidth="1"/>
    <col min="5406" max="5632" width="11.42578125" style="39"/>
    <col min="5633" max="5640" width="11.5703125" style="39" bestFit="1" customWidth="1"/>
    <col min="5641" max="5641" width="11.85546875" style="39" bestFit="1" customWidth="1"/>
    <col min="5642" max="5643" width="11.5703125" style="39" bestFit="1" customWidth="1"/>
    <col min="5644" max="5644" width="11.85546875" style="39" bestFit="1" customWidth="1"/>
    <col min="5645" max="5645" width="11.5703125" style="39" bestFit="1" customWidth="1"/>
    <col min="5646" max="5653" width="11.42578125" style="39"/>
    <col min="5654" max="5661" width="10.140625" style="39" bestFit="1" customWidth="1"/>
    <col min="5662" max="5888" width="11.42578125" style="39"/>
    <col min="5889" max="5896" width="11.5703125" style="39" bestFit="1" customWidth="1"/>
    <col min="5897" max="5897" width="11.85546875" style="39" bestFit="1" customWidth="1"/>
    <col min="5898" max="5899" width="11.5703125" style="39" bestFit="1" customWidth="1"/>
    <col min="5900" max="5900" width="11.85546875" style="39" bestFit="1" customWidth="1"/>
    <col min="5901" max="5901" width="11.5703125" style="39" bestFit="1" customWidth="1"/>
    <col min="5902" max="5909" width="11.42578125" style="39"/>
    <col min="5910" max="5917" width="10.140625" style="39" bestFit="1" customWidth="1"/>
    <col min="5918" max="6144" width="11.42578125" style="39"/>
    <col min="6145" max="6152" width="11.5703125" style="39" bestFit="1" customWidth="1"/>
    <col min="6153" max="6153" width="11.85546875" style="39" bestFit="1" customWidth="1"/>
    <col min="6154" max="6155" width="11.5703125" style="39" bestFit="1" customWidth="1"/>
    <col min="6156" max="6156" width="11.85546875" style="39" bestFit="1" customWidth="1"/>
    <col min="6157" max="6157" width="11.5703125" style="39" bestFit="1" customWidth="1"/>
    <col min="6158" max="6165" width="11.42578125" style="39"/>
    <col min="6166" max="6173" width="10.140625" style="39" bestFit="1" customWidth="1"/>
    <col min="6174" max="6400" width="11.42578125" style="39"/>
    <col min="6401" max="6408" width="11.5703125" style="39" bestFit="1" customWidth="1"/>
    <col min="6409" max="6409" width="11.85546875" style="39" bestFit="1" customWidth="1"/>
    <col min="6410" max="6411" width="11.5703125" style="39" bestFit="1" customWidth="1"/>
    <col min="6412" max="6412" width="11.85546875" style="39" bestFit="1" customWidth="1"/>
    <col min="6413" max="6413" width="11.5703125" style="39" bestFit="1" customWidth="1"/>
    <col min="6414" max="6421" width="11.42578125" style="39"/>
    <col min="6422" max="6429" width="10.140625" style="39" bestFit="1" customWidth="1"/>
    <col min="6430" max="6656" width="11.42578125" style="39"/>
    <col min="6657" max="6664" width="11.5703125" style="39" bestFit="1" customWidth="1"/>
    <col min="6665" max="6665" width="11.85546875" style="39" bestFit="1" customWidth="1"/>
    <col min="6666" max="6667" width="11.5703125" style="39" bestFit="1" customWidth="1"/>
    <col min="6668" max="6668" width="11.85546875" style="39" bestFit="1" customWidth="1"/>
    <col min="6669" max="6669" width="11.5703125" style="39" bestFit="1" customWidth="1"/>
    <col min="6670" max="6677" width="11.42578125" style="39"/>
    <col min="6678" max="6685" width="10.140625" style="39" bestFit="1" customWidth="1"/>
    <col min="6686" max="6912" width="11.42578125" style="39"/>
    <col min="6913" max="6920" width="11.5703125" style="39" bestFit="1" customWidth="1"/>
    <col min="6921" max="6921" width="11.85546875" style="39" bestFit="1" customWidth="1"/>
    <col min="6922" max="6923" width="11.5703125" style="39" bestFit="1" customWidth="1"/>
    <col min="6924" max="6924" width="11.85546875" style="39" bestFit="1" customWidth="1"/>
    <col min="6925" max="6925" width="11.5703125" style="39" bestFit="1" customWidth="1"/>
    <col min="6926" max="6933" width="11.42578125" style="39"/>
    <col min="6934" max="6941" width="10.140625" style="39" bestFit="1" customWidth="1"/>
    <col min="6942" max="7168" width="11.42578125" style="39"/>
    <col min="7169" max="7176" width="11.5703125" style="39" bestFit="1" customWidth="1"/>
    <col min="7177" max="7177" width="11.85546875" style="39" bestFit="1" customWidth="1"/>
    <col min="7178" max="7179" width="11.5703125" style="39" bestFit="1" customWidth="1"/>
    <col min="7180" max="7180" width="11.85546875" style="39" bestFit="1" customWidth="1"/>
    <col min="7181" max="7181" width="11.5703125" style="39" bestFit="1" customWidth="1"/>
    <col min="7182" max="7189" width="11.42578125" style="39"/>
    <col min="7190" max="7197" width="10.140625" style="39" bestFit="1" customWidth="1"/>
    <col min="7198" max="7424" width="11.42578125" style="39"/>
    <col min="7425" max="7432" width="11.5703125" style="39" bestFit="1" customWidth="1"/>
    <col min="7433" max="7433" width="11.85546875" style="39" bestFit="1" customWidth="1"/>
    <col min="7434" max="7435" width="11.5703125" style="39" bestFit="1" customWidth="1"/>
    <col min="7436" max="7436" width="11.85546875" style="39" bestFit="1" customWidth="1"/>
    <col min="7437" max="7437" width="11.5703125" style="39" bestFit="1" customWidth="1"/>
    <col min="7438" max="7445" width="11.42578125" style="39"/>
    <col min="7446" max="7453" width="10.140625" style="39" bestFit="1" customWidth="1"/>
    <col min="7454" max="7680" width="11.42578125" style="39"/>
    <col min="7681" max="7688" width="11.5703125" style="39" bestFit="1" customWidth="1"/>
    <col min="7689" max="7689" width="11.85546875" style="39" bestFit="1" customWidth="1"/>
    <col min="7690" max="7691" width="11.5703125" style="39" bestFit="1" customWidth="1"/>
    <col min="7692" max="7692" width="11.85546875" style="39" bestFit="1" customWidth="1"/>
    <col min="7693" max="7693" width="11.5703125" style="39" bestFit="1" customWidth="1"/>
    <col min="7694" max="7701" width="11.42578125" style="39"/>
    <col min="7702" max="7709" width="10.140625" style="39" bestFit="1" customWidth="1"/>
    <col min="7710" max="7936" width="11.42578125" style="39"/>
    <col min="7937" max="7944" width="11.5703125" style="39" bestFit="1" customWidth="1"/>
    <col min="7945" max="7945" width="11.85546875" style="39" bestFit="1" customWidth="1"/>
    <col min="7946" max="7947" width="11.5703125" style="39" bestFit="1" customWidth="1"/>
    <col min="7948" max="7948" width="11.85546875" style="39" bestFit="1" customWidth="1"/>
    <col min="7949" max="7949" width="11.5703125" style="39" bestFit="1" customWidth="1"/>
    <col min="7950" max="7957" width="11.42578125" style="39"/>
    <col min="7958" max="7965" width="10.140625" style="39" bestFit="1" customWidth="1"/>
    <col min="7966" max="8192" width="11.42578125" style="39"/>
    <col min="8193" max="8200" width="11.5703125" style="39" bestFit="1" customWidth="1"/>
    <col min="8201" max="8201" width="11.85546875" style="39" bestFit="1" customWidth="1"/>
    <col min="8202" max="8203" width="11.5703125" style="39" bestFit="1" customWidth="1"/>
    <col min="8204" max="8204" width="11.85546875" style="39" bestFit="1" customWidth="1"/>
    <col min="8205" max="8205" width="11.5703125" style="39" bestFit="1" customWidth="1"/>
    <col min="8206" max="8213" width="11.42578125" style="39"/>
    <col min="8214" max="8221" width="10.140625" style="39" bestFit="1" customWidth="1"/>
    <col min="8222" max="8448" width="11.42578125" style="39"/>
    <col min="8449" max="8456" width="11.5703125" style="39" bestFit="1" customWidth="1"/>
    <col min="8457" max="8457" width="11.85546875" style="39" bestFit="1" customWidth="1"/>
    <col min="8458" max="8459" width="11.5703125" style="39" bestFit="1" customWidth="1"/>
    <col min="8460" max="8460" width="11.85546875" style="39" bestFit="1" customWidth="1"/>
    <col min="8461" max="8461" width="11.5703125" style="39" bestFit="1" customWidth="1"/>
    <col min="8462" max="8469" width="11.42578125" style="39"/>
    <col min="8470" max="8477" width="10.140625" style="39" bestFit="1" customWidth="1"/>
    <col min="8478" max="8704" width="11.42578125" style="39"/>
    <col min="8705" max="8712" width="11.5703125" style="39" bestFit="1" customWidth="1"/>
    <col min="8713" max="8713" width="11.85546875" style="39" bestFit="1" customWidth="1"/>
    <col min="8714" max="8715" width="11.5703125" style="39" bestFit="1" customWidth="1"/>
    <col min="8716" max="8716" width="11.85546875" style="39" bestFit="1" customWidth="1"/>
    <col min="8717" max="8717" width="11.5703125" style="39" bestFit="1" customWidth="1"/>
    <col min="8718" max="8725" width="11.42578125" style="39"/>
    <col min="8726" max="8733" width="10.140625" style="39" bestFit="1" customWidth="1"/>
    <col min="8734" max="8960" width="11.42578125" style="39"/>
    <col min="8961" max="8968" width="11.5703125" style="39" bestFit="1" customWidth="1"/>
    <col min="8969" max="8969" width="11.85546875" style="39" bestFit="1" customWidth="1"/>
    <col min="8970" max="8971" width="11.5703125" style="39" bestFit="1" customWidth="1"/>
    <col min="8972" max="8972" width="11.85546875" style="39" bestFit="1" customWidth="1"/>
    <col min="8973" max="8973" width="11.5703125" style="39" bestFit="1" customWidth="1"/>
    <col min="8974" max="8981" width="11.42578125" style="39"/>
    <col min="8982" max="8989" width="10.140625" style="39" bestFit="1" customWidth="1"/>
    <col min="8990" max="9216" width="11.42578125" style="39"/>
    <col min="9217" max="9224" width="11.5703125" style="39" bestFit="1" customWidth="1"/>
    <col min="9225" max="9225" width="11.85546875" style="39" bestFit="1" customWidth="1"/>
    <col min="9226" max="9227" width="11.5703125" style="39" bestFit="1" customWidth="1"/>
    <col min="9228" max="9228" width="11.85546875" style="39" bestFit="1" customWidth="1"/>
    <col min="9229" max="9229" width="11.5703125" style="39" bestFit="1" customWidth="1"/>
    <col min="9230" max="9237" width="11.42578125" style="39"/>
    <col min="9238" max="9245" width="10.140625" style="39" bestFit="1" customWidth="1"/>
    <col min="9246" max="9472" width="11.42578125" style="39"/>
    <col min="9473" max="9480" width="11.5703125" style="39" bestFit="1" customWidth="1"/>
    <col min="9481" max="9481" width="11.85546875" style="39" bestFit="1" customWidth="1"/>
    <col min="9482" max="9483" width="11.5703125" style="39" bestFit="1" customWidth="1"/>
    <col min="9484" max="9484" width="11.85546875" style="39" bestFit="1" customWidth="1"/>
    <col min="9485" max="9485" width="11.5703125" style="39" bestFit="1" customWidth="1"/>
    <col min="9486" max="9493" width="11.42578125" style="39"/>
    <col min="9494" max="9501" width="10.140625" style="39" bestFit="1" customWidth="1"/>
    <col min="9502" max="9728" width="11.42578125" style="39"/>
    <col min="9729" max="9736" width="11.5703125" style="39" bestFit="1" customWidth="1"/>
    <col min="9737" max="9737" width="11.85546875" style="39" bestFit="1" customWidth="1"/>
    <col min="9738" max="9739" width="11.5703125" style="39" bestFit="1" customWidth="1"/>
    <col min="9740" max="9740" width="11.85546875" style="39" bestFit="1" customWidth="1"/>
    <col min="9741" max="9741" width="11.5703125" style="39" bestFit="1" customWidth="1"/>
    <col min="9742" max="9749" width="11.42578125" style="39"/>
    <col min="9750" max="9757" width="10.140625" style="39" bestFit="1" customWidth="1"/>
    <col min="9758" max="9984" width="11.42578125" style="39"/>
    <col min="9985" max="9992" width="11.5703125" style="39" bestFit="1" customWidth="1"/>
    <col min="9993" max="9993" width="11.85546875" style="39" bestFit="1" customWidth="1"/>
    <col min="9994" max="9995" width="11.5703125" style="39" bestFit="1" customWidth="1"/>
    <col min="9996" max="9996" width="11.85546875" style="39" bestFit="1" customWidth="1"/>
    <col min="9997" max="9997" width="11.5703125" style="39" bestFit="1" customWidth="1"/>
    <col min="9998" max="10005" width="11.42578125" style="39"/>
    <col min="10006" max="10013" width="10.140625" style="39" bestFit="1" customWidth="1"/>
    <col min="10014" max="10240" width="11.42578125" style="39"/>
    <col min="10241" max="10248" width="11.5703125" style="39" bestFit="1" customWidth="1"/>
    <col min="10249" max="10249" width="11.85546875" style="39" bestFit="1" customWidth="1"/>
    <col min="10250" max="10251" width="11.5703125" style="39" bestFit="1" customWidth="1"/>
    <col min="10252" max="10252" width="11.85546875" style="39" bestFit="1" customWidth="1"/>
    <col min="10253" max="10253" width="11.5703125" style="39" bestFit="1" customWidth="1"/>
    <col min="10254" max="10261" width="11.42578125" style="39"/>
    <col min="10262" max="10269" width="10.140625" style="39" bestFit="1" customWidth="1"/>
    <col min="10270" max="10496" width="11.42578125" style="39"/>
    <col min="10497" max="10504" width="11.5703125" style="39" bestFit="1" customWidth="1"/>
    <col min="10505" max="10505" width="11.85546875" style="39" bestFit="1" customWidth="1"/>
    <col min="10506" max="10507" width="11.5703125" style="39" bestFit="1" customWidth="1"/>
    <col min="10508" max="10508" width="11.85546875" style="39" bestFit="1" customWidth="1"/>
    <col min="10509" max="10509" width="11.5703125" style="39" bestFit="1" customWidth="1"/>
    <col min="10510" max="10517" width="11.42578125" style="39"/>
    <col min="10518" max="10525" width="10.140625" style="39" bestFit="1" customWidth="1"/>
    <col min="10526" max="10752" width="11.42578125" style="39"/>
    <col min="10753" max="10760" width="11.5703125" style="39" bestFit="1" customWidth="1"/>
    <col min="10761" max="10761" width="11.85546875" style="39" bestFit="1" customWidth="1"/>
    <col min="10762" max="10763" width="11.5703125" style="39" bestFit="1" customWidth="1"/>
    <col min="10764" max="10764" width="11.85546875" style="39" bestFit="1" customWidth="1"/>
    <col min="10765" max="10765" width="11.5703125" style="39" bestFit="1" customWidth="1"/>
    <col min="10766" max="10773" width="11.42578125" style="39"/>
    <col min="10774" max="10781" width="10.140625" style="39" bestFit="1" customWidth="1"/>
    <col min="10782" max="11008" width="11.42578125" style="39"/>
    <col min="11009" max="11016" width="11.5703125" style="39" bestFit="1" customWidth="1"/>
    <col min="11017" max="11017" width="11.85546875" style="39" bestFit="1" customWidth="1"/>
    <col min="11018" max="11019" width="11.5703125" style="39" bestFit="1" customWidth="1"/>
    <col min="11020" max="11020" width="11.85546875" style="39" bestFit="1" customWidth="1"/>
    <col min="11021" max="11021" width="11.5703125" style="39" bestFit="1" customWidth="1"/>
    <col min="11022" max="11029" width="11.42578125" style="39"/>
    <col min="11030" max="11037" width="10.140625" style="39" bestFit="1" customWidth="1"/>
    <col min="11038" max="11264" width="11.42578125" style="39"/>
    <col min="11265" max="11272" width="11.5703125" style="39" bestFit="1" customWidth="1"/>
    <col min="11273" max="11273" width="11.85546875" style="39" bestFit="1" customWidth="1"/>
    <col min="11274" max="11275" width="11.5703125" style="39" bestFit="1" customWidth="1"/>
    <col min="11276" max="11276" width="11.85546875" style="39" bestFit="1" customWidth="1"/>
    <col min="11277" max="11277" width="11.5703125" style="39" bestFit="1" customWidth="1"/>
    <col min="11278" max="11285" width="11.42578125" style="39"/>
    <col min="11286" max="11293" width="10.140625" style="39" bestFit="1" customWidth="1"/>
    <col min="11294" max="11520" width="11.42578125" style="39"/>
    <col min="11521" max="11528" width="11.5703125" style="39" bestFit="1" customWidth="1"/>
    <col min="11529" max="11529" width="11.85546875" style="39" bestFit="1" customWidth="1"/>
    <col min="11530" max="11531" width="11.5703125" style="39" bestFit="1" customWidth="1"/>
    <col min="11532" max="11532" width="11.85546875" style="39" bestFit="1" customWidth="1"/>
    <col min="11533" max="11533" width="11.5703125" style="39" bestFit="1" customWidth="1"/>
    <col min="11534" max="11541" width="11.42578125" style="39"/>
    <col min="11542" max="11549" width="10.140625" style="39" bestFit="1" customWidth="1"/>
    <col min="11550" max="11776" width="11.42578125" style="39"/>
    <col min="11777" max="11784" width="11.5703125" style="39" bestFit="1" customWidth="1"/>
    <col min="11785" max="11785" width="11.85546875" style="39" bestFit="1" customWidth="1"/>
    <col min="11786" max="11787" width="11.5703125" style="39" bestFit="1" customWidth="1"/>
    <col min="11788" max="11788" width="11.85546875" style="39" bestFit="1" customWidth="1"/>
    <col min="11789" max="11789" width="11.5703125" style="39" bestFit="1" customWidth="1"/>
    <col min="11790" max="11797" width="11.42578125" style="39"/>
    <col min="11798" max="11805" width="10.140625" style="39" bestFit="1" customWidth="1"/>
    <col min="11806" max="12032" width="11.42578125" style="39"/>
    <col min="12033" max="12040" width="11.5703125" style="39" bestFit="1" customWidth="1"/>
    <col min="12041" max="12041" width="11.85546875" style="39" bestFit="1" customWidth="1"/>
    <col min="12042" max="12043" width="11.5703125" style="39" bestFit="1" customWidth="1"/>
    <col min="12044" max="12044" width="11.85546875" style="39" bestFit="1" customWidth="1"/>
    <col min="12045" max="12045" width="11.5703125" style="39" bestFit="1" customWidth="1"/>
    <col min="12046" max="12053" width="11.42578125" style="39"/>
    <col min="12054" max="12061" width="10.140625" style="39" bestFit="1" customWidth="1"/>
    <col min="12062" max="12288" width="11.42578125" style="39"/>
    <col min="12289" max="12296" width="11.5703125" style="39" bestFit="1" customWidth="1"/>
    <col min="12297" max="12297" width="11.85546875" style="39" bestFit="1" customWidth="1"/>
    <col min="12298" max="12299" width="11.5703125" style="39" bestFit="1" customWidth="1"/>
    <col min="12300" max="12300" width="11.85546875" style="39" bestFit="1" customWidth="1"/>
    <col min="12301" max="12301" width="11.5703125" style="39" bestFit="1" customWidth="1"/>
    <col min="12302" max="12309" width="11.42578125" style="39"/>
    <col min="12310" max="12317" width="10.140625" style="39" bestFit="1" customWidth="1"/>
    <col min="12318" max="12544" width="11.42578125" style="39"/>
    <col min="12545" max="12552" width="11.5703125" style="39" bestFit="1" customWidth="1"/>
    <col min="12553" max="12553" width="11.85546875" style="39" bestFit="1" customWidth="1"/>
    <col min="12554" max="12555" width="11.5703125" style="39" bestFit="1" customWidth="1"/>
    <col min="12556" max="12556" width="11.85546875" style="39" bestFit="1" customWidth="1"/>
    <col min="12557" max="12557" width="11.5703125" style="39" bestFit="1" customWidth="1"/>
    <col min="12558" max="12565" width="11.42578125" style="39"/>
    <col min="12566" max="12573" width="10.140625" style="39" bestFit="1" customWidth="1"/>
    <col min="12574" max="12800" width="11.42578125" style="39"/>
    <col min="12801" max="12808" width="11.5703125" style="39" bestFit="1" customWidth="1"/>
    <col min="12809" max="12809" width="11.85546875" style="39" bestFit="1" customWidth="1"/>
    <col min="12810" max="12811" width="11.5703125" style="39" bestFit="1" customWidth="1"/>
    <col min="12812" max="12812" width="11.85546875" style="39" bestFit="1" customWidth="1"/>
    <col min="12813" max="12813" width="11.5703125" style="39" bestFit="1" customWidth="1"/>
    <col min="12814" max="12821" width="11.42578125" style="39"/>
    <col min="12822" max="12829" width="10.140625" style="39" bestFit="1" customWidth="1"/>
    <col min="12830" max="13056" width="11.42578125" style="39"/>
    <col min="13057" max="13064" width="11.5703125" style="39" bestFit="1" customWidth="1"/>
    <col min="13065" max="13065" width="11.85546875" style="39" bestFit="1" customWidth="1"/>
    <col min="13066" max="13067" width="11.5703125" style="39" bestFit="1" customWidth="1"/>
    <col min="13068" max="13068" width="11.85546875" style="39" bestFit="1" customWidth="1"/>
    <col min="13069" max="13069" width="11.5703125" style="39" bestFit="1" customWidth="1"/>
    <col min="13070" max="13077" width="11.42578125" style="39"/>
    <col min="13078" max="13085" width="10.140625" style="39" bestFit="1" customWidth="1"/>
    <col min="13086" max="13312" width="11.42578125" style="39"/>
    <col min="13313" max="13320" width="11.5703125" style="39" bestFit="1" customWidth="1"/>
    <col min="13321" max="13321" width="11.85546875" style="39" bestFit="1" customWidth="1"/>
    <col min="13322" max="13323" width="11.5703125" style="39" bestFit="1" customWidth="1"/>
    <col min="13324" max="13324" width="11.85546875" style="39" bestFit="1" customWidth="1"/>
    <col min="13325" max="13325" width="11.5703125" style="39" bestFit="1" customWidth="1"/>
    <col min="13326" max="13333" width="11.42578125" style="39"/>
    <col min="13334" max="13341" width="10.140625" style="39" bestFit="1" customWidth="1"/>
    <col min="13342" max="13568" width="11.42578125" style="39"/>
    <col min="13569" max="13576" width="11.5703125" style="39" bestFit="1" customWidth="1"/>
    <col min="13577" max="13577" width="11.85546875" style="39" bestFit="1" customWidth="1"/>
    <col min="13578" max="13579" width="11.5703125" style="39" bestFit="1" customWidth="1"/>
    <col min="13580" max="13580" width="11.85546875" style="39" bestFit="1" customWidth="1"/>
    <col min="13581" max="13581" width="11.5703125" style="39" bestFit="1" customWidth="1"/>
    <col min="13582" max="13589" width="11.42578125" style="39"/>
    <col min="13590" max="13597" width="10.140625" style="39" bestFit="1" customWidth="1"/>
    <col min="13598" max="13824" width="11.42578125" style="39"/>
    <col min="13825" max="13832" width="11.5703125" style="39" bestFit="1" customWidth="1"/>
    <col min="13833" max="13833" width="11.85546875" style="39" bestFit="1" customWidth="1"/>
    <col min="13834" max="13835" width="11.5703125" style="39" bestFit="1" customWidth="1"/>
    <col min="13836" max="13836" width="11.85546875" style="39" bestFit="1" customWidth="1"/>
    <col min="13837" max="13837" width="11.5703125" style="39" bestFit="1" customWidth="1"/>
    <col min="13838" max="13845" width="11.42578125" style="39"/>
    <col min="13846" max="13853" width="10.140625" style="39" bestFit="1" customWidth="1"/>
    <col min="13854" max="14080" width="11.42578125" style="39"/>
    <col min="14081" max="14088" width="11.5703125" style="39" bestFit="1" customWidth="1"/>
    <col min="14089" max="14089" width="11.85546875" style="39" bestFit="1" customWidth="1"/>
    <col min="14090" max="14091" width="11.5703125" style="39" bestFit="1" customWidth="1"/>
    <col min="14092" max="14092" width="11.85546875" style="39" bestFit="1" customWidth="1"/>
    <col min="14093" max="14093" width="11.5703125" style="39" bestFit="1" customWidth="1"/>
    <col min="14094" max="14101" width="11.42578125" style="39"/>
    <col min="14102" max="14109" width="10.140625" style="39" bestFit="1" customWidth="1"/>
    <col min="14110" max="14336" width="11.42578125" style="39"/>
    <col min="14337" max="14344" width="11.5703125" style="39" bestFit="1" customWidth="1"/>
    <col min="14345" max="14345" width="11.85546875" style="39" bestFit="1" customWidth="1"/>
    <col min="14346" max="14347" width="11.5703125" style="39" bestFit="1" customWidth="1"/>
    <col min="14348" max="14348" width="11.85546875" style="39" bestFit="1" customWidth="1"/>
    <col min="14349" max="14349" width="11.5703125" style="39" bestFit="1" customWidth="1"/>
    <col min="14350" max="14357" width="11.42578125" style="39"/>
    <col min="14358" max="14365" width="10.140625" style="39" bestFit="1" customWidth="1"/>
    <col min="14366" max="14592" width="11.42578125" style="39"/>
    <col min="14593" max="14600" width="11.5703125" style="39" bestFit="1" customWidth="1"/>
    <col min="14601" max="14601" width="11.85546875" style="39" bestFit="1" customWidth="1"/>
    <col min="14602" max="14603" width="11.5703125" style="39" bestFit="1" customWidth="1"/>
    <col min="14604" max="14604" width="11.85546875" style="39" bestFit="1" customWidth="1"/>
    <col min="14605" max="14605" width="11.5703125" style="39" bestFit="1" customWidth="1"/>
    <col min="14606" max="14613" width="11.42578125" style="39"/>
    <col min="14614" max="14621" width="10.140625" style="39" bestFit="1" customWidth="1"/>
    <col min="14622" max="14848" width="11.42578125" style="39"/>
    <col min="14849" max="14856" width="11.5703125" style="39" bestFit="1" customWidth="1"/>
    <col min="14857" max="14857" width="11.85546875" style="39" bestFit="1" customWidth="1"/>
    <col min="14858" max="14859" width="11.5703125" style="39" bestFit="1" customWidth="1"/>
    <col min="14860" max="14860" width="11.85546875" style="39" bestFit="1" customWidth="1"/>
    <col min="14861" max="14861" width="11.5703125" style="39" bestFit="1" customWidth="1"/>
    <col min="14862" max="14869" width="11.42578125" style="39"/>
    <col min="14870" max="14877" width="10.140625" style="39" bestFit="1" customWidth="1"/>
    <col min="14878" max="15104" width="11.42578125" style="39"/>
    <col min="15105" max="15112" width="11.5703125" style="39" bestFit="1" customWidth="1"/>
    <col min="15113" max="15113" width="11.85546875" style="39" bestFit="1" customWidth="1"/>
    <col min="15114" max="15115" width="11.5703125" style="39" bestFit="1" customWidth="1"/>
    <col min="15116" max="15116" width="11.85546875" style="39" bestFit="1" customWidth="1"/>
    <col min="15117" max="15117" width="11.5703125" style="39" bestFit="1" customWidth="1"/>
    <col min="15118" max="15125" width="11.42578125" style="39"/>
    <col min="15126" max="15133" width="10.140625" style="39" bestFit="1" customWidth="1"/>
    <col min="15134" max="15360" width="11.42578125" style="39"/>
    <col min="15361" max="15368" width="11.5703125" style="39" bestFit="1" customWidth="1"/>
    <col min="15369" max="15369" width="11.85546875" style="39" bestFit="1" customWidth="1"/>
    <col min="15370" max="15371" width="11.5703125" style="39" bestFit="1" customWidth="1"/>
    <col min="15372" max="15372" width="11.85546875" style="39" bestFit="1" customWidth="1"/>
    <col min="15373" max="15373" width="11.5703125" style="39" bestFit="1" customWidth="1"/>
    <col min="15374" max="15381" width="11.42578125" style="39"/>
    <col min="15382" max="15389" width="10.140625" style="39" bestFit="1" customWidth="1"/>
    <col min="15390" max="15616" width="11.42578125" style="39"/>
    <col min="15617" max="15624" width="11.5703125" style="39" bestFit="1" customWidth="1"/>
    <col min="15625" max="15625" width="11.85546875" style="39" bestFit="1" customWidth="1"/>
    <col min="15626" max="15627" width="11.5703125" style="39" bestFit="1" customWidth="1"/>
    <col min="15628" max="15628" width="11.85546875" style="39" bestFit="1" customWidth="1"/>
    <col min="15629" max="15629" width="11.5703125" style="39" bestFit="1" customWidth="1"/>
    <col min="15630" max="15637" width="11.42578125" style="39"/>
    <col min="15638" max="15645" width="10.140625" style="39" bestFit="1" customWidth="1"/>
    <col min="15646" max="15872" width="11.42578125" style="39"/>
    <col min="15873" max="15880" width="11.5703125" style="39" bestFit="1" customWidth="1"/>
    <col min="15881" max="15881" width="11.85546875" style="39" bestFit="1" customWidth="1"/>
    <col min="15882" max="15883" width="11.5703125" style="39" bestFit="1" customWidth="1"/>
    <col min="15884" max="15884" width="11.85546875" style="39" bestFit="1" customWidth="1"/>
    <col min="15885" max="15885" width="11.5703125" style="39" bestFit="1" customWidth="1"/>
    <col min="15886" max="15893" width="11.42578125" style="39"/>
    <col min="15894" max="15901" width="10.140625" style="39" bestFit="1" customWidth="1"/>
    <col min="15902" max="16128" width="11.42578125" style="39"/>
    <col min="16129" max="16136" width="11.5703125" style="39" bestFit="1" customWidth="1"/>
    <col min="16137" max="16137" width="11.85546875" style="39" bestFit="1" customWidth="1"/>
    <col min="16138" max="16139" width="11.5703125" style="39" bestFit="1" customWidth="1"/>
    <col min="16140" max="16140" width="11.85546875" style="39" bestFit="1" customWidth="1"/>
    <col min="16141" max="16141" width="11.5703125" style="39" bestFit="1" customWidth="1"/>
    <col min="16142" max="16149" width="11.42578125" style="39"/>
    <col min="16150" max="16157" width="10.140625" style="39" bestFit="1" customWidth="1"/>
    <col min="16158" max="16384" width="11.42578125" style="39"/>
  </cols>
  <sheetData>
    <row r="1" spans="1:152">
      <c r="A1" s="38" t="s">
        <v>77</v>
      </c>
      <c r="CM1" s="40" t="s">
        <v>77</v>
      </c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</row>
    <row r="2" spans="1:152">
      <c r="C2" s="42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</row>
    <row r="3" spans="1:152">
      <c r="A3" s="43" t="s">
        <v>78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CM3" s="45" t="s">
        <v>79</v>
      </c>
      <c r="CN3" s="45">
        <v>1990</v>
      </c>
      <c r="CO3" s="45">
        <v>1991</v>
      </c>
      <c r="CP3" s="45">
        <v>1992</v>
      </c>
      <c r="CQ3" s="45">
        <v>1993</v>
      </c>
      <c r="CR3" s="45">
        <v>1994</v>
      </c>
      <c r="CS3" s="45">
        <v>1995</v>
      </c>
      <c r="CT3" s="45">
        <v>1996</v>
      </c>
      <c r="CU3" s="45">
        <v>1997</v>
      </c>
      <c r="CV3" s="45">
        <v>1998</v>
      </c>
      <c r="CW3" s="45">
        <v>1999</v>
      </c>
      <c r="CX3" s="45">
        <v>2000</v>
      </c>
      <c r="CY3" s="45">
        <v>2001</v>
      </c>
      <c r="CZ3" s="45">
        <v>2002</v>
      </c>
      <c r="DA3" s="45">
        <v>2003</v>
      </c>
      <c r="DB3" s="45">
        <v>2004</v>
      </c>
      <c r="DC3" s="45">
        <v>2005</v>
      </c>
      <c r="DD3" s="45">
        <v>2006</v>
      </c>
      <c r="DE3" s="45">
        <v>2007</v>
      </c>
      <c r="DF3" s="45">
        <v>2008</v>
      </c>
      <c r="DG3" s="45">
        <v>2009</v>
      </c>
      <c r="DH3" s="45">
        <v>2010</v>
      </c>
      <c r="DI3" s="45">
        <v>2011</v>
      </c>
      <c r="DJ3" s="45">
        <v>2012</v>
      </c>
      <c r="DK3" s="45">
        <v>2013</v>
      </c>
      <c r="DL3" s="45">
        <v>2014</v>
      </c>
      <c r="DM3" s="45">
        <v>2015</v>
      </c>
      <c r="DN3" s="45">
        <v>2016</v>
      </c>
      <c r="DO3" s="45">
        <v>2017</v>
      </c>
      <c r="DP3" s="45">
        <v>2018</v>
      </c>
      <c r="DQ3" s="45">
        <v>2019</v>
      </c>
      <c r="DR3" s="45">
        <v>2020</v>
      </c>
      <c r="DS3" s="45">
        <v>2021</v>
      </c>
      <c r="DT3" s="45">
        <v>2022</v>
      </c>
      <c r="DU3" s="45">
        <v>2023</v>
      </c>
      <c r="DV3" s="45">
        <v>2024</v>
      </c>
      <c r="DW3" s="45">
        <v>2025</v>
      </c>
      <c r="DX3" s="45">
        <v>2026</v>
      </c>
      <c r="DY3" s="45">
        <v>2027</v>
      </c>
      <c r="DZ3" s="45">
        <v>2028</v>
      </c>
      <c r="EA3" s="45">
        <v>2029</v>
      </c>
      <c r="EB3" s="45">
        <v>2030</v>
      </c>
      <c r="EC3" s="45">
        <v>2031</v>
      </c>
      <c r="ED3" s="45">
        <v>2032</v>
      </c>
      <c r="EE3" s="45">
        <v>2033</v>
      </c>
      <c r="EF3" s="45">
        <v>2034</v>
      </c>
      <c r="EG3" s="45">
        <v>2035</v>
      </c>
      <c r="EH3" s="45">
        <v>2036</v>
      </c>
      <c r="EI3" s="45">
        <v>2037</v>
      </c>
      <c r="EJ3" s="45">
        <v>2038</v>
      </c>
      <c r="EK3" s="45">
        <v>2039</v>
      </c>
      <c r="EL3" s="45">
        <v>2040</v>
      </c>
      <c r="EM3" s="45">
        <v>2041</v>
      </c>
      <c r="EN3" s="45">
        <v>2042</v>
      </c>
      <c r="EO3" s="45">
        <v>2043</v>
      </c>
      <c r="EP3" s="45">
        <v>2044</v>
      </c>
      <c r="EQ3" s="45">
        <v>2045</v>
      </c>
      <c r="ER3" s="45">
        <v>2046</v>
      </c>
      <c r="ES3" s="45">
        <v>2047</v>
      </c>
      <c r="ET3" s="45">
        <v>2048</v>
      </c>
      <c r="EU3" s="45">
        <v>2049</v>
      </c>
      <c r="EV3" s="45">
        <v>2050</v>
      </c>
    </row>
    <row r="4" spans="1:152">
      <c r="A4" s="43" t="s">
        <v>80</v>
      </c>
      <c r="B4" s="46">
        <v>2000</v>
      </c>
      <c r="C4" s="46">
        <v>2001</v>
      </c>
      <c r="D4" s="46">
        <v>2002</v>
      </c>
      <c r="E4" s="46">
        <v>2003</v>
      </c>
      <c r="F4" s="46">
        <v>2004</v>
      </c>
      <c r="G4" s="46">
        <v>2005</v>
      </c>
      <c r="H4" s="46">
        <v>2006</v>
      </c>
      <c r="I4" s="46">
        <v>2007</v>
      </c>
      <c r="J4" s="46">
        <v>2008</v>
      </c>
      <c r="K4" s="46">
        <v>2009</v>
      </c>
      <c r="L4" s="46">
        <v>2010</v>
      </c>
      <c r="M4" s="46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6">
        <v>2023</v>
      </c>
      <c r="Z4" s="46">
        <v>2024</v>
      </c>
      <c r="AA4" s="46">
        <v>2025</v>
      </c>
      <c r="AB4" s="46">
        <v>2026</v>
      </c>
      <c r="AC4" s="46">
        <v>2027</v>
      </c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</row>
    <row r="5" spans="1:152" s="44" customFormat="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63"/>
      <c r="CM5" s="49" t="s">
        <v>81</v>
      </c>
      <c r="CN5" s="50">
        <v>9956666</v>
      </c>
      <c r="CO5" s="50">
        <v>10186733</v>
      </c>
      <c r="CP5" s="50">
        <v>10416960</v>
      </c>
      <c r="CQ5" s="50">
        <v>10647110</v>
      </c>
      <c r="CR5" s="50">
        <v>10876944</v>
      </c>
      <c r="CS5" s="50">
        <v>11106197</v>
      </c>
      <c r="CT5" s="50">
        <v>11333607</v>
      </c>
      <c r="CU5" s="50">
        <v>11559949</v>
      </c>
      <c r="CV5" s="50">
        <v>11784967</v>
      </c>
      <c r="CW5" s="50">
        <v>12010280</v>
      </c>
      <c r="CX5" s="50">
        <v>12229953</v>
      </c>
      <c r="CY5" s="50">
        <v>12454204</v>
      </c>
      <c r="CZ5" s="50">
        <v>12678275</v>
      </c>
      <c r="DA5" s="50">
        <v>12901999</v>
      </c>
      <c r="DB5" s="50">
        <v>13125804</v>
      </c>
      <c r="DC5" s="50">
        <v>13347732</v>
      </c>
      <c r="DD5" s="50">
        <v>13570418</v>
      </c>
      <c r="DE5" s="50">
        <v>13792761</v>
      </c>
      <c r="DF5" s="50">
        <v>14014614</v>
      </c>
      <c r="DG5" s="50">
        <v>14235351</v>
      </c>
      <c r="DH5" s="50">
        <v>14456287</v>
      </c>
      <c r="DI5" s="50">
        <v>14673402</v>
      </c>
      <c r="DJ5" s="50">
        <v>14888876</v>
      </c>
      <c r="DK5" s="50">
        <v>15102533</v>
      </c>
      <c r="DL5" s="50">
        <v>15313881</v>
      </c>
      <c r="DM5" s="50">
        <v>15523702</v>
      </c>
      <c r="DN5" s="50">
        <v>15728959</v>
      </c>
      <c r="DO5" s="50">
        <v>15931336</v>
      </c>
      <c r="DP5" s="50">
        <v>16130644</v>
      </c>
      <c r="DQ5" s="50">
        <v>16326788</v>
      </c>
      <c r="DR5" s="50">
        <v>16519307</v>
      </c>
      <c r="DS5" s="50">
        <v>16707676</v>
      </c>
      <c r="DT5" s="50">
        <v>16892332</v>
      </c>
      <c r="DU5" s="50">
        <v>17073102</v>
      </c>
      <c r="DV5" s="50">
        <v>17250156</v>
      </c>
      <c r="DW5" s="50">
        <v>17422288</v>
      </c>
      <c r="DX5" s="50">
        <v>17590805</v>
      </c>
      <c r="DY5" s="50">
        <v>17755123</v>
      </c>
      <c r="DZ5" s="50">
        <v>17915090</v>
      </c>
      <c r="EA5" s="50">
        <v>18070999</v>
      </c>
      <c r="EB5" s="50">
        <v>18221385</v>
      </c>
      <c r="EC5" s="50">
        <v>18368445</v>
      </c>
      <c r="ED5" s="50">
        <v>18511038</v>
      </c>
      <c r="EE5" s="50">
        <v>18649038</v>
      </c>
      <c r="EF5" s="50">
        <v>18782673</v>
      </c>
      <c r="EG5" s="50">
        <v>18910790</v>
      </c>
      <c r="EH5" s="50">
        <v>19035147</v>
      </c>
      <c r="EI5" s="50">
        <v>19154801</v>
      </c>
      <c r="EJ5" s="50">
        <v>19269651</v>
      </c>
      <c r="EK5" s="50">
        <v>19379606</v>
      </c>
      <c r="EL5" s="50">
        <v>19484556</v>
      </c>
      <c r="EM5" s="50">
        <v>19584545</v>
      </c>
      <c r="EN5" s="50">
        <v>19679355</v>
      </c>
      <c r="EO5" s="50">
        <v>19768907</v>
      </c>
      <c r="EP5" s="50">
        <v>19854961</v>
      </c>
      <c r="EQ5" s="50">
        <v>19931944</v>
      </c>
      <c r="ER5" s="50">
        <v>20011039</v>
      </c>
      <c r="ES5" s="50">
        <v>20086480</v>
      </c>
      <c r="ET5" s="50">
        <v>20158221</v>
      </c>
      <c r="EU5" s="50">
        <v>20226221</v>
      </c>
      <c r="EV5" s="50">
        <v>20290430</v>
      </c>
    </row>
    <row r="6" spans="1:152">
      <c r="A6" s="42" t="s">
        <v>82</v>
      </c>
      <c r="B6" s="46">
        <v>24310896</v>
      </c>
      <c r="C6" s="46">
        <v>24765581</v>
      </c>
      <c r="D6" s="46">
        <v>25219910</v>
      </c>
      <c r="E6" s="46">
        <v>25673550</v>
      </c>
      <c r="F6" s="46">
        <v>26127351</v>
      </c>
      <c r="G6" s="46">
        <v>26577423</v>
      </c>
      <c r="H6" s="46">
        <v>27030656</v>
      </c>
      <c r="I6" s="46">
        <v>27483208</v>
      </c>
      <c r="J6" s="46">
        <v>27934783</v>
      </c>
      <c r="K6" s="46">
        <v>28384132</v>
      </c>
      <c r="L6" s="46">
        <v>28833845</v>
      </c>
      <c r="M6" s="46">
        <v>29277736</v>
      </c>
      <c r="N6" s="46">
        <v>29718357</v>
      </c>
      <c r="O6" s="46">
        <v>30155352</v>
      </c>
      <c r="P6" s="46">
        <v>30587736</v>
      </c>
      <c r="Q6" s="46">
        <v>31017064</v>
      </c>
      <c r="R6" s="46">
        <v>31439105</v>
      </c>
      <c r="S6" s="46">
        <v>31855396</v>
      </c>
      <c r="T6" s="46">
        <v>32265553</v>
      </c>
      <c r="U6" s="46">
        <v>32669379</v>
      </c>
      <c r="V6" s="46">
        <v>33065965</v>
      </c>
      <c r="W6" s="46">
        <v>33456022</v>
      </c>
      <c r="X6" s="46">
        <v>33838655</v>
      </c>
      <c r="Y6" s="46">
        <v>34213506</v>
      </c>
      <c r="Z6" s="46">
        <v>34580906</v>
      </c>
      <c r="AA6" s="46">
        <v>34938434</v>
      </c>
      <c r="AB6" s="46">
        <v>35289945</v>
      </c>
      <c r="AC6" s="46">
        <v>35633043</v>
      </c>
    </row>
    <row r="8" spans="1:152">
      <c r="A8" s="51" t="s">
        <v>83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</row>
    <row r="9" spans="1:152">
      <c r="A9" s="52">
        <v>0</v>
      </c>
      <c r="B9" s="38">
        <v>553335</v>
      </c>
      <c r="C9" s="38">
        <v>560034</v>
      </c>
      <c r="D9" s="38">
        <v>566727</v>
      </c>
      <c r="E9" s="38">
        <v>573402</v>
      </c>
      <c r="F9" s="38">
        <v>580080</v>
      </c>
      <c r="G9" s="38">
        <v>586678</v>
      </c>
      <c r="H9" s="38">
        <v>587449</v>
      </c>
      <c r="I9" s="38">
        <v>588204</v>
      </c>
      <c r="J9" s="38">
        <v>588939</v>
      </c>
      <c r="K9" s="38">
        <v>589626</v>
      </c>
      <c r="L9" s="38">
        <v>590326</v>
      </c>
      <c r="M9" s="38">
        <v>588794</v>
      </c>
      <c r="N9" s="38">
        <v>587193</v>
      </c>
      <c r="O9" s="38">
        <v>585519</v>
      </c>
      <c r="P9" s="38">
        <v>583756</v>
      </c>
      <c r="Q9" s="38">
        <v>581937</v>
      </c>
      <c r="R9" s="38">
        <v>579930</v>
      </c>
      <c r="S9" s="38">
        <v>577810</v>
      </c>
      <c r="T9" s="38">
        <v>575577</v>
      </c>
      <c r="U9" s="38">
        <v>573232</v>
      </c>
      <c r="V9" s="38">
        <v>570768</v>
      </c>
      <c r="W9" s="38">
        <v>569005</v>
      </c>
      <c r="X9" s="38">
        <v>567110</v>
      </c>
      <c r="Y9" s="38">
        <v>565083</v>
      </c>
      <c r="Z9" s="38">
        <v>562935</v>
      </c>
      <c r="AA9" s="38">
        <v>560631</v>
      </c>
      <c r="AB9" s="38">
        <v>558715</v>
      </c>
      <c r="AC9" s="38">
        <v>556661</v>
      </c>
      <c r="AD9" s="62">
        <f>+B9/B14</f>
        <v>0.20008085170546114</v>
      </c>
      <c r="AE9" s="62"/>
      <c r="AF9" s="62"/>
      <c r="AG9" s="62"/>
      <c r="AH9" s="62"/>
      <c r="AI9" s="62"/>
      <c r="AJ9" s="62"/>
      <c r="AK9" s="62"/>
      <c r="AL9" s="62"/>
      <c r="AM9" s="62"/>
      <c r="AN9" s="62"/>
    </row>
    <row r="10" spans="1:152">
      <c r="A10" s="52">
        <v>1</v>
      </c>
      <c r="B10" s="38">
        <v>555223</v>
      </c>
      <c r="C10" s="38">
        <v>559206</v>
      </c>
      <c r="D10" s="38">
        <v>563181</v>
      </c>
      <c r="E10" s="38">
        <v>567141</v>
      </c>
      <c r="F10" s="38">
        <v>571103</v>
      </c>
      <c r="G10" s="38">
        <v>574986</v>
      </c>
      <c r="H10" s="38">
        <v>577156</v>
      </c>
      <c r="I10" s="38">
        <v>579311</v>
      </c>
      <c r="J10" s="38">
        <v>581446</v>
      </c>
      <c r="K10" s="38">
        <v>583534</v>
      </c>
      <c r="L10" s="38">
        <v>585634</v>
      </c>
      <c r="M10" s="38">
        <v>585417</v>
      </c>
      <c r="N10" s="38">
        <v>585132</v>
      </c>
      <c r="O10" s="38">
        <v>584775</v>
      </c>
      <c r="P10" s="38">
        <v>584328</v>
      </c>
      <c r="Q10" s="38">
        <v>583826</v>
      </c>
      <c r="R10" s="38">
        <v>582079</v>
      </c>
      <c r="S10" s="38">
        <v>580219</v>
      </c>
      <c r="T10" s="38">
        <v>578246</v>
      </c>
      <c r="U10" s="38">
        <v>576161</v>
      </c>
      <c r="V10" s="38">
        <v>573954</v>
      </c>
      <c r="W10" s="38">
        <v>571884</v>
      </c>
      <c r="X10" s="38">
        <v>569680</v>
      </c>
      <c r="Y10" s="38">
        <v>567343</v>
      </c>
      <c r="Z10" s="38">
        <v>564884</v>
      </c>
      <c r="AA10" s="38">
        <v>562271</v>
      </c>
      <c r="AB10" s="38">
        <v>560177</v>
      </c>
      <c r="AC10" s="38">
        <v>557944</v>
      </c>
      <c r="AD10" s="62">
        <f>+B10/B14</f>
        <v>0.20076353515765541</v>
      </c>
      <c r="AE10" s="62"/>
      <c r="AF10" s="62"/>
      <c r="AG10" s="62"/>
      <c r="AH10" s="62"/>
      <c r="AI10" s="62"/>
      <c r="AJ10" s="62"/>
      <c r="AK10" s="62"/>
      <c r="AL10" s="62"/>
      <c r="AM10" s="62"/>
      <c r="AN10" s="62"/>
    </row>
    <row r="11" spans="1:152">
      <c r="A11" s="52">
        <v>2</v>
      </c>
      <c r="B11" s="38">
        <v>554738</v>
      </c>
      <c r="C11" s="38">
        <v>557062</v>
      </c>
      <c r="D11" s="38">
        <v>559377</v>
      </c>
      <c r="E11" s="38">
        <v>561677</v>
      </c>
      <c r="F11" s="38">
        <v>563979</v>
      </c>
      <c r="G11" s="38">
        <v>566203</v>
      </c>
      <c r="H11" s="38">
        <v>569316</v>
      </c>
      <c r="I11" s="38">
        <v>572414</v>
      </c>
      <c r="J11" s="38">
        <v>575491</v>
      </c>
      <c r="K11" s="38">
        <v>578523</v>
      </c>
      <c r="L11" s="38">
        <v>581566</v>
      </c>
      <c r="M11" s="38">
        <v>582337</v>
      </c>
      <c r="N11" s="38">
        <v>583041</v>
      </c>
      <c r="O11" s="38">
        <v>583672</v>
      </c>
      <c r="P11" s="38">
        <v>584216</v>
      </c>
      <c r="Q11" s="38">
        <v>584703</v>
      </c>
      <c r="R11" s="38">
        <v>583254</v>
      </c>
      <c r="S11" s="38">
        <v>581693</v>
      </c>
      <c r="T11" s="38">
        <v>580019</v>
      </c>
      <c r="U11" s="38">
        <v>578233</v>
      </c>
      <c r="V11" s="38">
        <v>576324</v>
      </c>
      <c r="W11" s="38">
        <v>574108</v>
      </c>
      <c r="X11" s="38">
        <v>571758</v>
      </c>
      <c r="Y11" s="38">
        <v>569274</v>
      </c>
      <c r="Z11" s="38">
        <v>566669</v>
      </c>
      <c r="AA11" s="38">
        <v>563908</v>
      </c>
      <c r="AB11" s="38">
        <v>561718</v>
      </c>
      <c r="AC11" s="38">
        <v>559388</v>
      </c>
      <c r="AD11" s="62">
        <f>+B11/B14</f>
        <v>0.20058816361405676</v>
      </c>
      <c r="AE11" s="62"/>
      <c r="AF11" s="62"/>
      <c r="AG11" s="62"/>
      <c r="AH11" s="62"/>
      <c r="AI11" s="62"/>
      <c r="AJ11" s="62"/>
      <c r="AK11" s="62"/>
      <c r="AL11" s="62"/>
      <c r="AM11" s="62"/>
      <c r="AN11" s="62"/>
    </row>
    <row r="12" spans="1:152">
      <c r="A12" s="52">
        <v>3</v>
      </c>
      <c r="B12" s="38">
        <v>552627</v>
      </c>
      <c r="C12" s="38">
        <v>554100</v>
      </c>
      <c r="D12" s="38">
        <v>555564</v>
      </c>
      <c r="E12" s="38">
        <v>557012</v>
      </c>
      <c r="F12" s="38">
        <v>558464</v>
      </c>
      <c r="G12" s="38">
        <v>559837</v>
      </c>
      <c r="H12" s="38">
        <v>563502</v>
      </c>
      <c r="I12" s="38">
        <v>567151</v>
      </c>
      <c r="J12" s="38">
        <v>570780</v>
      </c>
      <c r="K12" s="38">
        <v>574364</v>
      </c>
      <c r="L12" s="38">
        <v>577958</v>
      </c>
      <c r="M12" s="38">
        <v>579450</v>
      </c>
      <c r="N12" s="38">
        <v>580874</v>
      </c>
      <c r="O12" s="38">
        <v>582226</v>
      </c>
      <c r="P12" s="38">
        <v>583490</v>
      </c>
      <c r="Q12" s="38">
        <v>584698</v>
      </c>
      <c r="R12" s="38">
        <v>583588</v>
      </c>
      <c r="S12" s="38">
        <v>582365</v>
      </c>
      <c r="T12" s="38">
        <v>581029</v>
      </c>
      <c r="U12" s="38">
        <v>579580</v>
      </c>
      <c r="V12" s="38">
        <v>578008</v>
      </c>
      <c r="W12" s="38">
        <v>575785</v>
      </c>
      <c r="X12" s="38">
        <v>573429</v>
      </c>
      <c r="Y12" s="38">
        <v>570939</v>
      </c>
      <c r="Z12" s="38">
        <v>568326</v>
      </c>
      <c r="AA12" s="38">
        <v>565558</v>
      </c>
      <c r="AB12" s="38">
        <v>563337</v>
      </c>
      <c r="AC12" s="38">
        <v>560976</v>
      </c>
      <c r="AD12" s="62">
        <f>+B12/B14</f>
        <v>0.1998248454108883</v>
      </c>
      <c r="AE12" s="62"/>
      <c r="AF12" s="62"/>
      <c r="AG12" s="62"/>
      <c r="AH12" s="62"/>
      <c r="AI12" s="62"/>
      <c r="AJ12" s="62"/>
      <c r="AK12" s="62"/>
      <c r="AL12" s="62"/>
      <c r="AM12" s="62"/>
      <c r="AN12" s="62"/>
    </row>
    <row r="13" spans="1:152">
      <c r="A13" s="52">
        <v>4</v>
      </c>
      <c r="B13" s="38">
        <v>549634</v>
      </c>
      <c r="C13" s="38">
        <v>550816</v>
      </c>
      <c r="D13" s="38">
        <v>551991</v>
      </c>
      <c r="E13" s="38">
        <v>553149</v>
      </c>
      <c r="F13" s="38">
        <v>554310</v>
      </c>
      <c r="G13" s="38">
        <v>555394</v>
      </c>
      <c r="H13" s="38">
        <v>559284</v>
      </c>
      <c r="I13" s="38">
        <v>563160</v>
      </c>
      <c r="J13" s="38">
        <v>567016</v>
      </c>
      <c r="K13" s="38">
        <v>570826</v>
      </c>
      <c r="L13" s="38">
        <v>574647</v>
      </c>
      <c r="M13" s="38">
        <v>576649</v>
      </c>
      <c r="N13" s="38">
        <v>578585</v>
      </c>
      <c r="O13" s="38">
        <v>580449</v>
      </c>
      <c r="P13" s="38">
        <v>582225</v>
      </c>
      <c r="Q13" s="38">
        <v>583946</v>
      </c>
      <c r="R13" s="38">
        <v>583212</v>
      </c>
      <c r="S13" s="38">
        <v>582366</v>
      </c>
      <c r="T13" s="38">
        <v>581406</v>
      </c>
      <c r="U13" s="38">
        <v>580335</v>
      </c>
      <c r="V13" s="38">
        <v>579137</v>
      </c>
      <c r="W13" s="38">
        <v>577025</v>
      </c>
      <c r="X13" s="38">
        <v>574779</v>
      </c>
      <c r="Y13" s="38">
        <v>572398</v>
      </c>
      <c r="Z13" s="38">
        <v>569894</v>
      </c>
      <c r="AA13" s="38">
        <v>567233</v>
      </c>
      <c r="AB13" s="38">
        <v>565034</v>
      </c>
      <c r="AC13" s="38">
        <v>562693</v>
      </c>
      <c r="AD13" s="62">
        <f>+B13/B14</f>
        <v>0.19874260411193839</v>
      </c>
      <c r="AE13" s="62"/>
      <c r="AF13" s="62"/>
      <c r="AG13" s="62"/>
      <c r="AH13" s="62"/>
      <c r="AI13" s="62"/>
      <c r="AJ13" s="62"/>
      <c r="AK13" s="62"/>
      <c r="AL13" s="62"/>
      <c r="AM13" s="62"/>
      <c r="AN13" s="62"/>
    </row>
    <row r="14" spans="1:152">
      <c r="A14" s="51" t="s">
        <v>84</v>
      </c>
      <c r="B14" s="65">
        <f>SUM(B9:B13)</f>
        <v>2765557</v>
      </c>
      <c r="C14" s="65">
        <f t="shared" ref="C14:AC14" si="0">SUM(C9:C13)</f>
        <v>2781218</v>
      </c>
      <c r="D14" s="65">
        <f t="shared" si="0"/>
        <v>2796840</v>
      </c>
      <c r="E14" s="65">
        <f t="shared" si="0"/>
        <v>2812381</v>
      </c>
      <c r="F14" s="65">
        <f t="shared" si="0"/>
        <v>2827936</v>
      </c>
      <c r="G14" s="65">
        <f t="shared" si="0"/>
        <v>2843098</v>
      </c>
      <c r="H14" s="65">
        <f t="shared" si="0"/>
        <v>2856707</v>
      </c>
      <c r="I14" s="65">
        <f t="shared" si="0"/>
        <v>2870240</v>
      </c>
      <c r="J14" s="65">
        <f t="shared" si="0"/>
        <v>2883672</v>
      </c>
      <c r="K14" s="65">
        <f t="shared" si="0"/>
        <v>2896873</v>
      </c>
      <c r="L14" s="65">
        <f t="shared" si="0"/>
        <v>2910131</v>
      </c>
      <c r="M14" s="65">
        <f t="shared" si="0"/>
        <v>2912647</v>
      </c>
      <c r="N14" s="65">
        <f t="shared" si="0"/>
        <v>2914825</v>
      </c>
      <c r="O14" s="65">
        <f t="shared" si="0"/>
        <v>2916641</v>
      </c>
      <c r="P14" s="65">
        <f t="shared" si="0"/>
        <v>2918015</v>
      </c>
      <c r="Q14" s="65">
        <f t="shared" si="0"/>
        <v>2919110</v>
      </c>
      <c r="R14" s="65">
        <f t="shared" si="0"/>
        <v>2912063</v>
      </c>
      <c r="S14" s="65">
        <f t="shared" si="0"/>
        <v>2904453</v>
      </c>
      <c r="T14" s="65">
        <f t="shared" si="0"/>
        <v>2896277</v>
      </c>
      <c r="U14" s="65">
        <f t="shared" si="0"/>
        <v>2887541</v>
      </c>
      <c r="V14" s="65">
        <f t="shared" si="0"/>
        <v>2878191</v>
      </c>
      <c r="W14" s="65">
        <f t="shared" si="0"/>
        <v>2867807</v>
      </c>
      <c r="X14" s="65">
        <f t="shared" si="0"/>
        <v>2856756</v>
      </c>
      <c r="Y14" s="65">
        <f t="shared" si="0"/>
        <v>2845037</v>
      </c>
      <c r="Z14" s="65">
        <f t="shared" si="0"/>
        <v>2832708</v>
      </c>
      <c r="AA14" s="65">
        <f t="shared" si="0"/>
        <v>2819601</v>
      </c>
      <c r="AB14" s="65">
        <f t="shared" si="0"/>
        <v>2808981</v>
      </c>
      <c r="AC14" s="65">
        <f t="shared" si="0"/>
        <v>2797662</v>
      </c>
      <c r="AE14" s="62"/>
      <c r="AF14" s="62"/>
      <c r="AG14" s="62"/>
      <c r="AH14" s="62"/>
      <c r="AI14" s="62"/>
      <c r="AJ14" s="62"/>
      <c r="AK14" s="62"/>
      <c r="AL14" s="62"/>
      <c r="AM14" s="62"/>
      <c r="AN14" s="62"/>
    </row>
    <row r="15" spans="1:152">
      <c r="A15" s="52">
        <v>5</v>
      </c>
      <c r="B15" s="38">
        <v>546548</v>
      </c>
      <c r="C15" s="38">
        <v>547741</v>
      </c>
      <c r="D15" s="38">
        <v>548927</v>
      </c>
      <c r="E15" s="38">
        <v>550097</v>
      </c>
      <c r="F15" s="38">
        <v>551269</v>
      </c>
      <c r="G15" s="38">
        <v>552365</v>
      </c>
      <c r="H15" s="38">
        <v>556222</v>
      </c>
      <c r="I15" s="38">
        <v>560066</v>
      </c>
      <c r="J15" s="38">
        <v>563890</v>
      </c>
      <c r="K15" s="38">
        <v>567668</v>
      </c>
      <c r="L15" s="38">
        <v>571456</v>
      </c>
      <c r="M15" s="38">
        <v>573823</v>
      </c>
      <c r="N15" s="38">
        <v>576125</v>
      </c>
      <c r="O15" s="38">
        <v>578353</v>
      </c>
      <c r="P15" s="38">
        <v>580495</v>
      </c>
      <c r="Q15" s="38">
        <v>582583</v>
      </c>
      <c r="R15" s="38">
        <v>582264</v>
      </c>
      <c r="S15" s="38">
        <v>581834</v>
      </c>
      <c r="T15" s="38">
        <v>581290</v>
      </c>
      <c r="U15" s="38">
        <v>580634</v>
      </c>
      <c r="V15" s="38">
        <v>579852</v>
      </c>
      <c r="W15" s="38">
        <v>577940</v>
      </c>
      <c r="X15" s="38">
        <v>575895</v>
      </c>
      <c r="Y15" s="38">
        <v>573716</v>
      </c>
      <c r="Z15" s="38">
        <v>571413</v>
      </c>
      <c r="AA15" s="38">
        <v>568953</v>
      </c>
      <c r="AB15" s="38">
        <v>566807</v>
      </c>
      <c r="AC15" s="38">
        <v>564520</v>
      </c>
      <c r="AD15" s="62">
        <f>+B15/B20</f>
        <v>0.20077275108348988</v>
      </c>
      <c r="AE15" s="62"/>
      <c r="AF15" s="62"/>
      <c r="AG15" s="62"/>
      <c r="AH15" s="62"/>
      <c r="AI15" s="62"/>
      <c r="AJ15" s="62"/>
      <c r="AK15" s="62"/>
      <c r="AL15" s="62"/>
      <c r="AM15" s="62"/>
      <c r="AN15" s="62"/>
    </row>
    <row r="16" spans="1:152">
      <c r="A16" s="52">
        <v>6</v>
      </c>
      <c r="B16" s="38">
        <v>544113</v>
      </c>
      <c r="C16" s="38">
        <v>545372</v>
      </c>
      <c r="D16" s="38">
        <v>546622</v>
      </c>
      <c r="E16" s="38">
        <v>547856</v>
      </c>
      <c r="F16" s="38">
        <v>549094</v>
      </c>
      <c r="G16" s="38">
        <v>550254</v>
      </c>
      <c r="H16" s="38">
        <v>553888</v>
      </c>
      <c r="I16" s="38">
        <v>557506</v>
      </c>
      <c r="J16" s="38">
        <v>561105</v>
      </c>
      <c r="K16" s="38">
        <v>564659</v>
      </c>
      <c r="L16" s="38">
        <v>568223</v>
      </c>
      <c r="M16" s="38">
        <v>570867</v>
      </c>
      <c r="N16" s="38">
        <v>573445</v>
      </c>
      <c r="O16" s="38">
        <v>575953</v>
      </c>
      <c r="P16" s="38">
        <v>578373</v>
      </c>
      <c r="Q16" s="38">
        <v>580740</v>
      </c>
      <c r="R16" s="38">
        <v>580875</v>
      </c>
      <c r="S16" s="38">
        <v>580899</v>
      </c>
      <c r="T16" s="38">
        <v>580810</v>
      </c>
      <c r="U16" s="38">
        <v>580609</v>
      </c>
      <c r="V16" s="38">
        <v>580281</v>
      </c>
      <c r="W16" s="38">
        <v>578640</v>
      </c>
      <c r="X16" s="38">
        <v>576865</v>
      </c>
      <c r="Y16" s="38">
        <v>574954</v>
      </c>
      <c r="Z16" s="38">
        <v>572921</v>
      </c>
      <c r="AA16" s="38">
        <v>570730</v>
      </c>
      <c r="AB16" s="38">
        <v>568657</v>
      </c>
      <c r="AC16" s="38">
        <v>566444</v>
      </c>
      <c r="AD16" s="62">
        <f>+B16/B20</f>
        <v>0.19987826121455193</v>
      </c>
      <c r="AE16" s="62"/>
      <c r="AF16" s="62"/>
      <c r="AG16" s="62"/>
      <c r="AH16" s="62"/>
      <c r="AI16" s="62"/>
      <c r="AJ16" s="62"/>
      <c r="AK16" s="62"/>
      <c r="AL16" s="62"/>
      <c r="AM16" s="62"/>
      <c r="AN16" s="62"/>
    </row>
    <row r="17" spans="1:40">
      <c r="A17" s="52">
        <v>7</v>
      </c>
      <c r="B17" s="38">
        <v>542938</v>
      </c>
      <c r="C17" s="38">
        <v>544105</v>
      </c>
      <c r="D17" s="38">
        <v>545262</v>
      </c>
      <c r="E17" s="38">
        <v>546404</v>
      </c>
      <c r="F17" s="38">
        <v>547550</v>
      </c>
      <c r="G17" s="38">
        <v>548617</v>
      </c>
      <c r="H17" s="38">
        <v>551895</v>
      </c>
      <c r="I17" s="38">
        <v>555159</v>
      </c>
      <c r="J17" s="38">
        <v>558402</v>
      </c>
      <c r="K17" s="38">
        <v>561602</v>
      </c>
      <c r="L17" s="38">
        <v>564810</v>
      </c>
      <c r="M17" s="38">
        <v>567696</v>
      </c>
      <c r="N17" s="38">
        <v>570516</v>
      </c>
      <c r="O17" s="38">
        <v>573266</v>
      </c>
      <c r="P17" s="38">
        <v>575929</v>
      </c>
      <c r="Q17" s="38">
        <v>578539</v>
      </c>
      <c r="R17" s="38">
        <v>579165</v>
      </c>
      <c r="S17" s="38">
        <v>579680</v>
      </c>
      <c r="T17" s="38">
        <v>580082</v>
      </c>
      <c r="U17" s="38">
        <v>580373</v>
      </c>
      <c r="V17" s="38">
        <v>580537</v>
      </c>
      <c r="W17" s="38">
        <v>579212</v>
      </c>
      <c r="X17" s="38">
        <v>577754</v>
      </c>
      <c r="Y17" s="38">
        <v>576160</v>
      </c>
      <c r="Z17" s="38">
        <v>574443</v>
      </c>
      <c r="AA17" s="38">
        <v>572567</v>
      </c>
      <c r="AB17" s="38">
        <v>570576</v>
      </c>
      <c r="AC17" s="38">
        <v>568442</v>
      </c>
      <c r="AD17" s="62">
        <f>+B17/B20</f>
        <v>0.19944662852625539</v>
      </c>
      <c r="AE17" s="62"/>
      <c r="AF17" s="62"/>
      <c r="AG17" s="62"/>
      <c r="AH17" s="62"/>
      <c r="AI17" s="62"/>
      <c r="AJ17" s="62"/>
      <c r="AK17" s="62"/>
      <c r="AL17" s="62"/>
      <c r="AM17" s="62"/>
      <c r="AN17" s="62"/>
    </row>
    <row r="18" spans="1:40">
      <c r="A18" s="52">
        <v>8</v>
      </c>
      <c r="B18" s="38">
        <v>543406</v>
      </c>
      <c r="C18" s="38">
        <v>544172</v>
      </c>
      <c r="D18" s="38">
        <v>544929</v>
      </c>
      <c r="E18" s="38">
        <v>545671</v>
      </c>
      <c r="F18" s="38">
        <v>546416</v>
      </c>
      <c r="G18" s="38">
        <v>547083</v>
      </c>
      <c r="H18" s="38">
        <v>549932</v>
      </c>
      <c r="I18" s="38">
        <v>552766</v>
      </c>
      <c r="J18" s="38">
        <v>555580</v>
      </c>
      <c r="K18" s="38">
        <v>558350</v>
      </c>
      <c r="L18" s="38">
        <v>561129</v>
      </c>
      <c r="M18" s="38">
        <v>564260</v>
      </c>
      <c r="N18" s="38">
        <v>567325</v>
      </c>
      <c r="O18" s="38">
        <v>570321</v>
      </c>
      <c r="P18" s="38">
        <v>573231</v>
      </c>
      <c r="Q18" s="38">
        <v>576085</v>
      </c>
      <c r="R18" s="38">
        <v>577232</v>
      </c>
      <c r="S18" s="38">
        <v>578270</v>
      </c>
      <c r="T18" s="38">
        <v>579195</v>
      </c>
      <c r="U18" s="38">
        <v>580008</v>
      </c>
      <c r="V18" s="38">
        <v>580695</v>
      </c>
      <c r="W18" s="38">
        <v>579716</v>
      </c>
      <c r="X18" s="38">
        <v>578603</v>
      </c>
      <c r="Y18" s="38">
        <v>577355</v>
      </c>
      <c r="Z18" s="38">
        <v>575983</v>
      </c>
      <c r="AA18" s="38">
        <v>574452</v>
      </c>
      <c r="AB18" s="38">
        <v>572538</v>
      </c>
      <c r="AC18" s="38">
        <v>570482</v>
      </c>
      <c r="AD18" s="62">
        <f>+B18/B20</f>
        <v>0.19961854690763647</v>
      </c>
      <c r="AE18" s="62"/>
      <c r="AF18" s="62"/>
      <c r="AG18" s="62"/>
      <c r="AH18" s="62"/>
      <c r="AI18" s="62"/>
      <c r="AJ18" s="62"/>
      <c r="AK18" s="62"/>
      <c r="AL18" s="62"/>
      <c r="AM18" s="62"/>
      <c r="AN18" s="62"/>
    </row>
    <row r="19" spans="1:40">
      <c r="A19" s="52">
        <v>9</v>
      </c>
      <c r="B19" s="38">
        <v>545217</v>
      </c>
      <c r="C19" s="38">
        <v>545307</v>
      </c>
      <c r="D19" s="38">
        <v>545388</v>
      </c>
      <c r="E19" s="38">
        <v>545454</v>
      </c>
      <c r="F19" s="38">
        <v>545523</v>
      </c>
      <c r="G19" s="38">
        <v>545513</v>
      </c>
      <c r="H19" s="38">
        <v>547898</v>
      </c>
      <c r="I19" s="38">
        <v>550267</v>
      </c>
      <c r="J19" s="38">
        <v>552617</v>
      </c>
      <c r="K19" s="38">
        <v>554923</v>
      </c>
      <c r="L19" s="38">
        <v>557237</v>
      </c>
      <c r="M19" s="38">
        <v>560615</v>
      </c>
      <c r="N19" s="38">
        <v>563928</v>
      </c>
      <c r="O19" s="38">
        <v>567172</v>
      </c>
      <c r="P19" s="38">
        <v>570330</v>
      </c>
      <c r="Q19" s="38">
        <v>573431</v>
      </c>
      <c r="R19" s="38">
        <v>575115</v>
      </c>
      <c r="S19" s="38">
        <v>576691</v>
      </c>
      <c r="T19" s="38">
        <v>578154</v>
      </c>
      <c r="U19" s="38">
        <v>579505</v>
      </c>
      <c r="V19" s="38">
        <v>580731</v>
      </c>
      <c r="W19" s="38">
        <v>580117</v>
      </c>
      <c r="X19" s="38">
        <v>579370</v>
      </c>
      <c r="Y19" s="38">
        <v>578488</v>
      </c>
      <c r="Z19" s="38">
        <v>577481</v>
      </c>
      <c r="AA19" s="38">
        <v>576314</v>
      </c>
      <c r="AB19" s="38">
        <v>574481</v>
      </c>
      <c r="AC19" s="38">
        <v>572505</v>
      </c>
      <c r="AD19" s="62">
        <f>+B19/B20</f>
        <v>0.2002838122680663</v>
      </c>
      <c r="AE19" s="62"/>
      <c r="AF19" s="62"/>
      <c r="AG19" s="62"/>
      <c r="AH19" s="62"/>
      <c r="AI19" s="62"/>
      <c r="AJ19" s="62"/>
      <c r="AK19" s="62"/>
      <c r="AL19" s="62"/>
      <c r="AM19" s="62"/>
      <c r="AN19" s="62"/>
    </row>
    <row r="20" spans="1:40">
      <c r="A20" s="51" t="s">
        <v>85</v>
      </c>
      <c r="B20" s="46">
        <f>SUM(B15:B19)</f>
        <v>2722222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6">
        <v>0</v>
      </c>
      <c r="U20" s="46">
        <v>0</v>
      </c>
      <c r="V20" s="46">
        <v>0</v>
      </c>
      <c r="W20" s="46">
        <v>0</v>
      </c>
      <c r="X20" s="46">
        <v>0</v>
      </c>
      <c r="Y20" s="46">
        <v>0</v>
      </c>
      <c r="Z20" s="46">
        <v>0</v>
      </c>
      <c r="AA20" s="46">
        <v>0</v>
      </c>
      <c r="AB20" s="46">
        <v>0</v>
      </c>
      <c r="AC20" s="46">
        <v>0</v>
      </c>
      <c r="AE20" s="62"/>
      <c r="AF20" s="62"/>
      <c r="AG20" s="62"/>
      <c r="AH20" s="62"/>
      <c r="AI20" s="62"/>
      <c r="AJ20" s="62"/>
      <c r="AK20" s="62"/>
      <c r="AL20" s="62"/>
      <c r="AM20" s="62"/>
      <c r="AN20" s="62"/>
    </row>
    <row r="21" spans="1:40">
      <c r="A21" s="52">
        <v>10</v>
      </c>
      <c r="B21" s="38">
        <v>547352</v>
      </c>
      <c r="C21" s="38">
        <v>546716</v>
      </c>
      <c r="D21" s="38">
        <v>546071</v>
      </c>
      <c r="E21" s="38">
        <v>545411</v>
      </c>
      <c r="F21" s="38">
        <v>544755</v>
      </c>
      <c r="G21" s="38">
        <v>544018</v>
      </c>
      <c r="H21" s="38">
        <v>545923</v>
      </c>
      <c r="I21" s="38">
        <v>547813</v>
      </c>
      <c r="J21" s="38">
        <v>549682</v>
      </c>
      <c r="K21" s="38">
        <v>551508</v>
      </c>
      <c r="L21" s="38">
        <v>553343</v>
      </c>
      <c r="M21" s="38">
        <v>556928</v>
      </c>
      <c r="N21" s="38">
        <v>560448</v>
      </c>
      <c r="O21" s="38">
        <v>563900</v>
      </c>
      <c r="P21" s="38">
        <v>567266</v>
      </c>
      <c r="Q21" s="38">
        <v>570575</v>
      </c>
      <c r="R21" s="38">
        <v>572784</v>
      </c>
      <c r="S21" s="38">
        <v>574887</v>
      </c>
      <c r="T21" s="38">
        <v>576876</v>
      </c>
      <c r="U21" s="38">
        <v>578755</v>
      </c>
      <c r="V21" s="38">
        <v>580508</v>
      </c>
      <c r="W21" s="38">
        <v>580282</v>
      </c>
      <c r="X21" s="38">
        <v>579923</v>
      </c>
      <c r="Y21" s="38">
        <v>579429</v>
      </c>
      <c r="Z21" s="38">
        <v>578809</v>
      </c>
      <c r="AA21" s="38">
        <v>578030</v>
      </c>
      <c r="AB21" s="38">
        <v>576296</v>
      </c>
      <c r="AC21" s="38">
        <v>574419</v>
      </c>
      <c r="AD21" s="62">
        <f>+B21/B26</f>
        <v>0.20207706478921078</v>
      </c>
      <c r="AE21" s="62"/>
      <c r="AF21" s="62"/>
      <c r="AG21" s="62"/>
      <c r="AH21" s="62"/>
      <c r="AI21" s="62"/>
      <c r="AJ21" s="62"/>
      <c r="AK21" s="62"/>
      <c r="AL21" s="62"/>
      <c r="AM21" s="62"/>
      <c r="AN21" s="62"/>
    </row>
    <row r="22" spans="1:40">
      <c r="A22" s="52">
        <v>11</v>
      </c>
      <c r="B22" s="38">
        <v>548152</v>
      </c>
      <c r="C22" s="38">
        <v>547138</v>
      </c>
      <c r="D22" s="38">
        <v>546115</v>
      </c>
      <c r="E22" s="38">
        <v>545075</v>
      </c>
      <c r="F22" s="38">
        <v>544040</v>
      </c>
      <c r="G22" s="38">
        <v>542924</v>
      </c>
      <c r="H22" s="38">
        <v>544337</v>
      </c>
      <c r="I22" s="38">
        <v>545735</v>
      </c>
      <c r="J22" s="38">
        <v>547113</v>
      </c>
      <c r="K22" s="38">
        <v>548448</v>
      </c>
      <c r="L22" s="38">
        <v>549791</v>
      </c>
      <c r="M22" s="38">
        <v>553464</v>
      </c>
      <c r="N22" s="38">
        <v>557073</v>
      </c>
      <c r="O22" s="38">
        <v>560613</v>
      </c>
      <c r="P22" s="38">
        <v>564069</v>
      </c>
      <c r="Q22" s="38">
        <v>567464</v>
      </c>
      <c r="R22" s="38">
        <v>570153</v>
      </c>
      <c r="S22" s="38">
        <v>572734</v>
      </c>
      <c r="T22" s="38">
        <v>575204</v>
      </c>
      <c r="U22" s="38">
        <v>577562</v>
      </c>
      <c r="V22" s="38">
        <v>579797</v>
      </c>
      <c r="W22" s="38">
        <v>579992</v>
      </c>
      <c r="X22" s="38">
        <v>580056</v>
      </c>
      <c r="Y22" s="38">
        <v>579981</v>
      </c>
      <c r="Z22" s="38">
        <v>579783</v>
      </c>
      <c r="AA22" s="38">
        <v>579425</v>
      </c>
      <c r="AB22" s="38">
        <v>577838</v>
      </c>
      <c r="AC22" s="38">
        <v>576107</v>
      </c>
      <c r="AD22" s="62">
        <f>+B22/B26</f>
        <v>0.20237241705216291</v>
      </c>
      <c r="AE22" s="62"/>
      <c r="AF22" s="62"/>
      <c r="AG22" s="62"/>
      <c r="AH22" s="62"/>
      <c r="AI22" s="62"/>
      <c r="AJ22" s="62"/>
      <c r="AK22" s="62"/>
      <c r="AL22" s="62"/>
      <c r="AM22" s="62"/>
      <c r="AN22" s="62"/>
    </row>
    <row r="23" spans="1:40">
      <c r="A23" s="52">
        <v>12</v>
      </c>
      <c r="B23" s="38">
        <v>545692</v>
      </c>
      <c r="C23" s="38">
        <v>545115</v>
      </c>
      <c r="D23" s="38">
        <v>544529</v>
      </c>
      <c r="E23" s="38">
        <v>543927</v>
      </c>
      <c r="F23" s="38">
        <v>543328</v>
      </c>
      <c r="G23" s="38">
        <v>542650</v>
      </c>
      <c r="H23" s="38">
        <v>543556</v>
      </c>
      <c r="I23" s="38">
        <v>544447</v>
      </c>
      <c r="J23" s="38">
        <v>545319</v>
      </c>
      <c r="K23" s="38">
        <v>546147</v>
      </c>
      <c r="L23" s="38">
        <v>546983</v>
      </c>
      <c r="M23" s="38">
        <v>550529</v>
      </c>
      <c r="N23" s="38">
        <v>554013</v>
      </c>
      <c r="O23" s="38">
        <v>557428</v>
      </c>
      <c r="P23" s="38">
        <v>560758</v>
      </c>
      <c r="Q23" s="38">
        <v>564028</v>
      </c>
      <c r="R23" s="38">
        <v>567108</v>
      </c>
      <c r="S23" s="38">
        <v>570082</v>
      </c>
      <c r="T23" s="38">
        <v>572945</v>
      </c>
      <c r="U23" s="38">
        <v>575696</v>
      </c>
      <c r="V23" s="38">
        <v>578325</v>
      </c>
      <c r="W23" s="38">
        <v>578990</v>
      </c>
      <c r="X23" s="38">
        <v>579521</v>
      </c>
      <c r="Y23" s="38">
        <v>579918</v>
      </c>
      <c r="Z23" s="38">
        <v>580189</v>
      </c>
      <c r="AA23" s="38">
        <v>580301</v>
      </c>
      <c r="AB23" s="38">
        <v>578943</v>
      </c>
      <c r="AC23" s="38">
        <v>577441</v>
      </c>
      <c r="AD23" s="62">
        <f>+B23/B26</f>
        <v>0.20146420884358512</v>
      </c>
      <c r="AE23" s="62"/>
      <c r="AF23" s="62"/>
      <c r="AG23" s="62"/>
      <c r="AH23" s="62"/>
      <c r="AI23" s="62"/>
      <c r="AJ23" s="62"/>
      <c r="AK23" s="62"/>
      <c r="AL23" s="62"/>
      <c r="AM23" s="62"/>
      <c r="AN23" s="62"/>
    </row>
    <row r="24" spans="1:40">
      <c r="A24" s="52">
        <v>13</v>
      </c>
      <c r="B24" s="38">
        <v>538813</v>
      </c>
      <c r="C24" s="38">
        <v>539751</v>
      </c>
      <c r="D24" s="38">
        <v>540681</v>
      </c>
      <c r="E24" s="38">
        <v>541596</v>
      </c>
      <c r="F24" s="38">
        <v>542514</v>
      </c>
      <c r="G24" s="38">
        <v>543352</v>
      </c>
      <c r="H24" s="38">
        <v>543753</v>
      </c>
      <c r="I24" s="38">
        <v>544138</v>
      </c>
      <c r="J24" s="38">
        <v>544504</v>
      </c>
      <c r="K24" s="38">
        <v>544827</v>
      </c>
      <c r="L24" s="38">
        <v>545157</v>
      </c>
      <c r="M24" s="38">
        <v>548313</v>
      </c>
      <c r="N24" s="38">
        <v>551406</v>
      </c>
      <c r="O24" s="38">
        <v>554431</v>
      </c>
      <c r="P24" s="38">
        <v>557372</v>
      </c>
      <c r="Q24" s="38">
        <v>560254</v>
      </c>
      <c r="R24" s="38">
        <v>563610</v>
      </c>
      <c r="S24" s="38">
        <v>566860</v>
      </c>
      <c r="T24" s="38">
        <v>570001</v>
      </c>
      <c r="U24" s="38">
        <v>573030</v>
      </c>
      <c r="V24" s="38">
        <v>575938</v>
      </c>
      <c r="W24" s="38">
        <v>577123</v>
      </c>
      <c r="X24" s="38">
        <v>578176</v>
      </c>
      <c r="Y24" s="38">
        <v>579095</v>
      </c>
      <c r="Z24" s="38">
        <v>579889</v>
      </c>
      <c r="AA24" s="38">
        <v>580522</v>
      </c>
      <c r="AB24" s="38">
        <v>579496</v>
      </c>
      <c r="AC24" s="38">
        <v>578326</v>
      </c>
      <c r="AD24" s="62">
        <f>+B24/B26</f>
        <v>0.19892454857252559</v>
      </c>
      <c r="AE24" s="62"/>
      <c r="AF24" s="62"/>
      <c r="AG24" s="62"/>
      <c r="AH24" s="62"/>
      <c r="AI24" s="62"/>
      <c r="AJ24" s="62"/>
      <c r="AK24" s="62"/>
      <c r="AL24" s="62"/>
      <c r="AM24" s="62"/>
      <c r="AN24" s="62"/>
    </row>
    <row r="25" spans="1:40">
      <c r="A25" s="52">
        <v>14</v>
      </c>
      <c r="B25" s="38">
        <v>528621</v>
      </c>
      <c r="C25" s="38">
        <v>531810</v>
      </c>
      <c r="D25" s="38">
        <v>534990</v>
      </c>
      <c r="E25" s="38">
        <v>538156</v>
      </c>
      <c r="F25" s="38">
        <v>541324</v>
      </c>
      <c r="G25" s="38">
        <v>544415</v>
      </c>
      <c r="H25" s="38">
        <v>544384</v>
      </c>
      <c r="I25" s="38">
        <v>544341</v>
      </c>
      <c r="J25" s="38">
        <v>544277</v>
      </c>
      <c r="K25" s="38">
        <v>544171</v>
      </c>
      <c r="L25" s="38">
        <v>544072</v>
      </c>
      <c r="M25" s="38">
        <v>546654</v>
      </c>
      <c r="N25" s="38">
        <v>549172</v>
      </c>
      <c r="O25" s="38">
        <v>551623</v>
      </c>
      <c r="P25" s="38">
        <v>553990</v>
      </c>
      <c r="Q25" s="38">
        <v>556300</v>
      </c>
      <c r="R25" s="38">
        <v>559822</v>
      </c>
      <c r="S25" s="38">
        <v>563239</v>
      </c>
      <c r="T25" s="38">
        <v>566547</v>
      </c>
      <c r="U25" s="38">
        <v>569744</v>
      </c>
      <c r="V25" s="38">
        <v>572820</v>
      </c>
      <c r="W25" s="38">
        <v>574550</v>
      </c>
      <c r="X25" s="38">
        <v>576148</v>
      </c>
      <c r="Y25" s="38">
        <v>577614</v>
      </c>
      <c r="Z25" s="38">
        <v>578954</v>
      </c>
      <c r="AA25" s="38">
        <v>580133</v>
      </c>
      <c r="AB25" s="38">
        <v>579518</v>
      </c>
      <c r="AC25" s="38">
        <v>578758</v>
      </c>
      <c r="AD25" s="62">
        <f>+B25/B26</f>
        <v>0.19516176074251559</v>
      </c>
      <c r="AE25" s="62"/>
      <c r="AF25" s="62"/>
      <c r="AG25" s="62"/>
      <c r="AH25" s="62"/>
      <c r="AI25" s="62"/>
      <c r="AJ25" s="62"/>
      <c r="AK25" s="62"/>
      <c r="AL25" s="62"/>
      <c r="AM25" s="62"/>
      <c r="AN25" s="62"/>
    </row>
    <row r="26" spans="1:40">
      <c r="A26" s="51" t="s">
        <v>86</v>
      </c>
      <c r="B26" s="46">
        <f>SUM(B21:B25)</f>
        <v>2708630</v>
      </c>
      <c r="C26" s="46">
        <v>0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E26" s="62"/>
      <c r="AF26" s="62"/>
      <c r="AG26" s="62"/>
      <c r="AH26" s="62"/>
      <c r="AI26" s="62"/>
      <c r="AJ26" s="62"/>
      <c r="AK26" s="62"/>
      <c r="AL26" s="62"/>
      <c r="AM26" s="62"/>
      <c r="AN26" s="62"/>
    </row>
    <row r="27" spans="1:40">
      <c r="A27" s="52">
        <v>15</v>
      </c>
      <c r="B27" s="38">
        <v>516877</v>
      </c>
      <c r="C27" s="38">
        <v>522713</v>
      </c>
      <c r="D27" s="38">
        <v>528544</v>
      </c>
      <c r="E27" s="38">
        <v>534357</v>
      </c>
      <c r="F27" s="38">
        <v>540175</v>
      </c>
      <c r="G27" s="38">
        <v>545914</v>
      </c>
      <c r="H27" s="38">
        <v>545319</v>
      </c>
      <c r="I27" s="38">
        <v>544712</v>
      </c>
      <c r="J27" s="38">
        <v>544081</v>
      </c>
      <c r="K27" s="38">
        <v>543411</v>
      </c>
      <c r="L27" s="38">
        <v>542747</v>
      </c>
      <c r="M27" s="38">
        <v>544765</v>
      </c>
      <c r="N27" s="38">
        <v>546719</v>
      </c>
      <c r="O27" s="38">
        <v>548607</v>
      </c>
      <c r="P27" s="38">
        <v>550410</v>
      </c>
      <c r="Q27" s="38">
        <v>552162</v>
      </c>
      <c r="R27" s="38">
        <v>555836</v>
      </c>
      <c r="S27" s="38">
        <v>559407</v>
      </c>
      <c r="T27" s="38">
        <v>562868</v>
      </c>
      <c r="U27" s="38">
        <v>566220</v>
      </c>
      <c r="V27" s="38">
        <v>569451</v>
      </c>
      <c r="W27" s="38">
        <v>571718</v>
      </c>
      <c r="X27" s="38">
        <v>573856</v>
      </c>
      <c r="Y27" s="38">
        <v>575861</v>
      </c>
      <c r="Z27" s="38">
        <v>577740</v>
      </c>
      <c r="AA27" s="38">
        <v>579458</v>
      </c>
      <c r="AB27" s="38">
        <v>579268</v>
      </c>
      <c r="AC27" s="38">
        <v>578934</v>
      </c>
      <c r="AD27" s="62">
        <f>+B27/B32</f>
        <v>0.2082231039232203</v>
      </c>
      <c r="AE27" s="62"/>
      <c r="AF27" s="62"/>
      <c r="AG27" s="62"/>
      <c r="AH27" s="62"/>
      <c r="AI27" s="62"/>
      <c r="AJ27" s="62"/>
      <c r="AK27" s="62"/>
      <c r="AL27" s="62"/>
      <c r="AM27" s="62"/>
      <c r="AN27" s="62"/>
    </row>
    <row r="28" spans="1:40">
      <c r="A28" s="52">
        <v>16</v>
      </c>
      <c r="B28" s="38">
        <v>505486</v>
      </c>
      <c r="C28" s="38">
        <v>513668</v>
      </c>
      <c r="D28" s="38">
        <v>521842</v>
      </c>
      <c r="E28" s="38">
        <v>530002</v>
      </c>
      <c r="F28" s="38">
        <v>538165</v>
      </c>
      <c r="G28" s="38">
        <v>546247</v>
      </c>
      <c r="H28" s="38">
        <v>545285</v>
      </c>
      <c r="I28" s="38">
        <v>544307</v>
      </c>
      <c r="J28" s="38">
        <v>543310</v>
      </c>
      <c r="K28" s="38">
        <v>542269</v>
      </c>
      <c r="L28" s="38">
        <v>541236</v>
      </c>
      <c r="M28" s="38">
        <v>542768</v>
      </c>
      <c r="N28" s="38">
        <v>544237</v>
      </c>
      <c r="O28" s="38">
        <v>545639</v>
      </c>
      <c r="P28" s="38">
        <v>546959</v>
      </c>
      <c r="Q28" s="38">
        <v>548227</v>
      </c>
      <c r="R28" s="38">
        <v>551994</v>
      </c>
      <c r="S28" s="38">
        <v>555658</v>
      </c>
      <c r="T28" s="38">
        <v>559214</v>
      </c>
      <c r="U28" s="38">
        <v>562661</v>
      </c>
      <c r="V28" s="38">
        <v>565986</v>
      </c>
      <c r="W28" s="38">
        <v>568738</v>
      </c>
      <c r="X28" s="38">
        <v>571361</v>
      </c>
      <c r="Y28" s="38">
        <v>573852</v>
      </c>
      <c r="Z28" s="38">
        <v>576219</v>
      </c>
      <c r="AA28" s="38">
        <v>578423</v>
      </c>
      <c r="AB28" s="38">
        <v>578660</v>
      </c>
      <c r="AC28" s="38">
        <v>578756</v>
      </c>
      <c r="AD28" s="62">
        <f>+B28/B32</f>
        <v>0.20363425710513902</v>
      </c>
      <c r="AE28" s="62"/>
      <c r="AF28" s="62"/>
      <c r="AG28" s="62"/>
      <c r="AH28" s="62"/>
      <c r="AI28" s="62"/>
      <c r="AJ28" s="62"/>
      <c r="AK28" s="62"/>
      <c r="AL28" s="62"/>
      <c r="AM28" s="62"/>
      <c r="AN28" s="62"/>
    </row>
    <row r="29" spans="1:40">
      <c r="A29" s="52">
        <v>17</v>
      </c>
      <c r="B29" s="38">
        <v>495009</v>
      </c>
      <c r="C29" s="38">
        <v>504698</v>
      </c>
      <c r="D29" s="38">
        <v>514379</v>
      </c>
      <c r="E29" s="38">
        <v>524047</v>
      </c>
      <c r="F29" s="38">
        <v>533718</v>
      </c>
      <c r="G29" s="38">
        <v>543309</v>
      </c>
      <c r="H29" s="38">
        <v>542788</v>
      </c>
      <c r="I29" s="38">
        <v>542252</v>
      </c>
      <c r="J29" s="38">
        <v>541697</v>
      </c>
      <c r="K29" s="38">
        <v>541098</v>
      </c>
      <c r="L29" s="38">
        <v>540507</v>
      </c>
      <c r="M29" s="38">
        <v>541541</v>
      </c>
      <c r="N29" s="38">
        <v>542512</v>
      </c>
      <c r="O29" s="38">
        <v>543415</v>
      </c>
      <c r="P29" s="38">
        <v>544237</v>
      </c>
      <c r="Q29" s="38">
        <v>545009</v>
      </c>
      <c r="R29" s="38">
        <v>548656</v>
      </c>
      <c r="S29" s="38">
        <v>552201</v>
      </c>
      <c r="T29" s="38">
        <v>555639</v>
      </c>
      <c r="U29" s="38">
        <v>558968</v>
      </c>
      <c r="V29" s="38">
        <v>562176</v>
      </c>
      <c r="W29" s="38">
        <v>565325</v>
      </c>
      <c r="X29" s="38">
        <v>568346</v>
      </c>
      <c r="Y29" s="38">
        <v>571236</v>
      </c>
      <c r="Z29" s="38">
        <v>574002</v>
      </c>
      <c r="AA29" s="38">
        <v>576606</v>
      </c>
      <c r="AB29" s="38">
        <v>577318</v>
      </c>
      <c r="AC29" s="38">
        <v>577889</v>
      </c>
      <c r="AD29" s="62">
        <f>+B29/B32</f>
        <v>0.19941361378031788</v>
      </c>
      <c r="AE29" s="62"/>
      <c r="AF29" s="62"/>
      <c r="AG29" s="62"/>
      <c r="AH29" s="62"/>
      <c r="AI29" s="62"/>
      <c r="AJ29" s="62"/>
      <c r="AK29" s="62"/>
      <c r="AL29" s="62"/>
      <c r="AM29" s="62"/>
      <c r="AN29" s="62"/>
    </row>
    <row r="30" spans="1:40">
      <c r="A30" s="52">
        <v>18</v>
      </c>
      <c r="B30" s="38">
        <v>486282</v>
      </c>
      <c r="C30" s="38">
        <v>496252</v>
      </c>
      <c r="D30" s="38">
        <v>506215</v>
      </c>
      <c r="E30" s="38">
        <v>516165</v>
      </c>
      <c r="F30" s="38">
        <v>526118</v>
      </c>
      <c r="G30" s="38">
        <v>535993</v>
      </c>
      <c r="H30" s="38">
        <v>536984</v>
      </c>
      <c r="I30" s="38">
        <v>537960</v>
      </c>
      <c r="J30" s="38">
        <v>538918</v>
      </c>
      <c r="K30" s="38">
        <v>539832</v>
      </c>
      <c r="L30" s="38">
        <v>540754</v>
      </c>
      <c r="M30" s="38">
        <v>541293</v>
      </c>
      <c r="N30" s="38">
        <v>541769</v>
      </c>
      <c r="O30" s="38">
        <v>542178</v>
      </c>
      <c r="P30" s="38">
        <v>542505</v>
      </c>
      <c r="Q30" s="38">
        <v>542783</v>
      </c>
      <c r="R30" s="38">
        <v>546048</v>
      </c>
      <c r="S30" s="38">
        <v>549210</v>
      </c>
      <c r="T30" s="38">
        <v>552266</v>
      </c>
      <c r="U30" s="38">
        <v>555214</v>
      </c>
      <c r="V30" s="38">
        <v>558043</v>
      </c>
      <c r="W30" s="38">
        <v>561472</v>
      </c>
      <c r="X30" s="38">
        <v>564774</v>
      </c>
      <c r="Y30" s="38">
        <v>567945</v>
      </c>
      <c r="Z30" s="38">
        <v>570994</v>
      </c>
      <c r="AA30" s="38">
        <v>573881</v>
      </c>
      <c r="AB30" s="38">
        <v>575118</v>
      </c>
      <c r="AC30" s="38">
        <v>576215</v>
      </c>
      <c r="AD30" s="62">
        <f>+B30/B32</f>
        <v>0.19589795526206702</v>
      </c>
      <c r="AE30" s="62"/>
      <c r="AF30" s="62"/>
      <c r="AG30" s="62"/>
      <c r="AH30" s="62"/>
      <c r="AI30" s="62"/>
      <c r="AJ30" s="62"/>
      <c r="AK30" s="62"/>
      <c r="AL30" s="62"/>
      <c r="AM30" s="62"/>
      <c r="AN30" s="62"/>
    </row>
    <row r="31" spans="1:40">
      <c r="A31" s="52">
        <v>19</v>
      </c>
      <c r="B31" s="38">
        <v>478669</v>
      </c>
      <c r="C31" s="38">
        <v>488044</v>
      </c>
      <c r="D31" s="38">
        <v>497411</v>
      </c>
      <c r="E31" s="38">
        <v>506765</v>
      </c>
      <c r="F31" s="38">
        <v>516122</v>
      </c>
      <c r="G31" s="38">
        <v>525404</v>
      </c>
      <c r="H31" s="38">
        <v>528635</v>
      </c>
      <c r="I31" s="38">
        <v>531852</v>
      </c>
      <c r="J31" s="38">
        <v>535050</v>
      </c>
      <c r="K31" s="38">
        <v>538206</v>
      </c>
      <c r="L31" s="38">
        <v>541368</v>
      </c>
      <c r="M31" s="38">
        <v>541491</v>
      </c>
      <c r="N31" s="38">
        <v>541550</v>
      </c>
      <c r="O31" s="38">
        <v>541541</v>
      </c>
      <c r="P31" s="38">
        <v>541451</v>
      </c>
      <c r="Q31" s="38">
        <v>541311</v>
      </c>
      <c r="R31" s="38">
        <v>544010</v>
      </c>
      <c r="S31" s="38">
        <v>546607</v>
      </c>
      <c r="T31" s="38">
        <v>549098</v>
      </c>
      <c r="U31" s="38">
        <v>551482</v>
      </c>
      <c r="V31" s="38">
        <v>553747</v>
      </c>
      <c r="W31" s="38">
        <v>557345</v>
      </c>
      <c r="X31" s="38">
        <v>560816</v>
      </c>
      <c r="Y31" s="38">
        <v>564158</v>
      </c>
      <c r="Z31" s="38">
        <v>567378</v>
      </c>
      <c r="AA31" s="38">
        <v>570437</v>
      </c>
      <c r="AB31" s="38">
        <v>572222</v>
      </c>
      <c r="AC31" s="38">
        <v>573867</v>
      </c>
      <c r="AD31" s="62">
        <f>+B31/B32</f>
        <v>0.19283106992925578</v>
      </c>
      <c r="AE31" s="62"/>
      <c r="AF31" s="62"/>
      <c r="AG31" s="62"/>
      <c r="AH31" s="62"/>
      <c r="AI31" s="62"/>
      <c r="AJ31" s="62"/>
      <c r="AK31" s="62"/>
      <c r="AL31" s="62"/>
      <c r="AM31" s="62"/>
      <c r="AN31" s="62"/>
    </row>
    <row r="32" spans="1:40">
      <c r="A32" s="51" t="s">
        <v>87</v>
      </c>
      <c r="B32" s="46">
        <f>SUM(B27:B31)</f>
        <v>2482323</v>
      </c>
      <c r="C32" s="46">
        <v>0</v>
      </c>
      <c r="D32" s="46">
        <v>0</v>
      </c>
      <c r="E32" s="46">
        <v>0</v>
      </c>
      <c r="F32" s="46">
        <v>0</v>
      </c>
      <c r="G32" s="46">
        <v>0</v>
      </c>
      <c r="H32" s="46">
        <v>0</v>
      </c>
      <c r="I32" s="46">
        <v>0</v>
      </c>
      <c r="J32" s="46">
        <v>0</v>
      </c>
      <c r="K32" s="46">
        <v>0</v>
      </c>
      <c r="L32" s="46">
        <v>0</v>
      </c>
      <c r="M32" s="46">
        <v>0</v>
      </c>
      <c r="N32" s="46">
        <v>0</v>
      </c>
      <c r="O32" s="46">
        <v>0</v>
      </c>
      <c r="P32" s="46">
        <v>0</v>
      </c>
      <c r="Q32" s="46">
        <v>0</v>
      </c>
      <c r="R32" s="46">
        <v>0</v>
      </c>
      <c r="S32" s="46">
        <v>0</v>
      </c>
      <c r="T32" s="46">
        <v>0</v>
      </c>
      <c r="U32" s="46">
        <v>0</v>
      </c>
      <c r="V32" s="46">
        <v>0</v>
      </c>
      <c r="W32" s="46">
        <v>0</v>
      </c>
      <c r="X32" s="46">
        <v>0</v>
      </c>
      <c r="Y32" s="46">
        <v>0</v>
      </c>
      <c r="Z32" s="46">
        <v>0</v>
      </c>
      <c r="AA32" s="46">
        <v>0</v>
      </c>
      <c r="AB32" s="46">
        <v>0</v>
      </c>
      <c r="AC32" s="46">
        <v>0</v>
      </c>
      <c r="AE32" s="62"/>
      <c r="AF32" s="62"/>
      <c r="AG32" s="62"/>
      <c r="AH32" s="62"/>
      <c r="AI32" s="62"/>
      <c r="AJ32" s="62"/>
      <c r="AK32" s="62"/>
      <c r="AL32" s="62"/>
      <c r="AM32" s="62"/>
      <c r="AN32" s="62"/>
    </row>
    <row r="33" spans="1:40">
      <c r="A33" s="52">
        <v>20</v>
      </c>
      <c r="B33" s="38">
        <v>471638</v>
      </c>
      <c r="C33" s="38">
        <v>479983</v>
      </c>
      <c r="D33" s="38">
        <v>488322</v>
      </c>
      <c r="E33" s="38">
        <v>496647</v>
      </c>
      <c r="F33" s="38">
        <v>504976</v>
      </c>
      <c r="G33" s="38">
        <v>513233</v>
      </c>
      <c r="H33" s="38">
        <v>519099</v>
      </c>
      <c r="I33" s="38">
        <v>524955</v>
      </c>
      <c r="J33" s="38">
        <v>530788</v>
      </c>
      <c r="K33" s="38">
        <v>536581</v>
      </c>
      <c r="L33" s="38">
        <v>542381</v>
      </c>
      <c r="M33" s="38">
        <v>541952</v>
      </c>
      <c r="N33" s="38">
        <v>541461</v>
      </c>
      <c r="O33" s="38">
        <v>540902</v>
      </c>
      <c r="P33" s="38">
        <v>540260</v>
      </c>
      <c r="Q33" s="38">
        <v>539569</v>
      </c>
      <c r="R33" s="38">
        <v>541712</v>
      </c>
      <c r="S33" s="38">
        <v>543755</v>
      </c>
      <c r="T33" s="38">
        <v>545692</v>
      </c>
      <c r="U33" s="38">
        <v>547523</v>
      </c>
      <c r="V33" s="38">
        <v>549237</v>
      </c>
      <c r="W33" s="38">
        <v>552989</v>
      </c>
      <c r="X33" s="38">
        <v>556617</v>
      </c>
      <c r="Y33" s="38">
        <v>560118</v>
      </c>
      <c r="Z33" s="38">
        <v>563494</v>
      </c>
      <c r="AA33" s="38">
        <v>566714</v>
      </c>
      <c r="AB33" s="38">
        <v>569039</v>
      </c>
      <c r="AC33" s="38">
        <v>571225</v>
      </c>
      <c r="AD33" s="62">
        <f>+B33/B38</f>
        <v>0.20926894439068197</v>
      </c>
      <c r="AE33" s="62"/>
      <c r="AF33" s="62"/>
      <c r="AG33" s="62"/>
      <c r="AH33" s="62"/>
      <c r="AI33" s="62"/>
      <c r="AJ33" s="62"/>
      <c r="AK33" s="62"/>
      <c r="AL33" s="62"/>
      <c r="AM33" s="62"/>
      <c r="AN33" s="62"/>
    </row>
    <row r="34" spans="1:40">
      <c r="A34" s="52">
        <v>21</v>
      </c>
      <c r="B34" s="38">
        <v>463619</v>
      </c>
      <c r="C34" s="38">
        <v>471203</v>
      </c>
      <c r="D34" s="38">
        <v>478779</v>
      </c>
      <c r="E34" s="38">
        <v>486343</v>
      </c>
      <c r="F34" s="38">
        <v>493909</v>
      </c>
      <c r="G34" s="38">
        <v>501407</v>
      </c>
      <c r="H34" s="38">
        <v>509608</v>
      </c>
      <c r="I34" s="38">
        <v>517796</v>
      </c>
      <c r="J34" s="38">
        <v>525966</v>
      </c>
      <c r="K34" s="38">
        <v>534094</v>
      </c>
      <c r="L34" s="38">
        <v>542229</v>
      </c>
      <c r="M34" s="38">
        <v>541444</v>
      </c>
      <c r="N34" s="38">
        <v>540595</v>
      </c>
      <c r="O34" s="38">
        <v>539678</v>
      </c>
      <c r="P34" s="38">
        <v>538681</v>
      </c>
      <c r="Q34" s="38">
        <v>537631</v>
      </c>
      <c r="R34" s="38">
        <v>539299</v>
      </c>
      <c r="S34" s="38">
        <v>540864</v>
      </c>
      <c r="T34" s="38">
        <v>542324</v>
      </c>
      <c r="U34" s="38">
        <v>543678</v>
      </c>
      <c r="V34" s="38">
        <v>544918</v>
      </c>
      <c r="W34" s="38">
        <v>548768</v>
      </c>
      <c r="X34" s="38">
        <v>552493</v>
      </c>
      <c r="Y34" s="38">
        <v>556091</v>
      </c>
      <c r="Z34" s="38">
        <v>559569</v>
      </c>
      <c r="AA34" s="38">
        <v>562887</v>
      </c>
      <c r="AB34" s="38">
        <v>565701</v>
      </c>
      <c r="AC34" s="38">
        <v>568377</v>
      </c>
      <c r="AD34" s="62">
        <f>+B34/B38</f>
        <v>0.20571086029849925</v>
      </c>
      <c r="AE34" s="62"/>
      <c r="AF34" s="62"/>
      <c r="AG34" s="62"/>
      <c r="AH34" s="62"/>
      <c r="AI34" s="62"/>
      <c r="AJ34" s="62"/>
      <c r="AK34" s="62"/>
      <c r="AL34" s="62"/>
      <c r="AM34" s="62"/>
      <c r="AN34" s="62"/>
    </row>
    <row r="35" spans="1:40">
      <c r="A35" s="52">
        <v>22</v>
      </c>
      <c r="B35" s="38">
        <v>453378</v>
      </c>
      <c r="C35" s="38">
        <v>460845</v>
      </c>
      <c r="D35" s="38">
        <v>468307</v>
      </c>
      <c r="E35" s="38">
        <v>475755</v>
      </c>
      <c r="F35" s="38">
        <v>483206</v>
      </c>
      <c r="G35" s="38">
        <v>490590</v>
      </c>
      <c r="H35" s="38">
        <v>500292</v>
      </c>
      <c r="I35" s="38">
        <v>509981</v>
      </c>
      <c r="J35" s="38">
        <v>519652</v>
      </c>
      <c r="K35" s="38">
        <v>529282</v>
      </c>
      <c r="L35" s="38">
        <v>538919</v>
      </c>
      <c r="M35" s="38">
        <v>538578</v>
      </c>
      <c r="N35" s="38">
        <v>538173</v>
      </c>
      <c r="O35" s="38">
        <v>537702</v>
      </c>
      <c r="P35" s="38">
        <v>537149</v>
      </c>
      <c r="Q35" s="38">
        <v>536544</v>
      </c>
      <c r="R35" s="38">
        <v>537721</v>
      </c>
      <c r="S35" s="38">
        <v>538796</v>
      </c>
      <c r="T35" s="38">
        <v>539766</v>
      </c>
      <c r="U35" s="38">
        <v>540631</v>
      </c>
      <c r="V35" s="38">
        <v>541383</v>
      </c>
      <c r="W35" s="38">
        <v>545117</v>
      </c>
      <c r="X35" s="38">
        <v>548728</v>
      </c>
      <c r="Y35" s="38">
        <v>552212</v>
      </c>
      <c r="Z35" s="38">
        <v>555577</v>
      </c>
      <c r="AA35" s="38">
        <v>558784</v>
      </c>
      <c r="AB35" s="38">
        <v>561996</v>
      </c>
      <c r="AC35" s="38">
        <v>565073</v>
      </c>
      <c r="AD35" s="62">
        <f>+B35/B38</f>
        <v>0.20116685990093805</v>
      </c>
      <c r="AE35" s="62"/>
      <c r="AF35" s="62"/>
      <c r="AG35" s="62"/>
      <c r="AH35" s="62"/>
      <c r="AI35" s="62"/>
      <c r="AJ35" s="62"/>
      <c r="AK35" s="62"/>
      <c r="AL35" s="62"/>
      <c r="AM35" s="62"/>
      <c r="AN35" s="62"/>
    </row>
    <row r="36" spans="1:40">
      <c r="A36" s="52">
        <v>23</v>
      </c>
      <c r="B36" s="38">
        <v>440119</v>
      </c>
      <c r="C36" s="38">
        <v>448452</v>
      </c>
      <c r="D36" s="38">
        <v>456778</v>
      </c>
      <c r="E36" s="38">
        <v>465091</v>
      </c>
      <c r="F36" s="38">
        <v>473408</v>
      </c>
      <c r="G36" s="38">
        <v>481657</v>
      </c>
      <c r="H36" s="38">
        <v>491640</v>
      </c>
      <c r="I36" s="38">
        <v>501610</v>
      </c>
      <c r="J36" s="38">
        <v>511563</v>
      </c>
      <c r="K36" s="38">
        <v>521475</v>
      </c>
      <c r="L36" s="38">
        <v>531393</v>
      </c>
      <c r="M36" s="38">
        <v>532553</v>
      </c>
      <c r="N36" s="38">
        <v>533650</v>
      </c>
      <c r="O36" s="38">
        <v>534682</v>
      </c>
      <c r="P36" s="38">
        <v>535633</v>
      </c>
      <c r="Q36" s="38">
        <v>536531</v>
      </c>
      <c r="R36" s="38">
        <v>537221</v>
      </c>
      <c r="S36" s="38">
        <v>537809</v>
      </c>
      <c r="T36" s="38">
        <v>538292</v>
      </c>
      <c r="U36" s="38">
        <v>538670</v>
      </c>
      <c r="V36" s="38">
        <v>538935</v>
      </c>
      <c r="W36" s="38">
        <v>542292</v>
      </c>
      <c r="X36" s="38">
        <v>545526</v>
      </c>
      <c r="Y36" s="38">
        <v>548633</v>
      </c>
      <c r="Z36" s="38">
        <v>551623</v>
      </c>
      <c r="AA36" s="38">
        <v>554456</v>
      </c>
      <c r="AB36" s="38">
        <v>557949</v>
      </c>
      <c r="AC36" s="38">
        <v>561307</v>
      </c>
      <c r="AD36" s="62">
        <f>+B36/B38</f>
        <v>0.19528375265835782</v>
      </c>
      <c r="AE36" s="62"/>
      <c r="AF36" s="62"/>
      <c r="AG36" s="62"/>
      <c r="AH36" s="62"/>
      <c r="AI36" s="62"/>
      <c r="AJ36" s="62"/>
      <c r="AK36" s="62"/>
      <c r="AL36" s="62"/>
      <c r="AM36" s="62"/>
      <c r="AN36" s="62"/>
    </row>
    <row r="37" spans="1:40">
      <c r="A37" s="52">
        <v>24</v>
      </c>
      <c r="B37" s="38">
        <v>424987</v>
      </c>
      <c r="C37" s="38">
        <v>434804</v>
      </c>
      <c r="D37" s="38">
        <v>444615</v>
      </c>
      <c r="E37" s="38">
        <v>454414</v>
      </c>
      <c r="F37" s="38">
        <v>464215</v>
      </c>
      <c r="G37" s="38">
        <v>473949</v>
      </c>
      <c r="H37" s="38">
        <v>483339</v>
      </c>
      <c r="I37" s="38">
        <v>492716</v>
      </c>
      <c r="J37" s="38">
        <v>502077</v>
      </c>
      <c r="K37" s="38">
        <v>511397</v>
      </c>
      <c r="L37" s="38">
        <v>520722</v>
      </c>
      <c r="M37" s="38">
        <v>524102</v>
      </c>
      <c r="N37" s="38">
        <v>527421</v>
      </c>
      <c r="O37" s="38">
        <v>530675</v>
      </c>
      <c r="P37" s="38">
        <v>533849</v>
      </c>
      <c r="Q37" s="38">
        <v>536970</v>
      </c>
      <c r="R37" s="38">
        <v>537249</v>
      </c>
      <c r="S37" s="38">
        <v>537426</v>
      </c>
      <c r="T37" s="38">
        <v>537497</v>
      </c>
      <c r="U37" s="38">
        <v>537465</v>
      </c>
      <c r="V37" s="38">
        <v>537319</v>
      </c>
      <c r="W37" s="38">
        <v>540115</v>
      </c>
      <c r="X37" s="38">
        <v>542789</v>
      </c>
      <c r="Y37" s="38">
        <v>545337</v>
      </c>
      <c r="Z37" s="38">
        <v>547768</v>
      </c>
      <c r="AA37" s="38">
        <v>550043</v>
      </c>
      <c r="AB37" s="38">
        <v>553704</v>
      </c>
      <c r="AC37" s="38">
        <v>557232</v>
      </c>
      <c r="AD37" s="62">
        <f>+B37/B38</f>
        <v>0.18856958275152291</v>
      </c>
      <c r="AE37" s="62"/>
      <c r="AF37" s="62"/>
      <c r="AG37" s="62"/>
      <c r="AH37" s="62"/>
      <c r="AI37" s="62"/>
      <c r="AJ37" s="62"/>
      <c r="AK37" s="62"/>
      <c r="AL37" s="62"/>
      <c r="AM37" s="62"/>
      <c r="AN37" s="62"/>
    </row>
    <row r="38" spans="1:40">
      <c r="A38" s="53" t="s">
        <v>88</v>
      </c>
      <c r="B38" s="46">
        <f>SUM(B33:B37)</f>
        <v>2253741</v>
      </c>
      <c r="C38" s="46">
        <v>0</v>
      </c>
      <c r="D38" s="46">
        <v>0</v>
      </c>
      <c r="E38" s="46">
        <v>0</v>
      </c>
      <c r="F38" s="46">
        <v>0</v>
      </c>
      <c r="G38" s="46">
        <v>0</v>
      </c>
      <c r="H38" s="46">
        <v>0</v>
      </c>
      <c r="I38" s="46">
        <v>0</v>
      </c>
      <c r="J38" s="46">
        <v>0</v>
      </c>
      <c r="K38" s="46">
        <v>0</v>
      </c>
      <c r="L38" s="46">
        <v>0</v>
      </c>
      <c r="M38" s="46">
        <v>0</v>
      </c>
      <c r="N38" s="46">
        <v>0</v>
      </c>
      <c r="O38" s="46">
        <v>0</v>
      </c>
      <c r="P38" s="46">
        <v>0</v>
      </c>
      <c r="Q38" s="46">
        <v>0</v>
      </c>
      <c r="R38" s="46">
        <v>0</v>
      </c>
      <c r="S38" s="46">
        <v>0</v>
      </c>
      <c r="T38" s="46">
        <v>0</v>
      </c>
      <c r="U38" s="46">
        <v>0</v>
      </c>
      <c r="V38" s="46">
        <v>0</v>
      </c>
      <c r="W38" s="46">
        <v>0</v>
      </c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E38" s="62"/>
      <c r="AF38" s="62"/>
      <c r="AG38" s="62"/>
      <c r="AH38" s="62"/>
      <c r="AI38" s="62"/>
      <c r="AJ38" s="62"/>
      <c r="AK38" s="62"/>
      <c r="AL38" s="62"/>
      <c r="AM38" s="62"/>
      <c r="AN38" s="62"/>
    </row>
    <row r="39" spans="1:40">
      <c r="A39" s="53">
        <v>25</v>
      </c>
      <c r="B39" s="38">
        <v>408834</v>
      </c>
      <c r="C39" s="38">
        <v>420461</v>
      </c>
      <c r="D39" s="38">
        <v>432083</v>
      </c>
      <c r="E39" s="38">
        <v>443694</v>
      </c>
      <c r="F39" s="38">
        <v>455307</v>
      </c>
      <c r="G39" s="38">
        <v>466850</v>
      </c>
      <c r="H39" s="38">
        <v>475218</v>
      </c>
      <c r="I39" s="38">
        <v>483573</v>
      </c>
      <c r="J39" s="38">
        <v>491911</v>
      </c>
      <c r="K39" s="38">
        <v>500209</v>
      </c>
      <c r="L39" s="38">
        <v>508512</v>
      </c>
      <c r="M39" s="38">
        <v>514503</v>
      </c>
      <c r="N39" s="38">
        <v>520435</v>
      </c>
      <c r="O39" s="38">
        <v>526305</v>
      </c>
      <c r="P39" s="38">
        <v>532094</v>
      </c>
      <c r="Q39" s="38">
        <v>537829</v>
      </c>
      <c r="R39" s="38">
        <v>537564</v>
      </c>
      <c r="S39" s="38">
        <v>537197</v>
      </c>
      <c r="T39" s="38">
        <v>536724</v>
      </c>
      <c r="U39" s="38">
        <v>536148</v>
      </c>
      <c r="V39" s="38">
        <v>535458</v>
      </c>
      <c r="W39" s="38">
        <v>537703</v>
      </c>
      <c r="X39" s="38">
        <v>539827</v>
      </c>
      <c r="Y39" s="38">
        <v>541826</v>
      </c>
      <c r="Z39" s="38">
        <v>543708</v>
      </c>
      <c r="AA39" s="38">
        <v>545438</v>
      </c>
      <c r="AB39" s="38">
        <v>549252</v>
      </c>
      <c r="AC39" s="38">
        <v>552935</v>
      </c>
      <c r="AD39" s="62">
        <f>+B39/B44</f>
        <v>0.21089604277821081</v>
      </c>
      <c r="AE39" s="62"/>
      <c r="AF39" s="62"/>
      <c r="AG39" s="62"/>
      <c r="AH39" s="62"/>
      <c r="AI39" s="62"/>
      <c r="AJ39" s="62"/>
      <c r="AK39" s="62"/>
      <c r="AL39" s="62"/>
      <c r="AM39" s="62"/>
      <c r="AN39" s="62"/>
    </row>
    <row r="40" spans="1:40">
      <c r="A40" s="53">
        <v>26</v>
      </c>
      <c r="B40" s="38">
        <v>394149</v>
      </c>
      <c r="C40" s="38">
        <v>407098</v>
      </c>
      <c r="D40" s="38">
        <v>420043</v>
      </c>
      <c r="E40" s="38">
        <v>432976</v>
      </c>
      <c r="F40" s="38">
        <v>445912</v>
      </c>
      <c r="G40" s="38">
        <v>458778</v>
      </c>
      <c r="H40" s="38">
        <v>466387</v>
      </c>
      <c r="I40" s="38">
        <v>473984</v>
      </c>
      <c r="J40" s="38">
        <v>481564</v>
      </c>
      <c r="K40" s="38">
        <v>489106</v>
      </c>
      <c r="L40" s="38">
        <v>496650</v>
      </c>
      <c r="M40" s="38">
        <v>504952</v>
      </c>
      <c r="N40" s="38">
        <v>513199</v>
      </c>
      <c r="O40" s="38">
        <v>521382</v>
      </c>
      <c r="P40" s="38">
        <v>529486</v>
      </c>
      <c r="Q40" s="38">
        <v>537538</v>
      </c>
      <c r="R40" s="38">
        <v>536921</v>
      </c>
      <c r="S40" s="38">
        <v>536201</v>
      </c>
      <c r="T40" s="38">
        <v>535376</v>
      </c>
      <c r="U40" s="38">
        <v>534448</v>
      </c>
      <c r="V40" s="38">
        <v>533406</v>
      </c>
      <c r="W40" s="38">
        <v>535179</v>
      </c>
      <c r="X40" s="38">
        <v>536830</v>
      </c>
      <c r="Y40" s="38">
        <v>538356</v>
      </c>
      <c r="Z40" s="38">
        <v>539766</v>
      </c>
      <c r="AA40" s="38">
        <v>541024</v>
      </c>
      <c r="AB40" s="38">
        <v>544936</v>
      </c>
      <c r="AC40" s="38">
        <v>548716</v>
      </c>
      <c r="AD40" s="62">
        <f>+B40/B44</f>
        <v>0.20332082058974793</v>
      </c>
      <c r="AE40" s="62"/>
      <c r="AF40" s="62"/>
      <c r="AG40" s="62"/>
      <c r="AH40" s="62"/>
      <c r="AI40" s="62"/>
      <c r="AJ40" s="62"/>
      <c r="AK40" s="62"/>
      <c r="AL40" s="62"/>
      <c r="AM40" s="62"/>
      <c r="AN40" s="62"/>
    </row>
    <row r="41" spans="1:40">
      <c r="A41" s="53">
        <v>27</v>
      </c>
      <c r="B41" s="38">
        <v>383146</v>
      </c>
      <c r="C41" s="38">
        <v>396252</v>
      </c>
      <c r="D41" s="38">
        <v>409352</v>
      </c>
      <c r="E41" s="38">
        <v>422441</v>
      </c>
      <c r="F41" s="38">
        <v>435533</v>
      </c>
      <c r="G41" s="38">
        <v>448556</v>
      </c>
      <c r="H41" s="38">
        <v>456046</v>
      </c>
      <c r="I41" s="38">
        <v>463524</v>
      </c>
      <c r="J41" s="38">
        <v>470986</v>
      </c>
      <c r="K41" s="38">
        <v>478411</v>
      </c>
      <c r="L41" s="38">
        <v>485837</v>
      </c>
      <c r="M41" s="38">
        <v>495625</v>
      </c>
      <c r="N41" s="38">
        <v>505358</v>
      </c>
      <c r="O41" s="38">
        <v>515030</v>
      </c>
      <c r="P41" s="38">
        <v>524622</v>
      </c>
      <c r="Q41" s="38">
        <v>534163</v>
      </c>
      <c r="R41" s="38">
        <v>533986</v>
      </c>
      <c r="S41" s="38">
        <v>533708</v>
      </c>
      <c r="T41" s="38">
        <v>533325</v>
      </c>
      <c r="U41" s="38">
        <v>532839</v>
      </c>
      <c r="V41" s="38">
        <v>532239</v>
      </c>
      <c r="W41" s="38">
        <v>533525</v>
      </c>
      <c r="X41" s="38">
        <v>534689</v>
      </c>
      <c r="Y41" s="38">
        <v>535729</v>
      </c>
      <c r="Z41" s="38">
        <v>536653</v>
      </c>
      <c r="AA41" s="38">
        <v>537427</v>
      </c>
      <c r="AB41" s="38">
        <v>541223</v>
      </c>
      <c r="AC41" s="38">
        <v>544888</v>
      </c>
      <c r="AD41" s="62">
        <f>+B41/B44</f>
        <v>0.19764494931023435</v>
      </c>
      <c r="AE41" s="62"/>
      <c r="AF41" s="62"/>
      <c r="AG41" s="62"/>
      <c r="AH41" s="62"/>
      <c r="AI41" s="62"/>
      <c r="AJ41" s="62"/>
      <c r="AK41" s="62"/>
      <c r="AL41" s="62"/>
      <c r="AM41" s="62"/>
      <c r="AN41" s="62"/>
    </row>
    <row r="42" spans="1:40">
      <c r="A42" s="53">
        <v>28</v>
      </c>
      <c r="B42" s="38">
        <v>377276</v>
      </c>
      <c r="C42" s="38">
        <v>388923</v>
      </c>
      <c r="D42" s="38">
        <v>400565</v>
      </c>
      <c r="E42" s="38">
        <v>412196</v>
      </c>
      <c r="F42" s="38">
        <v>423830</v>
      </c>
      <c r="G42" s="38">
        <v>435396</v>
      </c>
      <c r="H42" s="38">
        <v>443738</v>
      </c>
      <c r="I42" s="38">
        <v>452069</v>
      </c>
      <c r="J42" s="38">
        <v>460385</v>
      </c>
      <c r="K42" s="38">
        <v>468663</v>
      </c>
      <c r="L42" s="38">
        <v>476944</v>
      </c>
      <c r="M42" s="38">
        <v>487007</v>
      </c>
      <c r="N42" s="38">
        <v>497016</v>
      </c>
      <c r="O42" s="38">
        <v>506966</v>
      </c>
      <c r="P42" s="38">
        <v>516837</v>
      </c>
      <c r="Q42" s="38">
        <v>526656</v>
      </c>
      <c r="R42" s="38">
        <v>527967</v>
      </c>
      <c r="S42" s="38">
        <v>529177</v>
      </c>
      <c r="T42" s="38">
        <v>530285</v>
      </c>
      <c r="U42" s="38">
        <v>531290</v>
      </c>
      <c r="V42" s="38">
        <v>532178</v>
      </c>
      <c r="W42" s="38">
        <v>532980</v>
      </c>
      <c r="X42" s="38">
        <v>533660</v>
      </c>
      <c r="Y42" s="38">
        <v>534216</v>
      </c>
      <c r="Z42" s="38">
        <v>534657</v>
      </c>
      <c r="AA42" s="38">
        <v>534948</v>
      </c>
      <c r="AB42" s="38">
        <v>538368</v>
      </c>
      <c r="AC42" s="38">
        <v>541659</v>
      </c>
      <c r="AD42" s="62">
        <f>+B42/B44</f>
        <v>0.19461692382529891</v>
      </c>
      <c r="AE42" s="62"/>
      <c r="AF42" s="62"/>
      <c r="AG42" s="62"/>
      <c r="AH42" s="62"/>
      <c r="AI42" s="62"/>
      <c r="AJ42" s="62"/>
      <c r="AK42" s="62"/>
      <c r="AL42" s="62"/>
      <c r="AM42" s="62"/>
      <c r="AN42" s="62"/>
    </row>
    <row r="43" spans="1:40">
      <c r="A43" s="53">
        <v>29</v>
      </c>
      <c r="B43" s="38">
        <v>375152</v>
      </c>
      <c r="C43" s="38">
        <v>384228</v>
      </c>
      <c r="D43" s="38">
        <v>393298</v>
      </c>
      <c r="E43" s="38">
        <v>402358</v>
      </c>
      <c r="F43" s="38">
        <v>411421</v>
      </c>
      <c r="G43" s="38">
        <v>420419</v>
      </c>
      <c r="H43" s="38">
        <v>430227</v>
      </c>
      <c r="I43" s="38">
        <v>440025</v>
      </c>
      <c r="J43" s="38">
        <v>449807</v>
      </c>
      <c r="K43" s="38">
        <v>459554</v>
      </c>
      <c r="L43" s="38">
        <v>469303</v>
      </c>
      <c r="M43" s="38">
        <v>478775</v>
      </c>
      <c r="N43" s="38">
        <v>488194</v>
      </c>
      <c r="O43" s="38">
        <v>497553</v>
      </c>
      <c r="P43" s="38">
        <v>506837</v>
      </c>
      <c r="Q43" s="38">
        <v>516069</v>
      </c>
      <c r="R43" s="38">
        <v>519578</v>
      </c>
      <c r="S43" s="38">
        <v>522989</v>
      </c>
      <c r="T43" s="38">
        <v>526300</v>
      </c>
      <c r="U43" s="38">
        <v>529507</v>
      </c>
      <c r="V43" s="38">
        <v>532597</v>
      </c>
      <c r="W43" s="38">
        <v>532991</v>
      </c>
      <c r="X43" s="38">
        <v>533262</v>
      </c>
      <c r="Y43" s="38">
        <v>533409</v>
      </c>
      <c r="Z43" s="38">
        <v>533441</v>
      </c>
      <c r="AA43" s="38">
        <v>533324</v>
      </c>
      <c r="AB43" s="38">
        <v>536187</v>
      </c>
      <c r="AC43" s="38">
        <v>538920</v>
      </c>
      <c r="AD43" s="62">
        <f>+B43/B44</f>
        <v>0.19352126349650797</v>
      </c>
      <c r="AE43" s="62"/>
      <c r="AF43" s="62"/>
      <c r="AG43" s="62"/>
      <c r="AH43" s="62"/>
      <c r="AI43" s="62"/>
      <c r="AJ43" s="62"/>
      <c r="AK43" s="62"/>
      <c r="AL43" s="62"/>
      <c r="AM43" s="62"/>
      <c r="AN43" s="62"/>
    </row>
    <row r="44" spans="1:40">
      <c r="A44" s="53" t="s">
        <v>89</v>
      </c>
      <c r="B44" s="46">
        <f>SUM(B39:B43)</f>
        <v>1938557</v>
      </c>
      <c r="C44" s="46">
        <v>0</v>
      </c>
      <c r="D44" s="46">
        <v>0</v>
      </c>
      <c r="E44" s="46">
        <v>0</v>
      </c>
      <c r="F44" s="46">
        <v>0</v>
      </c>
      <c r="G44" s="46">
        <v>0</v>
      </c>
      <c r="H44" s="46">
        <v>0</v>
      </c>
      <c r="I44" s="46">
        <v>0</v>
      </c>
      <c r="J44" s="46">
        <v>0</v>
      </c>
      <c r="K44" s="46">
        <v>0</v>
      </c>
      <c r="L44" s="46">
        <v>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E44" s="62"/>
      <c r="AF44" s="62"/>
      <c r="AG44" s="62"/>
      <c r="AH44" s="62"/>
      <c r="AI44" s="62"/>
      <c r="AJ44" s="62"/>
      <c r="AK44" s="62"/>
      <c r="AL44" s="62"/>
      <c r="AM44" s="62"/>
      <c r="AN44" s="62"/>
    </row>
    <row r="45" spans="1:40">
      <c r="A45" s="53">
        <v>30</v>
      </c>
      <c r="B45" s="38">
        <v>374002</v>
      </c>
      <c r="C45" s="38">
        <v>380117</v>
      </c>
      <c r="D45" s="38">
        <v>386224</v>
      </c>
      <c r="E45" s="38">
        <v>392322</v>
      </c>
      <c r="F45" s="38">
        <v>398421</v>
      </c>
      <c r="G45" s="38">
        <v>404459</v>
      </c>
      <c r="H45" s="38">
        <v>416057</v>
      </c>
      <c r="I45" s="38">
        <v>427643</v>
      </c>
      <c r="J45" s="38">
        <v>439216</v>
      </c>
      <c r="K45" s="38">
        <v>450753</v>
      </c>
      <c r="L45" s="38">
        <v>462292</v>
      </c>
      <c r="M45" s="38">
        <v>470746</v>
      </c>
      <c r="N45" s="38">
        <v>479148</v>
      </c>
      <c r="O45" s="38">
        <v>487492</v>
      </c>
      <c r="P45" s="38">
        <v>495762</v>
      </c>
      <c r="Q45" s="38">
        <v>503980</v>
      </c>
      <c r="R45" s="38">
        <v>510074</v>
      </c>
      <c r="S45" s="38">
        <v>516075</v>
      </c>
      <c r="T45" s="38">
        <v>521976</v>
      </c>
      <c r="U45" s="38">
        <v>527774</v>
      </c>
      <c r="V45" s="38">
        <v>533453</v>
      </c>
      <c r="W45" s="38">
        <v>533307</v>
      </c>
      <c r="X45" s="38">
        <v>533034</v>
      </c>
      <c r="Y45" s="38">
        <v>532641</v>
      </c>
      <c r="Z45" s="38">
        <v>532132</v>
      </c>
      <c r="AA45" s="38">
        <v>531475</v>
      </c>
      <c r="AB45" s="38">
        <v>533789</v>
      </c>
      <c r="AC45" s="38">
        <v>535974</v>
      </c>
      <c r="AD45" s="62">
        <f>+B45/B50</f>
        <v>0.20328615199309047</v>
      </c>
      <c r="AE45" s="62"/>
      <c r="AF45" s="62"/>
      <c r="AG45" s="62"/>
      <c r="AH45" s="62"/>
      <c r="AI45" s="62"/>
      <c r="AJ45" s="62"/>
      <c r="AK45" s="62"/>
      <c r="AL45" s="62"/>
      <c r="AM45" s="62"/>
      <c r="AN45" s="62"/>
    </row>
    <row r="46" spans="1:40">
      <c r="A46" s="53">
        <v>31</v>
      </c>
      <c r="B46" s="38">
        <v>371885</v>
      </c>
      <c r="C46" s="38">
        <v>375522</v>
      </c>
      <c r="D46" s="38">
        <v>379153</v>
      </c>
      <c r="E46" s="38">
        <v>382773</v>
      </c>
      <c r="F46" s="38">
        <v>386396</v>
      </c>
      <c r="G46" s="38">
        <v>389962</v>
      </c>
      <c r="H46" s="38">
        <v>402863</v>
      </c>
      <c r="I46" s="38">
        <v>415755</v>
      </c>
      <c r="J46" s="38">
        <v>428632</v>
      </c>
      <c r="K46" s="38">
        <v>441475</v>
      </c>
      <c r="L46" s="38">
        <v>454322</v>
      </c>
      <c r="M46" s="38">
        <v>462020</v>
      </c>
      <c r="N46" s="38">
        <v>469667</v>
      </c>
      <c r="O46" s="38">
        <v>477256</v>
      </c>
      <c r="P46" s="38">
        <v>484772</v>
      </c>
      <c r="Q46" s="38">
        <v>492240</v>
      </c>
      <c r="R46" s="38">
        <v>500622</v>
      </c>
      <c r="S46" s="38">
        <v>508914</v>
      </c>
      <c r="T46" s="38">
        <v>517108</v>
      </c>
      <c r="U46" s="38">
        <v>525201</v>
      </c>
      <c r="V46" s="38">
        <v>533172</v>
      </c>
      <c r="W46" s="38">
        <v>532673</v>
      </c>
      <c r="X46" s="38">
        <v>532052</v>
      </c>
      <c r="Y46" s="38">
        <v>531306</v>
      </c>
      <c r="Z46" s="38">
        <v>530446</v>
      </c>
      <c r="AA46" s="38">
        <v>529440</v>
      </c>
      <c r="AB46" s="38">
        <v>531282</v>
      </c>
      <c r="AC46" s="38">
        <v>532994</v>
      </c>
      <c r="AD46" s="62">
        <f>+B46/B50</f>
        <v>0.20213547155884315</v>
      </c>
      <c r="AE46" s="62"/>
      <c r="AF46" s="62"/>
      <c r="AG46" s="62"/>
      <c r="AH46" s="62"/>
      <c r="AI46" s="62"/>
      <c r="AJ46" s="62"/>
      <c r="AK46" s="62"/>
      <c r="AL46" s="62"/>
      <c r="AM46" s="62"/>
      <c r="AN46" s="62"/>
    </row>
    <row r="47" spans="1:40">
      <c r="A47" s="53">
        <v>32</v>
      </c>
      <c r="B47" s="38">
        <v>369128</v>
      </c>
      <c r="C47" s="38">
        <v>371142</v>
      </c>
      <c r="D47" s="38">
        <v>373151</v>
      </c>
      <c r="E47" s="38">
        <v>375149</v>
      </c>
      <c r="F47" s="38">
        <v>377150</v>
      </c>
      <c r="G47" s="38">
        <v>379096</v>
      </c>
      <c r="H47" s="38">
        <v>392147</v>
      </c>
      <c r="I47" s="38">
        <v>405190</v>
      </c>
      <c r="J47" s="38">
        <v>418218</v>
      </c>
      <c r="K47" s="38">
        <v>431212</v>
      </c>
      <c r="L47" s="38">
        <v>444212</v>
      </c>
      <c r="M47" s="38">
        <v>451787</v>
      </c>
      <c r="N47" s="38">
        <v>459312</v>
      </c>
      <c r="O47" s="38">
        <v>466781</v>
      </c>
      <c r="P47" s="38">
        <v>474178</v>
      </c>
      <c r="Q47" s="38">
        <v>481527</v>
      </c>
      <c r="R47" s="38">
        <v>491378</v>
      </c>
      <c r="S47" s="38">
        <v>501141</v>
      </c>
      <c r="T47" s="38">
        <v>510809</v>
      </c>
      <c r="U47" s="38">
        <v>520375</v>
      </c>
      <c r="V47" s="38">
        <v>529820</v>
      </c>
      <c r="W47" s="38">
        <v>529756</v>
      </c>
      <c r="X47" s="38">
        <v>529571</v>
      </c>
      <c r="Y47" s="38">
        <v>529262</v>
      </c>
      <c r="Z47" s="38">
        <v>528839</v>
      </c>
      <c r="AA47" s="38">
        <v>528269</v>
      </c>
      <c r="AB47" s="38">
        <v>529626</v>
      </c>
      <c r="AC47" s="38">
        <v>530853</v>
      </c>
      <c r="AD47" s="62">
        <f>+B47/B50</f>
        <v>0.20063692363384555</v>
      </c>
      <c r="AE47" s="62"/>
      <c r="AF47" s="62"/>
      <c r="AG47" s="62"/>
      <c r="AH47" s="62"/>
      <c r="AI47" s="62"/>
      <c r="AJ47" s="62"/>
      <c r="AK47" s="62"/>
      <c r="AL47" s="62"/>
      <c r="AM47" s="62"/>
      <c r="AN47" s="62"/>
    </row>
    <row r="48" spans="1:40">
      <c r="A48" s="53">
        <v>33</v>
      </c>
      <c r="B48" s="38">
        <v>365041</v>
      </c>
      <c r="C48" s="38">
        <v>366709</v>
      </c>
      <c r="D48" s="38">
        <v>368372</v>
      </c>
      <c r="E48" s="38">
        <v>370025</v>
      </c>
      <c r="F48" s="38">
        <v>371679</v>
      </c>
      <c r="G48" s="38">
        <v>373281</v>
      </c>
      <c r="H48" s="38">
        <v>384886</v>
      </c>
      <c r="I48" s="38">
        <v>396482</v>
      </c>
      <c r="J48" s="38">
        <v>408064</v>
      </c>
      <c r="K48" s="38">
        <v>419614</v>
      </c>
      <c r="L48" s="38">
        <v>431169</v>
      </c>
      <c r="M48" s="38">
        <v>439582</v>
      </c>
      <c r="N48" s="38">
        <v>447947</v>
      </c>
      <c r="O48" s="38">
        <v>456258</v>
      </c>
      <c r="P48" s="38">
        <v>464499</v>
      </c>
      <c r="Q48" s="38">
        <v>472692</v>
      </c>
      <c r="R48" s="38">
        <v>482812</v>
      </c>
      <c r="S48" s="38">
        <v>492846</v>
      </c>
      <c r="T48" s="38">
        <v>502786</v>
      </c>
      <c r="U48" s="38">
        <v>512627</v>
      </c>
      <c r="V48" s="38">
        <v>522349</v>
      </c>
      <c r="W48" s="38">
        <v>523757</v>
      </c>
      <c r="X48" s="38">
        <v>525047</v>
      </c>
      <c r="Y48" s="38">
        <v>526214</v>
      </c>
      <c r="Z48" s="38">
        <v>527268</v>
      </c>
      <c r="AA48" s="38">
        <v>528174</v>
      </c>
      <c r="AB48" s="38">
        <v>529050</v>
      </c>
      <c r="AC48" s="38">
        <v>529797</v>
      </c>
      <c r="AD48" s="62">
        <f>+B48/B50</f>
        <v>0.19841546357963258</v>
      </c>
      <c r="AE48" s="62"/>
      <c r="AF48" s="62"/>
      <c r="AG48" s="62"/>
      <c r="AH48" s="62"/>
      <c r="AI48" s="62"/>
      <c r="AJ48" s="62"/>
      <c r="AK48" s="62"/>
      <c r="AL48" s="62"/>
      <c r="AM48" s="62"/>
      <c r="AN48" s="62"/>
    </row>
    <row r="49" spans="1:40">
      <c r="A49" s="53">
        <v>34</v>
      </c>
      <c r="B49" s="38">
        <v>359725</v>
      </c>
      <c r="C49" s="38">
        <v>362030</v>
      </c>
      <c r="D49" s="38">
        <v>364330</v>
      </c>
      <c r="E49" s="38">
        <v>366619</v>
      </c>
      <c r="F49" s="38">
        <v>368911</v>
      </c>
      <c r="G49" s="38">
        <v>371150</v>
      </c>
      <c r="H49" s="38">
        <v>380208</v>
      </c>
      <c r="I49" s="38">
        <v>389258</v>
      </c>
      <c r="J49" s="38">
        <v>398293</v>
      </c>
      <c r="K49" s="38">
        <v>407296</v>
      </c>
      <c r="L49" s="38">
        <v>416305</v>
      </c>
      <c r="M49" s="38">
        <v>426165</v>
      </c>
      <c r="N49" s="38">
        <v>435979</v>
      </c>
      <c r="O49" s="38">
        <v>445739</v>
      </c>
      <c r="P49" s="38">
        <v>455431</v>
      </c>
      <c r="Q49" s="38">
        <v>465076</v>
      </c>
      <c r="R49" s="38">
        <v>474607</v>
      </c>
      <c r="S49" s="38">
        <v>484052</v>
      </c>
      <c r="T49" s="38">
        <v>493405</v>
      </c>
      <c r="U49" s="38">
        <v>502660</v>
      </c>
      <c r="V49" s="38">
        <v>511801</v>
      </c>
      <c r="W49" s="38">
        <v>515388</v>
      </c>
      <c r="X49" s="38">
        <v>518859</v>
      </c>
      <c r="Y49" s="38">
        <v>522209</v>
      </c>
      <c r="Z49" s="38">
        <v>525447</v>
      </c>
      <c r="AA49" s="38">
        <v>528536</v>
      </c>
      <c r="AB49" s="38">
        <v>529006</v>
      </c>
      <c r="AC49" s="38">
        <v>529346</v>
      </c>
      <c r="AD49" s="62">
        <f>+B49/B50</f>
        <v>0.19552598923458825</v>
      </c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1:40">
      <c r="A50" s="53" t="s">
        <v>90</v>
      </c>
      <c r="B50" s="46">
        <f>SUM(B45:B49)</f>
        <v>1839781</v>
      </c>
      <c r="C50" s="46">
        <v>0</v>
      </c>
      <c r="D50" s="46">
        <v>0</v>
      </c>
      <c r="E50" s="46">
        <v>0</v>
      </c>
      <c r="F50" s="46">
        <v>0</v>
      </c>
      <c r="G50" s="46">
        <v>0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  <c r="M50" s="46">
        <v>0</v>
      </c>
      <c r="N50" s="46">
        <v>0</v>
      </c>
      <c r="O50" s="46">
        <v>0</v>
      </c>
      <c r="P50" s="46">
        <v>0</v>
      </c>
      <c r="Q50" s="46">
        <v>0</v>
      </c>
      <c r="R50" s="46">
        <v>0</v>
      </c>
      <c r="S50" s="46">
        <v>0</v>
      </c>
      <c r="T50" s="46">
        <v>0</v>
      </c>
      <c r="U50" s="46">
        <v>0</v>
      </c>
      <c r="V50" s="46">
        <v>0</v>
      </c>
      <c r="W50" s="46">
        <v>0</v>
      </c>
      <c r="X50" s="46">
        <v>0</v>
      </c>
      <c r="Y50" s="46">
        <v>0</v>
      </c>
      <c r="Z50" s="46">
        <v>0</v>
      </c>
      <c r="AA50" s="46">
        <v>0</v>
      </c>
      <c r="AB50" s="46">
        <v>0</v>
      </c>
      <c r="AC50" s="46">
        <v>0</v>
      </c>
      <c r="AE50" s="62"/>
      <c r="AF50" s="62"/>
      <c r="AG50" s="62"/>
      <c r="AH50" s="62"/>
      <c r="AI50" s="62"/>
      <c r="AJ50" s="62"/>
      <c r="AK50" s="62"/>
      <c r="AL50" s="62"/>
      <c r="AM50" s="62"/>
      <c r="AN50" s="62"/>
    </row>
    <row r="51" spans="1:40">
      <c r="A51" s="53">
        <v>35</v>
      </c>
      <c r="B51" s="38">
        <v>354752</v>
      </c>
      <c r="C51" s="38">
        <v>357818</v>
      </c>
      <c r="D51" s="38">
        <v>360878</v>
      </c>
      <c r="E51" s="38">
        <v>363928</v>
      </c>
      <c r="F51" s="38">
        <v>366980</v>
      </c>
      <c r="G51" s="38">
        <v>369979</v>
      </c>
      <c r="H51" s="38">
        <v>376104</v>
      </c>
      <c r="I51" s="38">
        <v>382218</v>
      </c>
      <c r="J51" s="38">
        <v>388317</v>
      </c>
      <c r="K51" s="38">
        <v>394388</v>
      </c>
      <c r="L51" s="38">
        <v>400462</v>
      </c>
      <c r="M51" s="38">
        <v>412086</v>
      </c>
      <c r="N51" s="38">
        <v>423668</v>
      </c>
      <c r="O51" s="38">
        <v>435199</v>
      </c>
      <c r="P51" s="38">
        <v>446661</v>
      </c>
      <c r="Q51" s="38">
        <v>458077</v>
      </c>
      <c r="R51" s="38">
        <v>466595</v>
      </c>
      <c r="S51" s="38">
        <v>475028</v>
      </c>
      <c r="T51" s="38">
        <v>483371</v>
      </c>
      <c r="U51" s="38">
        <v>491619</v>
      </c>
      <c r="V51" s="38">
        <v>499758</v>
      </c>
      <c r="W51" s="38">
        <v>505906</v>
      </c>
      <c r="X51" s="38">
        <v>511941</v>
      </c>
      <c r="Y51" s="38">
        <v>517861</v>
      </c>
      <c r="Z51" s="38">
        <v>523666</v>
      </c>
      <c r="AA51" s="38">
        <v>529320</v>
      </c>
      <c r="AB51" s="38">
        <v>529255</v>
      </c>
      <c r="AC51" s="38">
        <v>529058</v>
      </c>
      <c r="AD51" s="62">
        <f>+B51/B56</f>
        <v>0.20945509508823928</v>
      </c>
      <c r="AE51" s="62"/>
      <c r="AF51" s="62"/>
      <c r="AG51" s="62"/>
      <c r="AH51" s="62"/>
      <c r="AI51" s="62"/>
      <c r="AJ51" s="62"/>
      <c r="AK51" s="62"/>
      <c r="AL51" s="62"/>
      <c r="AM51" s="62"/>
      <c r="AN51" s="62"/>
    </row>
    <row r="52" spans="1:40">
      <c r="A52" s="53">
        <v>36</v>
      </c>
      <c r="B52" s="38">
        <v>349540</v>
      </c>
      <c r="C52" s="38">
        <v>353222</v>
      </c>
      <c r="D52" s="38">
        <v>356898</v>
      </c>
      <c r="E52" s="38">
        <v>360564</v>
      </c>
      <c r="F52" s="38">
        <v>364232</v>
      </c>
      <c r="G52" s="38">
        <v>367851</v>
      </c>
      <c r="H52" s="38">
        <v>371520</v>
      </c>
      <c r="I52" s="38">
        <v>375179</v>
      </c>
      <c r="J52" s="38">
        <v>378826</v>
      </c>
      <c r="K52" s="38">
        <v>382442</v>
      </c>
      <c r="L52" s="38">
        <v>386064</v>
      </c>
      <c r="M52" s="38">
        <v>398975</v>
      </c>
      <c r="N52" s="38">
        <v>411844</v>
      </c>
      <c r="O52" s="38">
        <v>424663</v>
      </c>
      <c r="P52" s="38">
        <v>437417</v>
      </c>
      <c r="Q52" s="38">
        <v>450124</v>
      </c>
      <c r="R52" s="38">
        <v>457888</v>
      </c>
      <c r="S52" s="38">
        <v>465570</v>
      </c>
      <c r="T52" s="38">
        <v>473162</v>
      </c>
      <c r="U52" s="38">
        <v>480661</v>
      </c>
      <c r="V52" s="38">
        <v>488055</v>
      </c>
      <c r="W52" s="38">
        <v>496470</v>
      </c>
      <c r="X52" s="38">
        <v>504776</v>
      </c>
      <c r="Y52" s="38">
        <v>512966</v>
      </c>
      <c r="Z52" s="38">
        <v>521044</v>
      </c>
      <c r="AA52" s="38">
        <v>528972</v>
      </c>
      <c r="AB52" s="38">
        <v>528556</v>
      </c>
      <c r="AC52" s="38">
        <v>528010</v>
      </c>
      <c r="AD52" s="62">
        <f>+B52/B56</f>
        <v>0.20637779050475588</v>
      </c>
      <c r="AE52" s="62"/>
      <c r="AF52" s="62"/>
      <c r="AG52" s="62"/>
      <c r="AH52" s="62"/>
      <c r="AI52" s="62"/>
      <c r="AJ52" s="62"/>
      <c r="AK52" s="62"/>
      <c r="AL52" s="62"/>
      <c r="AM52" s="62"/>
      <c r="AN52" s="62"/>
    </row>
    <row r="53" spans="1:40">
      <c r="A53" s="53">
        <v>37</v>
      </c>
      <c r="B53" s="38">
        <v>341742</v>
      </c>
      <c r="C53" s="38">
        <v>346427</v>
      </c>
      <c r="D53" s="38">
        <v>351107</v>
      </c>
      <c r="E53" s="38">
        <v>355778</v>
      </c>
      <c r="F53" s="38">
        <v>360450</v>
      </c>
      <c r="G53" s="38">
        <v>365074</v>
      </c>
      <c r="H53" s="38">
        <v>367135</v>
      </c>
      <c r="I53" s="38">
        <v>369187</v>
      </c>
      <c r="J53" s="38">
        <v>371226</v>
      </c>
      <c r="K53" s="38">
        <v>373235</v>
      </c>
      <c r="L53" s="38">
        <v>375250</v>
      </c>
      <c r="M53" s="38">
        <v>388305</v>
      </c>
      <c r="N53" s="38">
        <v>401319</v>
      </c>
      <c r="O53" s="38">
        <v>414285</v>
      </c>
      <c r="P53" s="38">
        <v>427187</v>
      </c>
      <c r="Q53" s="38">
        <v>440043</v>
      </c>
      <c r="R53" s="38">
        <v>447680</v>
      </c>
      <c r="S53" s="38">
        <v>455236</v>
      </c>
      <c r="T53" s="38">
        <v>462705</v>
      </c>
      <c r="U53" s="38">
        <v>470082</v>
      </c>
      <c r="V53" s="38">
        <v>477358</v>
      </c>
      <c r="W53" s="38">
        <v>487226</v>
      </c>
      <c r="X53" s="38">
        <v>496989</v>
      </c>
      <c r="Y53" s="38">
        <v>506638</v>
      </c>
      <c r="Z53" s="38">
        <v>516176</v>
      </c>
      <c r="AA53" s="38">
        <v>525564</v>
      </c>
      <c r="AB53" s="38">
        <v>525577</v>
      </c>
      <c r="AC53" s="38">
        <v>525462</v>
      </c>
      <c r="AD53" s="62">
        <f>+B53/B56</f>
        <v>0.20177364216592175</v>
      </c>
      <c r="AE53" s="62"/>
      <c r="AF53" s="62"/>
      <c r="AG53" s="62"/>
      <c r="AH53" s="62"/>
      <c r="AI53" s="62"/>
      <c r="AJ53" s="62"/>
      <c r="AK53" s="62"/>
      <c r="AL53" s="62"/>
      <c r="AM53" s="62"/>
      <c r="AN53" s="62"/>
    </row>
    <row r="54" spans="1:40">
      <c r="A54" s="53">
        <v>38</v>
      </c>
      <c r="B54" s="38">
        <v>330583</v>
      </c>
      <c r="C54" s="38">
        <v>336677</v>
      </c>
      <c r="D54" s="38">
        <v>342766</v>
      </c>
      <c r="E54" s="38">
        <v>348846</v>
      </c>
      <c r="F54" s="38">
        <v>354929</v>
      </c>
      <c r="G54" s="38">
        <v>360963</v>
      </c>
      <c r="H54" s="38">
        <v>362681</v>
      </c>
      <c r="I54" s="38">
        <v>364390</v>
      </c>
      <c r="J54" s="38">
        <v>366086</v>
      </c>
      <c r="K54" s="38">
        <v>367752</v>
      </c>
      <c r="L54" s="38">
        <v>369424</v>
      </c>
      <c r="M54" s="38">
        <v>381044</v>
      </c>
      <c r="N54" s="38">
        <v>392622</v>
      </c>
      <c r="O54" s="38">
        <v>404154</v>
      </c>
      <c r="P54" s="38">
        <v>415623</v>
      </c>
      <c r="Q54" s="38">
        <v>427048</v>
      </c>
      <c r="R54" s="38">
        <v>435509</v>
      </c>
      <c r="S54" s="38">
        <v>443892</v>
      </c>
      <c r="T54" s="38">
        <v>452189</v>
      </c>
      <c r="U54" s="38">
        <v>460398</v>
      </c>
      <c r="V54" s="38">
        <v>468505</v>
      </c>
      <c r="W54" s="38">
        <v>478637</v>
      </c>
      <c r="X54" s="38">
        <v>488667</v>
      </c>
      <c r="Y54" s="38">
        <v>498585</v>
      </c>
      <c r="Z54" s="38">
        <v>508393</v>
      </c>
      <c r="AA54" s="38">
        <v>518053</v>
      </c>
      <c r="AB54" s="38">
        <v>519525</v>
      </c>
      <c r="AC54" s="38">
        <v>520871</v>
      </c>
      <c r="AD54" s="62">
        <f>+B54/B56</f>
        <v>0.19518506928658727</v>
      </c>
      <c r="AE54" s="62"/>
      <c r="AF54" s="62"/>
      <c r="AG54" s="62"/>
      <c r="AH54" s="62"/>
      <c r="AI54" s="62"/>
      <c r="AJ54" s="62"/>
      <c r="AK54" s="62"/>
      <c r="AL54" s="62"/>
      <c r="AM54" s="62"/>
      <c r="AN54" s="62"/>
    </row>
    <row r="55" spans="1:40">
      <c r="A55" s="53">
        <v>39</v>
      </c>
      <c r="B55" s="38">
        <v>317073</v>
      </c>
      <c r="C55" s="38">
        <v>324799</v>
      </c>
      <c r="D55" s="38">
        <v>332521</v>
      </c>
      <c r="E55" s="38">
        <v>340234</v>
      </c>
      <c r="F55" s="38">
        <v>347949</v>
      </c>
      <c r="G55" s="38">
        <v>355618</v>
      </c>
      <c r="H55" s="38">
        <v>357966</v>
      </c>
      <c r="I55" s="38">
        <v>360305</v>
      </c>
      <c r="J55" s="38">
        <v>362631</v>
      </c>
      <c r="K55" s="38">
        <v>364928</v>
      </c>
      <c r="L55" s="38">
        <v>367230</v>
      </c>
      <c r="M55" s="38">
        <v>376325</v>
      </c>
      <c r="N55" s="38">
        <v>385379</v>
      </c>
      <c r="O55" s="38">
        <v>394386</v>
      </c>
      <c r="P55" s="38">
        <v>403333</v>
      </c>
      <c r="Q55" s="38">
        <v>412237</v>
      </c>
      <c r="R55" s="38">
        <v>422123</v>
      </c>
      <c r="S55" s="38">
        <v>431934</v>
      </c>
      <c r="T55" s="38">
        <v>441663</v>
      </c>
      <c r="U55" s="38">
        <v>451304</v>
      </c>
      <c r="V55" s="38">
        <v>460844</v>
      </c>
      <c r="W55" s="38">
        <v>470388</v>
      </c>
      <c r="X55" s="38">
        <v>479831</v>
      </c>
      <c r="Y55" s="38">
        <v>489165</v>
      </c>
      <c r="Z55" s="38">
        <v>498392</v>
      </c>
      <c r="AA55" s="38">
        <v>507473</v>
      </c>
      <c r="AB55" s="38">
        <v>511102</v>
      </c>
      <c r="AC55" s="38">
        <v>514609</v>
      </c>
      <c r="AD55" s="62">
        <f>+B55/B56</f>
        <v>0.18720840295449581</v>
      </c>
      <c r="AE55" s="62"/>
      <c r="AF55" s="62"/>
      <c r="AG55" s="62"/>
      <c r="AH55" s="62"/>
      <c r="AI55" s="62"/>
      <c r="AJ55" s="62"/>
      <c r="AK55" s="62"/>
      <c r="AL55" s="62"/>
      <c r="AM55" s="62"/>
      <c r="AN55" s="62"/>
    </row>
    <row r="56" spans="1:40">
      <c r="A56" s="53" t="s">
        <v>91</v>
      </c>
      <c r="B56" s="46">
        <f>SUM(B51:B55)</f>
        <v>1693690</v>
      </c>
      <c r="C56" s="46">
        <v>0</v>
      </c>
      <c r="D56" s="46">
        <v>0</v>
      </c>
      <c r="E56" s="46">
        <v>0</v>
      </c>
      <c r="F56" s="46">
        <v>0</v>
      </c>
      <c r="G56" s="46">
        <v>0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  <c r="M56" s="46">
        <v>0</v>
      </c>
      <c r="N56" s="46">
        <v>0</v>
      </c>
      <c r="O56" s="46">
        <v>0</v>
      </c>
      <c r="P56" s="46">
        <v>0</v>
      </c>
      <c r="Q56" s="46">
        <v>0</v>
      </c>
      <c r="R56" s="46">
        <v>0</v>
      </c>
      <c r="S56" s="46">
        <v>0</v>
      </c>
      <c r="T56" s="46">
        <v>0</v>
      </c>
      <c r="U56" s="46">
        <v>0</v>
      </c>
      <c r="V56" s="46">
        <v>0</v>
      </c>
      <c r="W56" s="46">
        <v>0</v>
      </c>
      <c r="X56" s="46">
        <v>0</v>
      </c>
      <c r="Y56" s="46">
        <v>0</v>
      </c>
      <c r="Z56" s="46">
        <v>0</v>
      </c>
      <c r="AA56" s="46">
        <v>0</v>
      </c>
      <c r="AB56" s="46">
        <v>0</v>
      </c>
      <c r="AC56" s="46">
        <v>0</v>
      </c>
      <c r="AE56" s="62"/>
      <c r="AF56" s="62"/>
      <c r="AG56" s="62"/>
      <c r="AH56" s="62"/>
      <c r="AI56" s="62"/>
      <c r="AJ56" s="62"/>
      <c r="AK56" s="62"/>
      <c r="AL56" s="62"/>
      <c r="AM56" s="62"/>
      <c r="AN56" s="62"/>
    </row>
    <row r="57" spans="1:40">
      <c r="A57" s="53">
        <v>40</v>
      </c>
      <c r="B57" s="38">
        <v>302323</v>
      </c>
      <c r="C57" s="38">
        <v>311995</v>
      </c>
      <c r="D57" s="38">
        <v>321663</v>
      </c>
      <c r="E57" s="38">
        <v>331323</v>
      </c>
      <c r="F57" s="38">
        <v>340984</v>
      </c>
      <c r="G57" s="38">
        <v>350600</v>
      </c>
      <c r="H57" s="38">
        <v>353703</v>
      </c>
      <c r="I57" s="38">
        <v>356795</v>
      </c>
      <c r="J57" s="38">
        <v>359873</v>
      </c>
      <c r="K57" s="38">
        <v>362923</v>
      </c>
      <c r="L57" s="38">
        <v>365979</v>
      </c>
      <c r="M57" s="38">
        <v>372165</v>
      </c>
      <c r="N57" s="38">
        <v>378308</v>
      </c>
      <c r="O57" s="38">
        <v>384405</v>
      </c>
      <c r="P57" s="38">
        <v>390445</v>
      </c>
      <c r="Q57" s="38">
        <v>396444</v>
      </c>
      <c r="R57" s="38">
        <v>408070</v>
      </c>
      <c r="S57" s="38">
        <v>419624</v>
      </c>
      <c r="T57" s="38">
        <v>431099</v>
      </c>
      <c r="U57" s="38">
        <v>442489</v>
      </c>
      <c r="V57" s="38">
        <v>453775</v>
      </c>
      <c r="W57" s="38">
        <v>462315</v>
      </c>
      <c r="X57" s="38">
        <v>470753</v>
      </c>
      <c r="Y57" s="38">
        <v>479085</v>
      </c>
      <c r="Z57" s="38">
        <v>487312</v>
      </c>
      <c r="AA57" s="38">
        <v>495396</v>
      </c>
      <c r="AB57" s="38">
        <v>501563</v>
      </c>
      <c r="AC57" s="38">
        <v>507610</v>
      </c>
      <c r="AD57" s="62">
        <f>+B57/B62</f>
        <v>0.21669227880146677</v>
      </c>
      <c r="AE57" s="62"/>
      <c r="AF57" s="62"/>
      <c r="AG57" s="62"/>
      <c r="AH57" s="62"/>
      <c r="AI57" s="62"/>
      <c r="AJ57" s="62"/>
      <c r="AK57" s="62"/>
      <c r="AL57" s="62"/>
      <c r="AM57" s="62"/>
      <c r="AN57" s="62"/>
    </row>
    <row r="58" spans="1:40">
      <c r="A58" s="53">
        <v>41</v>
      </c>
      <c r="B58" s="38">
        <v>288294</v>
      </c>
      <c r="C58" s="38">
        <v>299717</v>
      </c>
      <c r="D58" s="38">
        <v>311136</v>
      </c>
      <c r="E58" s="38">
        <v>322547</v>
      </c>
      <c r="F58" s="38">
        <v>333960</v>
      </c>
      <c r="G58" s="38">
        <v>345330</v>
      </c>
      <c r="H58" s="38">
        <v>349040</v>
      </c>
      <c r="I58" s="38">
        <v>352742</v>
      </c>
      <c r="J58" s="38">
        <v>356432</v>
      </c>
      <c r="K58" s="38">
        <v>360093</v>
      </c>
      <c r="L58" s="38">
        <v>363757</v>
      </c>
      <c r="M58" s="38">
        <v>367508</v>
      </c>
      <c r="N58" s="38">
        <v>371217</v>
      </c>
      <c r="O58" s="38">
        <v>374881</v>
      </c>
      <c r="P58" s="38">
        <v>378488</v>
      </c>
      <c r="Q58" s="38">
        <v>382058</v>
      </c>
      <c r="R58" s="38">
        <v>394950</v>
      </c>
      <c r="S58" s="38">
        <v>407774</v>
      </c>
      <c r="T58" s="38">
        <v>420521</v>
      </c>
      <c r="U58" s="38">
        <v>433184</v>
      </c>
      <c r="V58" s="38">
        <v>445743</v>
      </c>
      <c r="W58" s="38">
        <v>453532</v>
      </c>
      <c r="X58" s="38">
        <v>461223</v>
      </c>
      <c r="Y58" s="38">
        <v>468808</v>
      </c>
      <c r="Z58" s="38">
        <v>476291</v>
      </c>
      <c r="AA58" s="38">
        <v>483636</v>
      </c>
      <c r="AB58" s="38">
        <v>492047</v>
      </c>
      <c r="AC58" s="38">
        <v>500343</v>
      </c>
      <c r="AD58" s="62">
        <f>+B58/B62</f>
        <v>0.20663688778157818</v>
      </c>
      <c r="AE58" s="62"/>
      <c r="AF58" s="62"/>
      <c r="AG58" s="62"/>
      <c r="AH58" s="62"/>
      <c r="AI58" s="62"/>
      <c r="AJ58" s="62"/>
      <c r="AK58" s="62"/>
      <c r="AL58" s="62"/>
      <c r="AM58" s="62"/>
      <c r="AN58" s="62"/>
    </row>
    <row r="59" spans="1:40">
      <c r="A59" s="53">
        <v>42</v>
      </c>
      <c r="B59" s="38">
        <v>276314</v>
      </c>
      <c r="C59" s="38">
        <v>288561</v>
      </c>
      <c r="D59" s="38">
        <v>300804</v>
      </c>
      <c r="E59" s="38">
        <v>313040</v>
      </c>
      <c r="F59" s="38">
        <v>325278</v>
      </c>
      <c r="G59" s="38">
        <v>337472</v>
      </c>
      <c r="H59" s="38">
        <v>342172</v>
      </c>
      <c r="I59" s="38">
        <v>346864</v>
      </c>
      <c r="J59" s="38">
        <v>351543</v>
      </c>
      <c r="K59" s="38">
        <v>356194</v>
      </c>
      <c r="L59" s="38">
        <v>360847</v>
      </c>
      <c r="M59" s="38">
        <v>363004</v>
      </c>
      <c r="N59" s="38">
        <v>365119</v>
      </c>
      <c r="O59" s="38">
        <v>367189</v>
      </c>
      <c r="P59" s="38">
        <v>369203</v>
      </c>
      <c r="Q59" s="38">
        <v>371182</v>
      </c>
      <c r="R59" s="38">
        <v>384211</v>
      </c>
      <c r="S59" s="38">
        <v>397175</v>
      </c>
      <c r="T59" s="38">
        <v>410064</v>
      </c>
      <c r="U59" s="38">
        <v>422871</v>
      </c>
      <c r="V59" s="38">
        <v>435575</v>
      </c>
      <c r="W59" s="38">
        <v>443232</v>
      </c>
      <c r="X59" s="38">
        <v>450793</v>
      </c>
      <c r="Y59" s="38">
        <v>458251</v>
      </c>
      <c r="Z59" s="38">
        <v>465608</v>
      </c>
      <c r="AA59" s="38">
        <v>472831</v>
      </c>
      <c r="AB59" s="38">
        <v>482680</v>
      </c>
      <c r="AC59" s="38">
        <v>492418</v>
      </c>
      <c r="AD59" s="62">
        <f>+B59/B62</f>
        <v>0.1980501328868412</v>
      </c>
      <c r="AE59" s="62"/>
      <c r="AF59" s="62"/>
      <c r="AG59" s="62"/>
      <c r="AH59" s="62"/>
      <c r="AI59" s="62"/>
      <c r="AJ59" s="62"/>
      <c r="AK59" s="62"/>
      <c r="AL59" s="62"/>
      <c r="AM59" s="62"/>
      <c r="AN59" s="62"/>
    </row>
    <row r="60" spans="1:40">
      <c r="A60" s="53">
        <v>43</v>
      </c>
      <c r="B60" s="38">
        <v>267439</v>
      </c>
      <c r="C60" s="38">
        <v>279218</v>
      </c>
      <c r="D60" s="38">
        <v>290993</v>
      </c>
      <c r="E60" s="38">
        <v>302760</v>
      </c>
      <c r="F60" s="38">
        <v>314530</v>
      </c>
      <c r="G60" s="38">
        <v>326258</v>
      </c>
      <c r="H60" s="38">
        <v>332342</v>
      </c>
      <c r="I60" s="38">
        <v>338418</v>
      </c>
      <c r="J60" s="38">
        <v>344483</v>
      </c>
      <c r="K60" s="38">
        <v>350520</v>
      </c>
      <c r="L60" s="38">
        <v>356559</v>
      </c>
      <c r="M60" s="38">
        <v>358375</v>
      </c>
      <c r="N60" s="38">
        <v>360150</v>
      </c>
      <c r="O60" s="38">
        <v>361881</v>
      </c>
      <c r="P60" s="38">
        <v>363556</v>
      </c>
      <c r="Q60" s="38">
        <v>365197</v>
      </c>
      <c r="R60" s="38">
        <v>376803</v>
      </c>
      <c r="S60" s="38">
        <v>388345</v>
      </c>
      <c r="T60" s="38">
        <v>399813</v>
      </c>
      <c r="U60" s="38">
        <v>411201</v>
      </c>
      <c r="V60" s="38">
        <v>422491</v>
      </c>
      <c r="W60" s="38">
        <v>430954</v>
      </c>
      <c r="X60" s="38">
        <v>439324</v>
      </c>
      <c r="Y60" s="38">
        <v>447594</v>
      </c>
      <c r="Z60" s="38">
        <v>455765</v>
      </c>
      <c r="AA60" s="38">
        <v>463805</v>
      </c>
      <c r="AB60" s="38">
        <v>473913</v>
      </c>
      <c r="AC60" s="38">
        <v>483913</v>
      </c>
      <c r="AD60" s="62">
        <f>+B60/B62</f>
        <v>0.19168891004119923</v>
      </c>
      <c r="AE60" s="62"/>
      <c r="AF60" s="62"/>
      <c r="AG60" s="62"/>
      <c r="AH60" s="62"/>
      <c r="AI60" s="62"/>
      <c r="AJ60" s="62"/>
      <c r="AK60" s="62"/>
      <c r="AL60" s="62"/>
      <c r="AM60" s="62"/>
      <c r="AN60" s="62"/>
    </row>
    <row r="61" spans="1:40">
      <c r="A61" s="53">
        <v>44</v>
      </c>
      <c r="B61" s="38">
        <v>260802</v>
      </c>
      <c r="C61" s="38">
        <v>271194</v>
      </c>
      <c r="D61" s="38">
        <v>281583</v>
      </c>
      <c r="E61" s="38">
        <v>291964</v>
      </c>
      <c r="F61" s="38">
        <v>302348</v>
      </c>
      <c r="G61" s="38">
        <v>312690</v>
      </c>
      <c r="H61" s="38">
        <v>320376</v>
      </c>
      <c r="I61" s="38">
        <v>328054</v>
      </c>
      <c r="J61" s="38">
        <v>335721</v>
      </c>
      <c r="K61" s="38">
        <v>343362</v>
      </c>
      <c r="L61" s="38">
        <v>351004</v>
      </c>
      <c r="M61" s="38">
        <v>353444</v>
      </c>
      <c r="N61" s="38">
        <v>355844</v>
      </c>
      <c r="O61" s="38">
        <v>358200</v>
      </c>
      <c r="P61" s="38">
        <v>360501</v>
      </c>
      <c r="Q61" s="38">
        <v>362767</v>
      </c>
      <c r="R61" s="38">
        <v>371875</v>
      </c>
      <c r="S61" s="38">
        <v>380917</v>
      </c>
      <c r="T61" s="38">
        <v>389887</v>
      </c>
      <c r="U61" s="38">
        <v>398779</v>
      </c>
      <c r="V61" s="38">
        <v>407578</v>
      </c>
      <c r="W61" s="38">
        <v>417441</v>
      </c>
      <c r="X61" s="38">
        <v>427214</v>
      </c>
      <c r="Y61" s="38">
        <v>436890</v>
      </c>
      <c r="Z61" s="38">
        <v>446470</v>
      </c>
      <c r="AA61" s="38">
        <v>455919</v>
      </c>
      <c r="AB61" s="38">
        <v>465442</v>
      </c>
      <c r="AC61" s="38">
        <v>474859</v>
      </c>
      <c r="AD61" s="62">
        <f>+B61/B62</f>
        <v>0.18693179048891462</v>
      </c>
      <c r="AE61" s="62"/>
      <c r="AF61" s="62"/>
      <c r="AG61" s="62"/>
      <c r="AH61" s="62"/>
      <c r="AI61" s="62"/>
      <c r="AJ61" s="62"/>
      <c r="AK61" s="62"/>
      <c r="AL61" s="62"/>
      <c r="AM61" s="62"/>
      <c r="AN61" s="62"/>
    </row>
    <row r="62" spans="1:40">
      <c r="A62" s="53" t="s">
        <v>92</v>
      </c>
      <c r="B62" s="46">
        <f>SUM(B57:B61)</f>
        <v>1395172</v>
      </c>
      <c r="C62" s="46">
        <v>0</v>
      </c>
      <c r="D62" s="46">
        <v>0</v>
      </c>
      <c r="E62" s="46">
        <v>0</v>
      </c>
      <c r="F62" s="46">
        <v>0</v>
      </c>
      <c r="G62" s="46">
        <v>0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  <c r="M62" s="46">
        <v>0</v>
      </c>
      <c r="N62" s="46">
        <v>0</v>
      </c>
      <c r="O62" s="46">
        <v>0</v>
      </c>
      <c r="P62" s="46">
        <v>0</v>
      </c>
      <c r="Q62" s="46">
        <v>0</v>
      </c>
      <c r="R62" s="46">
        <v>0</v>
      </c>
      <c r="S62" s="46">
        <v>0</v>
      </c>
      <c r="T62" s="46">
        <v>0</v>
      </c>
      <c r="U62" s="46">
        <v>0</v>
      </c>
      <c r="V62" s="46">
        <v>0</v>
      </c>
      <c r="W62" s="46">
        <v>0</v>
      </c>
      <c r="X62" s="46">
        <v>0</v>
      </c>
      <c r="Y62" s="46">
        <v>0</v>
      </c>
      <c r="Z62" s="46">
        <v>0</v>
      </c>
      <c r="AA62" s="46">
        <v>0</v>
      </c>
      <c r="AB62" s="46">
        <v>0</v>
      </c>
      <c r="AC62" s="46">
        <v>0</v>
      </c>
      <c r="AE62" s="62"/>
      <c r="AF62" s="62"/>
      <c r="AG62" s="62"/>
      <c r="AH62" s="62"/>
      <c r="AI62" s="62"/>
      <c r="AJ62" s="62"/>
      <c r="AK62" s="62"/>
      <c r="AL62" s="62"/>
      <c r="AM62" s="62"/>
      <c r="AN62" s="62"/>
    </row>
    <row r="63" spans="1:40">
      <c r="A63" s="53">
        <v>45</v>
      </c>
      <c r="B63" s="38">
        <v>254716</v>
      </c>
      <c r="C63" s="38">
        <v>263362</v>
      </c>
      <c r="D63" s="38">
        <v>272005</v>
      </c>
      <c r="E63" s="38">
        <v>280640</v>
      </c>
      <c r="F63" s="38">
        <v>289281</v>
      </c>
      <c r="G63" s="38">
        <v>297876</v>
      </c>
      <c r="H63" s="38">
        <v>307472</v>
      </c>
      <c r="I63" s="38">
        <v>317061</v>
      </c>
      <c r="J63" s="38">
        <v>326637</v>
      </c>
      <c r="K63" s="38">
        <v>336189</v>
      </c>
      <c r="L63" s="38">
        <v>345743</v>
      </c>
      <c r="M63" s="38">
        <v>348931</v>
      </c>
      <c r="N63" s="38">
        <v>352078</v>
      </c>
      <c r="O63" s="38">
        <v>355182</v>
      </c>
      <c r="P63" s="38">
        <v>358233</v>
      </c>
      <c r="Q63" s="38">
        <v>361248</v>
      </c>
      <c r="R63" s="38">
        <v>367475</v>
      </c>
      <c r="S63" s="38">
        <v>373635</v>
      </c>
      <c r="T63" s="38">
        <v>379725</v>
      </c>
      <c r="U63" s="38">
        <v>385739</v>
      </c>
      <c r="V63" s="38">
        <v>391666</v>
      </c>
      <c r="W63" s="38">
        <v>403237</v>
      </c>
      <c r="X63" s="38">
        <v>414723</v>
      </c>
      <c r="Y63" s="38">
        <v>426117</v>
      </c>
      <c r="Z63" s="38">
        <v>437415</v>
      </c>
      <c r="AA63" s="38">
        <v>448584</v>
      </c>
      <c r="AB63" s="38">
        <v>457109</v>
      </c>
      <c r="AC63" s="38">
        <v>465529</v>
      </c>
      <c r="AD63" s="62">
        <f>+B63/B68</f>
        <v>0.21297716178725695</v>
      </c>
      <c r="AE63" s="62"/>
      <c r="AF63" s="62"/>
      <c r="AG63" s="62"/>
      <c r="AH63" s="62"/>
      <c r="AI63" s="62"/>
      <c r="AJ63" s="62"/>
      <c r="AK63" s="62"/>
      <c r="AL63" s="62"/>
      <c r="AM63" s="62"/>
      <c r="AN63" s="62"/>
    </row>
    <row r="64" spans="1:40">
      <c r="A64" s="53">
        <v>46</v>
      </c>
      <c r="B64" s="38">
        <v>247835</v>
      </c>
      <c r="C64" s="38">
        <v>255036</v>
      </c>
      <c r="D64" s="38">
        <v>262233</v>
      </c>
      <c r="E64" s="38">
        <v>269423</v>
      </c>
      <c r="F64" s="38">
        <v>276614</v>
      </c>
      <c r="G64" s="38">
        <v>283766</v>
      </c>
      <c r="H64" s="38">
        <v>295079</v>
      </c>
      <c r="I64" s="38">
        <v>306386</v>
      </c>
      <c r="J64" s="38">
        <v>317682</v>
      </c>
      <c r="K64" s="38">
        <v>328953</v>
      </c>
      <c r="L64" s="38">
        <v>340226</v>
      </c>
      <c r="M64" s="38">
        <v>344016</v>
      </c>
      <c r="N64" s="38">
        <v>347768</v>
      </c>
      <c r="O64" s="38">
        <v>351477</v>
      </c>
      <c r="P64" s="38">
        <v>355132</v>
      </c>
      <c r="Q64" s="38">
        <v>358751</v>
      </c>
      <c r="R64" s="38">
        <v>362567</v>
      </c>
      <c r="S64" s="38">
        <v>366317</v>
      </c>
      <c r="T64" s="38">
        <v>369995</v>
      </c>
      <c r="U64" s="38">
        <v>373601</v>
      </c>
      <c r="V64" s="38">
        <v>377125</v>
      </c>
      <c r="W64" s="38">
        <v>389937</v>
      </c>
      <c r="X64" s="38">
        <v>402669</v>
      </c>
      <c r="Y64" s="38">
        <v>415310</v>
      </c>
      <c r="Z64" s="38">
        <v>427859</v>
      </c>
      <c r="AA64" s="38">
        <v>440280</v>
      </c>
      <c r="AB64" s="38">
        <v>448060</v>
      </c>
      <c r="AC64" s="38">
        <v>455736</v>
      </c>
      <c r="AD64" s="62">
        <f>+B64/B68</f>
        <v>0.20722371147295351</v>
      </c>
      <c r="AE64" s="62"/>
      <c r="AF64" s="62"/>
      <c r="AG64" s="62"/>
      <c r="AH64" s="62"/>
      <c r="AI64" s="62"/>
      <c r="AJ64" s="62"/>
      <c r="AK64" s="62"/>
      <c r="AL64" s="62"/>
      <c r="AM64" s="62"/>
      <c r="AN64" s="62"/>
    </row>
    <row r="65" spans="1:40">
      <c r="A65" s="53">
        <v>47</v>
      </c>
      <c r="B65" s="38">
        <v>240236</v>
      </c>
      <c r="C65" s="38">
        <v>246537</v>
      </c>
      <c r="D65" s="38">
        <v>252835</v>
      </c>
      <c r="E65" s="38">
        <v>259126</v>
      </c>
      <c r="F65" s="38">
        <v>265418</v>
      </c>
      <c r="G65" s="38">
        <v>271672</v>
      </c>
      <c r="H65" s="38">
        <v>283791</v>
      </c>
      <c r="I65" s="38">
        <v>295903</v>
      </c>
      <c r="J65" s="38">
        <v>308006</v>
      </c>
      <c r="K65" s="38">
        <v>320083</v>
      </c>
      <c r="L65" s="38">
        <v>332164</v>
      </c>
      <c r="M65" s="38">
        <v>336925</v>
      </c>
      <c r="N65" s="38">
        <v>341649</v>
      </c>
      <c r="O65" s="38">
        <v>346330</v>
      </c>
      <c r="P65" s="38">
        <v>350959</v>
      </c>
      <c r="Q65" s="38">
        <v>355553</v>
      </c>
      <c r="R65" s="38">
        <v>357790</v>
      </c>
      <c r="S65" s="38">
        <v>359959</v>
      </c>
      <c r="T65" s="38">
        <v>362059</v>
      </c>
      <c r="U65" s="38">
        <v>364088</v>
      </c>
      <c r="V65" s="38">
        <v>366039</v>
      </c>
      <c r="W65" s="38">
        <v>378982</v>
      </c>
      <c r="X65" s="38">
        <v>391847</v>
      </c>
      <c r="Y65" s="38">
        <v>404623</v>
      </c>
      <c r="Z65" s="38">
        <v>417310</v>
      </c>
      <c r="AA65" s="38">
        <v>429871</v>
      </c>
      <c r="AB65" s="38">
        <v>437512</v>
      </c>
      <c r="AC65" s="38">
        <v>445052</v>
      </c>
      <c r="AD65" s="62">
        <f>+B65/B68</f>
        <v>0.20086991566734505</v>
      </c>
      <c r="AE65" s="62"/>
      <c r="AF65" s="62"/>
      <c r="AG65" s="62"/>
      <c r="AH65" s="62"/>
      <c r="AI65" s="62"/>
      <c r="AJ65" s="62"/>
      <c r="AK65" s="62"/>
      <c r="AL65" s="62"/>
      <c r="AM65" s="62"/>
      <c r="AN65" s="62"/>
    </row>
    <row r="66" spans="1:40">
      <c r="A66" s="53">
        <v>48</v>
      </c>
      <c r="B66" s="38">
        <v>231443</v>
      </c>
      <c r="C66" s="38">
        <v>237696</v>
      </c>
      <c r="D66" s="38">
        <v>243947</v>
      </c>
      <c r="E66" s="38">
        <v>250191</v>
      </c>
      <c r="F66" s="38">
        <v>256436</v>
      </c>
      <c r="G66" s="38">
        <v>262644</v>
      </c>
      <c r="H66" s="38">
        <v>274297</v>
      </c>
      <c r="I66" s="38">
        <v>285943</v>
      </c>
      <c r="J66" s="38">
        <v>297580</v>
      </c>
      <c r="K66" s="38">
        <v>309192</v>
      </c>
      <c r="L66" s="38">
        <v>320808</v>
      </c>
      <c r="M66" s="38">
        <v>326921</v>
      </c>
      <c r="N66" s="38">
        <v>332998</v>
      </c>
      <c r="O66" s="38">
        <v>339035</v>
      </c>
      <c r="P66" s="38">
        <v>345019</v>
      </c>
      <c r="Q66" s="38">
        <v>350969</v>
      </c>
      <c r="R66" s="38">
        <v>352869</v>
      </c>
      <c r="S66" s="38">
        <v>354702</v>
      </c>
      <c r="T66" s="38">
        <v>356466</v>
      </c>
      <c r="U66" s="38">
        <v>358161</v>
      </c>
      <c r="V66" s="38">
        <v>359779</v>
      </c>
      <c r="W66" s="38">
        <v>371316</v>
      </c>
      <c r="X66" s="38">
        <v>382776</v>
      </c>
      <c r="Y66" s="38">
        <v>394149</v>
      </c>
      <c r="Z66" s="38">
        <v>405435</v>
      </c>
      <c r="AA66" s="38">
        <v>416600</v>
      </c>
      <c r="AB66" s="38">
        <v>425024</v>
      </c>
      <c r="AC66" s="38">
        <v>433349</v>
      </c>
      <c r="AD66" s="62">
        <f>+B66/B68</f>
        <v>0.19351777373831291</v>
      </c>
      <c r="AE66" s="62"/>
      <c r="AF66" s="62"/>
      <c r="AG66" s="62"/>
      <c r="AH66" s="62"/>
      <c r="AI66" s="62"/>
      <c r="AJ66" s="62"/>
      <c r="AK66" s="62"/>
      <c r="AL66" s="62"/>
      <c r="AM66" s="62"/>
      <c r="AN66" s="62"/>
    </row>
    <row r="67" spans="1:40">
      <c r="A67" s="53">
        <v>49</v>
      </c>
      <c r="B67" s="38">
        <v>221748</v>
      </c>
      <c r="C67" s="38">
        <v>228576</v>
      </c>
      <c r="D67" s="38">
        <v>235400</v>
      </c>
      <c r="E67" s="38">
        <v>242219</v>
      </c>
      <c r="F67" s="38">
        <v>249038</v>
      </c>
      <c r="G67" s="38">
        <v>255823</v>
      </c>
      <c r="H67" s="38">
        <v>266105</v>
      </c>
      <c r="I67" s="38">
        <v>276381</v>
      </c>
      <c r="J67" s="38">
        <v>286648</v>
      </c>
      <c r="K67" s="38">
        <v>296892</v>
      </c>
      <c r="L67" s="38">
        <v>307138</v>
      </c>
      <c r="M67" s="38">
        <v>314811</v>
      </c>
      <c r="N67" s="38">
        <v>322450</v>
      </c>
      <c r="O67" s="38">
        <v>330050</v>
      </c>
      <c r="P67" s="38">
        <v>337599</v>
      </c>
      <c r="Q67" s="38">
        <v>345114</v>
      </c>
      <c r="R67" s="38">
        <v>347630</v>
      </c>
      <c r="S67" s="38">
        <v>350082</v>
      </c>
      <c r="T67" s="38">
        <v>352465</v>
      </c>
      <c r="U67" s="38">
        <v>354780</v>
      </c>
      <c r="V67" s="38">
        <v>357018</v>
      </c>
      <c r="W67" s="38">
        <v>366090</v>
      </c>
      <c r="X67" s="38">
        <v>375084</v>
      </c>
      <c r="Y67" s="38">
        <v>383992</v>
      </c>
      <c r="Z67" s="38">
        <v>392817</v>
      </c>
      <c r="AA67" s="38">
        <v>401525</v>
      </c>
      <c r="AB67" s="38">
        <v>411315</v>
      </c>
      <c r="AC67" s="38">
        <v>421011</v>
      </c>
      <c r="AD67" s="62">
        <f>+B67/B68</f>
        <v>0.18541143733413157</v>
      </c>
      <c r="AE67" s="62"/>
      <c r="AF67" s="62"/>
      <c r="AG67" s="62"/>
      <c r="AH67" s="62"/>
      <c r="AI67" s="62"/>
      <c r="AJ67" s="62"/>
      <c r="AK67" s="62"/>
      <c r="AL67" s="62"/>
      <c r="AM67" s="62"/>
      <c r="AN67" s="62"/>
    </row>
    <row r="68" spans="1:40">
      <c r="A68" s="51" t="s">
        <v>93</v>
      </c>
      <c r="B68" s="46">
        <f>SUM(B63:B67)</f>
        <v>1195978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v>0</v>
      </c>
      <c r="O68" s="46">
        <v>0</v>
      </c>
      <c r="P68" s="46">
        <v>0</v>
      </c>
      <c r="Q68" s="46">
        <v>0</v>
      </c>
      <c r="R68" s="46">
        <v>0</v>
      </c>
      <c r="S68" s="46">
        <v>0</v>
      </c>
      <c r="T68" s="46">
        <v>0</v>
      </c>
      <c r="U68" s="46">
        <v>0</v>
      </c>
      <c r="V68" s="46">
        <v>0</v>
      </c>
      <c r="W68" s="46">
        <v>0</v>
      </c>
      <c r="X68" s="46">
        <v>0</v>
      </c>
      <c r="Y68" s="46">
        <v>0</v>
      </c>
      <c r="Z68" s="46">
        <v>0</v>
      </c>
      <c r="AA68" s="46">
        <v>0</v>
      </c>
      <c r="AB68" s="46">
        <v>0</v>
      </c>
      <c r="AC68" s="46">
        <v>0</v>
      </c>
      <c r="AE68" s="62"/>
      <c r="AF68" s="62"/>
      <c r="AG68" s="62"/>
      <c r="AH68" s="62"/>
      <c r="AI68" s="62"/>
      <c r="AJ68" s="62"/>
      <c r="AK68" s="62"/>
      <c r="AL68" s="62"/>
      <c r="AM68" s="62"/>
      <c r="AN68" s="62"/>
    </row>
    <row r="69" spans="1:40">
      <c r="A69" s="52">
        <v>50</v>
      </c>
      <c r="B69" s="38">
        <v>212097</v>
      </c>
      <c r="C69" s="38">
        <v>219597</v>
      </c>
      <c r="D69" s="38">
        <v>227095</v>
      </c>
      <c r="E69" s="38">
        <v>234588</v>
      </c>
      <c r="F69" s="38">
        <v>242081</v>
      </c>
      <c r="G69" s="38">
        <v>249542</v>
      </c>
      <c r="H69" s="38">
        <v>258100</v>
      </c>
      <c r="I69" s="38">
        <v>266650</v>
      </c>
      <c r="J69" s="38">
        <v>275193</v>
      </c>
      <c r="K69" s="38">
        <v>283713</v>
      </c>
      <c r="L69" s="38">
        <v>292235</v>
      </c>
      <c r="M69" s="38">
        <v>301768</v>
      </c>
      <c r="N69" s="38">
        <v>311268</v>
      </c>
      <c r="O69" s="38">
        <v>320733</v>
      </c>
      <c r="P69" s="38">
        <v>330145</v>
      </c>
      <c r="Q69" s="38">
        <v>339526</v>
      </c>
      <c r="R69" s="38">
        <v>342784</v>
      </c>
      <c r="S69" s="38">
        <v>345978</v>
      </c>
      <c r="T69" s="38">
        <v>349105</v>
      </c>
      <c r="U69" s="38">
        <v>352164</v>
      </c>
      <c r="V69" s="38">
        <v>355145</v>
      </c>
      <c r="W69" s="38">
        <v>361374</v>
      </c>
      <c r="X69" s="38">
        <v>367524</v>
      </c>
      <c r="Y69" s="38">
        <v>373590</v>
      </c>
      <c r="Z69" s="38">
        <v>379573</v>
      </c>
      <c r="AA69" s="38">
        <v>385446</v>
      </c>
      <c r="AB69" s="38">
        <v>396906</v>
      </c>
      <c r="AC69" s="38">
        <v>408274</v>
      </c>
      <c r="AD69" s="62">
        <f>+B69/B74</f>
        <v>0.22032343647095243</v>
      </c>
      <c r="AE69" s="62"/>
      <c r="AF69" s="62"/>
      <c r="AG69" s="62"/>
      <c r="AH69" s="62"/>
      <c r="AI69" s="62"/>
      <c r="AJ69" s="62"/>
      <c r="AK69" s="62"/>
      <c r="AL69" s="62"/>
      <c r="AM69" s="62"/>
      <c r="AN69" s="62"/>
    </row>
    <row r="70" spans="1:40">
      <c r="A70" s="52">
        <v>51</v>
      </c>
      <c r="B70" s="38">
        <v>202717</v>
      </c>
      <c r="C70" s="38">
        <v>210678</v>
      </c>
      <c r="D70" s="38">
        <v>218636</v>
      </c>
      <c r="E70" s="38">
        <v>226588</v>
      </c>
      <c r="F70" s="38">
        <v>234541</v>
      </c>
      <c r="G70" s="38">
        <v>242464</v>
      </c>
      <c r="H70" s="38">
        <v>249589</v>
      </c>
      <c r="I70" s="38">
        <v>256709</v>
      </c>
      <c r="J70" s="38">
        <v>263819</v>
      </c>
      <c r="K70" s="38">
        <v>270908</v>
      </c>
      <c r="L70" s="38">
        <v>278000</v>
      </c>
      <c r="M70" s="38">
        <v>289205</v>
      </c>
      <c r="N70" s="38">
        <v>300380</v>
      </c>
      <c r="O70" s="38">
        <v>311519</v>
      </c>
      <c r="P70" s="38">
        <v>322610</v>
      </c>
      <c r="Q70" s="38">
        <v>333669</v>
      </c>
      <c r="R70" s="38">
        <v>337522</v>
      </c>
      <c r="S70" s="38">
        <v>341313</v>
      </c>
      <c r="T70" s="38">
        <v>345038</v>
      </c>
      <c r="U70" s="38">
        <v>348696</v>
      </c>
      <c r="V70" s="38">
        <v>352276</v>
      </c>
      <c r="W70" s="38">
        <v>356122</v>
      </c>
      <c r="X70" s="38">
        <v>359889</v>
      </c>
      <c r="Y70" s="38">
        <v>363573</v>
      </c>
      <c r="Z70" s="38">
        <v>367178</v>
      </c>
      <c r="AA70" s="38">
        <v>370679</v>
      </c>
      <c r="AB70" s="38">
        <v>383346</v>
      </c>
      <c r="AC70" s="38">
        <v>395929</v>
      </c>
      <c r="AD70" s="62">
        <f>+B70/B74</f>
        <v>0.21057962192337498</v>
      </c>
      <c r="AE70" s="62"/>
      <c r="AF70" s="62"/>
      <c r="AG70" s="62"/>
      <c r="AH70" s="62"/>
      <c r="AI70" s="62"/>
      <c r="AJ70" s="62"/>
      <c r="AK70" s="62"/>
      <c r="AL70" s="62"/>
      <c r="AM70" s="62"/>
      <c r="AN70" s="62"/>
    </row>
    <row r="71" spans="1:40">
      <c r="A71" s="52">
        <v>52</v>
      </c>
      <c r="B71" s="38">
        <v>192940</v>
      </c>
      <c r="C71" s="38">
        <v>201293</v>
      </c>
      <c r="D71" s="38">
        <v>209643</v>
      </c>
      <c r="E71" s="38">
        <v>217988</v>
      </c>
      <c r="F71" s="38">
        <v>226335</v>
      </c>
      <c r="G71" s="38">
        <v>234652</v>
      </c>
      <c r="H71" s="38">
        <v>240882</v>
      </c>
      <c r="I71" s="38">
        <v>247106</v>
      </c>
      <c r="J71" s="38">
        <v>253321</v>
      </c>
      <c r="K71" s="38">
        <v>259516</v>
      </c>
      <c r="L71" s="38">
        <v>265714</v>
      </c>
      <c r="M71" s="38">
        <v>277698</v>
      </c>
      <c r="N71" s="38">
        <v>289654</v>
      </c>
      <c r="O71" s="38">
        <v>301575</v>
      </c>
      <c r="P71" s="38">
        <v>313450</v>
      </c>
      <c r="Q71" s="38">
        <v>325293</v>
      </c>
      <c r="R71" s="38">
        <v>330094</v>
      </c>
      <c r="S71" s="38">
        <v>334834</v>
      </c>
      <c r="T71" s="38">
        <v>339510</v>
      </c>
      <c r="U71" s="38">
        <v>344119</v>
      </c>
      <c r="V71" s="38">
        <v>348652</v>
      </c>
      <c r="W71" s="38">
        <v>350938</v>
      </c>
      <c r="X71" s="38">
        <v>353145</v>
      </c>
      <c r="Y71" s="38">
        <v>355270</v>
      </c>
      <c r="Z71" s="38">
        <v>357319</v>
      </c>
      <c r="AA71" s="38">
        <v>359267</v>
      </c>
      <c r="AB71" s="38">
        <v>372056</v>
      </c>
      <c r="AC71" s="38">
        <v>384763</v>
      </c>
      <c r="AD71" s="62">
        <f>+B71/B74</f>
        <v>0.20042340925475399</v>
      </c>
      <c r="AE71" s="62"/>
      <c r="AF71" s="62"/>
      <c r="AG71" s="62"/>
      <c r="AH71" s="62"/>
      <c r="AI71" s="62"/>
      <c r="AJ71" s="62"/>
      <c r="AK71" s="62"/>
      <c r="AL71" s="62"/>
      <c r="AM71" s="62"/>
      <c r="AN71" s="62"/>
    </row>
    <row r="72" spans="1:40">
      <c r="A72" s="52">
        <v>53</v>
      </c>
      <c r="B72" s="38">
        <v>182696</v>
      </c>
      <c r="C72" s="38">
        <v>191294</v>
      </c>
      <c r="D72" s="38">
        <v>199889</v>
      </c>
      <c r="E72" s="38">
        <v>208479</v>
      </c>
      <c r="F72" s="38">
        <v>217071</v>
      </c>
      <c r="G72" s="38">
        <v>225634</v>
      </c>
      <c r="H72" s="38">
        <v>231804</v>
      </c>
      <c r="I72" s="38">
        <v>237969</v>
      </c>
      <c r="J72" s="38">
        <v>244125</v>
      </c>
      <c r="K72" s="38">
        <v>250262</v>
      </c>
      <c r="L72" s="38">
        <v>256402</v>
      </c>
      <c r="M72" s="38">
        <v>267920</v>
      </c>
      <c r="N72" s="38">
        <v>279411</v>
      </c>
      <c r="O72" s="38">
        <v>290868</v>
      </c>
      <c r="P72" s="38">
        <v>302281</v>
      </c>
      <c r="Q72" s="38">
        <v>313664</v>
      </c>
      <c r="R72" s="38">
        <v>319772</v>
      </c>
      <c r="S72" s="38">
        <v>325824</v>
      </c>
      <c r="T72" s="38">
        <v>331813</v>
      </c>
      <c r="U72" s="38">
        <v>337736</v>
      </c>
      <c r="V72" s="38">
        <v>343583</v>
      </c>
      <c r="W72" s="38">
        <v>345537</v>
      </c>
      <c r="X72" s="38">
        <v>347413</v>
      </c>
      <c r="Y72" s="38">
        <v>349208</v>
      </c>
      <c r="Z72" s="38">
        <v>350928</v>
      </c>
      <c r="AA72" s="38">
        <v>352550</v>
      </c>
      <c r="AB72" s="38">
        <v>363956</v>
      </c>
      <c r="AC72" s="38">
        <v>375282</v>
      </c>
      <c r="AD72" s="62">
        <f>+B72/B74</f>
        <v>0.18978208343115235</v>
      </c>
      <c r="AE72" s="62"/>
      <c r="AF72" s="62"/>
      <c r="AG72" s="62"/>
      <c r="AH72" s="62"/>
      <c r="AI72" s="62"/>
      <c r="AJ72" s="62"/>
      <c r="AK72" s="62"/>
      <c r="AL72" s="62"/>
      <c r="AM72" s="62"/>
      <c r="AN72" s="62"/>
    </row>
    <row r="73" spans="1:40">
      <c r="A73" s="52">
        <v>54</v>
      </c>
      <c r="B73" s="38">
        <v>172212</v>
      </c>
      <c r="C73" s="38">
        <v>180921</v>
      </c>
      <c r="D73" s="38">
        <v>189628</v>
      </c>
      <c r="E73" s="38">
        <v>198329</v>
      </c>
      <c r="F73" s="38">
        <v>207032</v>
      </c>
      <c r="G73" s="38">
        <v>215708</v>
      </c>
      <c r="H73" s="38">
        <v>222428</v>
      </c>
      <c r="I73" s="38">
        <v>229143</v>
      </c>
      <c r="J73" s="38">
        <v>235849</v>
      </c>
      <c r="K73" s="38">
        <v>242537</v>
      </c>
      <c r="L73" s="38">
        <v>249228</v>
      </c>
      <c r="M73" s="38">
        <v>259394</v>
      </c>
      <c r="N73" s="38">
        <v>269534</v>
      </c>
      <c r="O73" s="38">
        <v>279642</v>
      </c>
      <c r="P73" s="38">
        <v>289707</v>
      </c>
      <c r="Q73" s="38">
        <v>299743</v>
      </c>
      <c r="R73" s="38">
        <v>307355</v>
      </c>
      <c r="S73" s="38">
        <v>314912</v>
      </c>
      <c r="T73" s="38">
        <v>322410</v>
      </c>
      <c r="U73" s="38">
        <v>329844</v>
      </c>
      <c r="V73" s="38">
        <v>337202</v>
      </c>
      <c r="W73" s="38">
        <v>339765</v>
      </c>
      <c r="X73" s="38">
        <v>342251</v>
      </c>
      <c r="Y73" s="38">
        <v>344659</v>
      </c>
      <c r="Z73" s="38">
        <v>346992</v>
      </c>
      <c r="AA73" s="38">
        <v>349227</v>
      </c>
      <c r="AB73" s="38">
        <v>358213</v>
      </c>
      <c r="AC73" s="38">
        <v>367119</v>
      </c>
      <c r="AD73" s="62">
        <f>+B73/B74</f>
        <v>0.17889144891976624</v>
      </c>
      <c r="AE73" s="62"/>
      <c r="AF73" s="62"/>
      <c r="AG73" s="62"/>
      <c r="AH73" s="62"/>
      <c r="AI73" s="62"/>
      <c r="AJ73" s="62"/>
      <c r="AK73" s="62"/>
      <c r="AL73" s="62"/>
      <c r="AM73" s="62"/>
      <c r="AN73" s="62"/>
    </row>
    <row r="74" spans="1:40">
      <c r="A74" s="51" t="s">
        <v>94</v>
      </c>
      <c r="B74" s="46">
        <f>SUM(B69:B73)</f>
        <v>962662</v>
      </c>
      <c r="C74" s="46">
        <v>0</v>
      </c>
      <c r="D74" s="46">
        <v>0</v>
      </c>
      <c r="E74" s="46">
        <v>0</v>
      </c>
      <c r="F74" s="46">
        <v>0</v>
      </c>
      <c r="G74" s="46">
        <v>0</v>
      </c>
      <c r="H74" s="46">
        <v>0</v>
      </c>
      <c r="I74" s="46">
        <v>0</v>
      </c>
      <c r="J74" s="46">
        <v>0</v>
      </c>
      <c r="K74" s="46">
        <v>0</v>
      </c>
      <c r="L74" s="46">
        <v>0</v>
      </c>
      <c r="M74" s="46">
        <v>0</v>
      </c>
      <c r="N74" s="46">
        <v>0</v>
      </c>
      <c r="O74" s="46">
        <v>0</v>
      </c>
      <c r="P74" s="46">
        <v>0</v>
      </c>
      <c r="Q74" s="46">
        <v>0</v>
      </c>
      <c r="R74" s="46">
        <v>0</v>
      </c>
      <c r="S74" s="46">
        <v>0</v>
      </c>
      <c r="T74" s="46">
        <v>0</v>
      </c>
      <c r="U74" s="46">
        <v>0</v>
      </c>
      <c r="V74" s="46">
        <v>0</v>
      </c>
      <c r="W74" s="46">
        <v>0</v>
      </c>
      <c r="X74" s="46">
        <v>0</v>
      </c>
      <c r="Y74" s="46">
        <v>0</v>
      </c>
      <c r="Z74" s="46">
        <v>0</v>
      </c>
      <c r="AA74" s="46">
        <v>0</v>
      </c>
      <c r="AB74" s="46">
        <v>0</v>
      </c>
      <c r="AC74" s="46">
        <v>0</v>
      </c>
      <c r="AE74" s="62"/>
      <c r="AF74" s="62"/>
      <c r="AG74" s="62"/>
      <c r="AH74" s="62"/>
      <c r="AI74" s="62"/>
      <c r="AJ74" s="62"/>
      <c r="AK74" s="62"/>
      <c r="AL74" s="62"/>
      <c r="AM74" s="62"/>
      <c r="AN74" s="62"/>
    </row>
    <row r="75" spans="1:40">
      <c r="A75" s="52">
        <v>55</v>
      </c>
      <c r="B75" s="38">
        <v>161713</v>
      </c>
      <c r="C75" s="38">
        <v>170542</v>
      </c>
      <c r="D75" s="38">
        <v>179369</v>
      </c>
      <c r="E75" s="38">
        <v>188192</v>
      </c>
      <c r="F75" s="38">
        <v>197016</v>
      </c>
      <c r="G75" s="38">
        <v>205812</v>
      </c>
      <c r="H75" s="38">
        <v>213180</v>
      </c>
      <c r="I75" s="38">
        <v>220544</v>
      </c>
      <c r="J75" s="38">
        <v>227897</v>
      </c>
      <c r="K75" s="38">
        <v>235235</v>
      </c>
      <c r="L75" s="38">
        <v>242575</v>
      </c>
      <c r="M75" s="38">
        <v>251042</v>
      </c>
      <c r="N75" s="38">
        <v>259482</v>
      </c>
      <c r="O75" s="38">
        <v>267891</v>
      </c>
      <c r="P75" s="38">
        <v>276259</v>
      </c>
      <c r="Q75" s="38">
        <v>284601</v>
      </c>
      <c r="R75" s="38">
        <v>294004</v>
      </c>
      <c r="S75" s="38">
        <v>303357</v>
      </c>
      <c r="T75" s="38">
        <v>312653</v>
      </c>
      <c r="U75" s="38">
        <v>321887</v>
      </c>
      <c r="V75" s="38">
        <v>331045</v>
      </c>
      <c r="W75" s="38">
        <v>334344</v>
      </c>
      <c r="X75" s="38">
        <v>337568</v>
      </c>
      <c r="Y75" s="38">
        <v>340713</v>
      </c>
      <c r="Z75" s="38">
        <v>343784</v>
      </c>
      <c r="AA75" s="38">
        <v>346759</v>
      </c>
      <c r="AB75" s="38">
        <v>352953</v>
      </c>
      <c r="AC75" s="38">
        <v>359063</v>
      </c>
      <c r="AD75" s="62">
        <f>+B75/B80</f>
        <v>0.22609613556288799</v>
      </c>
      <c r="AE75" s="62"/>
      <c r="AF75" s="62"/>
      <c r="AG75" s="62"/>
      <c r="AH75" s="62"/>
      <c r="AI75" s="62"/>
      <c r="AJ75" s="62"/>
      <c r="AK75" s="62"/>
      <c r="AL75" s="62"/>
      <c r="AM75" s="62"/>
      <c r="AN75" s="62"/>
    </row>
    <row r="76" spans="1:40">
      <c r="A76" s="52">
        <v>56</v>
      </c>
      <c r="B76" s="38">
        <v>151596</v>
      </c>
      <c r="C76" s="38">
        <v>160525</v>
      </c>
      <c r="D76" s="38">
        <v>169451</v>
      </c>
      <c r="E76" s="38">
        <v>178374</v>
      </c>
      <c r="F76" s="38">
        <v>187298</v>
      </c>
      <c r="G76" s="38">
        <v>196195</v>
      </c>
      <c r="H76" s="38">
        <v>203998</v>
      </c>
      <c r="I76" s="38">
        <v>211797</v>
      </c>
      <c r="J76" s="38">
        <v>219589</v>
      </c>
      <c r="K76" s="38">
        <v>227363</v>
      </c>
      <c r="L76" s="38">
        <v>235141</v>
      </c>
      <c r="M76" s="38">
        <v>242191</v>
      </c>
      <c r="N76" s="38">
        <v>249216</v>
      </c>
      <c r="O76" s="38">
        <v>256211</v>
      </c>
      <c r="P76" s="38">
        <v>263166</v>
      </c>
      <c r="Q76" s="38">
        <v>270097</v>
      </c>
      <c r="R76" s="38">
        <v>281112</v>
      </c>
      <c r="S76" s="38">
        <v>292080</v>
      </c>
      <c r="T76" s="38">
        <v>302993</v>
      </c>
      <c r="U76" s="38">
        <v>313845</v>
      </c>
      <c r="V76" s="38">
        <v>324624</v>
      </c>
      <c r="W76" s="38">
        <v>328509</v>
      </c>
      <c r="X76" s="38">
        <v>332321</v>
      </c>
      <c r="Y76" s="38">
        <v>336057</v>
      </c>
      <c r="Z76" s="38">
        <v>339720</v>
      </c>
      <c r="AA76" s="38">
        <v>343285</v>
      </c>
      <c r="AB76" s="38">
        <v>347135</v>
      </c>
      <c r="AC76" s="38">
        <v>350903</v>
      </c>
      <c r="AD76" s="62">
        <f>+B76/B80</f>
        <v>0.21195123315250824</v>
      </c>
      <c r="AE76" s="62"/>
      <c r="AF76" s="62"/>
      <c r="AG76" s="62"/>
      <c r="AH76" s="62"/>
      <c r="AI76" s="62"/>
      <c r="AJ76" s="62"/>
      <c r="AK76" s="62"/>
      <c r="AL76" s="62"/>
      <c r="AM76" s="62"/>
      <c r="AN76" s="62"/>
    </row>
    <row r="77" spans="1:40">
      <c r="A77" s="52">
        <v>57</v>
      </c>
      <c r="B77" s="38">
        <v>142176</v>
      </c>
      <c r="C77" s="38">
        <v>150991</v>
      </c>
      <c r="D77" s="38">
        <v>159805</v>
      </c>
      <c r="E77" s="38">
        <v>168614</v>
      </c>
      <c r="F77" s="38">
        <v>177425</v>
      </c>
      <c r="G77" s="38">
        <v>186210</v>
      </c>
      <c r="H77" s="38">
        <v>194378</v>
      </c>
      <c r="I77" s="38">
        <v>202541</v>
      </c>
      <c r="J77" s="38">
        <v>210698</v>
      </c>
      <c r="K77" s="38">
        <v>218837</v>
      </c>
      <c r="L77" s="38">
        <v>226980</v>
      </c>
      <c r="M77" s="38">
        <v>233137</v>
      </c>
      <c r="N77" s="38">
        <v>239269</v>
      </c>
      <c r="O77" s="38">
        <v>245372</v>
      </c>
      <c r="P77" s="38">
        <v>251437</v>
      </c>
      <c r="Q77" s="38">
        <v>257479</v>
      </c>
      <c r="R77" s="38">
        <v>269238</v>
      </c>
      <c r="S77" s="38">
        <v>280952</v>
      </c>
      <c r="T77" s="38">
        <v>292614</v>
      </c>
      <c r="U77" s="38">
        <v>304217</v>
      </c>
      <c r="V77" s="38">
        <v>315748</v>
      </c>
      <c r="W77" s="38">
        <v>320549</v>
      </c>
      <c r="X77" s="38">
        <v>325279</v>
      </c>
      <c r="Y77" s="38">
        <v>329936</v>
      </c>
      <c r="Z77" s="38">
        <v>334520</v>
      </c>
      <c r="AA77" s="38">
        <v>339008</v>
      </c>
      <c r="AB77" s="38">
        <v>341323</v>
      </c>
      <c r="AC77" s="38">
        <v>343557</v>
      </c>
      <c r="AD77" s="62">
        <f>+B77/B80</f>
        <v>0.19878082881270623</v>
      </c>
      <c r="AE77" s="62"/>
      <c r="AF77" s="62"/>
      <c r="AG77" s="62"/>
      <c r="AH77" s="62"/>
      <c r="AI77" s="62"/>
      <c r="AJ77" s="62"/>
      <c r="AK77" s="62"/>
      <c r="AL77" s="62"/>
      <c r="AM77" s="62"/>
      <c r="AN77" s="62"/>
    </row>
    <row r="78" spans="1:40">
      <c r="A78" s="52">
        <v>58</v>
      </c>
      <c r="B78" s="38">
        <v>133698</v>
      </c>
      <c r="C78" s="38">
        <v>142127</v>
      </c>
      <c r="D78" s="38">
        <v>150555</v>
      </c>
      <c r="E78" s="38">
        <v>158978</v>
      </c>
      <c r="F78" s="38">
        <v>167403</v>
      </c>
      <c r="G78" s="38">
        <v>175804</v>
      </c>
      <c r="H78" s="38">
        <v>184183</v>
      </c>
      <c r="I78" s="38">
        <v>192557</v>
      </c>
      <c r="J78" s="38">
        <v>200926</v>
      </c>
      <c r="K78" s="38">
        <v>209278</v>
      </c>
      <c r="L78" s="38">
        <v>217633</v>
      </c>
      <c r="M78" s="38">
        <v>223711</v>
      </c>
      <c r="N78" s="38">
        <v>229766</v>
      </c>
      <c r="O78" s="38">
        <v>235793</v>
      </c>
      <c r="P78" s="38">
        <v>241783</v>
      </c>
      <c r="Q78" s="38">
        <v>247750</v>
      </c>
      <c r="R78" s="38">
        <v>259044</v>
      </c>
      <c r="S78" s="38">
        <v>270295</v>
      </c>
      <c r="T78" s="38">
        <v>281496</v>
      </c>
      <c r="U78" s="38">
        <v>292640</v>
      </c>
      <c r="V78" s="38">
        <v>303714</v>
      </c>
      <c r="W78" s="38">
        <v>309763</v>
      </c>
      <c r="X78" s="38">
        <v>315745</v>
      </c>
      <c r="Y78" s="38">
        <v>321655</v>
      </c>
      <c r="Z78" s="38">
        <v>327495</v>
      </c>
      <c r="AA78" s="38">
        <v>333239</v>
      </c>
      <c r="AB78" s="38">
        <v>335229</v>
      </c>
      <c r="AC78" s="38">
        <v>337138</v>
      </c>
      <c r="AD78" s="62">
        <f>+B78/B80</f>
        <v>0.18692746490688442</v>
      </c>
      <c r="AE78" s="62"/>
      <c r="AF78" s="62"/>
      <c r="AG78" s="62"/>
      <c r="AH78" s="62"/>
      <c r="AI78" s="62"/>
      <c r="AJ78" s="62"/>
      <c r="AK78" s="62"/>
      <c r="AL78" s="62"/>
      <c r="AM78" s="62"/>
      <c r="AN78" s="62"/>
    </row>
    <row r="79" spans="1:40">
      <c r="A79" s="52">
        <v>59</v>
      </c>
      <c r="B79" s="38">
        <v>126057</v>
      </c>
      <c r="C79" s="38">
        <v>133891</v>
      </c>
      <c r="D79" s="38">
        <v>141723</v>
      </c>
      <c r="E79" s="38">
        <v>149552</v>
      </c>
      <c r="F79" s="38">
        <v>157382</v>
      </c>
      <c r="G79" s="38">
        <v>165189</v>
      </c>
      <c r="H79" s="38">
        <v>173643</v>
      </c>
      <c r="I79" s="38">
        <v>182093</v>
      </c>
      <c r="J79" s="38">
        <v>190537</v>
      </c>
      <c r="K79" s="38">
        <v>198965</v>
      </c>
      <c r="L79" s="38">
        <v>207397</v>
      </c>
      <c r="M79" s="38">
        <v>213990</v>
      </c>
      <c r="N79" s="38">
        <v>220560</v>
      </c>
      <c r="O79" s="38">
        <v>227104</v>
      </c>
      <c r="P79" s="38">
        <v>233613</v>
      </c>
      <c r="Q79" s="38">
        <v>240098</v>
      </c>
      <c r="R79" s="38">
        <v>250067</v>
      </c>
      <c r="S79" s="38">
        <v>259994</v>
      </c>
      <c r="T79" s="38">
        <v>269872</v>
      </c>
      <c r="U79" s="38">
        <v>279695</v>
      </c>
      <c r="V79" s="38">
        <v>289453</v>
      </c>
      <c r="W79" s="38">
        <v>296926</v>
      </c>
      <c r="X79" s="38">
        <v>304336</v>
      </c>
      <c r="Y79" s="38">
        <v>311677</v>
      </c>
      <c r="Z79" s="38">
        <v>318949</v>
      </c>
      <c r="AA79" s="38">
        <v>326128</v>
      </c>
      <c r="AB79" s="38">
        <v>328715</v>
      </c>
      <c r="AC79" s="38">
        <v>331224</v>
      </c>
      <c r="AD79" s="62">
        <f>+B79/B80</f>
        <v>0.17624433756501315</v>
      </c>
      <c r="AE79" s="62"/>
      <c r="AF79" s="62"/>
      <c r="AG79" s="62"/>
      <c r="AH79" s="62"/>
      <c r="AI79" s="62"/>
      <c r="AJ79" s="62"/>
      <c r="AK79" s="62"/>
      <c r="AL79" s="62"/>
      <c r="AM79" s="62"/>
      <c r="AN79" s="62"/>
    </row>
    <row r="80" spans="1:40">
      <c r="A80" s="51" t="s">
        <v>95</v>
      </c>
      <c r="B80" s="46">
        <f>SUM(B75:B79)</f>
        <v>715240</v>
      </c>
      <c r="C80" s="46">
        <v>0</v>
      </c>
      <c r="D80" s="46">
        <v>0</v>
      </c>
      <c r="E80" s="46">
        <v>0</v>
      </c>
      <c r="F80" s="46">
        <v>0</v>
      </c>
      <c r="G80" s="46">
        <v>0</v>
      </c>
      <c r="H80" s="46">
        <v>0</v>
      </c>
      <c r="I80" s="46">
        <v>0</v>
      </c>
      <c r="J80" s="46">
        <v>0</v>
      </c>
      <c r="K80" s="46">
        <v>0</v>
      </c>
      <c r="L80" s="46">
        <v>0</v>
      </c>
      <c r="M80" s="46">
        <v>0</v>
      </c>
      <c r="N80" s="46">
        <v>0</v>
      </c>
      <c r="O80" s="46">
        <v>0</v>
      </c>
      <c r="P80" s="46">
        <v>0</v>
      </c>
      <c r="Q80" s="46">
        <v>0</v>
      </c>
      <c r="R80" s="46">
        <v>0</v>
      </c>
      <c r="S80" s="46">
        <v>0</v>
      </c>
      <c r="T80" s="46">
        <v>0</v>
      </c>
      <c r="U80" s="46">
        <v>0</v>
      </c>
      <c r="V80" s="46">
        <v>0</v>
      </c>
      <c r="W80" s="46">
        <v>0</v>
      </c>
      <c r="X80" s="46">
        <v>0</v>
      </c>
      <c r="Y80" s="46">
        <v>0</v>
      </c>
      <c r="Z80" s="46">
        <v>0</v>
      </c>
      <c r="AA80" s="46">
        <v>0</v>
      </c>
      <c r="AB80" s="46">
        <v>0</v>
      </c>
      <c r="AC80" s="46">
        <v>0</v>
      </c>
      <c r="AE80" s="62"/>
      <c r="AF80" s="62"/>
      <c r="AG80" s="62"/>
      <c r="AH80" s="62"/>
      <c r="AI80" s="62"/>
      <c r="AJ80" s="62"/>
      <c r="AK80" s="62"/>
      <c r="AL80" s="62"/>
      <c r="AM80" s="62"/>
      <c r="AN80" s="62"/>
    </row>
    <row r="81" spans="1:40">
      <c r="A81" s="52">
        <v>60</v>
      </c>
      <c r="B81" s="38">
        <v>118729</v>
      </c>
      <c r="C81" s="38">
        <v>125902</v>
      </c>
      <c r="D81" s="38">
        <v>133074</v>
      </c>
      <c r="E81" s="38">
        <v>140244</v>
      </c>
      <c r="F81" s="38">
        <v>147414</v>
      </c>
      <c r="G81" s="38">
        <v>154564</v>
      </c>
      <c r="H81" s="38">
        <v>163099</v>
      </c>
      <c r="I81" s="38">
        <v>171633</v>
      </c>
      <c r="J81" s="38">
        <v>180162</v>
      </c>
      <c r="K81" s="38">
        <v>188673</v>
      </c>
      <c r="L81" s="38">
        <v>197191</v>
      </c>
      <c r="M81" s="38">
        <v>204395</v>
      </c>
      <c r="N81" s="38">
        <v>211578</v>
      </c>
      <c r="O81" s="38">
        <v>218735</v>
      </c>
      <c r="P81" s="38">
        <v>225860</v>
      </c>
      <c r="Q81" s="38">
        <v>232958</v>
      </c>
      <c r="R81" s="38">
        <v>241261</v>
      </c>
      <c r="S81" s="38">
        <v>249524</v>
      </c>
      <c r="T81" s="38">
        <v>257738</v>
      </c>
      <c r="U81" s="38">
        <v>265901</v>
      </c>
      <c r="V81" s="38">
        <v>274003</v>
      </c>
      <c r="W81" s="38">
        <v>283173</v>
      </c>
      <c r="X81" s="38">
        <v>292286</v>
      </c>
      <c r="Y81" s="38">
        <v>301331</v>
      </c>
      <c r="Z81" s="38">
        <v>310312</v>
      </c>
      <c r="AA81" s="38">
        <v>319200</v>
      </c>
      <c r="AB81" s="38">
        <v>322514</v>
      </c>
      <c r="AC81" s="38">
        <v>325751</v>
      </c>
      <c r="AD81" s="62">
        <f>+B81/B86</f>
        <v>0.22289409953629827</v>
      </c>
      <c r="AE81" s="62"/>
      <c r="AF81" s="62"/>
      <c r="AG81" s="62"/>
      <c r="AH81" s="62"/>
      <c r="AI81" s="62"/>
      <c r="AJ81" s="62"/>
      <c r="AK81" s="62"/>
      <c r="AL81" s="62"/>
      <c r="AM81" s="62"/>
      <c r="AN81" s="62"/>
    </row>
    <row r="82" spans="1:40">
      <c r="A82" s="52">
        <v>61</v>
      </c>
      <c r="B82" s="38">
        <v>111724</v>
      </c>
      <c r="C82" s="38">
        <v>118248</v>
      </c>
      <c r="D82" s="38">
        <v>124770</v>
      </c>
      <c r="E82" s="38">
        <v>131288</v>
      </c>
      <c r="F82" s="38">
        <v>137808</v>
      </c>
      <c r="G82" s="38">
        <v>144308</v>
      </c>
      <c r="H82" s="38">
        <v>152911</v>
      </c>
      <c r="I82" s="38">
        <v>161511</v>
      </c>
      <c r="J82" s="38">
        <v>170104</v>
      </c>
      <c r="K82" s="38">
        <v>178685</v>
      </c>
      <c r="L82" s="38">
        <v>187267</v>
      </c>
      <c r="M82" s="38">
        <v>194874</v>
      </c>
      <c r="N82" s="38">
        <v>202460</v>
      </c>
      <c r="O82" s="38">
        <v>210023</v>
      </c>
      <c r="P82" s="38">
        <v>217553</v>
      </c>
      <c r="Q82" s="38">
        <v>225057</v>
      </c>
      <c r="R82" s="38">
        <v>231966</v>
      </c>
      <c r="S82" s="38">
        <v>238835</v>
      </c>
      <c r="T82" s="38">
        <v>245659</v>
      </c>
      <c r="U82" s="38">
        <v>252434</v>
      </c>
      <c r="V82" s="38">
        <v>259151</v>
      </c>
      <c r="W82" s="38">
        <v>269849</v>
      </c>
      <c r="X82" s="38">
        <v>280492</v>
      </c>
      <c r="Y82" s="38">
        <v>291073</v>
      </c>
      <c r="Z82" s="38">
        <v>301589</v>
      </c>
      <c r="AA82" s="38">
        <v>312013</v>
      </c>
      <c r="AB82" s="38">
        <v>315901</v>
      </c>
      <c r="AC82" s="38">
        <v>319715</v>
      </c>
      <c r="AD82" s="62">
        <f>+B82/B86</f>
        <v>0.20974336831434096</v>
      </c>
      <c r="AE82" s="62"/>
      <c r="AF82" s="62"/>
      <c r="AG82" s="62"/>
      <c r="AH82" s="62"/>
      <c r="AI82" s="62"/>
      <c r="AJ82" s="62"/>
      <c r="AK82" s="62"/>
      <c r="AL82" s="62"/>
      <c r="AM82" s="62"/>
      <c r="AN82" s="62"/>
    </row>
    <row r="83" spans="1:40">
      <c r="A83" s="52">
        <v>62</v>
      </c>
      <c r="B83" s="38">
        <v>105596</v>
      </c>
      <c r="C83" s="38">
        <v>111432</v>
      </c>
      <c r="D83" s="38">
        <v>117267</v>
      </c>
      <c r="E83" s="38">
        <v>123099</v>
      </c>
      <c r="F83" s="38">
        <v>128932</v>
      </c>
      <c r="G83" s="38">
        <v>134746</v>
      </c>
      <c r="H83" s="38">
        <v>143211</v>
      </c>
      <c r="I83" s="38">
        <v>151672</v>
      </c>
      <c r="J83" s="38">
        <v>160128</v>
      </c>
      <c r="K83" s="38">
        <v>168571</v>
      </c>
      <c r="L83" s="38">
        <v>177016</v>
      </c>
      <c r="M83" s="38">
        <v>184946</v>
      </c>
      <c r="N83" s="38">
        <v>192857</v>
      </c>
      <c r="O83" s="38">
        <v>200746</v>
      </c>
      <c r="P83" s="38">
        <v>208603</v>
      </c>
      <c r="Q83" s="38">
        <v>216434</v>
      </c>
      <c r="R83" s="38">
        <v>222452</v>
      </c>
      <c r="S83" s="38">
        <v>228431</v>
      </c>
      <c r="T83" s="38">
        <v>234367</v>
      </c>
      <c r="U83" s="38">
        <v>240257</v>
      </c>
      <c r="V83" s="38">
        <v>246091</v>
      </c>
      <c r="W83" s="38">
        <v>257484</v>
      </c>
      <c r="X83" s="38">
        <v>268825</v>
      </c>
      <c r="Y83" s="38">
        <v>280107</v>
      </c>
      <c r="Z83" s="38">
        <v>291325</v>
      </c>
      <c r="AA83" s="38">
        <v>302455</v>
      </c>
      <c r="AB83" s="38">
        <v>307215</v>
      </c>
      <c r="AC83" s="38">
        <v>311903</v>
      </c>
      <c r="AD83" s="62">
        <f>+B83/B86</f>
        <v>0.19823905983066439</v>
      </c>
      <c r="AE83" s="62"/>
      <c r="AF83" s="62"/>
      <c r="AG83" s="62"/>
      <c r="AH83" s="62"/>
      <c r="AI83" s="62"/>
      <c r="AJ83" s="62"/>
      <c r="AK83" s="62"/>
      <c r="AL83" s="62"/>
      <c r="AM83" s="62"/>
      <c r="AN83" s="62"/>
    </row>
    <row r="84" spans="1:40">
      <c r="A84" s="52">
        <v>63</v>
      </c>
      <c r="B84" s="38">
        <v>100476</v>
      </c>
      <c r="C84" s="38">
        <v>105611</v>
      </c>
      <c r="D84" s="38">
        <v>110744</v>
      </c>
      <c r="E84" s="38">
        <v>115874</v>
      </c>
      <c r="F84" s="38">
        <v>121005</v>
      </c>
      <c r="G84" s="38">
        <v>126119</v>
      </c>
      <c r="H84" s="38">
        <v>134184</v>
      </c>
      <c r="I84" s="38">
        <v>142245</v>
      </c>
      <c r="J84" s="38">
        <v>150301</v>
      </c>
      <c r="K84" s="38">
        <v>158346</v>
      </c>
      <c r="L84" s="38">
        <v>166392</v>
      </c>
      <c r="M84" s="38">
        <v>174485</v>
      </c>
      <c r="N84" s="38">
        <v>182561</v>
      </c>
      <c r="O84" s="38">
        <v>190615</v>
      </c>
      <c r="P84" s="38">
        <v>198639</v>
      </c>
      <c r="Q84" s="38">
        <v>206639</v>
      </c>
      <c r="R84" s="38">
        <v>212552</v>
      </c>
      <c r="S84" s="38">
        <v>218427</v>
      </c>
      <c r="T84" s="38">
        <v>224262</v>
      </c>
      <c r="U84" s="38">
        <v>230051</v>
      </c>
      <c r="V84" s="38">
        <v>235789</v>
      </c>
      <c r="W84" s="38">
        <v>246718</v>
      </c>
      <c r="X84" s="38">
        <v>257598</v>
      </c>
      <c r="Y84" s="38">
        <v>268420</v>
      </c>
      <c r="Z84" s="38">
        <v>279182</v>
      </c>
      <c r="AA84" s="38">
        <v>289859</v>
      </c>
      <c r="AB84" s="38">
        <v>295783</v>
      </c>
      <c r="AC84" s="38">
        <v>301639</v>
      </c>
      <c r="AD84" s="62">
        <f>+B84/B86</f>
        <v>0.18862710496179624</v>
      </c>
      <c r="AE84" s="62"/>
      <c r="AF84" s="62"/>
      <c r="AG84" s="62"/>
      <c r="AH84" s="62"/>
      <c r="AI84" s="62"/>
      <c r="AJ84" s="62"/>
      <c r="AK84" s="62"/>
      <c r="AL84" s="62"/>
      <c r="AM84" s="62"/>
      <c r="AN84" s="62"/>
    </row>
    <row r="85" spans="1:40">
      <c r="A85" s="52">
        <v>64</v>
      </c>
      <c r="B85" s="38">
        <v>96145</v>
      </c>
      <c r="C85" s="38">
        <v>100585</v>
      </c>
      <c r="D85" s="38">
        <v>105024</v>
      </c>
      <c r="E85" s="38">
        <v>109460</v>
      </c>
      <c r="F85" s="38">
        <v>113897</v>
      </c>
      <c r="G85" s="38">
        <v>118318</v>
      </c>
      <c r="H85" s="38">
        <v>125783</v>
      </c>
      <c r="I85" s="38">
        <v>133245</v>
      </c>
      <c r="J85" s="38">
        <v>140703</v>
      </c>
      <c r="K85" s="38">
        <v>148150</v>
      </c>
      <c r="L85" s="38">
        <v>155598</v>
      </c>
      <c r="M85" s="38">
        <v>163715</v>
      </c>
      <c r="N85" s="38">
        <v>171815</v>
      </c>
      <c r="O85" s="38">
        <v>179895</v>
      </c>
      <c r="P85" s="38">
        <v>187946</v>
      </c>
      <c r="Q85" s="38">
        <v>195976</v>
      </c>
      <c r="R85" s="38">
        <v>202354</v>
      </c>
      <c r="S85" s="38">
        <v>208697</v>
      </c>
      <c r="T85" s="38">
        <v>215001</v>
      </c>
      <c r="U85" s="38">
        <v>221262</v>
      </c>
      <c r="V85" s="38">
        <v>227472</v>
      </c>
      <c r="W85" s="38">
        <v>237112</v>
      </c>
      <c r="X85" s="38">
        <v>246704</v>
      </c>
      <c r="Y85" s="38">
        <v>256241</v>
      </c>
      <c r="Z85" s="38">
        <v>265720</v>
      </c>
      <c r="AA85" s="38">
        <v>275119</v>
      </c>
      <c r="AB85" s="38">
        <v>282357</v>
      </c>
      <c r="AC85" s="38">
        <v>289531</v>
      </c>
      <c r="AD85" s="62">
        <f>+B85/B86</f>
        <v>0.18049636735690014</v>
      </c>
      <c r="AE85" s="62"/>
      <c r="AF85" s="62"/>
      <c r="AG85" s="62"/>
      <c r="AH85" s="62"/>
      <c r="AI85" s="62"/>
      <c r="AJ85" s="62"/>
      <c r="AK85" s="62"/>
      <c r="AL85" s="62"/>
      <c r="AM85" s="62"/>
      <c r="AN85" s="62"/>
    </row>
    <row r="86" spans="1:40">
      <c r="A86" s="51" t="s">
        <v>96</v>
      </c>
      <c r="B86" s="46">
        <f>SUM(B81:B85)</f>
        <v>532670</v>
      </c>
      <c r="C86" s="46">
        <v>0</v>
      </c>
      <c r="D86" s="46">
        <v>0</v>
      </c>
      <c r="E86" s="46">
        <v>0</v>
      </c>
      <c r="F86" s="46">
        <v>0</v>
      </c>
      <c r="G86" s="46">
        <v>0</v>
      </c>
      <c r="H86" s="46">
        <v>0</v>
      </c>
      <c r="I86" s="46">
        <v>0</v>
      </c>
      <c r="J86" s="46">
        <v>0</v>
      </c>
      <c r="K86" s="46">
        <v>0</v>
      </c>
      <c r="L86" s="46">
        <v>0</v>
      </c>
      <c r="M86" s="46">
        <v>0</v>
      </c>
      <c r="N86" s="46">
        <v>0</v>
      </c>
      <c r="O86" s="46">
        <v>0</v>
      </c>
      <c r="P86" s="46">
        <v>0</v>
      </c>
      <c r="Q86" s="46">
        <v>0</v>
      </c>
      <c r="R86" s="46">
        <v>0</v>
      </c>
      <c r="S86" s="46">
        <v>0</v>
      </c>
      <c r="T86" s="46">
        <v>0</v>
      </c>
      <c r="U86" s="46">
        <v>0</v>
      </c>
      <c r="V86" s="46">
        <v>0</v>
      </c>
      <c r="W86" s="46">
        <v>0</v>
      </c>
      <c r="X86" s="46">
        <v>0</v>
      </c>
      <c r="Y86" s="46">
        <v>0</v>
      </c>
      <c r="Z86" s="46">
        <v>0</v>
      </c>
      <c r="AA86" s="46">
        <v>0</v>
      </c>
      <c r="AB86" s="46">
        <v>0</v>
      </c>
      <c r="AC86" s="46">
        <v>0</v>
      </c>
      <c r="AE86" s="62"/>
      <c r="AF86" s="62"/>
      <c r="AG86" s="62"/>
      <c r="AH86" s="62"/>
      <c r="AI86" s="62"/>
      <c r="AJ86" s="62"/>
      <c r="AK86" s="62"/>
      <c r="AL86" s="62"/>
      <c r="AM86" s="62"/>
      <c r="AN86" s="62"/>
    </row>
    <row r="87" spans="1:40">
      <c r="A87" s="52">
        <v>65</v>
      </c>
      <c r="B87" s="38">
        <v>92246</v>
      </c>
      <c r="C87" s="38">
        <v>95969</v>
      </c>
      <c r="D87" s="38">
        <v>99692</v>
      </c>
      <c r="E87" s="38">
        <v>103412</v>
      </c>
      <c r="F87" s="38">
        <v>107133</v>
      </c>
      <c r="G87" s="38">
        <v>110837</v>
      </c>
      <c r="H87" s="38">
        <v>117639</v>
      </c>
      <c r="I87" s="38">
        <v>124440</v>
      </c>
      <c r="J87" s="38">
        <v>131235</v>
      </c>
      <c r="K87" s="38">
        <v>138020</v>
      </c>
      <c r="L87" s="38">
        <v>144807</v>
      </c>
      <c r="M87" s="38">
        <v>152953</v>
      </c>
      <c r="N87" s="38">
        <v>161085</v>
      </c>
      <c r="O87" s="38">
        <v>169196</v>
      </c>
      <c r="P87" s="38">
        <v>177283</v>
      </c>
      <c r="Q87" s="38">
        <v>185349</v>
      </c>
      <c r="R87" s="38">
        <v>192286</v>
      </c>
      <c r="S87" s="38">
        <v>199192</v>
      </c>
      <c r="T87" s="38">
        <v>206060</v>
      </c>
      <c r="U87" s="38">
        <v>212886</v>
      </c>
      <c r="V87" s="38">
        <v>219664</v>
      </c>
      <c r="W87" s="38">
        <v>227686</v>
      </c>
      <c r="X87" s="38">
        <v>235662</v>
      </c>
      <c r="Y87" s="38">
        <v>243585</v>
      </c>
      <c r="Z87" s="38">
        <v>251453</v>
      </c>
      <c r="AA87" s="38">
        <v>259244</v>
      </c>
      <c r="AB87" s="38">
        <v>268050</v>
      </c>
      <c r="AC87" s="38">
        <v>276797</v>
      </c>
      <c r="AD87" s="62">
        <f>+B87/B92</f>
        <v>0.21794992959144135</v>
      </c>
      <c r="AE87" s="62"/>
      <c r="AF87" s="62"/>
      <c r="AG87" s="62"/>
      <c r="AH87" s="62"/>
      <c r="AI87" s="62"/>
      <c r="AJ87" s="62"/>
      <c r="AK87" s="62"/>
      <c r="AL87" s="62"/>
      <c r="AM87" s="62"/>
      <c r="AN87" s="62"/>
    </row>
    <row r="88" spans="1:40">
      <c r="A88" s="52">
        <v>66</v>
      </c>
      <c r="B88" s="38">
        <v>88461</v>
      </c>
      <c r="C88" s="38">
        <v>91509</v>
      </c>
      <c r="D88" s="38">
        <v>94555</v>
      </c>
      <c r="E88" s="38">
        <v>97598</v>
      </c>
      <c r="F88" s="38">
        <v>100642</v>
      </c>
      <c r="G88" s="38">
        <v>103672</v>
      </c>
      <c r="H88" s="38">
        <v>109823</v>
      </c>
      <c r="I88" s="38">
        <v>115972</v>
      </c>
      <c r="J88" s="38">
        <v>122117</v>
      </c>
      <c r="K88" s="38">
        <v>128252</v>
      </c>
      <c r="L88" s="38">
        <v>134389</v>
      </c>
      <c r="M88" s="38">
        <v>142553</v>
      </c>
      <c r="N88" s="38">
        <v>150704</v>
      </c>
      <c r="O88" s="38">
        <v>158837</v>
      </c>
      <c r="P88" s="38">
        <v>166945</v>
      </c>
      <c r="Q88" s="38">
        <v>175034</v>
      </c>
      <c r="R88" s="38">
        <v>182327</v>
      </c>
      <c r="S88" s="38">
        <v>189589</v>
      </c>
      <c r="T88" s="38">
        <v>196816</v>
      </c>
      <c r="U88" s="38">
        <v>204003</v>
      </c>
      <c r="V88" s="38">
        <v>211143</v>
      </c>
      <c r="W88" s="38">
        <v>217803</v>
      </c>
      <c r="X88" s="38">
        <v>224418</v>
      </c>
      <c r="Y88" s="38">
        <v>230982</v>
      </c>
      <c r="Z88" s="38">
        <v>237495</v>
      </c>
      <c r="AA88" s="38">
        <v>243938</v>
      </c>
      <c r="AB88" s="38">
        <v>254154</v>
      </c>
      <c r="AC88" s="38">
        <v>264316</v>
      </c>
      <c r="AD88" s="62">
        <f>+B88/B92</f>
        <v>0.20900709756074509</v>
      </c>
      <c r="AE88" s="62"/>
      <c r="AF88" s="62"/>
      <c r="AG88" s="62"/>
      <c r="AH88" s="62"/>
      <c r="AI88" s="62"/>
      <c r="AJ88" s="62"/>
      <c r="AK88" s="62"/>
      <c r="AL88" s="62"/>
      <c r="AM88" s="62"/>
      <c r="AN88" s="62"/>
    </row>
    <row r="89" spans="1:40">
      <c r="A89" s="52">
        <v>67</v>
      </c>
      <c r="B89" s="38">
        <v>84724</v>
      </c>
      <c r="C89" s="38">
        <v>87250</v>
      </c>
      <c r="D89" s="38">
        <v>89774</v>
      </c>
      <c r="E89" s="38">
        <v>92296</v>
      </c>
      <c r="F89" s="38">
        <v>94819</v>
      </c>
      <c r="G89" s="38">
        <v>97328</v>
      </c>
      <c r="H89" s="38">
        <v>102804</v>
      </c>
      <c r="I89" s="38">
        <v>108278</v>
      </c>
      <c r="J89" s="38">
        <v>113749</v>
      </c>
      <c r="K89" s="38">
        <v>119210</v>
      </c>
      <c r="L89" s="38">
        <v>124674</v>
      </c>
      <c r="M89" s="38">
        <v>132664</v>
      </c>
      <c r="N89" s="38">
        <v>140642</v>
      </c>
      <c r="O89" s="38">
        <v>148604</v>
      </c>
      <c r="P89" s="38">
        <v>156542</v>
      </c>
      <c r="Q89" s="38">
        <v>164464</v>
      </c>
      <c r="R89" s="38">
        <v>172025</v>
      </c>
      <c r="S89" s="38">
        <v>179558</v>
      </c>
      <c r="T89" s="38">
        <v>187057</v>
      </c>
      <c r="U89" s="38">
        <v>194519</v>
      </c>
      <c r="V89" s="38">
        <v>201935</v>
      </c>
      <c r="W89" s="38">
        <v>207708</v>
      </c>
      <c r="X89" s="38">
        <v>213438</v>
      </c>
      <c r="Y89" s="38">
        <v>219120</v>
      </c>
      <c r="Z89" s="38">
        <v>224753</v>
      </c>
      <c r="AA89" s="38">
        <v>230320</v>
      </c>
      <c r="AB89" s="38">
        <v>241163</v>
      </c>
      <c r="AC89" s="38">
        <v>251955</v>
      </c>
      <c r="AD89" s="62">
        <f>+B89/B92</f>
        <v>0.20017767528895861</v>
      </c>
      <c r="AE89" s="62"/>
      <c r="AF89" s="62"/>
      <c r="AG89" s="62"/>
      <c r="AH89" s="62"/>
      <c r="AI89" s="62"/>
      <c r="AJ89" s="62"/>
      <c r="AK89" s="62"/>
      <c r="AL89" s="62"/>
      <c r="AM89" s="62"/>
      <c r="AN89" s="62"/>
    </row>
    <row r="90" spans="1:40">
      <c r="A90" s="52">
        <v>68</v>
      </c>
      <c r="B90" s="38">
        <v>80879</v>
      </c>
      <c r="C90" s="38">
        <v>83092</v>
      </c>
      <c r="D90" s="38">
        <v>85304</v>
      </c>
      <c r="E90" s="38">
        <v>87514</v>
      </c>
      <c r="F90" s="38">
        <v>89724</v>
      </c>
      <c r="G90" s="38">
        <v>91921</v>
      </c>
      <c r="H90" s="38">
        <v>96724</v>
      </c>
      <c r="I90" s="38">
        <v>101524</v>
      </c>
      <c r="J90" s="38">
        <v>106321</v>
      </c>
      <c r="K90" s="38">
        <v>111109</v>
      </c>
      <c r="L90" s="38">
        <v>115900</v>
      </c>
      <c r="M90" s="38">
        <v>123473</v>
      </c>
      <c r="N90" s="38">
        <v>131034</v>
      </c>
      <c r="O90" s="38">
        <v>138580</v>
      </c>
      <c r="P90" s="38">
        <v>146103</v>
      </c>
      <c r="Q90" s="38">
        <v>153612</v>
      </c>
      <c r="R90" s="38">
        <v>161274</v>
      </c>
      <c r="S90" s="38">
        <v>168909</v>
      </c>
      <c r="T90" s="38">
        <v>176513</v>
      </c>
      <c r="U90" s="38">
        <v>184082</v>
      </c>
      <c r="V90" s="38">
        <v>191606</v>
      </c>
      <c r="W90" s="38">
        <v>197239</v>
      </c>
      <c r="X90" s="38">
        <v>202830</v>
      </c>
      <c r="Y90" s="38">
        <v>208374</v>
      </c>
      <c r="Z90" s="38">
        <v>213873</v>
      </c>
      <c r="AA90" s="38">
        <v>219309</v>
      </c>
      <c r="AB90" s="38">
        <v>229689</v>
      </c>
      <c r="AC90" s="38">
        <v>240021</v>
      </c>
      <c r="AD90" s="62">
        <f>+B90/B92</f>
        <v>0.19109308105962519</v>
      </c>
      <c r="AE90" s="62"/>
      <c r="AF90" s="62"/>
      <c r="AG90" s="62"/>
      <c r="AH90" s="62"/>
      <c r="AI90" s="62"/>
      <c r="AJ90" s="62"/>
      <c r="AK90" s="62"/>
      <c r="AL90" s="62"/>
      <c r="AM90" s="62"/>
      <c r="AN90" s="62"/>
    </row>
    <row r="91" spans="1:40">
      <c r="A91" s="52">
        <v>69</v>
      </c>
      <c r="B91" s="38">
        <v>76934</v>
      </c>
      <c r="C91" s="38">
        <v>79003</v>
      </c>
      <c r="D91" s="38">
        <v>81070</v>
      </c>
      <c r="E91" s="38">
        <v>83136</v>
      </c>
      <c r="F91" s="38">
        <v>85202</v>
      </c>
      <c r="G91" s="38">
        <v>87256</v>
      </c>
      <c r="H91" s="38">
        <v>91402</v>
      </c>
      <c r="I91" s="38">
        <v>95546</v>
      </c>
      <c r="J91" s="38">
        <v>99687</v>
      </c>
      <c r="K91" s="38">
        <v>103820</v>
      </c>
      <c r="L91" s="38">
        <v>107955</v>
      </c>
      <c r="M91" s="38">
        <v>114926</v>
      </c>
      <c r="N91" s="38">
        <v>121885</v>
      </c>
      <c r="O91" s="38">
        <v>128831</v>
      </c>
      <c r="P91" s="38">
        <v>135756</v>
      </c>
      <c r="Q91" s="38">
        <v>142666</v>
      </c>
      <c r="R91" s="38">
        <v>150286</v>
      </c>
      <c r="S91" s="38">
        <v>157881</v>
      </c>
      <c r="T91" s="38">
        <v>165446</v>
      </c>
      <c r="U91" s="38">
        <v>172978</v>
      </c>
      <c r="V91" s="38">
        <v>180469</v>
      </c>
      <c r="W91" s="38">
        <v>186500</v>
      </c>
      <c r="X91" s="38">
        <v>192492</v>
      </c>
      <c r="Y91" s="38">
        <v>198441</v>
      </c>
      <c r="Z91" s="38">
        <v>204346</v>
      </c>
      <c r="AA91" s="38">
        <v>210190</v>
      </c>
      <c r="AB91" s="38">
        <v>219331</v>
      </c>
      <c r="AC91" s="38">
        <v>228424</v>
      </c>
      <c r="AD91" s="62">
        <f>+B91/B92</f>
        <v>0.18177221649922976</v>
      </c>
      <c r="AE91" s="62"/>
      <c r="AF91" s="62"/>
      <c r="AG91" s="62"/>
      <c r="AH91" s="62"/>
      <c r="AI91" s="62"/>
      <c r="AJ91" s="62"/>
      <c r="AK91" s="62"/>
      <c r="AL91" s="62"/>
      <c r="AM91" s="62"/>
      <c r="AN91" s="62"/>
    </row>
    <row r="92" spans="1:40">
      <c r="A92" s="51" t="s">
        <v>97</v>
      </c>
      <c r="B92" s="46">
        <f>SUM(B87:B91)</f>
        <v>423244</v>
      </c>
      <c r="C92" s="46">
        <v>0</v>
      </c>
      <c r="D92" s="46">
        <v>0</v>
      </c>
      <c r="E92" s="46">
        <v>0</v>
      </c>
      <c r="F92" s="46">
        <v>0</v>
      </c>
      <c r="G92" s="46">
        <v>0</v>
      </c>
      <c r="H92" s="46">
        <v>0</v>
      </c>
      <c r="I92" s="46">
        <v>0</v>
      </c>
      <c r="J92" s="46">
        <v>0</v>
      </c>
      <c r="K92" s="46">
        <v>0</v>
      </c>
      <c r="L92" s="46">
        <v>0</v>
      </c>
      <c r="M92" s="46">
        <v>0</v>
      </c>
      <c r="N92" s="46">
        <v>0</v>
      </c>
      <c r="O92" s="46">
        <v>0</v>
      </c>
      <c r="P92" s="46">
        <v>0</v>
      </c>
      <c r="Q92" s="46">
        <v>0</v>
      </c>
      <c r="R92" s="46">
        <v>0</v>
      </c>
      <c r="S92" s="46">
        <v>0</v>
      </c>
      <c r="T92" s="46">
        <v>0</v>
      </c>
      <c r="U92" s="46">
        <v>0</v>
      </c>
      <c r="V92" s="46">
        <v>0</v>
      </c>
      <c r="W92" s="46">
        <v>0</v>
      </c>
      <c r="X92" s="46">
        <v>0</v>
      </c>
      <c r="Y92" s="46">
        <v>0</v>
      </c>
      <c r="Z92" s="46">
        <v>0</v>
      </c>
      <c r="AA92" s="46">
        <v>0</v>
      </c>
      <c r="AB92" s="46">
        <v>0</v>
      </c>
      <c r="AC92" s="46">
        <v>0</v>
      </c>
      <c r="AE92" s="62"/>
      <c r="AF92" s="62"/>
      <c r="AG92" s="62"/>
      <c r="AH92" s="62"/>
      <c r="AI92" s="62"/>
      <c r="AJ92" s="62"/>
      <c r="AK92" s="62"/>
      <c r="AL92" s="62"/>
      <c r="AM92" s="62"/>
      <c r="AN92" s="62"/>
    </row>
    <row r="93" spans="1:40">
      <c r="A93" s="52">
        <v>70</v>
      </c>
      <c r="B93" s="38">
        <v>73292</v>
      </c>
      <c r="C93" s="38">
        <v>75261</v>
      </c>
      <c r="D93" s="38">
        <v>77228</v>
      </c>
      <c r="E93" s="38">
        <v>79193</v>
      </c>
      <c r="F93" s="38">
        <v>81159</v>
      </c>
      <c r="G93" s="38">
        <v>83114</v>
      </c>
      <c r="H93" s="38">
        <v>86592</v>
      </c>
      <c r="I93" s="38">
        <v>90066</v>
      </c>
      <c r="J93" s="38">
        <v>93540</v>
      </c>
      <c r="K93" s="38">
        <v>97004</v>
      </c>
      <c r="L93" s="38">
        <v>100472</v>
      </c>
      <c r="M93" s="38">
        <v>106796</v>
      </c>
      <c r="N93" s="38">
        <v>113108</v>
      </c>
      <c r="O93" s="38">
        <v>119409</v>
      </c>
      <c r="P93" s="38">
        <v>125689</v>
      </c>
      <c r="Q93" s="38">
        <v>131957</v>
      </c>
      <c r="R93" s="38">
        <v>139555</v>
      </c>
      <c r="S93" s="38">
        <v>147130</v>
      </c>
      <c r="T93" s="38">
        <v>154680</v>
      </c>
      <c r="U93" s="38">
        <v>162197</v>
      </c>
      <c r="V93" s="38">
        <v>169675</v>
      </c>
      <c r="W93" s="38">
        <v>176211</v>
      </c>
      <c r="X93" s="38">
        <v>182711</v>
      </c>
      <c r="Y93" s="38">
        <v>189169</v>
      </c>
      <c r="Z93" s="38">
        <v>195586</v>
      </c>
      <c r="AA93" s="38">
        <v>201944</v>
      </c>
      <c r="AB93" s="38">
        <v>209557</v>
      </c>
      <c r="AC93" s="38">
        <v>217123</v>
      </c>
      <c r="AD93" s="62">
        <f>+B93/B98</f>
        <v>0.22571525361091435</v>
      </c>
      <c r="AE93" s="62"/>
      <c r="AF93" s="62"/>
      <c r="AG93" s="62"/>
      <c r="AH93" s="62"/>
      <c r="AI93" s="62"/>
      <c r="AJ93" s="62"/>
      <c r="AK93" s="62"/>
      <c r="AL93" s="62"/>
      <c r="AM93" s="62"/>
      <c r="AN93" s="62"/>
    </row>
    <row r="94" spans="1:40">
      <c r="A94" s="52">
        <v>71</v>
      </c>
      <c r="B94" s="38">
        <v>69746</v>
      </c>
      <c r="C94" s="38">
        <v>71628</v>
      </c>
      <c r="D94" s="38">
        <v>73508</v>
      </c>
      <c r="E94" s="38">
        <v>75387</v>
      </c>
      <c r="F94" s="38">
        <v>77266</v>
      </c>
      <c r="G94" s="38">
        <v>79134</v>
      </c>
      <c r="H94" s="38">
        <v>81979</v>
      </c>
      <c r="I94" s="38">
        <v>84823</v>
      </c>
      <c r="J94" s="38">
        <v>87663</v>
      </c>
      <c r="K94" s="38">
        <v>90496</v>
      </c>
      <c r="L94" s="38">
        <v>93333</v>
      </c>
      <c r="M94" s="38">
        <v>99027</v>
      </c>
      <c r="N94" s="38">
        <v>104712</v>
      </c>
      <c r="O94" s="38">
        <v>110384</v>
      </c>
      <c r="P94" s="38">
        <v>116040</v>
      </c>
      <c r="Q94" s="38">
        <v>121681</v>
      </c>
      <c r="R94" s="38">
        <v>129258</v>
      </c>
      <c r="S94" s="38">
        <v>136814</v>
      </c>
      <c r="T94" s="38">
        <v>144345</v>
      </c>
      <c r="U94" s="38">
        <v>151846</v>
      </c>
      <c r="V94" s="38">
        <v>159310</v>
      </c>
      <c r="W94" s="38">
        <v>166156</v>
      </c>
      <c r="X94" s="38">
        <v>172968</v>
      </c>
      <c r="Y94" s="38">
        <v>179742</v>
      </c>
      <c r="Z94" s="38">
        <v>186476</v>
      </c>
      <c r="AA94" s="38">
        <v>193152</v>
      </c>
      <c r="AB94" s="38">
        <v>199478</v>
      </c>
      <c r="AC94" s="38">
        <v>205760</v>
      </c>
      <c r="AD94" s="62">
        <f>+B94/B98</f>
        <v>0.21479473992177636</v>
      </c>
      <c r="AE94" s="62"/>
      <c r="AF94" s="62"/>
      <c r="AG94" s="62"/>
      <c r="AH94" s="62"/>
      <c r="AI94" s="62"/>
      <c r="AJ94" s="62"/>
      <c r="AK94" s="62"/>
      <c r="AL94" s="62"/>
      <c r="AM94" s="62"/>
      <c r="AN94" s="62"/>
    </row>
    <row r="95" spans="1:40">
      <c r="A95" s="52">
        <v>72</v>
      </c>
      <c r="B95" s="38">
        <v>65633</v>
      </c>
      <c r="C95" s="38">
        <v>67524</v>
      </c>
      <c r="D95" s="38">
        <v>69414</v>
      </c>
      <c r="E95" s="38">
        <v>71302</v>
      </c>
      <c r="F95" s="38">
        <v>73191</v>
      </c>
      <c r="G95" s="38">
        <v>75069</v>
      </c>
      <c r="H95" s="38">
        <v>77418</v>
      </c>
      <c r="I95" s="38">
        <v>79765</v>
      </c>
      <c r="J95" s="38">
        <v>82109</v>
      </c>
      <c r="K95" s="38">
        <v>84446</v>
      </c>
      <c r="L95" s="38">
        <v>86786</v>
      </c>
      <c r="M95" s="38">
        <v>91817</v>
      </c>
      <c r="N95" s="38">
        <v>96840</v>
      </c>
      <c r="O95" s="38">
        <v>101851</v>
      </c>
      <c r="P95" s="38">
        <v>106846</v>
      </c>
      <c r="Q95" s="38">
        <v>111829</v>
      </c>
      <c r="R95" s="38">
        <v>119183</v>
      </c>
      <c r="S95" s="38">
        <v>126519</v>
      </c>
      <c r="T95" s="38">
        <v>133832</v>
      </c>
      <c r="U95" s="38">
        <v>141118</v>
      </c>
      <c r="V95" s="38">
        <v>148368</v>
      </c>
      <c r="W95" s="38">
        <v>155407</v>
      </c>
      <c r="X95" s="38">
        <v>162415</v>
      </c>
      <c r="Y95" s="38">
        <v>169387</v>
      </c>
      <c r="Z95" s="38">
        <v>176321</v>
      </c>
      <c r="AA95" s="38">
        <v>183201</v>
      </c>
      <c r="AB95" s="38">
        <v>188640</v>
      </c>
      <c r="AC95" s="38">
        <v>194037</v>
      </c>
      <c r="AD95" s="62">
        <f>+B95/B98</f>
        <v>0.20212805272396908</v>
      </c>
      <c r="AE95" s="62"/>
      <c r="AF95" s="62"/>
      <c r="AG95" s="62"/>
      <c r="AH95" s="62"/>
      <c r="AI95" s="62"/>
      <c r="AJ95" s="62"/>
      <c r="AK95" s="62"/>
      <c r="AL95" s="62"/>
      <c r="AM95" s="62"/>
      <c r="AN95" s="62"/>
    </row>
    <row r="96" spans="1:40">
      <c r="A96" s="52">
        <v>73</v>
      </c>
      <c r="B96" s="38">
        <v>60721</v>
      </c>
      <c r="C96" s="38">
        <v>62723</v>
      </c>
      <c r="D96" s="38">
        <v>64725</v>
      </c>
      <c r="E96" s="38">
        <v>66725</v>
      </c>
      <c r="F96" s="38">
        <v>68725</v>
      </c>
      <c r="G96" s="38">
        <v>70717</v>
      </c>
      <c r="H96" s="38">
        <v>72750</v>
      </c>
      <c r="I96" s="38">
        <v>74782</v>
      </c>
      <c r="J96" s="38">
        <v>76810</v>
      </c>
      <c r="K96" s="38">
        <v>78833</v>
      </c>
      <c r="L96" s="38">
        <v>80858</v>
      </c>
      <c r="M96" s="38">
        <v>85209</v>
      </c>
      <c r="N96" s="38">
        <v>89552</v>
      </c>
      <c r="O96" s="38">
        <v>93885</v>
      </c>
      <c r="P96" s="38">
        <v>98203</v>
      </c>
      <c r="Q96" s="38">
        <v>102509</v>
      </c>
      <c r="R96" s="38">
        <v>109385</v>
      </c>
      <c r="S96" s="38">
        <v>116245</v>
      </c>
      <c r="T96" s="38">
        <v>123082</v>
      </c>
      <c r="U96" s="38">
        <v>129895</v>
      </c>
      <c r="V96" s="38">
        <v>136676</v>
      </c>
      <c r="W96" s="38">
        <v>143701</v>
      </c>
      <c r="X96" s="38">
        <v>150697</v>
      </c>
      <c r="Y96" s="38">
        <v>157660</v>
      </c>
      <c r="Z96" s="38">
        <v>164588</v>
      </c>
      <c r="AA96" s="38">
        <v>171465</v>
      </c>
      <c r="AB96" s="38">
        <v>176657</v>
      </c>
      <c r="AC96" s="38">
        <v>181809</v>
      </c>
      <c r="AD96" s="62">
        <f>+B96/B98</f>
        <v>0.18700070832435095</v>
      </c>
      <c r="AE96" s="62"/>
      <c r="AF96" s="62"/>
      <c r="AG96" s="62"/>
      <c r="AH96" s="62"/>
      <c r="AI96" s="62"/>
      <c r="AJ96" s="62"/>
      <c r="AK96" s="62"/>
      <c r="AL96" s="62"/>
      <c r="AM96" s="62"/>
      <c r="AN96" s="62"/>
    </row>
    <row r="97" spans="1:152">
      <c r="A97" s="52">
        <v>74</v>
      </c>
      <c r="B97" s="38">
        <v>55318</v>
      </c>
      <c r="C97" s="38">
        <v>57498</v>
      </c>
      <c r="D97" s="38">
        <v>59678</v>
      </c>
      <c r="E97" s="38">
        <v>61856</v>
      </c>
      <c r="F97" s="38">
        <v>64035</v>
      </c>
      <c r="G97" s="38">
        <v>66206</v>
      </c>
      <c r="H97" s="38">
        <v>68073</v>
      </c>
      <c r="I97" s="38">
        <v>69939</v>
      </c>
      <c r="J97" s="38">
        <v>71802</v>
      </c>
      <c r="K97" s="38">
        <v>73660</v>
      </c>
      <c r="L97" s="38">
        <v>75519</v>
      </c>
      <c r="M97" s="38">
        <v>79204</v>
      </c>
      <c r="N97" s="38">
        <v>82882</v>
      </c>
      <c r="O97" s="38">
        <v>86549</v>
      </c>
      <c r="P97" s="38">
        <v>90203</v>
      </c>
      <c r="Q97" s="38">
        <v>93847</v>
      </c>
      <c r="R97" s="38">
        <v>100064</v>
      </c>
      <c r="S97" s="38">
        <v>106266</v>
      </c>
      <c r="T97" s="38">
        <v>112448</v>
      </c>
      <c r="U97" s="38">
        <v>118607</v>
      </c>
      <c r="V97" s="38">
        <v>124738</v>
      </c>
      <c r="W97" s="38">
        <v>131589</v>
      </c>
      <c r="X97" s="38">
        <v>138415</v>
      </c>
      <c r="Y97" s="38">
        <v>145211</v>
      </c>
      <c r="Z97" s="38">
        <v>151973</v>
      </c>
      <c r="AA97" s="38">
        <v>158689</v>
      </c>
      <c r="AB97" s="38">
        <v>164108</v>
      </c>
      <c r="AC97" s="38">
        <v>169492</v>
      </c>
      <c r="AD97" s="62">
        <f>+B97/B98</f>
        <v>0.17036124541898925</v>
      </c>
      <c r="AE97" s="62"/>
      <c r="AF97" s="62"/>
      <c r="AG97" s="62"/>
      <c r="AH97" s="62"/>
      <c r="AI97" s="62"/>
      <c r="AJ97" s="62"/>
      <c r="AK97" s="62"/>
      <c r="AL97" s="62"/>
      <c r="AM97" s="62"/>
      <c r="AN97" s="62"/>
    </row>
    <row r="98" spans="1:152">
      <c r="A98" s="54" t="s">
        <v>98</v>
      </c>
      <c r="B98" s="46">
        <f>SUM(B93:B97)</f>
        <v>324710</v>
      </c>
      <c r="C98" s="46">
        <v>0</v>
      </c>
      <c r="D98" s="46">
        <v>0</v>
      </c>
      <c r="E98" s="46">
        <v>0</v>
      </c>
      <c r="F98" s="46">
        <v>0</v>
      </c>
      <c r="G98" s="46">
        <v>0</v>
      </c>
      <c r="H98" s="46">
        <v>0</v>
      </c>
      <c r="I98" s="46">
        <v>0</v>
      </c>
      <c r="J98" s="46">
        <v>0</v>
      </c>
      <c r="K98" s="46">
        <v>0</v>
      </c>
      <c r="L98" s="46">
        <v>0</v>
      </c>
      <c r="M98" s="46">
        <v>0</v>
      </c>
      <c r="N98" s="46">
        <v>0</v>
      </c>
      <c r="O98" s="46">
        <v>0</v>
      </c>
      <c r="P98" s="46">
        <v>0</v>
      </c>
      <c r="Q98" s="46">
        <v>0</v>
      </c>
      <c r="R98" s="46">
        <v>0</v>
      </c>
      <c r="S98" s="46">
        <v>0</v>
      </c>
      <c r="T98" s="46">
        <v>0</v>
      </c>
      <c r="U98" s="46">
        <v>0</v>
      </c>
      <c r="V98" s="46">
        <v>0</v>
      </c>
      <c r="W98" s="46">
        <v>0</v>
      </c>
      <c r="X98" s="46">
        <v>0</v>
      </c>
      <c r="Y98" s="46">
        <v>0</v>
      </c>
      <c r="Z98" s="46">
        <v>0</v>
      </c>
      <c r="AA98" s="46">
        <v>0</v>
      </c>
      <c r="AB98" s="46">
        <v>0</v>
      </c>
      <c r="AC98" s="46">
        <v>0</v>
      </c>
      <c r="AE98" s="62"/>
      <c r="AF98" s="62"/>
      <c r="AG98" s="62"/>
      <c r="AH98" s="62"/>
      <c r="AI98" s="62"/>
      <c r="AJ98" s="62"/>
      <c r="AK98" s="62"/>
      <c r="AL98" s="62"/>
      <c r="AM98" s="62"/>
      <c r="AN98" s="62"/>
    </row>
    <row r="99" spans="1:152">
      <c r="A99" s="53">
        <v>75</v>
      </c>
      <c r="B99" s="38">
        <v>49919</v>
      </c>
      <c r="C99" s="38">
        <v>52292</v>
      </c>
      <c r="D99" s="38">
        <v>54666</v>
      </c>
      <c r="E99" s="38">
        <v>57039</v>
      </c>
      <c r="F99" s="38">
        <v>59411</v>
      </c>
      <c r="G99" s="38">
        <v>61777</v>
      </c>
      <c r="H99" s="38">
        <v>63571</v>
      </c>
      <c r="I99" s="38">
        <v>65362</v>
      </c>
      <c r="J99" s="38">
        <v>67151</v>
      </c>
      <c r="K99" s="38">
        <v>68937</v>
      </c>
      <c r="L99" s="38">
        <v>70722</v>
      </c>
      <c r="M99" s="38">
        <v>73789</v>
      </c>
      <c r="N99" s="38">
        <v>76850</v>
      </c>
      <c r="O99" s="38">
        <v>79901</v>
      </c>
      <c r="P99" s="38">
        <v>82940</v>
      </c>
      <c r="Q99" s="38">
        <v>85970</v>
      </c>
      <c r="R99" s="38">
        <v>91470</v>
      </c>
      <c r="S99" s="38">
        <v>96954</v>
      </c>
      <c r="T99" s="38">
        <v>102422</v>
      </c>
      <c r="U99" s="38">
        <v>107868</v>
      </c>
      <c r="V99" s="38">
        <v>113289</v>
      </c>
      <c r="W99" s="38">
        <v>119903</v>
      </c>
      <c r="X99" s="38">
        <v>126493</v>
      </c>
      <c r="Y99" s="38">
        <v>133056</v>
      </c>
      <c r="Z99" s="38">
        <v>139587</v>
      </c>
      <c r="AA99" s="38">
        <v>146077</v>
      </c>
      <c r="AB99" s="38">
        <v>151903</v>
      </c>
      <c r="AC99" s="38">
        <v>157696</v>
      </c>
      <c r="AD99" s="62">
        <f>+B99/B104</f>
        <v>0.33413432576071966</v>
      </c>
      <c r="AE99" s="62"/>
      <c r="AF99" s="62"/>
      <c r="AG99" s="62"/>
      <c r="AH99" s="62"/>
      <c r="AI99" s="62"/>
      <c r="AJ99" s="62"/>
      <c r="AK99" s="62"/>
      <c r="AL99" s="62"/>
      <c r="AM99" s="62"/>
      <c r="AN99" s="62"/>
    </row>
    <row r="100" spans="1:152">
      <c r="A100" s="52">
        <v>76</v>
      </c>
      <c r="B100" s="38">
        <v>44948</v>
      </c>
      <c r="C100" s="38">
        <v>47487</v>
      </c>
      <c r="D100" s="38">
        <v>50025</v>
      </c>
      <c r="E100" s="38">
        <v>52562</v>
      </c>
      <c r="F100" s="38">
        <v>55100</v>
      </c>
      <c r="G100" s="38">
        <v>57632</v>
      </c>
      <c r="H100" s="38">
        <v>59395</v>
      </c>
      <c r="I100" s="38">
        <v>61157</v>
      </c>
      <c r="J100" s="38">
        <v>62916</v>
      </c>
      <c r="K100" s="38">
        <v>64670</v>
      </c>
      <c r="L100" s="38">
        <v>66425</v>
      </c>
      <c r="M100" s="38">
        <v>68958</v>
      </c>
      <c r="N100" s="38">
        <v>71483</v>
      </c>
      <c r="O100" s="38">
        <v>74000</v>
      </c>
      <c r="P100" s="38">
        <v>76506</v>
      </c>
      <c r="Q100" s="38">
        <v>79005</v>
      </c>
      <c r="R100" s="38">
        <v>83832</v>
      </c>
      <c r="S100" s="38">
        <v>88647</v>
      </c>
      <c r="T100" s="38">
        <v>93445</v>
      </c>
      <c r="U100" s="38">
        <v>98225</v>
      </c>
      <c r="V100" s="38">
        <v>102981</v>
      </c>
      <c r="W100" s="38">
        <v>109370</v>
      </c>
      <c r="X100" s="38">
        <v>115738</v>
      </c>
      <c r="Y100" s="38">
        <v>122081</v>
      </c>
      <c r="Z100" s="38">
        <v>128397</v>
      </c>
      <c r="AA100" s="38">
        <v>134672</v>
      </c>
      <c r="AB100" s="38">
        <v>140833</v>
      </c>
      <c r="AC100" s="38">
        <v>146964</v>
      </c>
      <c r="AD100" s="62">
        <f>+B100/B104</f>
        <v>0.3008607879623556</v>
      </c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</row>
    <row r="101" spans="1:152">
      <c r="A101" s="53">
        <v>77</v>
      </c>
      <c r="B101" s="38">
        <v>40686</v>
      </c>
      <c r="C101" s="38">
        <v>43326</v>
      </c>
      <c r="D101" s="38">
        <v>45967</v>
      </c>
      <c r="E101" s="38">
        <v>48606</v>
      </c>
      <c r="F101" s="38">
        <v>51245</v>
      </c>
      <c r="G101" s="38">
        <v>53881</v>
      </c>
      <c r="H101" s="38">
        <v>55629</v>
      </c>
      <c r="I101" s="38">
        <v>57377</v>
      </c>
      <c r="J101" s="38">
        <v>59122</v>
      </c>
      <c r="K101" s="38">
        <v>60862</v>
      </c>
      <c r="L101" s="38">
        <v>62603</v>
      </c>
      <c r="M101" s="38">
        <v>64713</v>
      </c>
      <c r="N101" s="38">
        <v>66816</v>
      </c>
      <c r="O101" s="38">
        <v>68911</v>
      </c>
      <c r="P101" s="38">
        <v>70995</v>
      </c>
      <c r="Q101" s="38">
        <v>73074</v>
      </c>
      <c r="R101" s="38">
        <v>77345</v>
      </c>
      <c r="S101" s="38">
        <v>81604</v>
      </c>
      <c r="T101" s="38">
        <v>85847</v>
      </c>
      <c r="U101" s="38">
        <v>90074</v>
      </c>
      <c r="V101" s="38">
        <v>94280</v>
      </c>
      <c r="W101" s="38">
        <v>100497</v>
      </c>
      <c r="X101" s="38">
        <v>106696</v>
      </c>
      <c r="Y101" s="38">
        <v>112871</v>
      </c>
      <c r="Z101" s="38">
        <v>119021</v>
      </c>
      <c r="AA101" s="38">
        <v>125133</v>
      </c>
      <c r="AB101" s="38">
        <v>131420</v>
      </c>
      <c r="AC101" s="38">
        <v>137679</v>
      </c>
      <c r="AD101" s="62">
        <f>+B101/B104</f>
        <v>0.2723329629580048</v>
      </c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</row>
    <row r="102" spans="1:152">
      <c r="A102" s="53">
        <v>78</v>
      </c>
      <c r="B102" s="38">
        <v>37234</v>
      </c>
      <c r="C102" s="38">
        <v>39894</v>
      </c>
      <c r="D102" s="38">
        <v>42553</v>
      </c>
      <c r="E102" s="38">
        <v>45211</v>
      </c>
      <c r="F102" s="38">
        <v>47870</v>
      </c>
      <c r="G102" s="38">
        <v>50525</v>
      </c>
      <c r="H102" s="38">
        <v>52273</v>
      </c>
      <c r="I102" s="38">
        <v>54020</v>
      </c>
      <c r="J102" s="38">
        <v>55766</v>
      </c>
      <c r="K102" s="38">
        <v>57506</v>
      </c>
      <c r="L102" s="38">
        <v>59247</v>
      </c>
      <c r="M102" s="38">
        <v>61072</v>
      </c>
      <c r="N102" s="38">
        <v>62890</v>
      </c>
      <c r="O102" s="38">
        <v>64700</v>
      </c>
      <c r="P102" s="38">
        <v>66500</v>
      </c>
      <c r="Q102" s="38">
        <v>68295</v>
      </c>
      <c r="R102" s="38">
        <v>72150</v>
      </c>
      <c r="S102" s="38">
        <v>75994</v>
      </c>
      <c r="T102" s="38">
        <v>79823</v>
      </c>
      <c r="U102" s="38">
        <v>83636</v>
      </c>
      <c r="V102" s="38">
        <v>87431</v>
      </c>
      <c r="W102" s="38">
        <v>93525</v>
      </c>
      <c r="X102" s="38">
        <v>99602</v>
      </c>
      <c r="Y102" s="38">
        <v>105657</v>
      </c>
      <c r="Z102" s="38">
        <v>111688</v>
      </c>
      <c r="AA102" s="38">
        <v>117685</v>
      </c>
      <c r="AB102" s="38">
        <v>123877</v>
      </c>
      <c r="AC102" s="38">
        <v>130044</v>
      </c>
      <c r="AD102" s="62">
        <f>+B102/B104</f>
        <v>0.2492268972810881</v>
      </c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</row>
    <row r="103" spans="1:152">
      <c r="A103" s="53">
        <v>79</v>
      </c>
      <c r="B103" s="38">
        <v>34534</v>
      </c>
      <c r="C103" s="38">
        <v>37123</v>
      </c>
      <c r="D103" s="38">
        <v>39710</v>
      </c>
      <c r="E103" s="38">
        <v>42297</v>
      </c>
      <c r="F103" s="38">
        <v>44884</v>
      </c>
      <c r="G103" s="38">
        <v>47468</v>
      </c>
      <c r="H103" s="38">
        <v>49251</v>
      </c>
      <c r="I103" s="38">
        <v>51033</v>
      </c>
      <c r="J103" s="38">
        <v>52813</v>
      </c>
      <c r="K103" s="38">
        <v>54589</v>
      </c>
      <c r="L103" s="38">
        <v>56365</v>
      </c>
      <c r="M103" s="38">
        <v>58063</v>
      </c>
      <c r="N103" s="38">
        <v>59755</v>
      </c>
      <c r="O103" s="38">
        <v>61440</v>
      </c>
      <c r="P103" s="38">
        <v>63115</v>
      </c>
      <c r="Q103" s="38">
        <v>64785</v>
      </c>
      <c r="R103" s="38">
        <v>68350</v>
      </c>
      <c r="S103" s="38">
        <v>71905</v>
      </c>
      <c r="T103" s="38">
        <v>75446</v>
      </c>
      <c r="U103" s="38">
        <v>78971</v>
      </c>
      <c r="V103" s="38">
        <v>82479</v>
      </c>
      <c r="W103" s="38">
        <v>88452</v>
      </c>
      <c r="X103" s="38">
        <v>94409</v>
      </c>
      <c r="Y103" s="38">
        <v>100346</v>
      </c>
      <c r="Z103" s="38">
        <v>106260</v>
      </c>
      <c r="AA103" s="38">
        <v>112140</v>
      </c>
      <c r="AB103" s="38">
        <v>118128</v>
      </c>
      <c r="AC103" s="38">
        <v>124092</v>
      </c>
      <c r="AD103" s="62">
        <f>+B103/B104</f>
        <v>0.23115436618964108</v>
      </c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</row>
    <row r="104" spans="1:152">
      <c r="A104" s="55" t="s">
        <v>99</v>
      </c>
      <c r="B104" s="38">
        <v>149398</v>
      </c>
      <c r="C104" s="38">
        <v>157941</v>
      </c>
      <c r="D104" s="38">
        <v>166482</v>
      </c>
      <c r="E104" s="38">
        <v>175019</v>
      </c>
      <c r="F104" s="38">
        <v>183557</v>
      </c>
      <c r="G104" s="38">
        <v>192066</v>
      </c>
      <c r="H104" s="38">
        <v>204916</v>
      </c>
      <c r="I104" s="38">
        <v>217761</v>
      </c>
      <c r="J104" s="38">
        <v>230600</v>
      </c>
      <c r="K104" s="38">
        <v>243419</v>
      </c>
      <c r="L104" s="38">
        <v>256232</v>
      </c>
      <c r="M104" s="38">
        <v>269768</v>
      </c>
      <c r="N104" s="38">
        <v>283277</v>
      </c>
      <c r="O104" s="38">
        <v>296753</v>
      </c>
      <c r="P104" s="38">
        <v>310182</v>
      </c>
      <c r="Q104" s="38">
        <v>323575</v>
      </c>
      <c r="R104" s="38">
        <v>339257</v>
      </c>
      <c r="S104" s="38">
        <v>354884</v>
      </c>
      <c r="T104" s="38">
        <v>370445</v>
      </c>
      <c r="U104" s="38">
        <v>385931</v>
      </c>
      <c r="V104" s="38">
        <v>401321</v>
      </c>
      <c r="W104" s="38">
        <v>424942</v>
      </c>
      <c r="X104" s="38">
        <v>448481</v>
      </c>
      <c r="Y104" s="38">
        <v>471922</v>
      </c>
      <c r="Z104" s="38">
        <v>495256</v>
      </c>
      <c r="AA104" s="38">
        <v>518440</v>
      </c>
      <c r="AB104" s="38">
        <v>552850</v>
      </c>
      <c r="AC104" s="38">
        <v>587150</v>
      </c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</row>
    <row r="105" spans="1:152">
      <c r="CM105" s="45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56"/>
      <c r="DD105" s="56"/>
      <c r="DE105" s="56"/>
      <c r="DF105" s="56"/>
      <c r="DG105" s="56"/>
      <c r="DH105" s="56"/>
      <c r="DI105" s="56"/>
      <c r="DJ105" s="56"/>
      <c r="DK105" s="56"/>
      <c r="DL105" s="56"/>
      <c r="DM105" s="56"/>
      <c r="DN105" s="56"/>
      <c r="DO105" s="56"/>
      <c r="DP105" s="56"/>
      <c r="DQ105" s="56"/>
      <c r="DR105" s="56"/>
      <c r="DS105" s="56"/>
      <c r="DT105" s="56"/>
      <c r="DU105" s="56"/>
      <c r="DV105" s="56"/>
      <c r="DW105" s="56"/>
      <c r="DX105" s="56"/>
      <c r="DY105" s="56"/>
      <c r="DZ105" s="56"/>
      <c r="EA105" s="56"/>
      <c r="EB105" s="56"/>
      <c r="EC105" s="56"/>
      <c r="ED105" s="56"/>
      <c r="EE105" s="56"/>
      <c r="EF105" s="56"/>
      <c r="EG105" s="56"/>
      <c r="EH105" s="56"/>
      <c r="EI105" s="56"/>
      <c r="EJ105" s="56"/>
      <c r="EK105" s="56"/>
      <c r="EL105" s="56"/>
      <c r="EM105" s="56"/>
      <c r="EN105" s="56"/>
      <c r="EO105" s="56"/>
      <c r="EP105" s="56"/>
      <c r="EQ105" s="56"/>
      <c r="ER105" s="56"/>
      <c r="ES105" s="56"/>
      <c r="ET105" s="56"/>
      <c r="EU105" s="56"/>
      <c r="EV105" s="56"/>
    </row>
    <row r="106" spans="1:152">
      <c r="A106" s="46" t="s">
        <v>81</v>
      </c>
      <c r="B106" s="46">
        <v>12229953</v>
      </c>
      <c r="C106" s="46">
        <v>12454204</v>
      </c>
      <c r="D106" s="46">
        <v>12678275</v>
      </c>
      <c r="E106" s="46">
        <v>12901999</v>
      </c>
      <c r="F106" s="46">
        <v>13125804</v>
      </c>
      <c r="G106" s="46">
        <v>13347732</v>
      </c>
      <c r="H106" s="46">
        <v>13570418</v>
      </c>
      <c r="I106" s="46">
        <v>13792761</v>
      </c>
      <c r="J106" s="46">
        <v>14014614</v>
      </c>
      <c r="K106" s="46">
        <v>14235351</v>
      </c>
      <c r="L106" s="46">
        <v>14456287</v>
      </c>
      <c r="M106" s="46">
        <v>14673402</v>
      </c>
      <c r="N106" s="46">
        <v>14888876</v>
      </c>
      <c r="O106" s="46">
        <v>15102533</v>
      </c>
      <c r="P106" s="46">
        <v>15313881</v>
      </c>
      <c r="Q106" s="46">
        <v>15523702</v>
      </c>
      <c r="R106" s="46">
        <v>15728959</v>
      </c>
      <c r="S106" s="46">
        <v>15931336</v>
      </c>
      <c r="T106" s="46">
        <v>16130644</v>
      </c>
      <c r="U106" s="46">
        <v>16326788</v>
      </c>
      <c r="V106" s="46">
        <v>16519307</v>
      </c>
      <c r="W106" s="46">
        <v>16707676</v>
      </c>
      <c r="X106" s="46">
        <v>16892332</v>
      </c>
      <c r="Y106" s="46">
        <v>17073102</v>
      </c>
      <c r="Z106" s="46">
        <v>17250156</v>
      </c>
      <c r="AA106" s="46">
        <v>17422288</v>
      </c>
      <c r="AB106" s="46">
        <v>17590805</v>
      </c>
      <c r="AC106" s="46">
        <v>17755123</v>
      </c>
      <c r="CM106" s="45" t="s">
        <v>100</v>
      </c>
      <c r="CN106" s="56">
        <v>1392961</v>
      </c>
      <c r="CO106" s="56">
        <v>1394455</v>
      </c>
      <c r="CP106" s="56">
        <v>1395969</v>
      </c>
      <c r="CQ106" s="56">
        <v>1397470</v>
      </c>
      <c r="CR106" s="56">
        <v>1398933</v>
      </c>
      <c r="CS106" s="56">
        <v>1400325</v>
      </c>
      <c r="CT106" s="56">
        <v>1403209</v>
      </c>
      <c r="CU106" s="56">
        <v>1405947</v>
      </c>
      <c r="CV106" s="56">
        <v>1408523</v>
      </c>
      <c r="CW106" s="56">
        <v>1411136</v>
      </c>
      <c r="CX106" s="56">
        <v>1413088</v>
      </c>
      <c r="CY106" s="56">
        <v>1421271</v>
      </c>
      <c r="CZ106" s="56">
        <v>1429429</v>
      </c>
      <c r="DA106" s="56">
        <v>1437551</v>
      </c>
      <c r="DB106" s="56">
        <v>1445678</v>
      </c>
      <c r="DC106" s="56">
        <v>1453604</v>
      </c>
      <c r="DD106" s="56">
        <v>1460640</v>
      </c>
      <c r="DE106" s="56">
        <v>1467634</v>
      </c>
      <c r="DF106" s="56">
        <v>1474578</v>
      </c>
      <c r="DG106" s="56">
        <v>1481404</v>
      </c>
      <c r="DH106" s="56">
        <v>1488261</v>
      </c>
      <c r="DI106" s="56">
        <v>1489651</v>
      </c>
      <c r="DJ106" s="56">
        <v>1490866</v>
      </c>
      <c r="DK106" s="56">
        <v>1491898</v>
      </c>
      <c r="DL106" s="56">
        <v>1492703</v>
      </c>
      <c r="DM106" s="56">
        <v>1493371</v>
      </c>
      <c r="DN106" s="56">
        <v>1489814</v>
      </c>
      <c r="DO106" s="56">
        <v>1485971</v>
      </c>
      <c r="DP106" s="56">
        <v>1481840</v>
      </c>
      <c r="DQ106" s="56">
        <v>1477420</v>
      </c>
      <c r="DR106" s="56">
        <v>1472689</v>
      </c>
      <c r="DS106" s="56">
        <v>1467398</v>
      </c>
      <c r="DT106" s="56">
        <v>1461765</v>
      </c>
      <c r="DU106" s="56">
        <v>1455791</v>
      </c>
      <c r="DV106" s="56">
        <v>1449504</v>
      </c>
      <c r="DW106" s="56">
        <v>1442820</v>
      </c>
      <c r="DX106" s="56">
        <v>1437420</v>
      </c>
      <c r="DY106" s="56">
        <v>1431662</v>
      </c>
      <c r="DZ106" s="56">
        <v>1425549</v>
      </c>
      <c r="EA106" s="56">
        <v>1419117</v>
      </c>
      <c r="EB106" s="56">
        <v>1412265</v>
      </c>
      <c r="EC106" s="56">
        <v>1406347</v>
      </c>
      <c r="ED106" s="56">
        <v>1400073</v>
      </c>
      <c r="EE106" s="56">
        <v>1393449</v>
      </c>
      <c r="EF106" s="56">
        <v>1386501</v>
      </c>
      <c r="EG106" s="56">
        <v>1379161</v>
      </c>
      <c r="EH106" s="56">
        <v>1371920</v>
      </c>
      <c r="EI106" s="56">
        <v>1364328</v>
      </c>
      <c r="EJ106" s="56">
        <v>1356390</v>
      </c>
      <c r="EK106" s="56">
        <v>1348111</v>
      </c>
      <c r="EL106" s="56">
        <v>1339498</v>
      </c>
      <c r="EM106" s="56">
        <v>1331343</v>
      </c>
      <c r="EN106" s="56">
        <v>1322823</v>
      </c>
      <c r="EO106" s="56">
        <v>1313946</v>
      </c>
      <c r="EP106" s="56">
        <v>1304839</v>
      </c>
      <c r="EQ106" s="56">
        <v>1295149</v>
      </c>
      <c r="ER106" s="56">
        <v>1292520</v>
      </c>
      <c r="ES106" s="56">
        <v>1289650</v>
      </c>
      <c r="ET106" s="56">
        <v>1286542</v>
      </c>
      <c r="EU106" s="56">
        <v>1283196</v>
      </c>
      <c r="EV106" s="56">
        <v>1279612</v>
      </c>
    </row>
    <row r="107" spans="1:152">
      <c r="CM107" s="57" t="s">
        <v>101</v>
      </c>
      <c r="CN107" s="56">
        <v>1273747</v>
      </c>
      <c r="CO107" s="56">
        <v>1295902</v>
      </c>
      <c r="CP107" s="56">
        <v>1318077</v>
      </c>
      <c r="CQ107" s="56">
        <v>1340243</v>
      </c>
      <c r="CR107" s="56">
        <v>1362368</v>
      </c>
      <c r="CS107" s="56">
        <v>1384422</v>
      </c>
      <c r="CT107" s="56">
        <v>1385752</v>
      </c>
      <c r="CU107" s="56">
        <v>1386942</v>
      </c>
      <c r="CV107" s="56">
        <v>1387969</v>
      </c>
      <c r="CW107" s="56">
        <v>1389030</v>
      </c>
      <c r="CX107" s="56">
        <v>1389461</v>
      </c>
      <c r="CY107" s="56">
        <v>1391853</v>
      </c>
      <c r="CZ107" s="56">
        <v>1394224</v>
      </c>
      <c r="DA107" s="56">
        <v>1396554</v>
      </c>
      <c r="DB107" s="56">
        <v>1398893</v>
      </c>
      <c r="DC107" s="56">
        <v>1401035</v>
      </c>
      <c r="DD107" s="56">
        <v>1409395</v>
      </c>
      <c r="DE107" s="56">
        <v>1417719</v>
      </c>
      <c r="DF107" s="56">
        <v>1425991</v>
      </c>
      <c r="DG107" s="56">
        <v>1434150</v>
      </c>
      <c r="DH107" s="56">
        <v>1442324</v>
      </c>
      <c r="DI107" s="56">
        <v>1449771</v>
      </c>
      <c r="DJ107" s="56">
        <v>1457051</v>
      </c>
      <c r="DK107" s="56">
        <v>1464151</v>
      </c>
      <c r="DL107" s="56">
        <v>1471029</v>
      </c>
      <c r="DM107" s="56">
        <v>1477769</v>
      </c>
      <c r="DN107" s="56">
        <v>1479558</v>
      </c>
      <c r="DO107" s="56">
        <v>1481066</v>
      </c>
      <c r="DP107" s="56">
        <v>1482285</v>
      </c>
      <c r="DQ107" s="56">
        <v>1483214</v>
      </c>
      <c r="DR107" s="56">
        <v>1483828</v>
      </c>
      <c r="DS107" s="56">
        <v>1480586</v>
      </c>
      <c r="DT107" s="56">
        <v>1476996</v>
      </c>
      <c r="DU107" s="56">
        <v>1473065</v>
      </c>
      <c r="DV107" s="56">
        <v>1468816</v>
      </c>
      <c r="DW107" s="56">
        <v>1464162</v>
      </c>
      <c r="DX107" s="56">
        <v>1459103</v>
      </c>
      <c r="DY107" s="56">
        <v>1453682</v>
      </c>
      <c r="DZ107" s="56">
        <v>1447901</v>
      </c>
      <c r="EA107" s="56">
        <v>1441795</v>
      </c>
      <c r="EB107" s="56">
        <v>1435260</v>
      </c>
      <c r="EC107" s="56">
        <v>1430034</v>
      </c>
      <c r="ED107" s="56">
        <v>1424447</v>
      </c>
      <c r="EE107" s="56">
        <v>1418502</v>
      </c>
      <c r="EF107" s="56">
        <v>1412230</v>
      </c>
      <c r="EG107" s="56">
        <v>1405556</v>
      </c>
      <c r="EH107" s="56">
        <v>1399797</v>
      </c>
      <c r="EI107" s="56">
        <v>1393682</v>
      </c>
      <c r="EJ107" s="56">
        <v>1387212</v>
      </c>
      <c r="EK107" s="56">
        <v>1380395</v>
      </c>
      <c r="EL107" s="56">
        <v>1373231</v>
      </c>
      <c r="EM107" s="56">
        <v>1366173</v>
      </c>
      <c r="EN107" s="56">
        <v>1358743</v>
      </c>
      <c r="EO107" s="56">
        <v>1350946</v>
      </c>
      <c r="EP107" s="56">
        <v>1342912</v>
      </c>
      <c r="EQ107" s="56">
        <v>1334274</v>
      </c>
      <c r="ER107" s="56">
        <v>1326022</v>
      </c>
      <c r="ES107" s="56">
        <v>1317521</v>
      </c>
      <c r="ET107" s="56">
        <v>1308774</v>
      </c>
      <c r="EU107" s="56">
        <v>1299787</v>
      </c>
      <c r="EV107" s="56">
        <v>1290565</v>
      </c>
    </row>
    <row r="108" spans="1:152">
      <c r="A108" s="51" t="s">
        <v>83</v>
      </c>
      <c r="B108" s="46">
        <v>0</v>
      </c>
      <c r="C108" s="46">
        <v>0</v>
      </c>
      <c r="D108" s="46">
        <v>0</v>
      </c>
      <c r="E108" s="46">
        <v>0</v>
      </c>
      <c r="F108" s="46">
        <v>0</v>
      </c>
      <c r="G108" s="46">
        <v>0</v>
      </c>
      <c r="H108" s="46">
        <v>0</v>
      </c>
      <c r="I108" s="46">
        <v>0</v>
      </c>
      <c r="J108" s="46">
        <v>0</v>
      </c>
      <c r="K108" s="46">
        <v>0</v>
      </c>
      <c r="L108" s="46">
        <v>0</v>
      </c>
      <c r="M108" s="46">
        <v>0</v>
      </c>
      <c r="N108" s="46">
        <v>0</v>
      </c>
      <c r="O108" s="46">
        <v>0</v>
      </c>
      <c r="P108" s="46">
        <v>0</v>
      </c>
      <c r="Q108" s="46">
        <v>0</v>
      </c>
      <c r="R108" s="46">
        <v>0</v>
      </c>
      <c r="S108" s="46">
        <v>0</v>
      </c>
      <c r="T108" s="46">
        <v>0</v>
      </c>
      <c r="U108" s="46">
        <v>0</v>
      </c>
      <c r="V108" s="46">
        <v>0</v>
      </c>
      <c r="W108" s="46">
        <v>0</v>
      </c>
      <c r="X108" s="46">
        <v>0</v>
      </c>
      <c r="Y108" s="46">
        <v>0</v>
      </c>
      <c r="Z108" s="46">
        <v>0</v>
      </c>
      <c r="AA108" s="46">
        <v>0</v>
      </c>
      <c r="AB108" s="46">
        <v>0</v>
      </c>
      <c r="AC108" s="46">
        <v>0</v>
      </c>
      <c r="CM108" s="57" t="s">
        <v>58</v>
      </c>
      <c r="CN108" s="56">
        <v>1162808</v>
      </c>
      <c r="CO108" s="56">
        <v>1184344</v>
      </c>
      <c r="CP108" s="56">
        <v>1205899</v>
      </c>
      <c r="CQ108" s="56">
        <v>1227445</v>
      </c>
      <c r="CR108" s="56">
        <v>1248954</v>
      </c>
      <c r="CS108" s="56">
        <v>1270397</v>
      </c>
      <c r="CT108" s="56">
        <v>1292881</v>
      </c>
      <c r="CU108" s="56">
        <v>1315243</v>
      </c>
      <c r="CV108" s="56">
        <v>1337453</v>
      </c>
      <c r="CW108" s="56">
        <v>1359696</v>
      </c>
      <c r="CX108" s="56">
        <v>1381308</v>
      </c>
      <c r="CY108" s="56">
        <v>1382454</v>
      </c>
      <c r="CZ108" s="56">
        <v>1383578</v>
      </c>
      <c r="DA108" s="56">
        <v>1384662</v>
      </c>
      <c r="DB108" s="56">
        <v>1385755</v>
      </c>
      <c r="DC108" s="56">
        <v>1386638</v>
      </c>
      <c r="DD108" s="56">
        <v>1389093</v>
      </c>
      <c r="DE108" s="56">
        <v>1391511</v>
      </c>
      <c r="DF108" s="56">
        <v>1393878</v>
      </c>
      <c r="DG108" s="56">
        <v>1396135</v>
      </c>
      <c r="DH108" s="56">
        <v>1398415</v>
      </c>
      <c r="DI108" s="56">
        <v>1407049</v>
      </c>
      <c r="DJ108" s="56">
        <v>1415520</v>
      </c>
      <c r="DK108" s="56">
        <v>1423817</v>
      </c>
      <c r="DL108" s="56">
        <v>1431899</v>
      </c>
      <c r="DM108" s="56">
        <v>1439829</v>
      </c>
      <c r="DN108" s="56">
        <v>1447507</v>
      </c>
      <c r="DO108" s="56">
        <v>1454913</v>
      </c>
      <c r="DP108" s="56">
        <v>1462036</v>
      </c>
      <c r="DQ108" s="56">
        <v>1468875</v>
      </c>
      <c r="DR108" s="56">
        <v>1475405</v>
      </c>
      <c r="DS108" s="56">
        <v>1477337</v>
      </c>
      <c r="DT108" s="56">
        <v>1478930</v>
      </c>
      <c r="DU108" s="56">
        <v>1480182</v>
      </c>
      <c r="DV108" s="56">
        <v>1481113</v>
      </c>
      <c r="DW108" s="56">
        <v>1481632</v>
      </c>
      <c r="DX108" s="56">
        <v>1478467</v>
      </c>
      <c r="DY108" s="56">
        <v>1474931</v>
      </c>
      <c r="DZ108" s="56">
        <v>1471034</v>
      </c>
      <c r="EA108" s="56">
        <v>1466806</v>
      </c>
      <c r="EB108" s="56">
        <v>1462142</v>
      </c>
      <c r="EC108" s="56">
        <v>1457126</v>
      </c>
      <c r="ED108" s="56">
        <v>1451743</v>
      </c>
      <c r="EE108" s="56">
        <v>1445996</v>
      </c>
      <c r="EF108" s="56">
        <v>1439914</v>
      </c>
      <c r="EG108" s="56">
        <v>1433423</v>
      </c>
      <c r="EH108" s="56">
        <v>1428236</v>
      </c>
      <c r="EI108" s="56">
        <v>1422684</v>
      </c>
      <c r="EJ108" s="56">
        <v>1416773</v>
      </c>
      <c r="EK108" s="56">
        <v>1410505</v>
      </c>
      <c r="EL108" s="56">
        <v>1403884</v>
      </c>
      <c r="EM108" s="56">
        <v>1398199</v>
      </c>
      <c r="EN108" s="56">
        <v>1392135</v>
      </c>
      <c r="EO108" s="56">
        <v>1385695</v>
      </c>
      <c r="EP108" s="56">
        <v>1379012</v>
      </c>
      <c r="EQ108" s="56">
        <v>1371707</v>
      </c>
      <c r="ER108" s="56">
        <v>1364447</v>
      </c>
      <c r="ES108" s="56">
        <v>1356932</v>
      </c>
      <c r="ET108" s="56">
        <v>1349163</v>
      </c>
      <c r="EU108" s="56">
        <v>1341147</v>
      </c>
      <c r="EV108" s="56">
        <v>1332887</v>
      </c>
    </row>
    <row r="109" spans="1:152">
      <c r="A109" s="52">
        <v>0</v>
      </c>
      <c r="B109" s="38">
        <v>282864</v>
      </c>
      <c r="C109" s="38">
        <v>286343</v>
      </c>
      <c r="D109" s="38">
        <v>289817</v>
      </c>
      <c r="E109" s="38">
        <v>293284</v>
      </c>
      <c r="F109" s="38">
        <v>296752</v>
      </c>
      <c r="G109" s="38">
        <v>300178</v>
      </c>
      <c r="H109" s="38">
        <v>300582</v>
      </c>
      <c r="I109" s="38">
        <v>300978</v>
      </c>
      <c r="J109" s="38">
        <v>301364</v>
      </c>
      <c r="K109" s="38">
        <v>301724</v>
      </c>
      <c r="L109" s="38">
        <v>302094</v>
      </c>
      <c r="M109" s="38">
        <v>301331</v>
      </c>
      <c r="N109" s="38">
        <v>300530</v>
      </c>
      <c r="O109" s="38">
        <v>299694</v>
      </c>
      <c r="P109" s="38">
        <v>298812</v>
      </c>
      <c r="Q109" s="38">
        <v>297903</v>
      </c>
      <c r="R109" s="38">
        <v>296881</v>
      </c>
      <c r="S109" s="38">
        <v>295801</v>
      </c>
      <c r="T109" s="38">
        <v>294665</v>
      </c>
      <c r="U109" s="38">
        <v>293471</v>
      </c>
      <c r="V109" s="38">
        <v>292215</v>
      </c>
      <c r="W109" s="38">
        <v>291308</v>
      </c>
      <c r="X109" s="38">
        <v>290334</v>
      </c>
      <c r="Y109" s="38">
        <v>289291</v>
      </c>
      <c r="Z109" s="38">
        <v>288186</v>
      </c>
      <c r="AA109" s="38">
        <v>287003</v>
      </c>
      <c r="AB109" s="38">
        <v>286034</v>
      </c>
      <c r="AC109" s="38">
        <v>284993</v>
      </c>
      <c r="CM109" s="45" t="s">
        <v>59</v>
      </c>
      <c r="CN109" s="56">
        <v>1003412</v>
      </c>
      <c r="CO109" s="56">
        <v>1033972</v>
      </c>
      <c r="CP109" s="56">
        <v>1064549</v>
      </c>
      <c r="CQ109" s="56">
        <v>1095118</v>
      </c>
      <c r="CR109" s="56">
        <v>1125655</v>
      </c>
      <c r="CS109" s="56">
        <v>1156133</v>
      </c>
      <c r="CT109" s="56">
        <v>1177680</v>
      </c>
      <c r="CU109" s="56">
        <v>1199116</v>
      </c>
      <c r="CV109" s="56">
        <v>1220414</v>
      </c>
      <c r="CW109" s="56">
        <v>1241743</v>
      </c>
      <c r="CX109" s="56">
        <v>1262497</v>
      </c>
      <c r="CY109" s="56">
        <v>1284556</v>
      </c>
      <c r="CZ109" s="56">
        <v>1306597</v>
      </c>
      <c r="DA109" s="56">
        <v>1328602</v>
      </c>
      <c r="DB109" s="56">
        <v>1350615</v>
      </c>
      <c r="DC109" s="56">
        <v>1372425</v>
      </c>
      <c r="DD109" s="56">
        <v>1373741</v>
      </c>
      <c r="DE109" s="56">
        <v>1375020</v>
      </c>
      <c r="DF109" s="56">
        <v>1376248</v>
      </c>
      <c r="DG109" s="56">
        <v>1377369</v>
      </c>
      <c r="DH109" s="56">
        <v>1378512</v>
      </c>
      <c r="DI109" s="56">
        <v>1381341</v>
      </c>
      <c r="DJ109" s="56">
        <v>1384009</v>
      </c>
      <c r="DK109" s="56">
        <v>1386506</v>
      </c>
      <c r="DL109" s="56">
        <v>1388793</v>
      </c>
      <c r="DM109" s="56">
        <v>1390948</v>
      </c>
      <c r="DN109" s="56">
        <v>1399872</v>
      </c>
      <c r="DO109" s="56">
        <v>1408534</v>
      </c>
      <c r="DP109" s="56">
        <v>1416923</v>
      </c>
      <c r="DQ109" s="56">
        <v>1425036</v>
      </c>
      <c r="DR109" s="56">
        <v>1432845</v>
      </c>
      <c r="DS109" s="56">
        <v>1440726</v>
      </c>
      <c r="DT109" s="56">
        <v>1448281</v>
      </c>
      <c r="DU109" s="56">
        <v>1455501</v>
      </c>
      <c r="DV109" s="56">
        <v>1462406</v>
      </c>
      <c r="DW109" s="56">
        <v>1468898</v>
      </c>
      <c r="DX109" s="56">
        <v>1470986</v>
      </c>
      <c r="DY109" s="56">
        <v>1472715</v>
      </c>
      <c r="DZ109" s="56">
        <v>1474077</v>
      </c>
      <c r="EA109" s="56">
        <v>1475111</v>
      </c>
      <c r="EB109" s="56">
        <v>1475705</v>
      </c>
      <c r="EC109" s="56">
        <v>1472663</v>
      </c>
      <c r="ED109" s="56">
        <v>1469255</v>
      </c>
      <c r="EE109" s="56">
        <v>1465476</v>
      </c>
      <c r="EF109" s="56">
        <v>1461356</v>
      </c>
      <c r="EG109" s="56">
        <v>1456819</v>
      </c>
      <c r="EH109" s="56">
        <v>1451924</v>
      </c>
      <c r="EI109" s="56">
        <v>1446659</v>
      </c>
      <c r="EJ109" s="56">
        <v>1441027</v>
      </c>
      <c r="EK109" s="56">
        <v>1435033</v>
      </c>
      <c r="EL109" s="56">
        <v>1428678</v>
      </c>
      <c r="EM109" s="56">
        <v>1423635</v>
      </c>
      <c r="EN109" s="56">
        <v>1418206</v>
      </c>
      <c r="EO109" s="56">
        <v>1412394</v>
      </c>
      <c r="EP109" s="56">
        <v>1406335</v>
      </c>
      <c r="EQ109" s="56">
        <v>1399644</v>
      </c>
      <c r="ER109" s="56">
        <v>1393814</v>
      </c>
      <c r="ES109" s="56">
        <v>1387724</v>
      </c>
      <c r="ET109" s="56">
        <v>1381375</v>
      </c>
      <c r="EU109" s="56">
        <v>1374773</v>
      </c>
      <c r="EV109" s="56">
        <v>1367921</v>
      </c>
    </row>
    <row r="110" spans="1:152">
      <c r="A110" s="52">
        <v>1</v>
      </c>
      <c r="B110" s="38">
        <v>283766</v>
      </c>
      <c r="C110" s="38">
        <v>285845</v>
      </c>
      <c r="D110" s="38">
        <v>287918</v>
      </c>
      <c r="E110" s="38">
        <v>289985</v>
      </c>
      <c r="F110" s="38">
        <v>292052</v>
      </c>
      <c r="G110" s="38">
        <v>294079</v>
      </c>
      <c r="H110" s="38">
        <v>295198</v>
      </c>
      <c r="I110" s="38">
        <v>296309</v>
      </c>
      <c r="J110" s="38">
        <v>297409</v>
      </c>
      <c r="K110" s="38">
        <v>298486</v>
      </c>
      <c r="L110" s="38">
        <v>299570</v>
      </c>
      <c r="M110" s="38">
        <v>299482</v>
      </c>
      <c r="N110" s="38">
        <v>299359</v>
      </c>
      <c r="O110" s="38">
        <v>299199</v>
      </c>
      <c r="P110" s="38">
        <v>298994</v>
      </c>
      <c r="Q110" s="38">
        <v>298760</v>
      </c>
      <c r="R110" s="38">
        <v>297872</v>
      </c>
      <c r="S110" s="38">
        <v>296926</v>
      </c>
      <c r="T110" s="38">
        <v>295923</v>
      </c>
      <c r="U110" s="38">
        <v>294862</v>
      </c>
      <c r="V110" s="38">
        <v>293740</v>
      </c>
      <c r="W110" s="38">
        <v>292682</v>
      </c>
      <c r="X110" s="38">
        <v>291556</v>
      </c>
      <c r="Y110" s="38">
        <v>290363</v>
      </c>
      <c r="Z110" s="38">
        <v>289106</v>
      </c>
      <c r="AA110" s="38">
        <v>287771</v>
      </c>
      <c r="AB110" s="38">
        <v>286708</v>
      </c>
      <c r="AC110" s="38">
        <v>285573</v>
      </c>
      <c r="CM110" s="45" t="s">
        <v>60</v>
      </c>
      <c r="CN110" s="56">
        <v>950588</v>
      </c>
      <c r="CO110" s="56">
        <v>958940</v>
      </c>
      <c r="CP110" s="56">
        <v>967306</v>
      </c>
      <c r="CQ110" s="56">
        <v>975665</v>
      </c>
      <c r="CR110" s="56">
        <v>983994</v>
      </c>
      <c r="CS110" s="56">
        <v>992254</v>
      </c>
      <c r="CT110" s="56">
        <v>1022239</v>
      </c>
      <c r="CU110" s="56">
        <v>1052131</v>
      </c>
      <c r="CV110" s="56">
        <v>1081904</v>
      </c>
      <c r="CW110" s="56">
        <v>1111704</v>
      </c>
      <c r="CX110" s="56">
        <v>1140977</v>
      </c>
      <c r="CY110" s="56">
        <v>1161786</v>
      </c>
      <c r="CZ110" s="56">
        <v>1182579</v>
      </c>
      <c r="DA110" s="56">
        <v>1203339</v>
      </c>
      <c r="DB110" s="56">
        <v>1224107</v>
      </c>
      <c r="DC110" s="56">
        <v>1244694</v>
      </c>
      <c r="DD110" s="56">
        <v>1266811</v>
      </c>
      <c r="DE110" s="56">
        <v>1288897</v>
      </c>
      <c r="DF110" s="56">
        <v>1310936</v>
      </c>
      <c r="DG110" s="56">
        <v>1332871</v>
      </c>
      <c r="DH110" s="56">
        <v>1354831</v>
      </c>
      <c r="DI110" s="56">
        <v>1356690</v>
      </c>
      <c r="DJ110" s="56">
        <v>1358391</v>
      </c>
      <c r="DK110" s="56">
        <v>1359923</v>
      </c>
      <c r="DL110" s="56">
        <v>1361250</v>
      </c>
      <c r="DM110" s="56">
        <v>1362452</v>
      </c>
      <c r="DN110" s="56">
        <v>1365749</v>
      </c>
      <c r="DO110" s="56">
        <v>1368787</v>
      </c>
      <c r="DP110" s="56">
        <v>1371558</v>
      </c>
      <c r="DQ110" s="56">
        <v>1374063</v>
      </c>
      <c r="DR110" s="56">
        <v>1376273</v>
      </c>
      <c r="DS110" s="56">
        <v>1385495</v>
      </c>
      <c r="DT110" s="56">
        <v>1394406</v>
      </c>
      <c r="DU110" s="56">
        <v>1402993</v>
      </c>
      <c r="DV110" s="56">
        <v>1411277</v>
      </c>
      <c r="DW110" s="56">
        <v>1419162</v>
      </c>
      <c r="DX110" s="56">
        <v>1427277</v>
      </c>
      <c r="DY110" s="56">
        <v>1435047</v>
      </c>
      <c r="DZ110" s="56">
        <v>1442463</v>
      </c>
      <c r="EA110" s="56">
        <v>1449555</v>
      </c>
      <c r="EB110" s="56">
        <v>1456207</v>
      </c>
      <c r="EC110" s="56">
        <v>1458531</v>
      </c>
      <c r="ED110" s="56">
        <v>1460493</v>
      </c>
      <c r="EE110" s="56">
        <v>1462090</v>
      </c>
      <c r="EF110" s="56">
        <v>1463350</v>
      </c>
      <c r="EG110" s="56">
        <v>1464180</v>
      </c>
      <c r="EH110" s="56">
        <v>1461386</v>
      </c>
      <c r="EI110" s="56">
        <v>1458221</v>
      </c>
      <c r="EJ110" s="56">
        <v>1454686</v>
      </c>
      <c r="EK110" s="56">
        <v>1450785</v>
      </c>
      <c r="EL110" s="56">
        <v>1446520</v>
      </c>
      <c r="EM110" s="56">
        <v>1441891</v>
      </c>
      <c r="EN110" s="56">
        <v>1436871</v>
      </c>
      <c r="EO110" s="56">
        <v>1431464</v>
      </c>
      <c r="EP110" s="56">
        <v>1425805</v>
      </c>
      <c r="EQ110" s="56">
        <v>1419506</v>
      </c>
      <c r="ER110" s="56">
        <v>1414422</v>
      </c>
      <c r="ES110" s="56">
        <v>1409073</v>
      </c>
      <c r="ET110" s="56">
        <v>1403464</v>
      </c>
      <c r="EU110" s="56">
        <v>1397595</v>
      </c>
      <c r="EV110" s="56">
        <v>1391470</v>
      </c>
    </row>
    <row r="111" spans="1:152">
      <c r="A111" s="52">
        <v>2</v>
      </c>
      <c r="B111" s="38">
        <v>283451</v>
      </c>
      <c r="C111" s="38">
        <v>284672</v>
      </c>
      <c r="D111" s="38">
        <v>285888</v>
      </c>
      <c r="E111" s="38">
        <v>287096</v>
      </c>
      <c r="F111" s="38">
        <v>288306</v>
      </c>
      <c r="G111" s="38">
        <v>289476</v>
      </c>
      <c r="H111" s="38">
        <v>291080</v>
      </c>
      <c r="I111" s="38">
        <v>292676</v>
      </c>
      <c r="J111" s="38">
        <v>294262</v>
      </c>
      <c r="K111" s="38">
        <v>295825</v>
      </c>
      <c r="L111" s="38">
        <v>297394</v>
      </c>
      <c r="M111" s="38">
        <v>297811</v>
      </c>
      <c r="N111" s="38">
        <v>298193</v>
      </c>
      <c r="O111" s="38">
        <v>298539</v>
      </c>
      <c r="P111" s="38">
        <v>298839</v>
      </c>
      <c r="Q111" s="38">
        <v>299111</v>
      </c>
      <c r="R111" s="38">
        <v>298379</v>
      </c>
      <c r="S111" s="38">
        <v>297589</v>
      </c>
      <c r="T111" s="38">
        <v>296742</v>
      </c>
      <c r="U111" s="38">
        <v>295837</v>
      </c>
      <c r="V111" s="38">
        <v>294869</v>
      </c>
      <c r="W111" s="38">
        <v>293742</v>
      </c>
      <c r="X111" s="38">
        <v>292546</v>
      </c>
      <c r="Y111" s="38">
        <v>291281</v>
      </c>
      <c r="Z111" s="38">
        <v>289955</v>
      </c>
      <c r="AA111" s="38">
        <v>288548</v>
      </c>
      <c r="AB111" s="38">
        <v>287434</v>
      </c>
      <c r="AC111" s="38">
        <v>286247</v>
      </c>
      <c r="CM111" s="45" t="s">
        <v>61</v>
      </c>
      <c r="CN111" s="56">
        <v>873360</v>
      </c>
      <c r="CO111" s="56">
        <v>886231</v>
      </c>
      <c r="CP111" s="56">
        <v>899115</v>
      </c>
      <c r="CQ111" s="56">
        <v>911993</v>
      </c>
      <c r="CR111" s="56">
        <v>924843</v>
      </c>
      <c r="CS111" s="56">
        <v>937641</v>
      </c>
      <c r="CT111" s="56">
        <v>945605</v>
      </c>
      <c r="CU111" s="56">
        <v>953476</v>
      </c>
      <c r="CV111" s="56">
        <v>961236</v>
      </c>
      <c r="CW111" s="56">
        <v>969019</v>
      </c>
      <c r="CX111" s="56">
        <v>976357</v>
      </c>
      <c r="CY111" s="56">
        <v>1005410</v>
      </c>
      <c r="CZ111" s="56">
        <v>1034449</v>
      </c>
      <c r="DA111" s="56">
        <v>1063460</v>
      </c>
      <c r="DB111" s="56">
        <v>1092479</v>
      </c>
      <c r="DC111" s="56">
        <v>1121329</v>
      </c>
      <c r="DD111" s="56">
        <v>1142181</v>
      </c>
      <c r="DE111" s="56">
        <v>1163005</v>
      </c>
      <c r="DF111" s="56">
        <v>1183787</v>
      </c>
      <c r="DG111" s="56">
        <v>1204475</v>
      </c>
      <c r="DH111" s="56">
        <v>1225178</v>
      </c>
      <c r="DI111" s="56">
        <v>1247545</v>
      </c>
      <c r="DJ111" s="56">
        <v>1269774</v>
      </c>
      <c r="DK111" s="56">
        <v>1291849</v>
      </c>
      <c r="DL111" s="56">
        <v>1313725</v>
      </c>
      <c r="DM111" s="56">
        <v>1335470</v>
      </c>
      <c r="DN111" s="56">
        <v>1337855</v>
      </c>
      <c r="DO111" s="56">
        <v>1339986</v>
      </c>
      <c r="DP111" s="56">
        <v>1341856</v>
      </c>
      <c r="DQ111" s="56">
        <v>1343465</v>
      </c>
      <c r="DR111" s="56">
        <v>1344781</v>
      </c>
      <c r="DS111" s="56">
        <v>1348464</v>
      </c>
      <c r="DT111" s="56">
        <v>1351840</v>
      </c>
      <c r="DU111" s="56">
        <v>1354902</v>
      </c>
      <c r="DV111" s="56">
        <v>1357671</v>
      </c>
      <c r="DW111" s="56">
        <v>1360061</v>
      </c>
      <c r="DX111" s="56">
        <v>1369524</v>
      </c>
      <c r="DY111" s="56">
        <v>1378658</v>
      </c>
      <c r="DZ111" s="56">
        <v>1387453</v>
      </c>
      <c r="EA111" s="56">
        <v>1395934</v>
      </c>
      <c r="EB111" s="56">
        <v>1403991</v>
      </c>
      <c r="EC111" s="56">
        <v>1412315</v>
      </c>
      <c r="ED111" s="56">
        <v>1420293</v>
      </c>
      <c r="EE111" s="56">
        <v>1427917</v>
      </c>
      <c r="EF111" s="56">
        <v>1435209</v>
      </c>
      <c r="EG111" s="56">
        <v>1442081</v>
      </c>
      <c r="EH111" s="56">
        <v>1444650</v>
      </c>
      <c r="EI111" s="56">
        <v>1446857</v>
      </c>
      <c r="EJ111" s="56">
        <v>1448699</v>
      </c>
      <c r="EK111" s="56">
        <v>1450175</v>
      </c>
      <c r="EL111" s="56">
        <v>1451281</v>
      </c>
      <c r="EM111" s="56">
        <v>1448782</v>
      </c>
      <c r="EN111" s="56">
        <v>1445889</v>
      </c>
      <c r="EO111" s="56">
        <v>1442605</v>
      </c>
      <c r="EP111" s="56">
        <v>1439075</v>
      </c>
      <c r="EQ111" s="56">
        <v>1434890</v>
      </c>
      <c r="ER111" s="56">
        <v>1430255</v>
      </c>
      <c r="ES111" s="56">
        <v>1425353</v>
      </c>
      <c r="ET111" s="56">
        <v>1420186</v>
      </c>
      <c r="EU111" s="56">
        <v>1414758</v>
      </c>
      <c r="EV111" s="56">
        <v>1409072</v>
      </c>
    </row>
    <row r="112" spans="1:152">
      <c r="A112" s="52">
        <v>3</v>
      </c>
      <c r="B112" s="38">
        <v>282303</v>
      </c>
      <c r="C112" s="38">
        <v>283081</v>
      </c>
      <c r="D112" s="38">
        <v>283855</v>
      </c>
      <c r="E112" s="38">
        <v>284622</v>
      </c>
      <c r="F112" s="38">
        <v>285389</v>
      </c>
      <c r="G112" s="38">
        <v>286117</v>
      </c>
      <c r="H112" s="38">
        <v>288010</v>
      </c>
      <c r="I112" s="38">
        <v>289894</v>
      </c>
      <c r="J112" s="38">
        <v>291769</v>
      </c>
      <c r="K112" s="38">
        <v>293620</v>
      </c>
      <c r="L112" s="38">
        <v>295476</v>
      </c>
      <c r="M112" s="38">
        <v>296259</v>
      </c>
      <c r="N112" s="38">
        <v>297008</v>
      </c>
      <c r="O112" s="38">
        <v>297720</v>
      </c>
      <c r="P112" s="38">
        <v>298386</v>
      </c>
      <c r="Q112" s="38">
        <v>299026</v>
      </c>
      <c r="R112" s="38">
        <v>298470</v>
      </c>
      <c r="S112" s="38">
        <v>297858</v>
      </c>
      <c r="T112" s="38">
        <v>297187</v>
      </c>
      <c r="U112" s="38">
        <v>296458</v>
      </c>
      <c r="V112" s="38">
        <v>295667</v>
      </c>
      <c r="W112" s="38">
        <v>294539</v>
      </c>
      <c r="X112" s="38">
        <v>293342</v>
      </c>
      <c r="Y112" s="38">
        <v>292077</v>
      </c>
      <c r="Z112" s="38">
        <v>290749</v>
      </c>
      <c r="AA112" s="38">
        <v>289341</v>
      </c>
      <c r="AB112" s="38">
        <v>288210</v>
      </c>
      <c r="AC112" s="38">
        <v>287007</v>
      </c>
      <c r="CM112" s="45" t="s">
        <v>62</v>
      </c>
      <c r="CN112" s="56">
        <v>719771</v>
      </c>
      <c r="CO112" s="56">
        <v>748067</v>
      </c>
      <c r="CP112" s="56">
        <v>776375</v>
      </c>
      <c r="CQ112" s="56">
        <v>804677</v>
      </c>
      <c r="CR112" s="56">
        <v>832956</v>
      </c>
      <c r="CS112" s="56">
        <v>861202</v>
      </c>
      <c r="CT112" s="56">
        <v>873771</v>
      </c>
      <c r="CU112" s="56">
        <v>886256</v>
      </c>
      <c r="CV112" s="56">
        <v>898639</v>
      </c>
      <c r="CW112" s="56">
        <v>911044</v>
      </c>
      <c r="CX112" s="56">
        <v>923023</v>
      </c>
      <c r="CY112" s="56">
        <v>930541</v>
      </c>
      <c r="CZ112" s="56">
        <v>938046</v>
      </c>
      <c r="DA112" s="56">
        <v>945524</v>
      </c>
      <c r="DB112" s="56">
        <v>953007</v>
      </c>
      <c r="DC112" s="56">
        <v>960346</v>
      </c>
      <c r="DD112" s="56">
        <v>989242</v>
      </c>
      <c r="DE112" s="56">
        <v>1018115</v>
      </c>
      <c r="DF112" s="56">
        <v>1046952</v>
      </c>
      <c r="DG112" s="56">
        <v>1075705</v>
      </c>
      <c r="DH112" s="56">
        <v>1104475</v>
      </c>
      <c r="DI112" s="56">
        <v>1125519</v>
      </c>
      <c r="DJ112" s="56">
        <v>1146438</v>
      </c>
      <c r="DK112" s="56">
        <v>1167219</v>
      </c>
      <c r="DL112" s="56">
        <v>1187820</v>
      </c>
      <c r="DM112" s="56">
        <v>1208295</v>
      </c>
      <c r="DN112" s="56">
        <v>1230844</v>
      </c>
      <c r="DO112" s="56">
        <v>1253172</v>
      </c>
      <c r="DP112" s="56">
        <v>1275259</v>
      </c>
      <c r="DQ112" s="56">
        <v>1297095</v>
      </c>
      <c r="DR112" s="56">
        <v>1318643</v>
      </c>
      <c r="DS112" s="56">
        <v>1321382</v>
      </c>
      <c r="DT112" s="56">
        <v>1323818</v>
      </c>
      <c r="DU112" s="56">
        <v>1325947</v>
      </c>
      <c r="DV112" s="56">
        <v>1327790</v>
      </c>
      <c r="DW112" s="56">
        <v>1329263</v>
      </c>
      <c r="DX112" s="56">
        <v>1333206</v>
      </c>
      <c r="DY112" s="56">
        <v>1336825</v>
      </c>
      <c r="DZ112" s="56">
        <v>1340113</v>
      </c>
      <c r="EA112" s="56">
        <v>1343100</v>
      </c>
      <c r="EB112" s="56">
        <v>1345685</v>
      </c>
      <c r="EC112" s="56">
        <v>1355305</v>
      </c>
      <c r="ED112" s="56">
        <v>1364595</v>
      </c>
      <c r="EE112" s="56">
        <v>1373546</v>
      </c>
      <c r="EF112" s="56">
        <v>1382175</v>
      </c>
      <c r="EG112" s="56">
        <v>1390400</v>
      </c>
      <c r="EH112" s="56">
        <v>1398878</v>
      </c>
      <c r="EI112" s="56">
        <v>1407010</v>
      </c>
      <c r="EJ112" s="56">
        <v>1414788</v>
      </c>
      <c r="EK112" s="56">
        <v>1422208</v>
      </c>
      <c r="EL112" s="56">
        <v>1429261</v>
      </c>
      <c r="EM112" s="56">
        <v>1432054</v>
      </c>
      <c r="EN112" s="56">
        <v>1434464</v>
      </c>
      <c r="EO112" s="56">
        <v>1436490</v>
      </c>
      <c r="EP112" s="56">
        <v>1438262</v>
      </c>
      <c r="EQ112" s="56">
        <v>1439380</v>
      </c>
      <c r="ER112" s="56">
        <v>1436836</v>
      </c>
      <c r="ES112" s="56">
        <v>1434021</v>
      </c>
      <c r="ET112" s="56">
        <v>1430946</v>
      </c>
      <c r="EU112" s="56">
        <v>1427604</v>
      </c>
      <c r="EV112" s="56">
        <v>1423999</v>
      </c>
    </row>
    <row r="113" spans="1:152">
      <c r="A113" s="52">
        <v>4</v>
      </c>
      <c r="B113" s="38">
        <v>280704</v>
      </c>
      <c r="C113" s="38">
        <v>281330</v>
      </c>
      <c r="D113" s="38">
        <v>281951</v>
      </c>
      <c r="E113" s="38">
        <v>282564</v>
      </c>
      <c r="F113" s="38">
        <v>283179</v>
      </c>
      <c r="G113" s="38">
        <v>283754</v>
      </c>
      <c r="H113" s="38">
        <v>285770</v>
      </c>
      <c r="I113" s="38">
        <v>287777</v>
      </c>
      <c r="J113" s="38">
        <v>289774</v>
      </c>
      <c r="K113" s="38">
        <v>291749</v>
      </c>
      <c r="L113" s="38">
        <v>293727</v>
      </c>
      <c r="M113" s="38">
        <v>294768</v>
      </c>
      <c r="N113" s="38">
        <v>295776</v>
      </c>
      <c r="O113" s="38">
        <v>296746</v>
      </c>
      <c r="P113" s="38">
        <v>297672</v>
      </c>
      <c r="Q113" s="38">
        <v>298571</v>
      </c>
      <c r="R113" s="38">
        <v>298212</v>
      </c>
      <c r="S113" s="38">
        <v>297797</v>
      </c>
      <c r="T113" s="38">
        <v>297323</v>
      </c>
      <c r="U113" s="38">
        <v>296792</v>
      </c>
      <c r="V113" s="38">
        <v>296198</v>
      </c>
      <c r="W113" s="38">
        <v>295127</v>
      </c>
      <c r="X113" s="38">
        <v>293987</v>
      </c>
      <c r="Y113" s="38">
        <v>292779</v>
      </c>
      <c r="Z113" s="38">
        <v>291508</v>
      </c>
      <c r="AA113" s="38">
        <v>290157</v>
      </c>
      <c r="AB113" s="38">
        <v>289034</v>
      </c>
      <c r="AC113" s="38">
        <v>287842</v>
      </c>
      <c r="CM113" s="45" t="s">
        <v>63</v>
      </c>
      <c r="CN113" s="56">
        <v>621754</v>
      </c>
      <c r="CO113" s="56">
        <v>639267</v>
      </c>
      <c r="CP113" s="56">
        <v>656790</v>
      </c>
      <c r="CQ113" s="56">
        <v>674309</v>
      </c>
      <c r="CR113" s="56">
        <v>691807</v>
      </c>
      <c r="CS113" s="56">
        <v>709263</v>
      </c>
      <c r="CT113" s="56">
        <v>737148</v>
      </c>
      <c r="CU113" s="56">
        <v>764968</v>
      </c>
      <c r="CV113" s="56">
        <v>792703</v>
      </c>
      <c r="CW113" s="56">
        <v>820458</v>
      </c>
      <c r="CX113" s="56">
        <v>847827</v>
      </c>
      <c r="CY113" s="56">
        <v>859969</v>
      </c>
      <c r="CZ113" s="56">
        <v>872099</v>
      </c>
      <c r="DA113" s="56">
        <v>884205</v>
      </c>
      <c r="DB113" s="56">
        <v>896316</v>
      </c>
      <c r="DC113" s="56">
        <v>908310</v>
      </c>
      <c r="DD113" s="56">
        <v>915953</v>
      </c>
      <c r="DE113" s="56">
        <v>923572</v>
      </c>
      <c r="DF113" s="56">
        <v>931158</v>
      </c>
      <c r="DG113" s="56">
        <v>938670</v>
      </c>
      <c r="DH113" s="56">
        <v>946190</v>
      </c>
      <c r="DI113" s="56">
        <v>975071</v>
      </c>
      <c r="DJ113" s="56">
        <v>1003848</v>
      </c>
      <c r="DK113" s="56">
        <v>1032504</v>
      </c>
      <c r="DL113" s="56">
        <v>1061001</v>
      </c>
      <c r="DM113" s="56">
        <v>1089388</v>
      </c>
      <c r="DN113" s="56">
        <v>1110549</v>
      </c>
      <c r="DO113" s="56">
        <v>1131511</v>
      </c>
      <c r="DP113" s="56">
        <v>1152256</v>
      </c>
      <c r="DQ113" s="56">
        <v>1172774</v>
      </c>
      <c r="DR113" s="56">
        <v>1193034</v>
      </c>
      <c r="DS113" s="56">
        <v>1215633</v>
      </c>
      <c r="DT113" s="56">
        <v>1237969</v>
      </c>
      <c r="DU113" s="56">
        <v>1260022</v>
      </c>
      <c r="DV113" s="56">
        <v>1281799</v>
      </c>
      <c r="DW113" s="56">
        <v>1303202</v>
      </c>
      <c r="DX113" s="56">
        <v>1306173</v>
      </c>
      <c r="DY113" s="56">
        <v>1308825</v>
      </c>
      <c r="DZ113" s="56">
        <v>1311154</v>
      </c>
      <c r="EA113" s="56">
        <v>1313188</v>
      </c>
      <c r="EB113" s="56">
        <v>1314827</v>
      </c>
      <c r="EC113" s="56">
        <v>1318942</v>
      </c>
      <c r="ED113" s="56">
        <v>1322731</v>
      </c>
      <c r="EE113" s="56">
        <v>1326191</v>
      </c>
      <c r="EF113" s="56">
        <v>1329342</v>
      </c>
      <c r="EG113" s="56">
        <v>1332107</v>
      </c>
      <c r="EH113" s="56">
        <v>1341826</v>
      </c>
      <c r="EI113" s="56">
        <v>1351214</v>
      </c>
      <c r="EJ113" s="56">
        <v>1360264</v>
      </c>
      <c r="EK113" s="56">
        <v>1368968</v>
      </c>
      <c r="EL113" s="56">
        <v>1377317</v>
      </c>
      <c r="EM113" s="56">
        <v>1385932</v>
      </c>
      <c r="EN113" s="56">
        <v>1394181</v>
      </c>
      <c r="EO113" s="56">
        <v>1402059</v>
      </c>
      <c r="EP113" s="56">
        <v>1409688</v>
      </c>
      <c r="EQ113" s="56">
        <v>1416670</v>
      </c>
      <c r="ER113" s="56">
        <v>1419356</v>
      </c>
      <c r="ES113" s="56">
        <v>1421781</v>
      </c>
      <c r="ET113" s="56">
        <v>1423943</v>
      </c>
      <c r="EU113" s="56">
        <v>1425842</v>
      </c>
      <c r="EV113" s="56">
        <v>1427477</v>
      </c>
    </row>
    <row r="114" spans="1:152">
      <c r="A114" s="51" t="s">
        <v>84</v>
      </c>
      <c r="B114" s="46">
        <v>0</v>
      </c>
      <c r="C114" s="46">
        <v>0</v>
      </c>
      <c r="D114" s="46">
        <v>0</v>
      </c>
      <c r="E114" s="46">
        <v>0</v>
      </c>
      <c r="F114" s="46">
        <v>0</v>
      </c>
      <c r="G114" s="46">
        <v>0</v>
      </c>
      <c r="H114" s="46">
        <v>0</v>
      </c>
      <c r="I114" s="46">
        <v>0</v>
      </c>
      <c r="J114" s="46">
        <v>0</v>
      </c>
      <c r="K114" s="46">
        <v>0</v>
      </c>
      <c r="L114" s="46">
        <v>0</v>
      </c>
      <c r="M114" s="46">
        <v>0</v>
      </c>
      <c r="N114" s="46">
        <v>0</v>
      </c>
      <c r="O114" s="46">
        <v>0</v>
      </c>
      <c r="P114" s="46">
        <v>0</v>
      </c>
      <c r="Q114" s="46">
        <v>0</v>
      </c>
      <c r="R114" s="46">
        <v>0</v>
      </c>
      <c r="S114" s="46">
        <v>0</v>
      </c>
      <c r="T114" s="46">
        <v>0</v>
      </c>
      <c r="U114" s="46">
        <v>0</v>
      </c>
      <c r="V114" s="46">
        <v>0</v>
      </c>
      <c r="W114" s="46">
        <v>0</v>
      </c>
      <c r="X114" s="46">
        <v>0</v>
      </c>
      <c r="Y114" s="46">
        <v>0</v>
      </c>
      <c r="Z114" s="46">
        <v>0</v>
      </c>
      <c r="AA114" s="46">
        <v>0</v>
      </c>
      <c r="AB114" s="46">
        <v>0</v>
      </c>
      <c r="AC114" s="46">
        <v>0</v>
      </c>
      <c r="CM114" s="45" t="s">
        <v>64</v>
      </c>
      <c r="CN114" s="56">
        <v>508785</v>
      </c>
      <c r="CO114" s="56">
        <v>529246</v>
      </c>
      <c r="CP114" s="56">
        <v>549716</v>
      </c>
      <c r="CQ114" s="56">
        <v>570183</v>
      </c>
      <c r="CR114" s="56">
        <v>590632</v>
      </c>
      <c r="CS114" s="56">
        <v>611047</v>
      </c>
      <c r="CT114" s="56">
        <v>628399</v>
      </c>
      <c r="CU114" s="56">
        <v>645695</v>
      </c>
      <c r="CV114" s="56">
        <v>662916</v>
      </c>
      <c r="CW114" s="56">
        <v>680155</v>
      </c>
      <c r="CX114" s="56">
        <v>697071</v>
      </c>
      <c r="CY114" s="56">
        <v>724364</v>
      </c>
      <c r="CZ114" s="56">
        <v>751648</v>
      </c>
      <c r="DA114" s="56">
        <v>778911</v>
      </c>
      <c r="DB114" s="56">
        <v>806181</v>
      </c>
      <c r="DC114" s="56">
        <v>833347</v>
      </c>
      <c r="DD114" s="56">
        <v>845497</v>
      </c>
      <c r="DE114" s="56">
        <v>857625</v>
      </c>
      <c r="DF114" s="56">
        <v>869723</v>
      </c>
      <c r="DG114" s="56">
        <v>881751</v>
      </c>
      <c r="DH114" s="56">
        <v>893795</v>
      </c>
      <c r="DI114" s="56">
        <v>901661</v>
      </c>
      <c r="DJ114" s="56">
        <v>909425</v>
      </c>
      <c r="DK114" s="56">
        <v>917077</v>
      </c>
      <c r="DL114" s="56">
        <v>924589</v>
      </c>
      <c r="DM114" s="56">
        <v>932007</v>
      </c>
      <c r="DN114" s="56">
        <v>960799</v>
      </c>
      <c r="DO114" s="56">
        <v>989424</v>
      </c>
      <c r="DP114" s="56">
        <v>1017862</v>
      </c>
      <c r="DQ114" s="56">
        <v>1046098</v>
      </c>
      <c r="DR114" s="56">
        <v>1074082</v>
      </c>
      <c r="DS114" s="56">
        <v>1095232</v>
      </c>
      <c r="DT114" s="56">
        <v>1116146</v>
      </c>
      <c r="DU114" s="56">
        <v>1136804</v>
      </c>
      <c r="DV114" s="56">
        <v>1157214</v>
      </c>
      <c r="DW114" s="56">
        <v>1177286</v>
      </c>
      <c r="DX114" s="56">
        <v>1199825</v>
      </c>
      <c r="DY114" s="56">
        <v>1222086</v>
      </c>
      <c r="DZ114" s="56">
        <v>1244051</v>
      </c>
      <c r="EA114" s="56">
        <v>1265731</v>
      </c>
      <c r="EB114" s="56">
        <v>1287016</v>
      </c>
      <c r="EC114" s="56">
        <v>1290141</v>
      </c>
      <c r="ED114" s="56">
        <v>1292946</v>
      </c>
      <c r="EE114" s="56">
        <v>1295429</v>
      </c>
      <c r="EF114" s="56">
        <v>1297610</v>
      </c>
      <c r="EG114" s="56">
        <v>1299417</v>
      </c>
      <c r="EH114" s="56">
        <v>1303661</v>
      </c>
      <c r="EI114" s="56">
        <v>1307579</v>
      </c>
      <c r="EJ114" s="56">
        <v>1311169</v>
      </c>
      <c r="EK114" s="56">
        <v>1314426</v>
      </c>
      <c r="EL114" s="56">
        <v>1317347</v>
      </c>
      <c r="EM114" s="56">
        <v>1327152</v>
      </c>
      <c r="EN114" s="56">
        <v>1336609</v>
      </c>
      <c r="EO114" s="56">
        <v>1345710</v>
      </c>
      <c r="EP114" s="56">
        <v>1354571</v>
      </c>
      <c r="EQ114" s="56">
        <v>1362813</v>
      </c>
      <c r="ER114" s="56">
        <v>1371247</v>
      </c>
      <c r="ES114" s="56">
        <v>1379432</v>
      </c>
      <c r="ET114" s="56">
        <v>1387364</v>
      </c>
      <c r="EU114" s="56">
        <v>1395037</v>
      </c>
      <c r="EV114" s="56">
        <v>1402446</v>
      </c>
    </row>
    <row r="115" spans="1:152">
      <c r="A115" s="52">
        <v>5</v>
      </c>
      <c r="B115" s="38">
        <v>279063</v>
      </c>
      <c r="C115" s="38">
        <v>279691</v>
      </c>
      <c r="D115" s="38">
        <v>280315</v>
      </c>
      <c r="E115" s="38">
        <v>280932</v>
      </c>
      <c r="F115" s="38">
        <v>281550</v>
      </c>
      <c r="G115" s="38">
        <v>282129</v>
      </c>
      <c r="H115" s="38">
        <v>284134</v>
      </c>
      <c r="I115" s="38">
        <v>286132</v>
      </c>
      <c r="J115" s="38">
        <v>288120</v>
      </c>
      <c r="K115" s="38">
        <v>290085</v>
      </c>
      <c r="L115" s="38">
        <v>292053</v>
      </c>
      <c r="M115" s="38">
        <v>293278</v>
      </c>
      <c r="N115" s="38">
        <v>294470</v>
      </c>
      <c r="O115" s="38">
        <v>295624</v>
      </c>
      <c r="P115" s="38">
        <v>296734</v>
      </c>
      <c r="Q115" s="38">
        <v>297817</v>
      </c>
      <c r="R115" s="38">
        <v>297675</v>
      </c>
      <c r="S115" s="38">
        <v>297476</v>
      </c>
      <c r="T115" s="38">
        <v>297219</v>
      </c>
      <c r="U115" s="38">
        <v>296904</v>
      </c>
      <c r="V115" s="38">
        <v>296527</v>
      </c>
      <c r="W115" s="38">
        <v>295560</v>
      </c>
      <c r="X115" s="38">
        <v>294523</v>
      </c>
      <c r="Y115" s="38">
        <v>293419</v>
      </c>
      <c r="Z115" s="38">
        <v>292251</v>
      </c>
      <c r="AA115" s="38">
        <v>291003</v>
      </c>
      <c r="AB115" s="38">
        <v>289910</v>
      </c>
      <c r="AC115" s="38">
        <v>288745</v>
      </c>
      <c r="CM115" s="45" t="s">
        <v>65</v>
      </c>
      <c r="CN115" s="56">
        <v>384194</v>
      </c>
      <c r="CO115" s="56">
        <v>406710</v>
      </c>
      <c r="CP115" s="56">
        <v>429234</v>
      </c>
      <c r="CQ115" s="56">
        <v>451755</v>
      </c>
      <c r="CR115" s="56">
        <v>474262</v>
      </c>
      <c r="CS115" s="56">
        <v>496742</v>
      </c>
      <c r="CT115" s="56">
        <v>516984</v>
      </c>
      <c r="CU115" s="56">
        <v>537182</v>
      </c>
      <c r="CV115" s="56">
        <v>557319</v>
      </c>
      <c r="CW115" s="56">
        <v>577470</v>
      </c>
      <c r="CX115" s="56">
        <v>597335</v>
      </c>
      <c r="CY115" s="56">
        <v>614298</v>
      </c>
      <c r="CZ115" s="56">
        <v>631252</v>
      </c>
      <c r="DA115" s="56">
        <v>648189</v>
      </c>
      <c r="DB115" s="56">
        <v>665131</v>
      </c>
      <c r="DC115" s="56">
        <v>681979</v>
      </c>
      <c r="DD115" s="56">
        <v>708896</v>
      </c>
      <c r="DE115" s="56">
        <v>735797</v>
      </c>
      <c r="DF115" s="56">
        <v>762673</v>
      </c>
      <c r="DG115" s="56">
        <v>789486</v>
      </c>
      <c r="DH115" s="56">
        <v>816313</v>
      </c>
      <c r="DI115" s="56">
        <v>828558</v>
      </c>
      <c r="DJ115" s="56">
        <v>840711</v>
      </c>
      <c r="DK115" s="56">
        <v>852761</v>
      </c>
      <c r="DL115" s="56">
        <v>864680</v>
      </c>
      <c r="DM115" s="56">
        <v>876509</v>
      </c>
      <c r="DN115" s="56">
        <v>884542</v>
      </c>
      <c r="DO115" s="56">
        <v>892411</v>
      </c>
      <c r="DP115" s="56">
        <v>900107</v>
      </c>
      <c r="DQ115" s="56">
        <v>907628</v>
      </c>
      <c r="DR115" s="56">
        <v>914951</v>
      </c>
      <c r="DS115" s="56">
        <v>943487</v>
      </c>
      <c r="DT115" s="56">
        <v>971826</v>
      </c>
      <c r="DU115" s="56">
        <v>999945</v>
      </c>
      <c r="DV115" s="56">
        <v>1027843</v>
      </c>
      <c r="DW115" s="56">
        <v>1055436</v>
      </c>
      <c r="DX115" s="56">
        <v>1076451</v>
      </c>
      <c r="DY115" s="56">
        <v>1097218</v>
      </c>
      <c r="DZ115" s="56">
        <v>1117718</v>
      </c>
      <c r="EA115" s="56">
        <v>1137962</v>
      </c>
      <c r="EB115" s="56">
        <v>1157849</v>
      </c>
      <c r="EC115" s="56">
        <v>1180226</v>
      </c>
      <c r="ED115" s="56">
        <v>1202325</v>
      </c>
      <c r="EE115" s="56">
        <v>1224129</v>
      </c>
      <c r="EF115" s="56">
        <v>1245644</v>
      </c>
      <c r="EG115" s="56">
        <v>1266784</v>
      </c>
      <c r="EH115" s="56">
        <v>1270048</v>
      </c>
      <c r="EI115" s="56">
        <v>1272994</v>
      </c>
      <c r="EJ115" s="56">
        <v>1275620</v>
      </c>
      <c r="EK115" s="56">
        <v>1277923</v>
      </c>
      <c r="EL115" s="56">
        <v>1279900</v>
      </c>
      <c r="EM115" s="56">
        <v>1284279</v>
      </c>
      <c r="EN115" s="56">
        <v>1288317</v>
      </c>
      <c r="EO115" s="56">
        <v>1292010</v>
      </c>
      <c r="EP115" s="56">
        <v>1295475</v>
      </c>
      <c r="EQ115" s="56">
        <v>1298351</v>
      </c>
      <c r="ER115" s="56">
        <v>1307946</v>
      </c>
      <c r="ES115" s="56">
        <v>1317306</v>
      </c>
      <c r="ET115" s="56">
        <v>1326423</v>
      </c>
      <c r="EU115" s="56">
        <v>1335293</v>
      </c>
      <c r="EV115" s="56">
        <v>1343911</v>
      </c>
    </row>
    <row r="116" spans="1:152">
      <c r="A116" s="52">
        <v>6</v>
      </c>
      <c r="B116" s="38">
        <v>277761</v>
      </c>
      <c r="C116" s="38">
        <v>278423</v>
      </c>
      <c r="D116" s="38">
        <v>279080</v>
      </c>
      <c r="E116" s="38">
        <v>279729</v>
      </c>
      <c r="F116" s="38">
        <v>280379</v>
      </c>
      <c r="G116" s="38">
        <v>280991</v>
      </c>
      <c r="H116" s="38">
        <v>282887</v>
      </c>
      <c r="I116" s="38">
        <v>284775</v>
      </c>
      <c r="J116" s="38">
        <v>286652</v>
      </c>
      <c r="K116" s="38">
        <v>288507</v>
      </c>
      <c r="L116" s="38">
        <v>290365</v>
      </c>
      <c r="M116" s="38">
        <v>291730</v>
      </c>
      <c r="N116" s="38">
        <v>293061</v>
      </c>
      <c r="O116" s="38">
        <v>294357</v>
      </c>
      <c r="P116" s="38">
        <v>295607</v>
      </c>
      <c r="Q116" s="38">
        <v>296831</v>
      </c>
      <c r="R116" s="38">
        <v>296924</v>
      </c>
      <c r="S116" s="38">
        <v>296961</v>
      </c>
      <c r="T116" s="38">
        <v>296940</v>
      </c>
      <c r="U116" s="38">
        <v>296861</v>
      </c>
      <c r="V116" s="38">
        <v>296718</v>
      </c>
      <c r="W116" s="38">
        <v>295890</v>
      </c>
      <c r="X116" s="38">
        <v>294992</v>
      </c>
      <c r="Y116" s="38">
        <v>294026</v>
      </c>
      <c r="Z116" s="38">
        <v>292997</v>
      </c>
      <c r="AA116" s="38">
        <v>291886</v>
      </c>
      <c r="AB116" s="38">
        <v>290832</v>
      </c>
      <c r="AC116" s="38">
        <v>289706</v>
      </c>
      <c r="CM116" s="45" t="s">
        <v>66</v>
      </c>
      <c r="CN116" s="56">
        <v>293056</v>
      </c>
      <c r="CO116" s="56">
        <v>308634</v>
      </c>
      <c r="CP116" s="56">
        <v>324217</v>
      </c>
      <c r="CQ116" s="56">
        <v>339798</v>
      </c>
      <c r="CR116" s="56">
        <v>355369</v>
      </c>
      <c r="CS116" s="56">
        <v>370920</v>
      </c>
      <c r="CT116" s="56">
        <v>393064</v>
      </c>
      <c r="CU116" s="56">
        <v>415177</v>
      </c>
      <c r="CV116" s="56">
        <v>437244</v>
      </c>
      <c r="CW116" s="56">
        <v>459322</v>
      </c>
      <c r="CX116" s="56">
        <v>481179</v>
      </c>
      <c r="CY116" s="56">
        <v>500923</v>
      </c>
      <c r="CZ116" s="56">
        <v>520661</v>
      </c>
      <c r="DA116" s="56">
        <v>540386</v>
      </c>
      <c r="DB116" s="56">
        <v>560114</v>
      </c>
      <c r="DC116" s="56">
        <v>579762</v>
      </c>
      <c r="DD116" s="56">
        <v>596434</v>
      </c>
      <c r="DE116" s="56">
        <v>613092</v>
      </c>
      <c r="DF116" s="56">
        <v>629728</v>
      </c>
      <c r="DG116" s="56">
        <v>646314</v>
      </c>
      <c r="DH116" s="56">
        <v>662904</v>
      </c>
      <c r="DI116" s="56">
        <v>689404</v>
      </c>
      <c r="DJ116" s="56">
        <v>715833</v>
      </c>
      <c r="DK116" s="56">
        <v>742176</v>
      </c>
      <c r="DL116" s="56">
        <v>768404</v>
      </c>
      <c r="DM116" s="56">
        <v>794559</v>
      </c>
      <c r="DN116" s="56">
        <v>806812</v>
      </c>
      <c r="DO116" s="56">
        <v>818918</v>
      </c>
      <c r="DP116" s="56">
        <v>830866</v>
      </c>
      <c r="DQ116" s="56">
        <v>842652</v>
      </c>
      <c r="DR116" s="56">
        <v>854237</v>
      </c>
      <c r="DS116" s="56">
        <v>862338</v>
      </c>
      <c r="DT116" s="56">
        <v>870247</v>
      </c>
      <c r="DU116" s="56">
        <v>877954</v>
      </c>
      <c r="DV116" s="56">
        <v>885471</v>
      </c>
      <c r="DW116" s="56">
        <v>892736</v>
      </c>
      <c r="DX116" s="56">
        <v>920823</v>
      </c>
      <c r="DY116" s="56">
        <v>948705</v>
      </c>
      <c r="DZ116" s="56">
        <v>976359</v>
      </c>
      <c r="EA116" s="56">
        <v>1003788</v>
      </c>
      <c r="EB116" s="56">
        <v>1030897</v>
      </c>
      <c r="EC116" s="56">
        <v>1051644</v>
      </c>
      <c r="ED116" s="56">
        <v>1072145</v>
      </c>
      <c r="EE116" s="56">
        <v>1092383</v>
      </c>
      <c r="EF116" s="56">
        <v>1112363</v>
      </c>
      <c r="EG116" s="56">
        <v>1132006</v>
      </c>
      <c r="EH116" s="56">
        <v>1154102</v>
      </c>
      <c r="EI116" s="56">
        <v>1175925</v>
      </c>
      <c r="EJ116" s="56">
        <v>1197456</v>
      </c>
      <c r="EK116" s="56">
        <v>1218679</v>
      </c>
      <c r="EL116" s="56">
        <v>1239574</v>
      </c>
      <c r="EM116" s="56">
        <v>1242995</v>
      </c>
      <c r="EN116" s="56">
        <v>1246085</v>
      </c>
      <c r="EO116" s="56">
        <v>1248842</v>
      </c>
      <c r="EP116" s="56">
        <v>1251377</v>
      </c>
      <c r="EQ116" s="56">
        <v>1253342</v>
      </c>
      <c r="ER116" s="56">
        <v>1257592</v>
      </c>
      <c r="ES116" s="56">
        <v>1261612</v>
      </c>
      <c r="ET116" s="56">
        <v>1265399</v>
      </c>
      <c r="EU116" s="56">
        <v>1268952</v>
      </c>
      <c r="EV116" s="56">
        <v>1272267</v>
      </c>
    </row>
    <row r="117" spans="1:152">
      <c r="A117" s="52">
        <v>7</v>
      </c>
      <c r="B117" s="38">
        <v>277113</v>
      </c>
      <c r="C117" s="38">
        <v>277728</v>
      </c>
      <c r="D117" s="38">
        <v>278340</v>
      </c>
      <c r="E117" s="38">
        <v>278943</v>
      </c>
      <c r="F117" s="38">
        <v>279548</v>
      </c>
      <c r="G117" s="38">
        <v>280114</v>
      </c>
      <c r="H117" s="38">
        <v>281829</v>
      </c>
      <c r="I117" s="38">
        <v>283537</v>
      </c>
      <c r="J117" s="38">
        <v>285235</v>
      </c>
      <c r="K117" s="38">
        <v>286910</v>
      </c>
      <c r="L117" s="38">
        <v>288588</v>
      </c>
      <c r="M117" s="38">
        <v>290077</v>
      </c>
      <c r="N117" s="38">
        <v>291533</v>
      </c>
      <c r="O117" s="38">
        <v>292953</v>
      </c>
      <c r="P117" s="38">
        <v>294328</v>
      </c>
      <c r="Q117" s="38">
        <v>295677</v>
      </c>
      <c r="R117" s="38">
        <v>296022</v>
      </c>
      <c r="S117" s="38">
        <v>296311</v>
      </c>
      <c r="T117" s="38">
        <v>296542</v>
      </c>
      <c r="U117" s="38">
        <v>296715</v>
      </c>
      <c r="V117" s="38">
        <v>296825</v>
      </c>
      <c r="W117" s="38">
        <v>296160</v>
      </c>
      <c r="X117" s="38">
        <v>295425</v>
      </c>
      <c r="Y117" s="38">
        <v>294623</v>
      </c>
      <c r="Z117" s="38">
        <v>293756</v>
      </c>
      <c r="AA117" s="38">
        <v>292809</v>
      </c>
      <c r="AB117" s="38">
        <v>291797</v>
      </c>
      <c r="AC117" s="38">
        <v>290713</v>
      </c>
      <c r="CM117" s="45" t="s">
        <v>67</v>
      </c>
      <c r="CN117" s="56">
        <v>243802</v>
      </c>
      <c r="CO117" s="56">
        <v>250592</v>
      </c>
      <c r="CP117" s="56">
        <v>257386</v>
      </c>
      <c r="CQ117" s="56">
        <v>264178</v>
      </c>
      <c r="CR117" s="56">
        <v>270962</v>
      </c>
      <c r="CS117" s="56">
        <v>277738</v>
      </c>
      <c r="CT117" s="56">
        <v>292979</v>
      </c>
      <c r="CU117" s="56">
        <v>308195</v>
      </c>
      <c r="CV117" s="56">
        <v>323378</v>
      </c>
      <c r="CW117" s="56">
        <v>338569</v>
      </c>
      <c r="CX117" s="56">
        <v>353594</v>
      </c>
      <c r="CY117" s="56">
        <v>374950</v>
      </c>
      <c r="CZ117" s="56">
        <v>396302</v>
      </c>
      <c r="DA117" s="56">
        <v>417644</v>
      </c>
      <c r="DB117" s="56">
        <v>438989</v>
      </c>
      <c r="DC117" s="56">
        <v>460272</v>
      </c>
      <c r="DD117" s="56">
        <v>479399</v>
      </c>
      <c r="DE117" s="56">
        <v>498514</v>
      </c>
      <c r="DF117" s="56">
        <v>517613</v>
      </c>
      <c r="DG117" s="56">
        <v>536670</v>
      </c>
      <c r="DH117" s="56">
        <v>555736</v>
      </c>
      <c r="DI117" s="56">
        <v>572058</v>
      </c>
      <c r="DJ117" s="56">
        <v>588318</v>
      </c>
      <c r="DK117" s="56">
        <v>604508</v>
      </c>
      <c r="DL117" s="56">
        <v>620605</v>
      </c>
      <c r="DM117" s="56">
        <v>636640</v>
      </c>
      <c r="DN117" s="56">
        <v>662462</v>
      </c>
      <c r="DO117" s="56">
        <v>688174</v>
      </c>
      <c r="DP117" s="56">
        <v>713756</v>
      </c>
      <c r="DQ117" s="56">
        <v>739195</v>
      </c>
      <c r="DR117" s="56">
        <v>764453</v>
      </c>
      <c r="DS117" s="56">
        <v>776564</v>
      </c>
      <c r="DT117" s="56">
        <v>788505</v>
      </c>
      <c r="DU117" s="56">
        <v>800266</v>
      </c>
      <c r="DV117" s="56">
        <v>811851</v>
      </c>
      <c r="DW117" s="56">
        <v>823203</v>
      </c>
      <c r="DX117" s="56">
        <v>831288</v>
      </c>
      <c r="DY117" s="56">
        <v>839175</v>
      </c>
      <c r="DZ117" s="56">
        <v>846856</v>
      </c>
      <c r="EA117" s="56">
        <v>854345</v>
      </c>
      <c r="EB117" s="56">
        <v>861571</v>
      </c>
      <c r="EC117" s="56">
        <v>888951</v>
      </c>
      <c r="ED117" s="56">
        <v>916130</v>
      </c>
      <c r="EE117" s="56">
        <v>943087</v>
      </c>
      <c r="EF117" s="56">
        <v>969819</v>
      </c>
      <c r="EG117" s="56">
        <v>996249</v>
      </c>
      <c r="EH117" s="56">
        <v>1016567</v>
      </c>
      <c r="EI117" s="56">
        <v>1036644</v>
      </c>
      <c r="EJ117" s="56">
        <v>1056465</v>
      </c>
      <c r="EK117" s="56">
        <v>1076014</v>
      </c>
      <c r="EL117" s="56">
        <v>1095272</v>
      </c>
      <c r="EM117" s="56">
        <v>1116939</v>
      </c>
      <c r="EN117" s="56">
        <v>1138324</v>
      </c>
      <c r="EO117" s="56">
        <v>1159410</v>
      </c>
      <c r="EP117" s="56">
        <v>1180287</v>
      </c>
      <c r="EQ117" s="56">
        <v>1200614</v>
      </c>
      <c r="ER117" s="56">
        <v>1203952</v>
      </c>
      <c r="ES117" s="56">
        <v>1207069</v>
      </c>
      <c r="ET117" s="56">
        <v>1209964</v>
      </c>
      <c r="EU117" s="56">
        <v>1212635</v>
      </c>
      <c r="EV117" s="56">
        <v>1215077</v>
      </c>
    </row>
    <row r="118" spans="1:152">
      <c r="A118" s="52">
        <v>8</v>
      </c>
      <c r="B118" s="38">
        <v>277314</v>
      </c>
      <c r="C118" s="38">
        <v>277728</v>
      </c>
      <c r="D118" s="38">
        <v>278138</v>
      </c>
      <c r="E118" s="38">
        <v>278539</v>
      </c>
      <c r="F118" s="38">
        <v>278943</v>
      </c>
      <c r="G118" s="38">
        <v>279307</v>
      </c>
      <c r="H118" s="38">
        <v>280800</v>
      </c>
      <c r="I118" s="38">
        <v>282287</v>
      </c>
      <c r="J118" s="38">
        <v>283763</v>
      </c>
      <c r="K118" s="38">
        <v>285217</v>
      </c>
      <c r="L118" s="38">
        <v>286673</v>
      </c>
      <c r="M118" s="38">
        <v>288291</v>
      </c>
      <c r="N118" s="38">
        <v>289875</v>
      </c>
      <c r="O118" s="38">
        <v>291424</v>
      </c>
      <c r="P118" s="38">
        <v>292929</v>
      </c>
      <c r="Q118" s="38">
        <v>294405</v>
      </c>
      <c r="R118" s="38">
        <v>295016</v>
      </c>
      <c r="S118" s="38">
        <v>295571</v>
      </c>
      <c r="T118" s="38">
        <v>296068</v>
      </c>
      <c r="U118" s="38">
        <v>296507</v>
      </c>
      <c r="V118" s="38">
        <v>296882</v>
      </c>
      <c r="W118" s="38">
        <v>296397</v>
      </c>
      <c r="X118" s="38">
        <v>295841</v>
      </c>
      <c r="Y118" s="38">
        <v>295217</v>
      </c>
      <c r="Z118" s="38">
        <v>294530</v>
      </c>
      <c r="AA118" s="38">
        <v>293761</v>
      </c>
      <c r="AB118" s="38">
        <v>292789</v>
      </c>
      <c r="AC118" s="38">
        <v>291746</v>
      </c>
      <c r="CM118" s="45" t="s">
        <v>68</v>
      </c>
      <c r="CN118" s="56">
        <v>200011</v>
      </c>
      <c r="CO118" s="56">
        <v>204996</v>
      </c>
      <c r="CP118" s="56">
        <v>209985</v>
      </c>
      <c r="CQ118" s="56">
        <v>214972</v>
      </c>
      <c r="CR118" s="56">
        <v>219952</v>
      </c>
      <c r="CS118" s="56">
        <v>224931</v>
      </c>
      <c r="CT118" s="56">
        <v>231724</v>
      </c>
      <c r="CU118" s="56">
        <v>238497</v>
      </c>
      <c r="CV118" s="56">
        <v>245242</v>
      </c>
      <c r="CW118" s="56">
        <v>251994</v>
      </c>
      <c r="CX118" s="56">
        <v>258635</v>
      </c>
      <c r="CY118" s="56">
        <v>273133</v>
      </c>
      <c r="CZ118" s="56">
        <v>287629</v>
      </c>
      <c r="DA118" s="56">
        <v>302117</v>
      </c>
      <c r="DB118" s="56">
        <v>316607</v>
      </c>
      <c r="DC118" s="56">
        <v>331052</v>
      </c>
      <c r="DD118" s="56">
        <v>351303</v>
      </c>
      <c r="DE118" s="56">
        <v>371547</v>
      </c>
      <c r="DF118" s="56">
        <v>391779</v>
      </c>
      <c r="DG118" s="56">
        <v>411979</v>
      </c>
      <c r="DH118" s="56">
        <v>432186</v>
      </c>
      <c r="DI118" s="56">
        <v>450502</v>
      </c>
      <c r="DJ118" s="56">
        <v>468771</v>
      </c>
      <c r="DK118" s="56">
        <v>486985</v>
      </c>
      <c r="DL118" s="56">
        <v>505123</v>
      </c>
      <c r="DM118" s="56">
        <v>523203</v>
      </c>
      <c r="DN118" s="56">
        <v>538947</v>
      </c>
      <c r="DO118" s="56">
        <v>554598</v>
      </c>
      <c r="DP118" s="56">
        <v>570143</v>
      </c>
      <c r="DQ118" s="56">
        <v>585576</v>
      </c>
      <c r="DR118" s="56">
        <v>600867</v>
      </c>
      <c r="DS118" s="56">
        <v>625607</v>
      </c>
      <c r="DT118" s="56">
        <v>650220</v>
      </c>
      <c r="DU118" s="56">
        <v>674688</v>
      </c>
      <c r="DV118" s="56">
        <v>699006</v>
      </c>
      <c r="DW118" s="56">
        <v>723111</v>
      </c>
      <c r="DX118" s="56">
        <v>734908</v>
      </c>
      <c r="DY118" s="56">
        <v>746534</v>
      </c>
      <c r="DZ118" s="56">
        <v>757978</v>
      </c>
      <c r="EA118" s="56">
        <v>769249</v>
      </c>
      <c r="EB118" s="56">
        <v>780281</v>
      </c>
      <c r="EC118" s="56">
        <v>788252</v>
      </c>
      <c r="ED118" s="56">
        <v>796032</v>
      </c>
      <c r="EE118" s="56">
        <v>803616</v>
      </c>
      <c r="EF118" s="56">
        <v>811010</v>
      </c>
      <c r="EG118" s="56">
        <v>818165</v>
      </c>
      <c r="EH118" s="56">
        <v>844484</v>
      </c>
      <c r="EI118" s="56">
        <v>870610</v>
      </c>
      <c r="EJ118" s="56">
        <v>896523</v>
      </c>
      <c r="EK118" s="56">
        <v>922204</v>
      </c>
      <c r="EL118" s="56">
        <v>947632</v>
      </c>
      <c r="EM118" s="56">
        <v>967289</v>
      </c>
      <c r="EN118" s="56">
        <v>986702</v>
      </c>
      <c r="EO118" s="56">
        <v>1005856</v>
      </c>
      <c r="EP118" s="56">
        <v>1024829</v>
      </c>
      <c r="EQ118" s="56">
        <v>1043323</v>
      </c>
      <c r="ER118" s="56">
        <v>1064083</v>
      </c>
      <c r="ES118" s="56">
        <v>1084659</v>
      </c>
      <c r="ET118" s="56">
        <v>1105037</v>
      </c>
      <c r="EU118" s="56">
        <v>1125207</v>
      </c>
      <c r="EV118" s="56">
        <v>1145157</v>
      </c>
    </row>
    <row r="119" spans="1:152">
      <c r="A119" s="52">
        <v>9</v>
      </c>
      <c r="B119" s="38">
        <v>278210</v>
      </c>
      <c r="C119" s="38">
        <v>278283</v>
      </c>
      <c r="D119" s="38">
        <v>278351</v>
      </c>
      <c r="E119" s="38">
        <v>278411</v>
      </c>
      <c r="F119" s="38">
        <v>278473</v>
      </c>
      <c r="G119" s="38">
        <v>278494</v>
      </c>
      <c r="H119" s="38">
        <v>279745</v>
      </c>
      <c r="I119" s="38">
        <v>280988</v>
      </c>
      <c r="J119" s="38">
        <v>282221</v>
      </c>
      <c r="K119" s="38">
        <v>283431</v>
      </c>
      <c r="L119" s="38">
        <v>284645</v>
      </c>
      <c r="M119" s="38">
        <v>286395</v>
      </c>
      <c r="N119" s="38">
        <v>288112</v>
      </c>
      <c r="O119" s="38">
        <v>289793</v>
      </c>
      <c r="P119" s="38">
        <v>291431</v>
      </c>
      <c r="Q119" s="38">
        <v>293039</v>
      </c>
      <c r="R119" s="38">
        <v>293921</v>
      </c>
      <c r="S119" s="38">
        <v>294747</v>
      </c>
      <c r="T119" s="38">
        <v>295516</v>
      </c>
      <c r="U119" s="38">
        <v>296227</v>
      </c>
      <c r="V119" s="38">
        <v>296876</v>
      </c>
      <c r="W119" s="38">
        <v>296579</v>
      </c>
      <c r="X119" s="38">
        <v>296215</v>
      </c>
      <c r="Y119" s="38">
        <v>295780</v>
      </c>
      <c r="Z119" s="38">
        <v>295282</v>
      </c>
      <c r="AA119" s="38">
        <v>294703</v>
      </c>
      <c r="AB119" s="38">
        <v>293775</v>
      </c>
      <c r="AC119" s="38">
        <v>292772</v>
      </c>
      <c r="CM119" s="45" t="s">
        <v>69</v>
      </c>
      <c r="CN119" s="56">
        <v>139001</v>
      </c>
      <c r="CO119" s="56">
        <v>146638</v>
      </c>
      <c r="CP119" s="56">
        <v>154278</v>
      </c>
      <c r="CQ119" s="56">
        <v>161917</v>
      </c>
      <c r="CR119" s="56">
        <v>169551</v>
      </c>
      <c r="CS119" s="56">
        <v>177176</v>
      </c>
      <c r="CT119" s="56">
        <v>182206</v>
      </c>
      <c r="CU119" s="56">
        <v>187219</v>
      </c>
      <c r="CV119" s="56">
        <v>192211</v>
      </c>
      <c r="CW119" s="56">
        <v>197207</v>
      </c>
      <c r="CX119" s="56">
        <v>202103</v>
      </c>
      <c r="CY119" s="56">
        <v>208552</v>
      </c>
      <c r="CZ119" s="56">
        <v>214998</v>
      </c>
      <c r="DA119" s="56">
        <v>221438</v>
      </c>
      <c r="DB119" s="56">
        <v>227880</v>
      </c>
      <c r="DC119" s="56">
        <v>234292</v>
      </c>
      <c r="DD119" s="56">
        <v>247676</v>
      </c>
      <c r="DE119" s="56">
        <v>261054</v>
      </c>
      <c r="DF119" s="56">
        <v>274424</v>
      </c>
      <c r="DG119" s="56">
        <v>287772</v>
      </c>
      <c r="DH119" s="56">
        <v>301129</v>
      </c>
      <c r="DI119" s="56">
        <v>319897</v>
      </c>
      <c r="DJ119" s="56">
        <v>338635</v>
      </c>
      <c r="DK119" s="56">
        <v>357333</v>
      </c>
      <c r="DL119" s="56">
        <v>375975</v>
      </c>
      <c r="DM119" s="56">
        <v>394586</v>
      </c>
      <c r="DN119" s="56">
        <v>411702</v>
      </c>
      <c r="DO119" s="56">
        <v>428749</v>
      </c>
      <c r="DP119" s="56">
        <v>445716</v>
      </c>
      <c r="DQ119" s="56">
        <v>462593</v>
      </c>
      <c r="DR119" s="56">
        <v>479364</v>
      </c>
      <c r="DS119" s="56">
        <v>494173</v>
      </c>
      <c r="DT119" s="56">
        <v>508878</v>
      </c>
      <c r="DU119" s="56">
        <v>523469</v>
      </c>
      <c r="DV119" s="56">
        <v>537944</v>
      </c>
      <c r="DW119" s="56">
        <v>552257</v>
      </c>
      <c r="DX119" s="56">
        <v>575396</v>
      </c>
      <c r="DY119" s="56">
        <v>598410</v>
      </c>
      <c r="DZ119" s="56">
        <v>621282</v>
      </c>
      <c r="EA119" s="56">
        <v>644009</v>
      </c>
      <c r="EB119" s="56">
        <v>666528</v>
      </c>
      <c r="EC119" s="56">
        <v>677782</v>
      </c>
      <c r="ED119" s="56">
        <v>688875</v>
      </c>
      <c r="EE119" s="56">
        <v>699799</v>
      </c>
      <c r="EF119" s="56">
        <v>710557</v>
      </c>
      <c r="EG119" s="56">
        <v>721105</v>
      </c>
      <c r="EH119" s="56">
        <v>728828</v>
      </c>
      <c r="EI119" s="56">
        <v>736373</v>
      </c>
      <c r="EJ119" s="56">
        <v>743734</v>
      </c>
      <c r="EK119" s="56">
        <v>750905</v>
      </c>
      <c r="EL119" s="56">
        <v>757882</v>
      </c>
      <c r="EM119" s="56">
        <v>782644</v>
      </c>
      <c r="EN119" s="56">
        <v>807216</v>
      </c>
      <c r="EO119" s="56">
        <v>831578</v>
      </c>
      <c r="EP119" s="56">
        <v>855788</v>
      </c>
      <c r="EQ119" s="56">
        <v>879592</v>
      </c>
      <c r="ER119" s="56">
        <v>898041</v>
      </c>
      <c r="ES119" s="56">
        <v>916334</v>
      </c>
      <c r="ET119" s="56">
        <v>934461</v>
      </c>
      <c r="EU119" s="56">
        <v>952412</v>
      </c>
      <c r="EV119" s="56">
        <v>970176</v>
      </c>
    </row>
    <row r="120" spans="1:152">
      <c r="A120" s="51" t="s">
        <v>85</v>
      </c>
      <c r="B120" s="46">
        <v>0</v>
      </c>
      <c r="C120" s="46">
        <v>0</v>
      </c>
      <c r="D120" s="46">
        <v>0</v>
      </c>
      <c r="E120" s="46">
        <v>0</v>
      </c>
      <c r="F120" s="46">
        <v>0</v>
      </c>
      <c r="G120" s="46">
        <v>0</v>
      </c>
      <c r="H120" s="46">
        <v>0</v>
      </c>
      <c r="I120" s="46">
        <v>0</v>
      </c>
      <c r="J120" s="46">
        <v>0</v>
      </c>
      <c r="K120" s="46">
        <v>0</v>
      </c>
      <c r="L120" s="46">
        <v>0</v>
      </c>
      <c r="M120" s="46">
        <v>0</v>
      </c>
      <c r="N120" s="46">
        <v>0</v>
      </c>
      <c r="O120" s="46">
        <v>0</v>
      </c>
      <c r="P120" s="46">
        <v>0</v>
      </c>
      <c r="Q120" s="46">
        <v>0</v>
      </c>
      <c r="R120" s="46">
        <v>0</v>
      </c>
      <c r="S120" s="46">
        <v>0</v>
      </c>
      <c r="T120" s="46">
        <v>0</v>
      </c>
      <c r="U120" s="46">
        <v>0</v>
      </c>
      <c r="V120" s="46">
        <v>0</v>
      </c>
      <c r="W120" s="46">
        <v>0</v>
      </c>
      <c r="X120" s="46">
        <v>0</v>
      </c>
      <c r="Y120" s="46">
        <v>0</v>
      </c>
      <c r="Z120" s="46">
        <v>0</v>
      </c>
      <c r="AA120" s="46">
        <v>0</v>
      </c>
      <c r="AB120" s="46">
        <v>0</v>
      </c>
      <c r="AC120" s="46">
        <v>0</v>
      </c>
      <c r="CM120" s="45" t="s">
        <v>70</v>
      </c>
      <c r="CN120" s="56">
        <v>93330</v>
      </c>
      <c r="CO120" s="56">
        <v>97882</v>
      </c>
      <c r="CP120" s="56">
        <v>102435</v>
      </c>
      <c r="CQ120" s="56">
        <v>106987</v>
      </c>
      <c r="CR120" s="56">
        <v>111537</v>
      </c>
      <c r="CS120" s="56">
        <v>116077</v>
      </c>
      <c r="CT120" s="56">
        <v>123089</v>
      </c>
      <c r="CU120" s="56">
        <v>130091</v>
      </c>
      <c r="CV120" s="56">
        <v>137079</v>
      </c>
      <c r="CW120" s="56">
        <v>144070</v>
      </c>
      <c r="CX120" s="56">
        <v>150991</v>
      </c>
      <c r="CY120" s="56">
        <v>155651</v>
      </c>
      <c r="CZ120" s="56">
        <v>160308</v>
      </c>
      <c r="DA120" s="56">
        <v>164962</v>
      </c>
      <c r="DB120" s="56">
        <v>169616</v>
      </c>
      <c r="DC120" s="56">
        <v>174245</v>
      </c>
      <c r="DD120" s="56">
        <v>180043</v>
      </c>
      <c r="DE120" s="56">
        <v>185837</v>
      </c>
      <c r="DF120" s="56">
        <v>191624</v>
      </c>
      <c r="DG120" s="56">
        <v>197396</v>
      </c>
      <c r="DH120" s="56">
        <v>203164</v>
      </c>
      <c r="DI120" s="56">
        <v>215081</v>
      </c>
      <c r="DJ120" s="56">
        <v>226978</v>
      </c>
      <c r="DK120" s="56">
        <v>238848</v>
      </c>
      <c r="DL120" s="56">
        <v>250680</v>
      </c>
      <c r="DM120" s="56">
        <v>262479</v>
      </c>
      <c r="DN120" s="56">
        <v>279218</v>
      </c>
      <c r="DO120" s="56">
        <v>295913</v>
      </c>
      <c r="DP120" s="56">
        <v>312555</v>
      </c>
      <c r="DQ120" s="56">
        <v>329132</v>
      </c>
      <c r="DR120" s="56">
        <v>345630</v>
      </c>
      <c r="DS120" s="56">
        <v>361020</v>
      </c>
      <c r="DT120" s="56">
        <v>376338</v>
      </c>
      <c r="DU120" s="56">
        <v>391571</v>
      </c>
      <c r="DV120" s="56">
        <v>406717</v>
      </c>
      <c r="DW120" s="56">
        <v>421740</v>
      </c>
      <c r="DX120" s="56">
        <v>435171</v>
      </c>
      <c r="DY120" s="56">
        <v>448505</v>
      </c>
      <c r="DZ120" s="56">
        <v>461732</v>
      </c>
      <c r="EA120" s="56">
        <v>474852</v>
      </c>
      <c r="EB120" s="56">
        <v>487819</v>
      </c>
      <c r="EC120" s="56">
        <v>508689</v>
      </c>
      <c r="ED120" s="56">
        <v>529448</v>
      </c>
      <c r="EE120" s="56">
        <v>550080</v>
      </c>
      <c r="EF120" s="56">
        <v>570579</v>
      </c>
      <c r="EG120" s="56">
        <v>590897</v>
      </c>
      <c r="EH120" s="56">
        <v>601292</v>
      </c>
      <c r="EI120" s="56">
        <v>611544</v>
      </c>
      <c r="EJ120" s="56">
        <v>621644</v>
      </c>
      <c r="EK120" s="56">
        <v>631585</v>
      </c>
      <c r="EL120" s="56">
        <v>641358</v>
      </c>
      <c r="EM120" s="56">
        <v>648627</v>
      </c>
      <c r="EN120" s="56">
        <v>655728</v>
      </c>
      <c r="EO120" s="56">
        <v>662655</v>
      </c>
      <c r="EP120" s="56">
        <v>669463</v>
      </c>
      <c r="EQ120" s="56">
        <v>675963</v>
      </c>
      <c r="ER120" s="56">
        <v>698328</v>
      </c>
      <c r="ES120" s="56">
        <v>720577</v>
      </c>
      <c r="ET120" s="56">
        <v>742696</v>
      </c>
      <c r="EU120" s="56">
        <v>764674</v>
      </c>
      <c r="EV120" s="56">
        <v>786496</v>
      </c>
    </row>
    <row r="121" spans="1:152">
      <c r="A121" s="52">
        <v>10</v>
      </c>
      <c r="B121" s="38">
        <v>279271</v>
      </c>
      <c r="C121" s="38">
        <v>278977</v>
      </c>
      <c r="D121" s="38">
        <v>278680</v>
      </c>
      <c r="E121" s="38">
        <v>278372</v>
      </c>
      <c r="F121" s="38">
        <v>278068</v>
      </c>
      <c r="G121" s="38">
        <v>277721</v>
      </c>
      <c r="H121" s="38">
        <v>278719</v>
      </c>
      <c r="I121" s="38">
        <v>279710</v>
      </c>
      <c r="J121" s="38">
        <v>280690</v>
      </c>
      <c r="K121" s="38">
        <v>281648</v>
      </c>
      <c r="L121" s="38">
        <v>282611</v>
      </c>
      <c r="M121" s="38">
        <v>284472</v>
      </c>
      <c r="N121" s="38">
        <v>286302</v>
      </c>
      <c r="O121" s="38">
        <v>288097</v>
      </c>
      <c r="P121" s="38">
        <v>289847</v>
      </c>
      <c r="Q121" s="38">
        <v>291569</v>
      </c>
      <c r="R121" s="38">
        <v>292716</v>
      </c>
      <c r="S121" s="38">
        <v>293806</v>
      </c>
      <c r="T121" s="38">
        <v>294841</v>
      </c>
      <c r="U121" s="38">
        <v>295817</v>
      </c>
      <c r="V121" s="38">
        <v>296731</v>
      </c>
      <c r="W121" s="38">
        <v>296636</v>
      </c>
      <c r="X121" s="38">
        <v>296474</v>
      </c>
      <c r="Y121" s="38">
        <v>296242</v>
      </c>
      <c r="Z121" s="38">
        <v>295946</v>
      </c>
      <c r="AA121" s="38">
        <v>295569</v>
      </c>
      <c r="AB121" s="38">
        <v>294691</v>
      </c>
      <c r="AC121" s="38">
        <v>293739</v>
      </c>
      <c r="CM121" s="45" t="s">
        <v>71</v>
      </c>
      <c r="CN121" s="56">
        <v>58082</v>
      </c>
      <c r="CO121" s="56">
        <v>60845</v>
      </c>
      <c r="CP121" s="56">
        <v>63609</v>
      </c>
      <c r="CQ121" s="56">
        <v>66372</v>
      </c>
      <c r="CR121" s="56">
        <v>69134</v>
      </c>
      <c r="CS121" s="56">
        <v>71889</v>
      </c>
      <c r="CT121" s="56">
        <v>76013</v>
      </c>
      <c r="CU121" s="56">
        <v>80130</v>
      </c>
      <c r="CV121" s="56">
        <v>84239</v>
      </c>
      <c r="CW121" s="56">
        <v>88350</v>
      </c>
      <c r="CX121" s="56">
        <v>92422</v>
      </c>
      <c r="CY121" s="56">
        <v>98436</v>
      </c>
      <c r="CZ121" s="56">
        <v>104448</v>
      </c>
      <c r="DA121" s="56">
        <v>110458</v>
      </c>
      <c r="DB121" s="56">
        <v>116469</v>
      </c>
      <c r="DC121" s="56">
        <v>122475</v>
      </c>
      <c r="DD121" s="56">
        <v>126443</v>
      </c>
      <c r="DE121" s="56">
        <v>130408</v>
      </c>
      <c r="DF121" s="56">
        <v>134369</v>
      </c>
      <c r="DG121" s="56">
        <v>138319</v>
      </c>
      <c r="DH121" s="56">
        <v>142266</v>
      </c>
      <c r="DI121" s="56">
        <v>147221</v>
      </c>
      <c r="DJ121" s="56">
        <v>152162</v>
      </c>
      <c r="DK121" s="56">
        <v>157083</v>
      </c>
      <c r="DL121" s="56">
        <v>161981</v>
      </c>
      <c r="DM121" s="56">
        <v>166861</v>
      </c>
      <c r="DN121" s="56">
        <v>176913</v>
      </c>
      <c r="DO121" s="56">
        <v>186937</v>
      </c>
      <c r="DP121" s="56">
        <v>196927</v>
      </c>
      <c r="DQ121" s="56">
        <v>206877</v>
      </c>
      <c r="DR121" s="56">
        <v>216776</v>
      </c>
      <c r="DS121" s="56">
        <v>230902</v>
      </c>
      <c r="DT121" s="56">
        <v>244986</v>
      </c>
      <c r="DU121" s="56">
        <v>259015</v>
      </c>
      <c r="DV121" s="56">
        <v>272986</v>
      </c>
      <c r="DW121" s="56">
        <v>286873</v>
      </c>
      <c r="DX121" s="56">
        <v>299973</v>
      </c>
      <c r="DY121" s="56">
        <v>313010</v>
      </c>
      <c r="DZ121" s="56">
        <v>325972</v>
      </c>
      <c r="EA121" s="56">
        <v>338858</v>
      </c>
      <c r="EB121" s="56">
        <v>351634</v>
      </c>
      <c r="EC121" s="56">
        <v>363170</v>
      </c>
      <c r="ED121" s="56">
        <v>374625</v>
      </c>
      <c r="EE121" s="56">
        <v>385989</v>
      </c>
      <c r="EF121" s="56">
        <v>397260</v>
      </c>
      <c r="EG121" s="56">
        <v>408407</v>
      </c>
      <c r="EH121" s="56">
        <v>426244</v>
      </c>
      <c r="EI121" s="56">
        <v>443987</v>
      </c>
      <c r="EJ121" s="56">
        <v>461623</v>
      </c>
      <c r="EK121" s="56">
        <v>479137</v>
      </c>
      <c r="EL121" s="56">
        <v>496519</v>
      </c>
      <c r="EM121" s="56">
        <v>505614</v>
      </c>
      <c r="EN121" s="56">
        <v>514581</v>
      </c>
      <c r="EO121" s="56">
        <v>523412</v>
      </c>
      <c r="EP121" s="56">
        <v>532150</v>
      </c>
      <c r="EQ121" s="56">
        <v>540639</v>
      </c>
      <c r="ER121" s="56">
        <v>546998</v>
      </c>
      <c r="ES121" s="56">
        <v>553260</v>
      </c>
      <c r="ET121" s="56">
        <v>559420</v>
      </c>
      <c r="EU121" s="56">
        <v>565476</v>
      </c>
      <c r="EV121" s="56">
        <v>571425</v>
      </c>
    </row>
    <row r="122" spans="1:152">
      <c r="A122" s="52">
        <v>11</v>
      </c>
      <c r="B122" s="38">
        <v>279639</v>
      </c>
      <c r="C122" s="38">
        <v>279155</v>
      </c>
      <c r="D122" s="38">
        <v>278667</v>
      </c>
      <c r="E122" s="38">
        <v>278171</v>
      </c>
      <c r="F122" s="38">
        <v>277677</v>
      </c>
      <c r="G122" s="38">
        <v>277141</v>
      </c>
      <c r="H122" s="38">
        <v>277881</v>
      </c>
      <c r="I122" s="38">
        <v>278613</v>
      </c>
      <c r="J122" s="38">
        <v>279336</v>
      </c>
      <c r="K122" s="38">
        <v>280036</v>
      </c>
      <c r="L122" s="38">
        <v>280740</v>
      </c>
      <c r="M122" s="38">
        <v>282654</v>
      </c>
      <c r="N122" s="38">
        <v>284535</v>
      </c>
      <c r="O122" s="38">
        <v>286382</v>
      </c>
      <c r="P122" s="38">
        <v>288185</v>
      </c>
      <c r="Q122" s="38">
        <v>289957</v>
      </c>
      <c r="R122" s="38">
        <v>291344</v>
      </c>
      <c r="S122" s="38">
        <v>292677</v>
      </c>
      <c r="T122" s="38">
        <v>293953</v>
      </c>
      <c r="U122" s="38">
        <v>295172</v>
      </c>
      <c r="V122" s="38">
        <v>296329</v>
      </c>
      <c r="W122" s="38">
        <v>296453</v>
      </c>
      <c r="X122" s="38">
        <v>296508</v>
      </c>
      <c r="Y122" s="38">
        <v>296496</v>
      </c>
      <c r="Z122" s="38">
        <v>296418</v>
      </c>
      <c r="AA122" s="38">
        <v>296259</v>
      </c>
      <c r="AB122" s="38">
        <v>295458</v>
      </c>
      <c r="AC122" s="38">
        <v>294582</v>
      </c>
      <c r="CM122" s="45" t="s">
        <v>99</v>
      </c>
      <c r="CN122" s="56">
        <v>38004</v>
      </c>
      <c r="CO122" s="56">
        <v>40012</v>
      </c>
      <c r="CP122" s="56">
        <v>42020</v>
      </c>
      <c r="CQ122" s="56">
        <v>44028</v>
      </c>
      <c r="CR122" s="56">
        <v>46035</v>
      </c>
      <c r="CS122" s="56">
        <v>48040</v>
      </c>
      <c r="CT122" s="56">
        <v>50864</v>
      </c>
      <c r="CU122" s="56">
        <v>53684</v>
      </c>
      <c r="CV122" s="56">
        <v>56498</v>
      </c>
      <c r="CW122" s="56">
        <v>59313</v>
      </c>
      <c r="CX122" s="56">
        <v>62085</v>
      </c>
      <c r="CY122" s="56">
        <v>66057</v>
      </c>
      <c r="CZ122" s="56">
        <v>70028</v>
      </c>
      <c r="DA122" s="56">
        <v>73997</v>
      </c>
      <c r="DB122" s="56">
        <v>77967</v>
      </c>
      <c r="DC122" s="56">
        <v>81927</v>
      </c>
      <c r="DD122" s="56">
        <v>87671</v>
      </c>
      <c r="DE122" s="56">
        <v>93414</v>
      </c>
      <c r="DF122" s="56">
        <v>99153</v>
      </c>
      <c r="DG122" s="56">
        <v>104885</v>
      </c>
      <c r="DH122" s="56">
        <v>110608</v>
      </c>
      <c r="DI122" s="56">
        <v>116383</v>
      </c>
      <c r="DJ122" s="56">
        <v>122146</v>
      </c>
      <c r="DK122" s="56">
        <v>127895</v>
      </c>
      <c r="DL122" s="56">
        <v>133624</v>
      </c>
      <c r="DM122" s="56">
        <v>139336</v>
      </c>
      <c r="DN122" s="56">
        <v>145816</v>
      </c>
      <c r="DO122" s="56">
        <v>152272</v>
      </c>
      <c r="DP122" s="56">
        <v>158699</v>
      </c>
      <c r="DQ122" s="56">
        <v>165095</v>
      </c>
      <c r="DR122" s="56">
        <v>171449</v>
      </c>
      <c r="DS122" s="56">
        <v>181332</v>
      </c>
      <c r="DT122" s="56">
        <v>191181</v>
      </c>
      <c r="DU122" s="56">
        <v>200987</v>
      </c>
      <c r="DV122" s="56">
        <v>210748</v>
      </c>
      <c r="DW122" s="56">
        <v>220446</v>
      </c>
      <c r="DX122" s="56">
        <v>234814</v>
      </c>
      <c r="DY122" s="56">
        <v>249135</v>
      </c>
      <c r="DZ122" s="56">
        <v>263398</v>
      </c>
      <c r="EA122" s="56">
        <v>277599</v>
      </c>
      <c r="EB122" s="56">
        <v>291708</v>
      </c>
      <c r="EC122" s="56">
        <v>308327</v>
      </c>
      <c r="ED122" s="56">
        <v>324882</v>
      </c>
      <c r="EE122" s="56">
        <v>341359</v>
      </c>
      <c r="EF122" s="56">
        <v>357754</v>
      </c>
      <c r="EG122" s="56">
        <v>374033</v>
      </c>
      <c r="EH122" s="56">
        <v>391304</v>
      </c>
      <c r="EI122" s="56">
        <v>408490</v>
      </c>
      <c r="EJ122" s="56">
        <v>425578</v>
      </c>
      <c r="EK122" s="56">
        <v>442553</v>
      </c>
      <c r="EL122" s="56">
        <v>459402</v>
      </c>
      <c r="EM122" s="56">
        <v>480997</v>
      </c>
      <c r="EN122" s="56">
        <v>502481</v>
      </c>
      <c r="EO122" s="56">
        <v>523835</v>
      </c>
      <c r="EP122" s="56">
        <v>545093</v>
      </c>
      <c r="EQ122" s="56">
        <v>566087</v>
      </c>
      <c r="ER122" s="56">
        <v>585180</v>
      </c>
      <c r="ES122" s="56">
        <v>604176</v>
      </c>
      <c r="ET122" s="56">
        <v>623064</v>
      </c>
      <c r="EU122" s="56">
        <v>641833</v>
      </c>
      <c r="EV122" s="56">
        <v>660472</v>
      </c>
    </row>
    <row r="123" spans="1:152">
      <c r="A123" s="52">
        <v>12</v>
      </c>
      <c r="B123" s="38">
        <v>278317</v>
      </c>
      <c r="C123" s="38">
        <v>278060</v>
      </c>
      <c r="D123" s="38">
        <v>277797</v>
      </c>
      <c r="E123" s="38">
        <v>277527</v>
      </c>
      <c r="F123" s="38">
        <v>277258</v>
      </c>
      <c r="G123" s="38">
        <v>276948</v>
      </c>
      <c r="H123" s="38">
        <v>277426</v>
      </c>
      <c r="I123" s="38">
        <v>277898</v>
      </c>
      <c r="J123" s="38">
        <v>278359</v>
      </c>
      <c r="K123" s="38">
        <v>278798</v>
      </c>
      <c r="L123" s="38">
        <v>279242</v>
      </c>
      <c r="M123" s="38">
        <v>281095</v>
      </c>
      <c r="N123" s="38">
        <v>282915</v>
      </c>
      <c r="O123" s="38">
        <v>284700</v>
      </c>
      <c r="P123" s="38">
        <v>286442</v>
      </c>
      <c r="Q123" s="38">
        <v>288153</v>
      </c>
      <c r="R123" s="38">
        <v>289740</v>
      </c>
      <c r="S123" s="38">
        <v>291274</v>
      </c>
      <c r="T123" s="38">
        <v>292750</v>
      </c>
      <c r="U123" s="38">
        <v>294170</v>
      </c>
      <c r="V123" s="38">
        <v>295528</v>
      </c>
      <c r="W123" s="38">
        <v>295893</v>
      </c>
      <c r="X123" s="38">
        <v>296190</v>
      </c>
      <c r="Y123" s="38">
        <v>296419</v>
      </c>
      <c r="Z123" s="38">
        <v>296584</v>
      </c>
      <c r="AA123" s="38">
        <v>296666</v>
      </c>
      <c r="AB123" s="38">
        <v>295984</v>
      </c>
      <c r="AC123" s="38">
        <v>295227</v>
      </c>
      <c r="CM123" s="45"/>
      <c r="CN123" s="47"/>
      <c r="CO123" s="47"/>
      <c r="CP123" s="47"/>
      <c r="CQ123" s="47"/>
      <c r="CR123" s="47"/>
      <c r="CS123" s="47"/>
      <c r="CT123" s="47"/>
      <c r="CU123" s="47"/>
      <c r="CV123" s="47"/>
      <c r="CW123" s="47"/>
      <c r="CX123" s="47"/>
      <c r="CY123" s="47"/>
      <c r="CZ123" s="47"/>
      <c r="DA123" s="47"/>
      <c r="DB123" s="47"/>
      <c r="DC123" s="47"/>
      <c r="DD123" s="47"/>
      <c r="DE123" s="47"/>
      <c r="DF123" s="47"/>
      <c r="DG123" s="47"/>
      <c r="DH123" s="47"/>
      <c r="DI123" s="47"/>
      <c r="DJ123" s="47"/>
      <c r="DK123" s="47"/>
      <c r="DL123" s="47"/>
      <c r="DM123" s="47"/>
      <c r="DN123" s="47"/>
      <c r="DO123" s="47"/>
      <c r="DP123" s="47"/>
      <c r="DQ123" s="47"/>
      <c r="DR123" s="58"/>
      <c r="DS123" s="58"/>
      <c r="DT123" s="58"/>
      <c r="DU123" s="58"/>
      <c r="DV123" s="58"/>
      <c r="DW123" s="47"/>
      <c r="DX123" s="47"/>
      <c r="DY123" s="47"/>
      <c r="DZ123" s="47"/>
      <c r="EA123" s="47"/>
      <c r="EB123" s="59"/>
      <c r="EC123" s="59"/>
      <c r="ED123" s="59"/>
      <c r="EE123" s="59"/>
      <c r="EF123" s="59"/>
      <c r="EG123" s="47"/>
      <c r="EH123" s="47"/>
      <c r="EI123" s="47"/>
      <c r="EJ123" s="47"/>
      <c r="EK123" s="47"/>
      <c r="EL123" s="47"/>
      <c r="EM123" s="47"/>
      <c r="EN123" s="47"/>
      <c r="EO123" s="47"/>
      <c r="EP123" s="47"/>
      <c r="EQ123" s="60"/>
      <c r="ER123" s="60"/>
      <c r="ES123" s="60"/>
      <c r="ET123" s="60"/>
      <c r="EU123" s="60"/>
      <c r="EV123" s="58"/>
    </row>
    <row r="124" spans="1:152">
      <c r="A124" s="52">
        <v>13</v>
      </c>
      <c r="B124" s="38">
        <v>274706</v>
      </c>
      <c r="C124" s="38">
        <v>275223</v>
      </c>
      <c r="D124" s="38">
        <v>275735</v>
      </c>
      <c r="E124" s="38">
        <v>276240</v>
      </c>
      <c r="F124" s="38">
        <v>276746</v>
      </c>
      <c r="G124" s="38">
        <v>277210</v>
      </c>
      <c r="H124" s="38">
        <v>277435</v>
      </c>
      <c r="I124" s="38">
        <v>277652</v>
      </c>
      <c r="J124" s="38">
        <v>277859</v>
      </c>
      <c r="K124" s="38">
        <v>278044</v>
      </c>
      <c r="L124" s="38">
        <v>278234</v>
      </c>
      <c r="M124" s="38">
        <v>279886</v>
      </c>
      <c r="N124" s="38">
        <v>281505</v>
      </c>
      <c r="O124" s="38">
        <v>283089</v>
      </c>
      <c r="P124" s="38">
        <v>284631</v>
      </c>
      <c r="Q124" s="38">
        <v>286142</v>
      </c>
      <c r="R124" s="38">
        <v>287875</v>
      </c>
      <c r="S124" s="38">
        <v>289553</v>
      </c>
      <c r="T124" s="38">
        <v>291175</v>
      </c>
      <c r="U124" s="38">
        <v>292741</v>
      </c>
      <c r="V124" s="38">
        <v>294245</v>
      </c>
      <c r="W124" s="38">
        <v>294876</v>
      </c>
      <c r="X124" s="38">
        <v>295439</v>
      </c>
      <c r="Y124" s="38">
        <v>295934</v>
      </c>
      <c r="Z124" s="38">
        <v>296365</v>
      </c>
      <c r="AA124" s="38">
        <v>296713</v>
      </c>
      <c r="AB124" s="38">
        <v>296204</v>
      </c>
      <c r="AC124" s="38">
        <v>295621</v>
      </c>
      <c r="CM124" s="45" t="s">
        <v>79</v>
      </c>
      <c r="CN124" s="45">
        <v>1990</v>
      </c>
      <c r="CO124" s="45">
        <v>1991</v>
      </c>
      <c r="CP124" s="45">
        <v>1992</v>
      </c>
      <c r="CQ124" s="45">
        <v>1993</v>
      </c>
      <c r="CR124" s="45">
        <v>1994</v>
      </c>
      <c r="CS124" s="45">
        <v>1995</v>
      </c>
      <c r="CT124" s="45">
        <v>1996</v>
      </c>
      <c r="CU124" s="45">
        <v>1997</v>
      </c>
      <c r="CV124" s="45">
        <v>1998</v>
      </c>
      <c r="CW124" s="45">
        <v>1999</v>
      </c>
      <c r="CX124" s="45">
        <v>2000</v>
      </c>
      <c r="CY124" s="45">
        <v>2001</v>
      </c>
      <c r="CZ124" s="45">
        <v>2002</v>
      </c>
      <c r="DA124" s="45">
        <v>2003</v>
      </c>
      <c r="DB124" s="45">
        <v>2004</v>
      </c>
      <c r="DC124" s="45">
        <v>2005</v>
      </c>
      <c r="DD124" s="45">
        <v>2006</v>
      </c>
      <c r="DE124" s="45">
        <v>2007</v>
      </c>
      <c r="DF124" s="45">
        <v>2008</v>
      </c>
      <c r="DG124" s="45">
        <v>2009</v>
      </c>
      <c r="DH124" s="45">
        <v>2010</v>
      </c>
      <c r="DI124" s="45">
        <v>2011</v>
      </c>
      <c r="DJ124" s="45">
        <v>2012</v>
      </c>
      <c r="DK124" s="45">
        <v>2013</v>
      </c>
      <c r="DL124" s="45">
        <v>2014</v>
      </c>
      <c r="DM124" s="45">
        <v>2015</v>
      </c>
      <c r="DN124" s="45">
        <v>2016</v>
      </c>
      <c r="DO124" s="45">
        <v>2017</v>
      </c>
      <c r="DP124" s="45">
        <v>2018</v>
      </c>
      <c r="DQ124" s="45">
        <v>2019</v>
      </c>
      <c r="DR124" s="45">
        <v>2020</v>
      </c>
      <c r="DS124" s="45">
        <v>2021</v>
      </c>
      <c r="DT124" s="45">
        <v>2022</v>
      </c>
      <c r="DU124" s="45">
        <v>2023</v>
      </c>
      <c r="DV124" s="45">
        <v>2024</v>
      </c>
      <c r="DW124" s="45">
        <v>2025</v>
      </c>
      <c r="DX124" s="45">
        <v>2026</v>
      </c>
      <c r="DY124" s="45">
        <v>2027</v>
      </c>
      <c r="DZ124" s="45">
        <v>2028</v>
      </c>
      <c r="EA124" s="45">
        <v>2029</v>
      </c>
      <c r="EB124" s="45">
        <v>2030</v>
      </c>
      <c r="EC124" s="45">
        <v>2031</v>
      </c>
      <c r="ED124" s="45">
        <v>2032</v>
      </c>
      <c r="EE124" s="45">
        <v>2033</v>
      </c>
      <c r="EF124" s="45">
        <v>2034</v>
      </c>
      <c r="EG124" s="45">
        <v>2035</v>
      </c>
      <c r="EH124" s="45">
        <v>2036</v>
      </c>
      <c r="EI124" s="45">
        <v>2037</v>
      </c>
      <c r="EJ124" s="45">
        <v>2038</v>
      </c>
      <c r="EK124" s="45">
        <v>2039</v>
      </c>
      <c r="EL124" s="45">
        <v>2040</v>
      </c>
      <c r="EM124" s="45">
        <v>2041</v>
      </c>
      <c r="EN124" s="45">
        <v>2042</v>
      </c>
      <c r="EO124" s="45">
        <v>2043</v>
      </c>
      <c r="EP124" s="45">
        <v>2044</v>
      </c>
      <c r="EQ124" s="45">
        <v>2045</v>
      </c>
      <c r="ER124" s="45">
        <v>2046</v>
      </c>
      <c r="ES124" s="45">
        <v>2047</v>
      </c>
      <c r="ET124" s="45">
        <v>2048</v>
      </c>
      <c r="EU124" s="45">
        <v>2049</v>
      </c>
      <c r="EV124" s="45">
        <v>2050</v>
      </c>
    </row>
    <row r="125" spans="1:152">
      <c r="A125" s="52">
        <v>14</v>
      </c>
      <c r="B125" s="38">
        <v>269375</v>
      </c>
      <c r="C125" s="38">
        <v>271039</v>
      </c>
      <c r="D125" s="38">
        <v>272699</v>
      </c>
      <c r="E125" s="38">
        <v>274352</v>
      </c>
      <c r="F125" s="38">
        <v>276006</v>
      </c>
      <c r="G125" s="38">
        <v>277618</v>
      </c>
      <c r="H125" s="38">
        <v>277632</v>
      </c>
      <c r="I125" s="38">
        <v>277638</v>
      </c>
      <c r="J125" s="38">
        <v>277634</v>
      </c>
      <c r="K125" s="38">
        <v>277609</v>
      </c>
      <c r="L125" s="38">
        <v>277588</v>
      </c>
      <c r="M125" s="38">
        <v>278942</v>
      </c>
      <c r="N125" s="38">
        <v>280263</v>
      </c>
      <c r="O125" s="38">
        <v>281549</v>
      </c>
      <c r="P125" s="38">
        <v>282794</v>
      </c>
      <c r="Q125" s="38">
        <v>284008</v>
      </c>
      <c r="R125" s="38">
        <v>285832</v>
      </c>
      <c r="S125" s="38">
        <v>287603</v>
      </c>
      <c r="T125" s="38">
        <v>289317</v>
      </c>
      <c r="U125" s="38">
        <v>290975</v>
      </c>
      <c r="V125" s="38">
        <v>292572</v>
      </c>
      <c r="W125" s="38">
        <v>293479</v>
      </c>
      <c r="X125" s="38">
        <v>294319</v>
      </c>
      <c r="Y125" s="38">
        <v>295091</v>
      </c>
      <c r="Z125" s="38">
        <v>295800</v>
      </c>
      <c r="AA125" s="38">
        <v>296425</v>
      </c>
      <c r="AB125" s="38">
        <v>296130</v>
      </c>
      <c r="AC125" s="38">
        <v>295762</v>
      </c>
      <c r="CM125" s="45"/>
      <c r="CN125" s="47"/>
      <c r="CO125" s="47"/>
      <c r="CP125" s="47"/>
      <c r="CQ125" s="47"/>
      <c r="CR125" s="47"/>
      <c r="CS125" s="47"/>
      <c r="CT125" s="47"/>
      <c r="CU125" s="47"/>
      <c r="CV125" s="47"/>
      <c r="CW125" s="47"/>
      <c r="CX125" s="47"/>
      <c r="CY125" s="47"/>
      <c r="CZ125" s="47"/>
      <c r="DA125" s="47"/>
      <c r="DB125" s="47"/>
      <c r="DC125" s="47"/>
      <c r="DD125" s="47"/>
      <c r="DE125" s="47"/>
      <c r="DF125" s="47"/>
      <c r="DG125" s="47"/>
      <c r="DH125" s="47"/>
      <c r="DI125" s="47"/>
      <c r="DJ125" s="47"/>
      <c r="DK125" s="47"/>
      <c r="DL125" s="47"/>
      <c r="DM125" s="47"/>
      <c r="DN125" s="47"/>
      <c r="DO125" s="47"/>
      <c r="DP125" s="47"/>
      <c r="DQ125" s="47"/>
      <c r="DR125" s="47"/>
      <c r="DS125" s="47"/>
      <c r="DT125" s="47"/>
      <c r="DU125" s="47"/>
      <c r="DV125" s="47"/>
      <c r="DW125" s="47"/>
      <c r="DX125" s="47"/>
      <c r="DY125" s="47"/>
      <c r="DZ125" s="47"/>
      <c r="EA125" s="47"/>
      <c r="EB125" s="47"/>
      <c r="EC125" s="47"/>
      <c r="ED125" s="47"/>
      <c r="EE125" s="47"/>
      <c r="EF125" s="47"/>
      <c r="EG125" s="47"/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</row>
    <row r="126" spans="1:152">
      <c r="A126" s="51" t="s">
        <v>86</v>
      </c>
      <c r="B126" s="46">
        <v>0</v>
      </c>
      <c r="C126" s="46">
        <v>0</v>
      </c>
      <c r="D126" s="46">
        <v>0</v>
      </c>
      <c r="E126" s="46">
        <v>0</v>
      </c>
      <c r="F126" s="46">
        <v>0</v>
      </c>
      <c r="G126" s="46">
        <v>0</v>
      </c>
      <c r="H126" s="46">
        <v>0</v>
      </c>
      <c r="I126" s="46">
        <v>0</v>
      </c>
      <c r="J126" s="46">
        <v>0</v>
      </c>
      <c r="K126" s="46">
        <v>0</v>
      </c>
      <c r="L126" s="46">
        <v>0</v>
      </c>
      <c r="M126" s="46">
        <v>0</v>
      </c>
      <c r="N126" s="46">
        <v>0</v>
      </c>
      <c r="O126" s="46">
        <v>0</v>
      </c>
      <c r="P126" s="46">
        <v>0</v>
      </c>
      <c r="Q126" s="46">
        <v>0</v>
      </c>
      <c r="R126" s="46">
        <v>0</v>
      </c>
      <c r="S126" s="46">
        <v>0</v>
      </c>
      <c r="T126" s="46">
        <v>0</v>
      </c>
      <c r="U126" s="46">
        <v>0</v>
      </c>
      <c r="V126" s="46">
        <v>0</v>
      </c>
      <c r="W126" s="46">
        <v>0</v>
      </c>
      <c r="X126" s="46">
        <v>0</v>
      </c>
      <c r="Y126" s="46">
        <v>0</v>
      </c>
      <c r="Z126" s="46">
        <v>0</v>
      </c>
      <c r="AA126" s="46">
        <v>0</v>
      </c>
      <c r="AB126" s="46">
        <v>0</v>
      </c>
      <c r="AC126" s="46">
        <v>0</v>
      </c>
      <c r="CM126" s="45" t="s">
        <v>102</v>
      </c>
      <c r="CN126" s="56">
        <v>9778057</v>
      </c>
      <c r="CO126" s="56">
        <v>10009994</v>
      </c>
      <c r="CP126" s="56">
        <v>10242087</v>
      </c>
      <c r="CQ126" s="56">
        <v>10474106</v>
      </c>
      <c r="CR126" s="56">
        <v>10705812</v>
      </c>
      <c r="CS126" s="56">
        <v>10936982</v>
      </c>
      <c r="CT126" s="56">
        <v>11168381</v>
      </c>
      <c r="CU126" s="56">
        <v>11398731</v>
      </c>
      <c r="CV126" s="56">
        <v>11627775</v>
      </c>
      <c r="CW126" s="56">
        <v>11857113</v>
      </c>
      <c r="CX126" s="56">
        <v>12080943</v>
      </c>
      <c r="CY126" s="56">
        <v>12311377</v>
      </c>
      <c r="CZ126" s="56">
        <v>12541635</v>
      </c>
      <c r="DA126" s="56">
        <v>12771551</v>
      </c>
      <c r="DB126" s="56">
        <v>13001547</v>
      </c>
      <c r="DC126" s="56">
        <v>13229691</v>
      </c>
      <c r="DD126" s="56">
        <v>13460238</v>
      </c>
      <c r="DE126" s="56">
        <v>13690447</v>
      </c>
      <c r="DF126" s="56">
        <v>13920169</v>
      </c>
      <c r="DG126" s="56">
        <v>14148781</v>
      </c>
      <c r="DH126" s="56">
        <v>14377558</v>
      </c>
      <c r="DI126" s="56">
        <v>14604334</v>
      </c>
      <c r="DJ126" s="56">
        <v>14829481</v>
      </c>
      <c r="DK126" s="56">
        <v>15052819</v>
      </c>
      <c r="DL126" s="56">
        <v>15273855</v>
      </c>
      <c r="DM126" s="56">
        <v>15493362</v>
      </c>
      <c r="DN126" s="56">
        <v>15710146</v>
      </c>
      <c r="DO126" s="56">
        <v>15924060</v>
      </c>
      <c r="DP126" s="56">
        <v>16134909</v>
      </c>
      <c r="DQ126" s="56">
        <v>16342591</v>
      </c>
      <c r="DR126" s="56">
        <v>16546658</v>
      </c>
      <c r="DS126" s="56">
        <v>16748346</v>
      </c>
      <c r="DT126" s="56">
        <v>16946323</v>
      </c>
      <c r="DU126" s="56">
        <v>17140404</v>
      </c>
      <c r="DV126" s="56">
        <v>17330750</v>
      </c>
      <c r="DW126" s="56">
        <v>17516146</v>
      </c>
      <c r="DX126" s="56">
        <v>17699140</v>
      </c>
      <c r="DY126" s="56">
        <v>17877920</v>
      </c>
      <c r="DZ126" s="56">
        <v>18052322</v>
      </c>
      <c r="EA126" s="56">
        <v>18222632</v>
      </c>
      <c r="EB126" s="56">
        <v>18387362</v>
      </c>
      <c r="EC126" s="56">
        <v>18549362</v>
      </c>
      <c r="ED126" s="56">
        <v>18706859</v>
      </c>
      <c r="EE126" s="56">
        <v>18859721</v>
      </c>
      <c r="EF126" s="56">
        <v>19008164</v>
      </c>
      <c r="EG126" s="56">
        <v>19150998</v>
      </c>
      <c r="EH126" s="56">
        <v>19290445</v>
      </c>
      <c r="EI126" s="56">
        <v>19425135</v>
      </c>
      <c r="EJ126" s="56">
        <v>19554959</v>
      </c>
      <c r="EK126" s="56">
        <v>19679810</v>
      </c>
      <c r="EL126" s="56">
        <v>19799567</v>
      </c>
      <c r="EM126" s="56">
        <v>19914085</v>
      </c>
      <c r="EN126" s="56">
        <v>20023349</v>
      </c>
      <c r="EO126" s="56">
        <v>20127266</v>
      </c>
      <c r="EP126" s="56">
        <v>20227619</v>
      </c>
      <c r="EQ126" s="56">
        <v>20318715</v>
      </c>
      <c r="ER126" s="56">
        <v>20411520</v>
      </c>
      <c r="ES126" s="56">
        <v>20500602</v>
      </c>
      <c r="ET126" s="56">
        <v>20585912</v>
      </c>
      <c r="EU126" s="56">
        <v>20667399</v>
      </c>
      <c r="EV126" s="56">
        <v>20745019</v>
      </c>
    </row>
    <row r="127" spans="1:152">
      <c r="A127" s="52">
        <v>15</v>
      </c>
      <c r="B127" s="38">
        <v>263245</v>
      </c>
      <c r="C127" s="38">
        <v>266260</v>
      </c>
      <c r="D127" s="38">
        <v>269270</v>
      </c>
      <c r="E127" s="38">
        <v>272274</v>
      </c>
      <c r="F127" s="38">
        <v>275280</v>
      </c>
      <c r="G127" s="38">
        <v>278243</v>
      </c>
      <c r="H127" s="38">
        <v>277977</v>
      </c>
      <c r="I127" s="38">
        <v>277704</v>
      </c>
      <c r="J127" s="38">
        <v>277420</v>
      </c>
      <c r="K127" s="38">
        <v>277115</v>
      </c>
      <c r="L127" s="38">
        <v>276814</v>
      </c>
      <c r="M127" s="38">
        <v>277873</v>
      </c>
      <c r="N127" s="38">
        <v>278900</v>
      </c>
      <c r="O127" s="38">
        <v>279892</v>
      </c>
      <c r="P127" s="38">
        <v>280842</v>
      </c>
      <c r="Q127" s="38">
        <v>281763</v>
      </c>
      <c r="R127" s="38">
        <v>283674</v>
      </c>
      <c r="S127" s="38">
        <v>285531</v>
      </c>
      <c r="T127" s="38">
        <v>287332</v>
      </c>
      <c r="U127" s="38">
        <v>289079</v>
      </c>
      <c r="V127" s="38">
        <v>290764</v>
      </c>
      <c r="W127" s="38">
        <v>291941</v>
      </c>
      <c r="X127" s="38">
        <v>293054</v>
      </c>
      <c r="Y127" s="38">
        <v>294099</v>
      </c>
      <c r="Z127" s="38">
        <v>295080</v>
      </c>
      <c r="AA127" s="38">
        <v>295977</v>
      </c>
      <c r="AB127" s="38">
        <v>295905</v>
      </c>
      <c r="AC127" s="38">
        <v>295759</v>
      </c>
      <c r="CM127" s="45"/>
      <c r="CN127" s="47"/>
      <c r="CO127" s="47"/>
      <c r="CP127" s="47"/>
      <c r="CQ127" s="47"/>
      <c r="CR127" s="47"/>
      <c r="CS127" s="47"/>
      <c r="CT127" s="47"/>
      <c r="CU127" s="47"/>
      <c r="CV127" s="47"/>
      <c r="CW127" s="47"/>
      <c r="CX127" s="47"/>
      <c r="CY127" s="47"/>
      <c r="CZ127" s="47"/>
      <c r="DA127" s="47"/>
      <c r="DB127" s="47"/>
      <c r="DC127" s="56"/>
      <c r="DD127" s="56"/>
      <c r="DE127" s="56"/>
      <c r="DF127" s="56"/>
      <c r="DG127" s="56"/>
      <c r="DH127" s="56"/>
      <c r="DI127" s="56"/>
      <c r="DJ127" s="56"/>
      <c r="DK127" s="56"/>
      <c r="DL127" s="56"/>
      <c r="DM127" s="56"/>
      <c r="DN127" s="56"/>
      <c r="DO127" s="56"/>
      <c r="DP127" s="56"/>
      <c r="DQ127" s="56"/>
      <c r="DR127" s="56"/>
      <c r="DS127" s="56"/>
      <c r="DT127" s="56"/>
      <c r="DU127" s="56"/>
      <c r="DV127" s="56"/>
      <c r="DW127" s="56"/>
      <c r="DX127" s="56"/>
      <c r="DY127" s="56"/>
      <c r="DZ127" s="56"/>
      <c r="EA127" s="56"/>
      <c r="EB127" s="56"/>
      <c r="EC127" s="56"/>
      <c r="ED127" s="56"/>
      <c r="EE127" s="56"/>
      <c r="EF127" s="56"/>
      <c r="EG127" s="56"/>
      <c r="EH127" s="56"/>
      <c r="EI127" s="56"/>
      <c r="EJ127" s="56"/>
      <c r="EK127" s="56"/>
      <c r="EL127" s="56"/>
      <c r="EM127" s="56"/>
      <c r="EN127" s="56"/>
      <c r="EO127" s="56"/>
      <c r="EP127" s="56"/>
      <c r="EQ127" s="56"/>
      <c r="ER127" s="56"/>
      <c r="ES127" s="56"/>
      <c r="ET127" s="56"/>
      <c r="EU127" s="56"/>
      <c r="EV127" s="56"/>
    </row>
    <row r="128" spans="1:152">
      <c r="A128" s="52">
        <v>16</v>
      </c>
      <c r="B128" s="38">
        <v>257290</v>
      </c>
      <c r="C128" s="38">
        <v>261499</v>
      </c>
      <c r="D128" s="38">
        <v>265704</v>
      </c>
      <c r="E128" s="38">
        <v>269901</v>
      </c>
      <c r="F128" s="38">
        <v>274100</v>
      </c>
      <c r="G128" s="38">
        <v>278257</v>
      </c>
      <c r="H128" s="38">
        <v>277810</v>
      </c>
      <c r="I128" s="38">
        <v>277355</v>
      </c>
      <c r="J128" s="38">
        <v>276890</v>
      </c>
      <c r="K128" s="38">
        <v>276403</v>
      </c>
      <c r="L128" s="38">
        <v>275920</v>
      </c>
      <c r="M128" s="38">
        <v>276726</v>
      </c>
      <c r="N128" s="38">
        <v>277499</v>
      </c>
      <c r="O128" s="38">
        <v>278238</v>
      </c>
      <c r="P128" s="38">
        <v>278935</v>
      </c>
      <c r="Q128" s="38">
        <v>279605</v>
      </c>
      <c r="R128" s="38">
        <v>281570</v>
      </c>
      <c r="S128" s="38">
        <v>283482</v>
      </c>
      <c r="T128" s="38">
        <v>285340</v>
      </c>
      <c r="U128" s="38">
        <v>287142</v>
      </c>
      <c r="V128" s="38">
        <v>288882</v>
      </c>
      <c r="W128" s="38">
        <v>290307</v>
      </c>
      <c r="X128" s="38">
        <v>291666</v>
      </c>
      <c r="Y128" s="38">
        <v>292957</v>
      </c>
      <c r="Z128" s="38">
        <v>294184</v>
      </c>
      <c r="AA128" s="38">
        <v>295329</v>
      </c>
      <c r="AB128" s="38">
        <v>295480</v>
      </c>
      <c r="AC128" s="38">
        <v>295559</v>
      </c>
      <c r="CM128" s="45" t="s">
        <v>100</v>
      </c>
      <c r="CN128" s="56">
        <v>1336372</v>
      </c>
      <c r="CO128" s="56">
        <v>1337409</v>
      </c>
      <c r="CP128" s="56">
        <v>1338465</v>
      </c>
      <c r="CQ128" s="56">
        <v>1339515</v>
      </c>
      <c r="CR128" s="56">
        <v>1340519</v>
      </c>
      <c r="CS128" s="56">
        <v>1341466</v>
      </c>
      <c r="CT128" s="56">
        <v>1343979</v>
      </c>
      <c r="CU128" s="56">
        <v>1346363</v>
      </c>
      <c r="CV128" s="56">
        <v>1348585</v>
      </c>
      <c r="CW128" s="56">
        <v>1350836</v>
      </c>
      <c r="CX128" s="56">
        <v>1352469</v>
      </c>
      <c r="CY128" s="56">
        <v>1359947</v>
      </c>
      <c r="CZ128" s="56">
        <v>1367411</v>
      </c>
      <c r="DA128" s="56">
        <v>1374830</v>
      </c>
      <c r="DB128" s="56">
        <v>1382258</v>
      </c>
      <c r="DC128" s="56">
        <v>1389494</v>
      </c>
      <c r="DD128" s="56">
        <v>1396067</v>
      </c>
      <c r="DE128" s="56">
        <v>1402606</v>
      </c>
      <c r="DF128" s="56">
        <v>1409094</v>
      </c>
      <c r="DG128" s="56">
        <v>1415469</v>
      </c>
      <c r="DH128" s="56">
        <v>1421870</v>
      </c>
      <c r="DI128" s="56">
        <v>1422996</v>
      </c>
      <c r="DJ128" s="56">
        <v>1423959</v>
      </c>
      <c r="DK128" s="56">
        <v>1424743</v>
      </c>
      <c r="DL128" s="56">
        <v>1425312</v>
      </c>
      <c r="DM128" s="56">
        <v>1425739</v>
      </c>
      <c r="DN128" s="56">
        <v>1422249</v>
      </c>
      <c r="DO128" s="56">
        <v>1418482</v>
      </c>
      <c r="DP128" s="56">
        <v>1414437</v>
      </c>
      <c r="DQ128" s="56">
        <v>1410121</v>
      </c>
      <c r="DR128" s="56">
        <v>1405502</v>
      </c>
      <c r="DS128" s="56">
        <v>1400409</v>
      </c>
      <c r="DT128" s="56">
        <v>1394991</v>
      </c>
      <c r="DU128" s="56">
        <v>1389246</v>
      </c>
      <c r="DV128" s="56">
        <v>1383204</v>
      </c>
      <c r="DW128" s="56">
        <v>1376781</v>
      </c>
      <c r="DX128" s="56">
        <v>1371561</v>
      </c>
      <c r="DY128" s="56">
        <v>1366000</v>
      </c>
      <c r="DZ128" s="56">
        <v>1360100</v>
      </c>
      <c r="EA128" s="56">
        <v>1353896</v>
      </c>
      <c r="EB128" s="56">
        <v>1347293</v>
      </c>
      <c r="EC128" s="56">
        <v>1341628</v>
      </c>
      <c r="ED128" s="56">
        <v>1335626</v>
      </c>
      <c r="EE128" s="56">
        <v>1329286</v>
      </c>
      <c r="EF128" s="56">
        <v>1322641</v>
      </c>
      <c r="EG128" s="56">
        <v>1315616</v>
      </c>
      <c r="EH128" s="56">
        <v>1308650</v>
      </c>
      <c r="EI128" s="56">
        <v>1301348</v>
      </c>
      <c r="EJ128" s="56">
        <v>1293716</v>
      </c>
      <c r="EK128" s="56">
        <v>1285759</v>
      </c>
      <c r="EL128" s="56">
        <v>1277481</v>
      </c>
      <c r="EM128" s="56">
        <v>1269692</v>
      </c>
      <c r="EN128" s="56">
        <v>1261557</v>
      </c>
      <c r="EO128" s="56">
        <v>1253080</v>
      </c>
      <c r="EP128" s="56">
        <v>1244384</v>
      </c>
      <c r="EQ128" s="56">
        <v>1235133</v>
      </c>
      <c r="ER128" s="56">
        <v>1232609</v>
      </c>
      <c r="ES128" s="56">
        <v>1229857</v>
      </c>
      <c r="ET128" s="56">
        <v>1226876</v>
      </c>
      <c r="EU128" s="56">
        <v>1223670</v>
      </c>
      <c r="EV128" s="56">
        <v>1220240</v>
      </c>
    </row>
    <row r="129" spans="1:152">
      <c r="A129" s="52">
        <v>17</v>
      </c>
      <c r="B129" s="38">
        <v>251779</v>
      </c>
      <c r="C129" s="38">
        <v>256748</v>
      </c>
      <c r="D129" s="38">
        <v>261714</v>
      </c>
      <c r="E129" s="38">
        <v>266672</v>
      </c>
      <c r="F129" s="38">
        <v>271632</v>
      </c>
      <c r="G129" s="38">
        <v>276551</v>
      </c>
      <c r="H129" s="38">
        <v>276333</v>
      </c>
      <c r="I129" s="38">
        <v>276107</v>
      </c>
      <c r="J129" s="38">
        <v>275871</v>
      </c>
      <c r="K129" s="38">
        <v>275614</v>
      </c>
      <c r="L129" s="38">
        <v>275361</v>
      </c>
      <c r="M129" s="38">
        <v>275912</v>
      </c>
      <c r="N129" s="38">
        <v>276431</v>
      </c>
      <c r="O129" s="38">
        <v>276916</v>
      </c>
      <c r="P129" s="38">
        <v>277359</v>
      </c>
      <c r="Q129" s="38">
        <v>277776</v>
      </c>
      <c r="R129" s="38">
        <v>279684</v>
      </c>
      <c r="S129" s="38">
        <v>281541</v>
      </c>
      <c r="T129" s="38">
        <v>283343</v>
      </c>
      <c r="U129" s="38">
        <v>285090</v>
      </c>
      <c r="V129" s="38">
        <v>286776</v>
      </c>
      <c r="W129" s="38">
        <v>288405</v>
      </c>
      <c r="X129" s="38">
        <v>289968</v>
      </c>
      <c r="Y129" s="38">
        <v>291464</v>
      </c>
      <c r="Z129" s="38">
        <v>292897</v>
      </c>
      <c r="AA129" s="38">
        <v>294248</v>
      </c>
      <c r="AB129" s="38">
        <v>294645</v>
      </c>
      <c r="AC129" s="38">
        <v>294970</v>
      </c>
      <c r="CM129" s="57" t="s">
        <v>101</v>
      </c>
      <c r="CN129" s="56">
        <v>1224831</v>
      </c>
      <c r="CO129" s="56">
        <v>1245789</v>
      </c>
      <c r="CP129" s="56">
        <v>1266766</v>
      </c>
      <c r="CQ129" s="56">
        <v>1287732</v>
      </c>
      <c r="CR129" s="56">
        <v>1308661</v>
      </c>
      <c r="CS129" s="56">
        <v>1329516</v>
      </c>
      <c r="CT129" s="56">
        <v>1330476</v>
      </c>
      <c r="CU129" s="56">
        <v>1331302</v>
      </c>
      <c r="CV129" s="56">
        <v>1331971</v>
      </c>
      <c r="CW129" s="56">
        <v>1332672</v>
      </c>
      <c r="CX129" s="56">
        <v>1332761</v>
      </c>
      <c r="CY129" s="56">
        <v>1334844</v>
      </c>
      <c r="CZ129" s="56">
        <v>1336904</v>
      </c>
      <c r="DA129" s="56">
        <v>1338928</v>
      </c>
      <c r="DB129" s="56">
        <v>1340959</v>
      </c>
      <c r="DC129" s="56">
        <v>1342797</v>
      </c>
      <c r="DD129" s="56">
        <v>1350440</v>
      </c>
      <c r="DE129" s="56">
        <v>1358045</v>
      </c>
      <c r="DF129" s="56">
        <v>1365603</v>
      </c>
      <c r="DG129" s="56">
        <v>1373052</v>
      </c>
      <c r="DH129" s="56">
        <v>1380531</v>
      </c>
      <c r="DI129" s="56">
        <v>1387490</v>
      </c>
      <c r="DJ129" s="56">
        <v>1394288</v>
      </c>
      <c r="DK129" s="56">
        <v>1400914</v>
      </c>
      <c r="DL129" s="56">
        <v>1407329</v>
      </c>
      <c r="DM129" s="56">
        <v>1413609</v>
      </c>
      <c r="DN129" s="56">
        <v>1415093</v>
      </c>
      <c r="DO129" s="56">
        <v>1416308</v>
      </c>
      <c r="DP129" s="56">
        <v>1417246</v>
      </c>
      <c r="DQ129" s="56">
        <v>1417915</v>
      </c>
      <c r="DR129" s="56">
        <v>1418268</v>
      </c>
      <c r="DS129" s="56">
        <v>1415039</v>
      </c>
      <c r="DT129" s="56">
        <v>1411491</v>
      </c>
      <c r="DU129" s="56">
        <v>1407608</v>
      </c>
      <c r="DV129" s="56">
        <v>1403425</v>
      </c>
      <c r="DW129" s="56">
        <v>1398854</v>
      </c>
      <c r="DX129" s="56">
        <v>1393956</v>
      </c>
      <c r="DY129" s="56">
        <v>1388711</v>
      </c>
      <c r="DZ129" s="56">
        <v>1383120</v>
      </c>
      <c r="EA129" s="56">
        <v>1377221</v>
      </c>
      <c r="EB129" s="56">
        <v>1370916</v>
      </c>
      <c r="EC129" s="56">
        <v>1365836</v>
      </c>
      <c r="ED129" s="56">
        <v>1360412</v>
      </c>
      <c r="EE129" s="56">
        <v>1354648</v>
      </c>
      <c r="EF129" s="56">
        <v>1348569</v>
      </c>
      <c r="EG129" s="56">
        <v>1342106</v>
      </c>
      <c r="EH129" s="56">
        <v>1336570</v>
      </c>
      <c r="EI129" s="56">
        <v>1330691</v>
      </c>
      <c r="EJ129" s="56">
        <v>1324477</v>
      </c>
      <c r="EK129" s="56">
        <v>1317929</v>
      </c>
      <c r="EL129" s="56">
        <v>1311051</v>
      </c>
      <c r="EM129" s="56">
        <v>1304232</v>
      </c>
      <c r="EN129" s="56">
        <v>1297057</v>
      </c>
      <c r="EO129" s="56">
        <v>1289532</v>
      </c>
      <c r="EP129" s="56">
        <v>1281782</v>
      </c>
      <c r="EQ129" s="56">
        <v>1273457</v>
      </c>
      <c r="ER129" s="56">
        <v>1265554</v>
      </c>
      <c r="ES129" s="56">
        <v>1257412</v>
      </c>
      <c r="ET129" s="56">
        <v>1249037</v>
      </c>
      <c r="EU129" s="56">
        <v>1240432</v>
      </c>
      <c r="EV129" s="56">
        <v>1231601</v>
      </c>
    </row>
    <row r="130" spans="1:152">
      <c r="A130" s="52">
        <v>18</v>
      </c>
      <c r="B130" s="38">
        <v>247137</v>
      </c>
      <c r="C130" s="38">
        <v>252233</v>
      </c>
      <c r="D130" s="38">
        <v>257326</v>
      </c>
      <c r="E130" s="38">
        <v>262412</v>
      </c>
      <c r="F130" s="38">
        <v>267499</v>
      </c>
      <c r="G130" s="38">
        <v>272547</v>
      </c>
      <c r="H130" s="38">
        <v>273100</v>
      </c>
      <c r="I130" s="38">
        <v>273647</v>
      </c>
      <c r="J130" s="38">
        <v>274183</v>
      </c>
      <c r="K130" s="38">
        <v>274698</v>
      </c>
      <c r="L130" s="38">
        <v>275217</v>
      </c>
      <c r="M130" s="38">
        <v>275524</v>
      </c>
      <c r="N130" s="38">
        <v>275798</v>
      </c>
      <c r="O130" s="38">
        <v>276039</v>
      </c>
      <c r="P130" s="38">
        <v>276237</v>
      </c>
      <c r="Q130" s="38">
        <v>276410</v>
      </c>
      <c r="R130" s="38">
        <v>278125</v>
      </c>
      <c r="S130" s="38">
        <v>279788</v>
      </c>
      <c r="T130" s="38">
        <v>281397</v>
      </c>
      <c r="U130" s="38">
        <v>282950</v>
      </c>
      <c r="V130" s="38">
        <v>284443</v>
      </c>
      <c r="W130" s="38">
        <v>286221</v>
      </c>
      <c r="X130" s="38">
        <v>287933</v>
      </c>
      <c r="Y130" s="38">
        <v>289579</v>
      </c>
      <c r="Z130" s="38">
        <v>291163</v>
      </c>
      <c r="AA130" s="38">
        <v>292664</v>
      </c>
      <c r="AB130" s="38">
        <v>293330</v>
      </c>
      <c r="AC130" s="38">
        <v>293926</v>
      </c>
      <c r="CM130" s="57" t="s">
        <v>58</v>
      </c>
      <c r="CN130" s="56">
        <v>1118956</v>
      </c>
      <c r="CO130" s="56">
        <v>1139704</v>
      </c>
      <c r="CP130" s="56">
        <v>1160470</v>
      </c>
      <c r="CQ130" s="56">
        <v>1181226</v>
      </c>
      <c r="CR130" s="56">
        <v>1201947</v>
      </c>
      <c r="CS130" s="56">
        <v>1222601</v>
      </c>
      <c r="CT130" s="56">
        <v>1243836</v>
      </c>
      <c r="CU130" s="56">
        <v>1264952</v>
      </c>
      <c r="CV130" s="56">
        <v>1285923</v>
      </c>
      <c r="CW130" s="56">
        <v>1306927</v>
      </c>
      <c r="CX130" s="56">
        <v>1327322</v>
      </c>
      <c r="CY130" s="56">
        <v>1328076</v>
      </c>
      <c r="CZ130" s="56">
        <v>1328808</v>
      </c>
      <c r="DA130" s="56">
        <v>1329503</v>
      </c>
      <c r="DB130" s="56">
        <v>1330206</v>
      </c>
      <c r="DC130" s="56">
        <v>1330721</v>
      </c>
      <c r="DD130" s="56">
        <v>1332860</v>
      </c>
      <c r="DE130" s="56">
        <v>1334963</v>
      </c>
      <c r="DF130" s="56">
        <v>1337017</v>
      </c>
      <c r="DG130" s="56">
        <v>1338966</v>
      </c>
      <c r="DH130" s="56">
        <v>1340931</v>
      </c>
      <c r="DI130" s="56">
        <v>1348839</v>
      </c>
      <c r="DJ130" s="56">
        <v>1356592</v>
      </c>
      <c r="DK130" s="56">
        <v>1364178</v>
      </c>
      <c r="DL130" s="56">
        <v>1371556</v>
      </c>
      <c r="DM130" s="56">
        <v>1378792</v>
      </c>
      <c r="DN130" s="56">
        <v>1385970</v>
      </c>
      <c r="DO130" s="56">
        <v>1392889</v>
      </c>
      <c r="DP130" s="56">
        <v>1399537</v>
      </c>
      <c r="DQ130" s="56">
        <v>1405912</v>
      </c>
      <c r="DR130" s="56">
        <v>1411983</v>
      </c>
      <c r="DS130" s="56">
        <v>1413600</v>
      </c>
      <c r="DT130" s="56">
        <v>1414894</v>
      </c>
      <c r="DU130" s="56">
        <v>1415855</v>
      </c>
      <c r="DV130" s="56">
        <v>1416511</v>
      </c>
      <c r="DW130" s="56">
        <v>1416779</v>
      </c>
      <c r="DX130" s="56">
        <v>1413624</v>
      </c>
      <c r="DY130" s="56">
        <v>1410120</v>
      </c>
      <c r="DZ130" s="56">
        <v>1406264</v>
      </c>
      <c r="EA130" s="56">
        <v>1402095</v>
      </c>
      <c r="EB130" s="56">
        <v>1397511</v>
      </c>
      <c r="EC130" s="56">
        <v>1392649</v>
      </c>
      <c r="ED130" s="56">
        <v>1387436</v>
      </c>
      <c r="EE130" s="56">
        <v>1381875</v>
      </c>
      <c r="EF130" s="56">
        <v>1375994</v>
      </c>
      <c r="EG130" s="56">
        <v>1369723</v>
      </c>
      <c r="EH130" s="56">
        <v>1364673</v>
      </c>
      <c r="EI130" s="56">
        <v>1359277</v>
      </c>
      <c r="EJ130" s="56">
        <v>1353535</v>
      </c>
      <c r="EK130" s="56">
        <v>1347453</v>
      </c>
      <c r="EL130" s="56">
        <v>1341032</v>
      </c>
      <c r="EM130" s="56">
        <v>1335559</v>
      </c>
      <c r="EN130" s="56">
        <v>1329722</v>
      </c>
      <c r="EO130" s="56">
        <v>1323527</v>
      </c>
      <c r="EP130" s="56">
        <v>1317100</v>
      </c>
      <c r="EQ130" s="56">
        <v>1310081</v>
      </c>
      <c r="ER130" s="56">
        <v>1303062</v>
      </c>
      <c r="ES130" s="56">
        <v>1295797</v>
      </c>
      <c r="ET130" s="56">
        <v>1288293</v>
      </c>
      <c r="EU130" s="56">
        <v>1280551</v>
      </c>
      <c r="EV130" s="56">
        <v>1272578</v>
      </c>
    </row>
    <row r="131" spans="1:152">
      <c r="A131" s="52">
        <v>19</v>
      </c>
      <c r="B131" s="38">
        <v>243046</v>
      </c>
      <c r="C131" s="38">
        <v>247816</v>
      </c>
      <c r="D131" s="38">
        <v>252583</v>
      </c>
      <c r="E131" s="38">
        <v>257343</v>
      </c>
      <c r="F131" s="38">
        <v>262104</v>
      </c>
      <c r="G131" s="38">
        <v>266827</v>
      </c>
      <c r="H131" s="38">
        <v>268521</v>
      </c>
      <c r="I131" s="38">
        <v>270207</v>
      </c>
      <c r="J131" s="38">
        <v>271884</v>
      </c>
      <c r="K131" s="38">
        <v>273539</v>
      </c>
      <c r="L131" s="38">
        <v>275200</v>
      </c>
      <c r="M131" s="38">
        <v>275306</v>
      </c>
      <c r="N131" s="38">
        <v>275381</v>
      </c>
      <c r="O131" s="38">
        <v>275421</v>
      </c>
      <c r="P131" s="38">
        <v>275420</v>
      </c>
      <c r="Q131" s="38">
        <v>275394</v>
      </c>
      <c r="R131" s="38">
        <v>276819</v>
      </c>
      <c r="S131" s="38">
        <v>278192</v>
      </c>
      <c r="T131" s="38">
        <v>279511</v>
      </c>
      <c r="U131" s="38">
        <v>280775</v>
      </c>
      <c r="V131" s="38">
        <v>281980</v>
      </c>
      <c r="W131" s="38">
        <v>283852</v>
      </c>
      <c r="X131" s="38">
        <v>285660</v>
      </c>
      <c r="Y131" s="38">
        <v>287402</v>
      </c>
      <c r="Z131" s="38">
        <v>289082</v>
      </c>
      <c r="AA131" s="38">
        <v>290680</v>
      </c>
      <c r="AB131" s="38">
        <v>291626</v>
      </c>
      <c r="AC131" s="38">
        <v>292501</v>
      </c>
      <c r="CM131" s="45" t="s">
        <v>59</v>
      </c>
      <c r="CN131" s="56">
        <v>969060</v>
      </c>
      <c r="CO131" s="56">
        <v>998517</v>
      </c>
      <c r="CP131" s="56">
        <v>1027989</v>
      </c>
      <c r="CQ131" s="56">
        <v>1057455</v>
      </c>
      <c r="CR131" s="56">
        <v>1086888</v>
      </c>
      <c r="CS131" s="56">
        <v>1116270</v>
      </c>
      <c r="CT131" s="56">
        <v>1137245</v>
      </c>
      <c r="CU131" s="56">
        <v>1158112</v>
      </c>
      <c r="CV131" s="56">
        <v>1178846</v>
      </c>
      <c r="CW131" s="56">
        <v>1199609</v>
      </c>
      <c r="CX131" s="56">
        <v>1219826</v>
      </c>
      <c r="CY131" s="56">
        <v>1240819</v>
      </c>
      <c r="CZ131" s="56">
        <v>1261794</v>
      </c>
      <c r="DA131" s="56">
        <v>1282734</v>
      </c>
      <c r="DB131" s="56">
        <v>1303683</v>
      </c>
      <c r="DC131" s="56">
        <v>1324442</v>
      </c>
      <c r="DD131" s="56">
        <v>1325270</v>
      </c>
      <c r="DE131" s="56">
        <v>1326063</v>
      </c>
      <c r="DF131" s="56">
        <v>1326808</v>
      </c>
      <c r="DG131" s="56">
        <v>1327447</v>
      </c>
      <c r="DH131" s="56">
        <v>1328100</v>
      </c>
      <c r="DI131" s="56">
        <v>1330517</v>
      </c>
      <c r="DJ131" s="56">
        <v>1332778</v>
      </c>
      <c r="DK131" s="56">
        <v>1334874</v>
      </c>
      <c r="DL131" s="56">
        <v>1336769</v>
      </c>
      <c r="DM131" s="56">
        <v>1338544</v>
      </c>
      <c r="DN131" s="56">
        <v>1346672</v>
      </c>
      <c r="DO131" s="56">
        <v>1354549</v>
      </c>
      <c r="DP131" s="56">
        <v>1362162</v>
      </c>
      <c r="DQ131" s="56">
        <v>1369509</v>
      </c>
      <c r="DR131" s="56">
        <v>1376558</v>
      </c>
      <c r="DS131" s="56">
        <v>1383872</v>
      </c>
      <c r="DT131" s="56">
        <v>1390872</v>
      </c>
      <c r="DU131" s="56">
        <v>1397551</v>
      </c>
      <c r="DV131" s="56">
        <v>1403927</v>
      </c>
      <c r="DW131" s="56">
        <v>1409907</v>
      </c>
      <c r="DX131" s="56">
        <v>1411600</v>
      </c>
      <c r="DY131" s="56">
        <v>1412946</v>
      </c>
      <c r="DZ131" s="56">
        <v>1413945</v>
      </c>
      <c r="EA131" s="56">
        <v>1414627</v>
      </c>
      <c r="EB131" s="56">
        <v>1414881</v>
      </c>
      <c r="EC131" s="56">
        <v>1411772</v>
      </c>
      <c r="ED131" s="56">
        <v>1408306</v>
      </c>
      <c r="EE131" s="56">
        <v>1404490</v>
      </c>
      <c r="EF131" s="56">
        <v>1400349</v>
      </c>
      <c r="EG131" s="56">
        <v>1395806</v>
      </c>
      <c r="EH131" s="56">
        <v>1390987</v>
      </c>
      <c r="EI131" s="56">
        <v>1385813</v>
      </c>
      <c r="EJ131" s="56">
        <v>1380289</v>
      </c>
      <c r="EK131" s="56">
        <v>1374418</v>
      </c>
      <c r="EL131" s="56">
        <v>1368203</v>
      </c>
      <c r="EM131" s="56">
        <v>1363227</v>
      </c>
      <c r="EN131" s="56">
        <v>1357880</v>
      </c>
      <c r="EO131" s="56">
        <v>1352168</v>
      </c>
      <c r="EP131" s="56">
        <v>1346218</v>
      </c>
      <c r="EQ131" s="56">
        <v>1339664</v>
      </c>
      <c r="ER131" s="56">
        <v>1333991</v>
      </c>
      <c r="ES131" s="56">
        <v>1328068</v>
      </c>
      <c r="ET131" s="56">
        <v>1321900</v>
      </c>
      <c r="EU131" s="56">
        <v>1315487</v>
      </c>
      <c r="EV131" s="56">
        <v>1308836</v>
      </c>
    </row>
    <row r="132" spans="1:152">
      <c r="A132" s="51" t="s">
        <v>87</v>
      </c>
      <c r="B132" s="46">
        <v>0</v>
      </c>
      <c r="C132" s="46">
        <v>0</v>
      </c>
      <c r="D132" s="46">
        <v>0</v>
      </c>
      <c r="E132" s="46">
        <v>0</v>
      </c>
      <c r="F132" s="46">
        <v>0</v>
      </c>
      <c r="G132" s="46">
        <v>0</v>
      </c>
      <c r="H132" s="46">
        <v>0</v>
      </c>
      <c r="I132" s="46">
        <v>0</v>
      </c>
      <c r="J132" s="46">
        <v>0</v>
      </c>
      <c r="K132" s="46">
        <v>0</v>
      </c>
      <c r="L132" s="46">
        <v>0</v>
      </c>
      <c r="M132" s="46">
        <v>0</v>
      </c>
      <c r="N132" s="46">
        <v>0</v>
      </c>
      <c r="O132" s="46">
        <v>0</v>
      </c>
      <c r="P132" s="46">
        <v>0</v>
      </c>
      <c r="Q132" s="46">
        <v>0</v>
      </c>
      <c r="R132" s="46">
        <v>0</v>
      </c>
      <c r="S132" s="46">
        <v>0</v>
      </c>
      <c r="T132" s="46">
        <v>0</v>
      </c>
      <c r="U132" s="46">
        <v>0</v>
      </c>
      <c r="V132" s="46">
        <v>0</v>
      </c>
      <c r="W132" s="46">
        <v>0</v>
      </c>
      <c r="X132" s="46">
        <v>0</v>
      </c>
      <c r="Y132" s="46">
        <v>0</v>
      </c>
      <c r="Z132" s="46">
        <v>0</v>
      </c>
      <c r="AA132" s="46">
        <v>0</v>
      </c>
      <c r="AB132" s="46">
        <v>0</v>
      </c>
      <c r="AC132" s="46">
        <v>0</v>
      </c>
      <c r="CM132" s="45" t="s">
        <v>60</v>
      </c>
      <c r="CN132" s="56">
        <v>924954</v>
      </c>
      <c r="CO132" s="56">
        <v>933152</v>
      </c>
      <c r="CP132" s="56">
        <v>941364</v>
      </c>
      <c r="CQ132" s="56">
        <v>949567</v>
      </c>
      <c r="CR132" s="56">
        <v>957743</v>
      </c>
      <c r="CS132" s="56">
        <v>965872</v>
      </c>
      <c r="CT132" s="56">
        <v>995486</v>
      </c>
      <c r="CU132" s="56">
        <v>1025009</v>
      </c>
      <c r="CV132" s="56">
        <v>1054416</v>
      </c>
      <c r="CW132" s="56">
        <v>1083851</v>
      </c>
      <c r="CX132" s="56">
        <v>1112764</v>
      </c>
      <c r="CY132" s="56">
        <v>1133501</v>
      </c>
      <c r="CZ132" s="56">
        <v>1154222</v>
      </c>
      <c r="DA132" s="56">
        <v>1174911</v>
      </c>
      <c r="DB132" s="56">
        <v>1195607</v>
      </c>
      <c r="DC132" s="56">
        <v>1216142</v>
      </c>
      <c r="DD132" s="56">
        <v>1237167</v>
      </c>
      <c r="DE132" s="56">
        <v>1258161</v>
      </c>
      <c r="DF132" s="56">
        <v>1279110</v>
      </c>
      <c r="DG132" s="56">
        <v>1299958</v>
      </c>
      <c r="DH132" s="56">
        <v>1320813</v>
      </c>
      <c r="DI132" s="56">
        <v>1321939</v>
      </c>
      <c r="DJ132" s="56">
        <v>1322909</v>
      </c>
      <c r="DK132" s="56">
        <v>1323716</v>
      </c>
      <c r="DL132" s="56">
        <v>1324322</v>
      </c>
      <c r="DM132" s="56">
        <v>1324793</v>
      </c>
      <c r="DN132" s="56">
        <v>1327453</v>
      </c>
      <c r="DO132" s="56">
        <v>1329863</v>
      </c>
      <c r="DP132" s="56">
        <v>1332013</v>
      </c>
      <c r="DQ132" s="56">
        <v>1333904</v>
      </c>
      <c r="DR132" s="56">
        <v>1335519</v>
      </c>
      <c r="DS132" s="56">
        <v>1343786</v>
      </c>
      <c r="DT132" s="56">
        <v>1351747</v>
      </c>
      <c r="DU132" s="56">
        <v>1359398</v>
      </c>
      <c r="DV132" s="56">
        <v>1366754</v>
      </c>
      <c r="DW132" s="56">
        <v>1373722</v>
      </c>
      <c r="DX132" s="56">
        <v>1381112</v>
      </c>
      <c r="DY132" s="56">
        <v>1388167</v>
      </c>
      <c r="DZ132" s="56">
        <v>1394883</v>
      </c>
      <c r="EA132" s="56">
        <v>1401281</v>
      </c>
      <c r="EB132" s="56">
        <v>1407257</v>
      </c>
      <c r="EC132" s="56">
        <v>1408999</v>
      </c>
      <c r="ED132" s="56">
        <v>1410391</v>
      </c>
      <c r="EE132" s="56">
        <v>1411431</v>
      </c>
      <c r="EF132" s="56">
        <v>1412140</v>
      </c>
      <c r="EG132" s="56">
        <v>1412447</v>
      </c>
      <c r="EH132" s="56">
        <v>1409391</v>
      </c>
      <c r="EI132" s="56">
        <v>1405978</v>
      </c>
      <c r="EJ132" s="56">
        <v>1402212</v>
      </c>
      <c r="EK132" s="56">
        <v>1398092</v>
      </c>
      <c r="EL132" s="56">
        <v>1393615</v>
      </c>
      <c r="EM132" s="56">
        <v>1388881</v>
      </c>
      <c r="EN132" s="56">
        <v>1383771</v>
      </c>
      <c r="EO132" s="56">
        <v>1378287</v>
      </c>
      <c r="EP132" s="56">
        <v>1372563</v>
      </c>
      <c r="EQ132" s="56">
        <v>1366219</v>
      </c>
      <c r="ER132" s="56">
        <v>1361049</v>
      </c>
      <c r="ES132" s="56">
        <v>1355625</v>
      </c>
      <c r="ET132" s="56">
        <v>1349948</v>
      </c>
      <c r="EU132" s="56">
        <v>1344025</v>
      </c>
      <c r="EV132" s="56">
        <v>1337856</v>
      </c>
    </row>
    <row r="133" spans="1:152">
      <c r="A133" s="52">
        <v>20</v>
      </c>
      <c r="B133" s="38">
        <v>239240</v>
      </c>
      <c r="C133" s="38">
        <v>243463</v>
      </c>
      <c r="D133" s="38">
        <v>247682</v>
      </c>
      <c r="E133" s="38">
        <v>251893</v>
      </c>
      <c r="F133" s="38">
        <v>256107</v>
      </c>
      <c r="G133" s="38">
        <v>260283</v>
      </c>
      <c r="H133" s="38">
        <v>263319</v>
      </c>
      <c r="I133" s="38">
        <v>266348</v>
      </c>
      <c r="J133" s="38">
        <v>269367</v>
      </c>
      <c r="K133" s="38">
        <v>272364</v>
      </c>
      <c r="L133" s="38">
        <v>275366</v>
      </c>
      <c r="M133" s="38">
        <v>275207</v>
      </c>
      <c r="N133" s="38">
        <v>275014</v>
      </c>
      <c r="O133" s="38">
        <v>274787</v>
      </c>
      <c r="P133" s="38">
        <v>274518</v>
      </c>
      <c r="Q133" s="38">
        <v>274227</v>
      </c>
      <c r="R133" s="38">
        <v>275364</v>
      </c>
      <c r="S133" s="38">
        <v>276452</v>
      </c>
      <c r="T133" s="38">
        <v>277484</v>
      </c>
      <c r="U133" s="38">
        <v>278463</v>
      </c>
      <c r="V133" s="38">
        <v>279382</v>
      </c>
      <c r="W133" s="38">
        <v>281343</v>
      </c>
      <c r="X133" s="38">
        <v>283243</v>
      </c>
      <c r="Y133" s="38">
        <v>285074</v>
      </c>
      <c r="Z133" s="38">
        <v>286845</v>
      </c>
      <c r="AA133" s="38">
        <v>288536</v>
      </c>
      <c r="AB133" s="38">
        <v>289757</v>
      </c>
      <c r="AC133" s="38">
        <v>290907</v>
      </c>
      <c r="CM133" s="45" t="s">
        <v>61</v>
      </c>
      <c r="CN133" s="56">
        <v>855641</v>
      </c>
      <c r="CO133" s="56">
        <v>868784</v>
      </c>
      <c r="CP133" s="56">
        <v>881942</v>
      </c>
      <c r="CQ133" s="56">
        <v>895091</v>
      </c>
      <c r="CR133" s="56">
        <v>908215</v>
      </c>
      <c r="CS133" s="56">
        <v>921300</v>
      </c>
      <c r="CT133" s="56">
        <v>929698</v>
      </c>
      <c r="CU133" s="56">
        <v>938005</v>
      </c>
      <c r="CV133" s="56">
        <v>946203</v>
      </c>
      <c r="CW133" s="56">
        <v>954424</v>
      </c>
      <c r="CX133" s="56">
        <v>962200</v>
      </c>
      <c r="CY133" s="56">
        <v>991552</v>
      </c>
      <c r="CZ133" s="56">
        <v>1020892</v>
      </c>
      <c r="DA133" s="56">
        <v>1050205</v>
      </c>
      <c r="DB133" s="56">
        <v>1079524</v>
      </c>
      <c r="DC133" s="56">
        <v>1108670</v>
      </c>
      <c r="DD133" s="56">
        <v>1129435</v>
      </c>
      <c r="DE133" s="56">
        <v>1150170</v>
      </c>
      <c r="DF133" s="56">
        <v>1170866</v>
      </c>
      <c r="DG133" s="56">
        <v>1191468</v>
      </c>
      <c r="DH133" s="56">
        <v>1212068</v>
      </c>
      <c r="DI133" s="56">
        <v>1233317</v>
      </c>
      <c r="DJ133" s="56">
        <v>1254428</v>
      </c>
      <c r="DK133" s="56">
        <v>1275387</v>
      </c>
      <c r="DL133" s="56">
        <v>1296151</v>
      </c>
      <c r="DM133" s="56">
        <v>1316785</v>
      </c>
      <c r="DN133" s="56">
        <v>1318161</v>
      </c>
      <c r="DO133" s="56">
        <v>1319286</v>
      </c>
      <c r="DP133" s="56">
        <v>1320154</v>
      </c>
      <c r="DQ133" s="56">
        <v>1320767</v>
      </c>
      <c r="DR133" s="56">
        <v>1321097</v>
      </c>
      <c r="DS133" s="56">
        <v>1323914</v>
      </c>
      <c r="DT133" s="56">
        <v>1326428</v>
      </c>
      <c r="DU133" s="56">
        <v>1328634</v>
      </c>
      <c r="DV133" s="56">
        <v>1330554</v>
      </c>
      <c r="DW133" s="56">
        <v>1332100</v>
      </c>
      <c r="DX133" s="56">
        <v>1340442</v>
      </c>
      <c r="DY133" s="56">
        <v>1348460</v>
      </c>
      <c r="DZ133" s="56">
        <v>1356147</v>
      </c>
      <c r="EA133" s="56">
        <v>1363528</v>
      </c>
      <c r="EB133" s="56">
        <v>1370494</v>
      </c>
      <c r="EC133" s="56">
        <v>1377927</v>
      </c>
      <c r="ED133" s="56">
        <v>1385023</v>
      </c>
      <c r="EE133" s="56">
        <v>1391775</v>
      </c>
      <c r="EF133" s="56">
        <v>1398200</v>
      </c>
      <c r="EG133" s="56">
        <v>1404217</v>
      </c>
      <c r="EH133" s="56">
        <v>1406010</v>
      </c>
      <c r="EI133" s="56">
        <v>1407451</v>
      </c>
      <c r="EJ133" s="56">
        <v>1408538</v>
      </c>
      <c r="EK133" s="56">
        <v>1409266</v>
      </c>
      <c r="EL133" s="56">
        <v>1409636</v>
      </c>
      <c r="EM133" s="56">
        <v>1406670</v>
      </c>
      <c r="EN133" s="56">
        <v>1403326</v>
      </c>
      <c r="EO133" s="56">
        <v>1399606</v>
      </c>
      <c r="EP133" s="56">
        <v>1395634</v>
      </c>
      <c r="EQ133" s="56">
        <v>1391036</v>
      </c>
      <c r="ER133" s="56">
        <v>1386115</v>
      </c>
      <c r="ES133" s="56">
        <v>1380935</v>
      </c>
      <c r="ET133" s="56">
        <v>1375500</v>
      </c>
      <c r="EU133" s="56">
        <v>1369810</v>
      </c>
      <c r="EV133" s="56">
        <v>1363869</v>
      </c>
    </row>
    <row r="134" spans="1:152">
      <c r="A134" s="52">
        <v>21</v>
      </c>
      <c r="B134" s="38">
        <v>234936</v>
      </c>
      <c r="C134" s="38">
        <v>238748</v>
      </c>
      <c r="D134" s="38">
        <v>242556</v>
      </c>
      <c r="E134" s="38">
        <v>246358</v>
      </c>
      <c r="F134" s="38">
        <v>250161</v>
      </c>
      <c r="G134" s="38">
        <v>253927</v>
      </c>
      <c r="H134" s="38">
        <v>258148</v>
      </c>
      <c r="I134" s="38">
        <v>262363</v>
      </c>
      <c r="J134" s="38">
        <v>266568</v>
      </c>
      <c r="K134" s="38">
        <v>270752</v>
      </c>
      <c r="L134" s="38">
        <v>274942</v>
      </c>
      <c r="M134" s="38">
        <v>274610</v>
      </c>
      <c r="N134" s="38">
        <v>274247</v>
      </c>
      <c r="O134" s="38">
        <v>273849</v>
      </c>
      <c r="P134" s="38">
        <v>273410</v>
      </c>
      <c r="Q134" s="38">
        <v>272946</v>
      </c>
      <c r="R134" s="38">
        <v>273839</v>
      </c>
      <c r="S134" s="38">
        <v>274679</v>
      </c>
      <c r="T134" s="38">
        <v>275467</v>
      </c>
      <c r="U134" s="38">
        <v>276201</v>
      </c>
      <c r="V134" s="38">
        <v>276875</v>
      </c>
      <c r="W134" s="38">
        <v>278896</v>
      </c>
      <c r="X134" s="38">
        <v>280853</v>
      </c>
      <c r="Y134" s="38">
        <v>282746</v>
      </c>
      <c r="Z134" s="38">
        <v>284577</v>
      </c>
      <c r="AA134" s="38">
        <v>286328</v>
      </c>
      <c r="AB134" s="38">
        <v>287798</v>
      </c>
      <c r="AC134" s="38">
        <v>289199</v>
      </c>
      <c r="CM134" s="45" t="s">
        <v>62</v>
      </c>
      <c r="CN134" s="56">
        <v>708900</v>
      </c>
      <c r="CO134" s="56">
        <v>737381</v>
      </c>
      <c r="CP134" s="56">
        <v>765875</v>
      </c>
      <c r="CQ134" s="56">
        <v>794364</v>
      </c>
      <c r="CR134" s="56">
        <v>822829</v>
      </c>
      <c r="CS134" s="56">
        <v>851260</v>
      </c>
      <c r="CT134" s="56">
        <v>864564</v>
      </c>
      <c r="CU134" s="56">
        <v>877785</v>
      </c>
      <c r="CV134" s="56">
        <v>890904</v>
      </c>
      <c r="CW134" s="56">
        <v>904046</v>
      </c>
      <c r="CX134" s="56">
        <v>916758</v>
      </c>
      <c r="CY134" s="56">
        <v>924979</v>
      </c>
      <c r="CZ134" s="56">
        <v>933184</v>
      </c>
      <c r="DA134" s="56">
        <v>941364</v>
      </c>
      <c r="DB134" s="56">
        <v>949550</v>
      </c>
      <c r="DC134" s="56">
        <v>957602</v>
      </c>
      <c r="DD134" s="56">
        <v>986919</v>
      </c>
      <c r="DE134" s="56">
        <v>1016213</v>
      </c>
      <c r="DF134" s="56">
        <v>1045471</v>
      </c>
      <c r="DG134" s="56">
        <v>1074645</v>
      </c>
      <c r="DH134" s="56">
        <v>1103825</v>
      </c>
      <c r="DI134" s="56">
        <v>1124781</v>
      </c>
      <c r="DJ134" s="56">
        <v>1145615</v>
      </c>
      <c r="DK134" s="56">
        <v>1166307</v>
      </c>
      <c r="DL134" s="56">
        <v>1186822</v>
      </c>
      <c r="DM134" s="56">
        <v>1207220</v>
      </c>
      <c r="DN134" s="56">
        <v>1228649</v>
      </c>
      <c r="DO134" s="56">
        <v>1249856</v>
      </c>
      <c r="DP134" s="56">
        <v>1270825</v>
      </c>
      <c r="DQ134" s="56">
        <v>1291542</v>
      </c>
      <c r="DR134" s="56">
        <v>1311952</v>
      </c>
      <c r="DS134" s="56">
        <v>1313499</v>
      </c>
      <c r="DT134" s="56">
        <v>1314745</v>
      </c>
      <c r="DU134" s="56">
        <v>1315685</v>
      </c>
      <c r="DV134" s="56">
        <v>1316342</v>
      </c>
      <c r="DW134" s="56">
        <v>1316631</v>
      </c>
      <c r="DX134" s="56">
        <v>1319547</v>
      </c>
      <c r="DY134" s="56">
        <v>1322139</v>
      </c>
      <c r="DZ134" s="56">
        <v>1324407</v>
      </c>
      <c r="EA134" s="56">
        <v>1326376</v>
      </c>
      <c r="EB134" s="56">
        <v>1327944</v>
      </c>
      <c r="EC134" s="56">
        <v>1336333</v>
      </c>
      <c r="ED134" s="56">
        <v>1344395</v>
      </c>
      <c r="EE134" s="56">
        <v>1352122</v>
      </c>
      <c r="EF134" s="56">
        <v>1359535</v>
      </c>
      <c r="EG134" s="56">
        <v>1366547</v>
      </c>
      <c r="EH134" s="56">
        <v>1374024</v>
      </c>
      <c r="EI134" s="56">
        <v>1381161</v>
      </c>
      <c r="EJ134" s="56">
        <v>1387951</v>
      </c>
      <c r="EK134" s="56">
        <v>1394388</v>
      </c>
      <c r="EL134" s="56">
        <v>1400468</v>
      </c>
      <c r="EM134" s="56">
        <v>1402352</v>
      </c>
      <c r="EN134" s="56">
        <v>1403862</v>
      </c>
      <c r="EO134" s="56">
        <v>1404995</v>
      </c>
      <c r="EP134" s="56">
        <v>1405880</v>
      </c>
      <c r="EQ134" s="56">
        <v>1406126</v>
      </c>
      <c r="ER134" s="56">
        <v>1402979</v>
      </c>
      <c r="ES134" s="56">
        <v>1399574</v>
      </c>
      <c r="ET134" s="56">
        <v>1395902</v>
      </c>
      <c r="EU134" s="56">
        <v>1391977</v>
      </c>
      <c r="EV134" s="56">
        <v>1387795</v>
      </c>
    </row>
    <row r="135" spans="1:152">
      <c r="A135" s="52">
        <v>22</v>
      </c>
      <c r="B135" s="38">
        <v>229514</v>
      </c>
      <c r="C135" s="38">
        <v>233245</v>
      </c>
      <c r="D135" s="38">
        <v>236973</v>
      </c>
      <c r="E135" s="38">
        <v>240695</v>
      </c>
      <c r="F135" s="38">
        <v>244418</v>
      </c>
      <c r="G135" s="38">
        <v>248105</v>
      </c>
      <c r="H135" s="38">
        <v>253081</v>
      </c>
      <c r="I135" s="38">
        <v>258052</v>
      </c>
      <c r="J135" s="38">
        <v>263013</v>
      </c>
      <c r="K135" s="38">
        <v>267954</v>
      </c>
      <c r="L135" s="38">
        <v>272900</v>
      </c>
      <c r="M135" s="38">
        <v>272800</v>
      </c>
      <c r="N135" s="38">
        <v>272668</v>
      </c>
      <c r="O135" s="38">
        <v>272502</v>
      </c>
      <c r="P135" s="38">
        <v>272296</v>
      </c>
      <c r="Q135" s="38">
        <v>272064</v>
      </c>
      <c r="R135" s="38">
        <v>272710</v>
      </c>
      <c r="S135" s="38">
        <v>273303</v>
      </c>
      <c r="T135" s="38">
        <v>273844</v>
      </c>
      <c r="U135" s="38">
        <v>274331</v>
      </c>
      <c r="V135" s="38">
        <v>274760</v>
      </c>
      <c r="W135" s="38">
        <v>276728</v>
      </c>
      <c r="X135" s="38">
        <v>278634</v>
      </c>
      <c r="Y135" s="38">
        <v>280476</v>
      </c>
      <c r="Z135" s="38">
        <v>282257</v>
      </c>
      <c r="AA135" s="38">
        <v>283957</v>
      </c>
      <c r="AB135" s="38">
        <v>285634</v>
      </c>
      <c r="AC135" s="38">
        <v>287242</v>
      </c>
      <c r="CM135" s="45" t="s">
        <v>63</v>
      </c>
      <c r="CN135" s="56">
        <v>612028</v>
      </c>
      <c r="CO135" s="56">
        <v>630462</v>
      </c>
      <c r="CP135" s="56">
        <v>648906</v>
      </c>
      <c r="CQ135" s="56">
        <v>667345</v>
      </c>
      <c r="CR135" s="56">
        <v>685765</v>
      </c>
      <c r="CS135" s="56">
        <v>704158</v>
      </c>
      <c r="CT135" s="56">
        <v>732670</v>
      </c>
      <c r="CU135" s="56">
        <v>761118</v>
      </c>
      <c r="CV135" s="56">
        <v>789481</v>
      </c>
      <c r="CW135" s="56">
        <v>817864</v>
      </c>
      <c r="CX135" s="56">
        <v>845863</v>
      </c>
      <c r="CY135" s="56">
        <v>858974</v>
      </c>
      <c r="CZ135" s="56">
        <v>872071</v>
      </c>
      <c r="DA135" s="56">
        <v>885145</v>
      </c>
      <c r="DB135" s="56">
        <v>898224</v>
      </c>
      <c r="DC135" s="56">
        <v>911175</v>
      </c>
      <c r="DD135" s="56">
        <v>919453</v>
      </c>
      <c r="DE135" s="56">
        <v>927707</v>
      </c>
      <c r="DF135" s="56">
        <v>935928</v>
      </c>
      <c r="DG135" s="56">
        <v>944075</v>
      </c>
      <c r="DH135" s="56">
        <v>952240</v>
      </c>
      <c r="DI135" s="56">
        <v>981664</v>
      </c>
      <c r="DJ135" s="56">
        <v>1010984</v>
      </c>
      <c r="DK135" s="56">
        <v>1040183</v>
      </c>
      <c r="DL135" s="56">
        <v>1069220</v>
      </c>
      <c r="DM135" s="56">
        <v>1098141</v>
      </c>
      <c r="DN135" s="56">
        <v>1119246</v>
      </c>
      <c r="DO135" s="56">
        <v>1140149</v>
      </c>
      <c r="DP135" s="56">
        <v>1160834</v>
      </c>
      <c r="DQ135" s="56">
        <v>1181290</v>
      </c>
      <c r="DR135" s="56">
        <v>1201486</v>
      </c>
      <c r="DS135" s="56">
        <v>1222994</v>
      </c>
      <c r="DT135" s="56">
        <v>1244235</v>
      </c>
      <c r="DU135" s="56">
        <v>1265193</v>
      </c>
      <c r="DV135" s="56">
        <v>1285872</v>
      </c>
      <c r="DW135" s="56">
        <v>1306180</v>
      </c>
      <c r="DX135" s="56">
        <v>1307842</v>
      </c>
      <c r="DY135" s="56">
        <v>1309185</v>
      </c>
      <c r="DZ135" s="56">
        <v>1310204</v>
      </c>
      <c r="EA135" s="56">
        <v>1310928</v>
      </c>
      <c r="EB135" s="56">
        <v>1311259</v>
      </c>
      <c r="EC135" s="56">
        <v>1314244</v>
      </c>
      <c r="ED135" s="56">
        <v>1316903</v>
      </c>
      <c r="EE135" s="56">
        <v>1319234</v>
      </c>
      <c r="EF135" s="56">
        <v>1321257</v>
      </c>
      <c r="EG135" s="56">
        <v>1322898</v>
      </c>
      <c r="EH135" s="56">
        <v>1331332</v>
      </c>
      <c r="EI135" s="56">
        <v>1339437</v>
      </c>
      <c r="EJ135" s="56">
        <v>1347205</v>
      </c>
      <c r="EK135" s="56">
        <v>1354631</v>
      </c>
      <c r="EL135" s="56">
        <v>1361710</v>
      </c>
      <c r="EM135" s="56">
        <v>1369267</v>
      </c>
      <c r="EN135" s="56">
        <v>1376463</v>
      </c>
      <c r="EO135" s="56">
        <v>1383290</v>
      </c>
      <c r="EP135" s="56">
        <v>1389873</v>
      </c>
      <c r="EQ135" s="56">
        <v>1395818</v>
      </c>
      <c r="ER135" s="56">
        <v>1397515</v>
      </c>
      <c r="ES135" s="56">
        <v>1398955</v>
      </c>
      <c r="ET135" s="56">
        <v>1400138</v>
      </c>
      <c r="EU135" s="56">
        <v>1401059</v>
      </c>
      <c r="EV135" s="56">
        <v>1401725</v>
      </c>
    </row>
    <row r="136" spans="1:152">
      <c r="A136" s="52">
        <v>23</v>
      </c>
      <c r="B136" s="38">
        <v>222579</v>
      </c>
      <c r="C136" s="38">
        <v>226731</v>
      </c>
      <c r="D136" s="38">
        <v>230880</v>
      </c>
      <c r="E136" s="38">
        <v>235023</v>
      </c>
      <c r="F136" s="38">
        <v>239167</v>
      </c>
      <c r="G136" s="38">
        <v>243276</v>
      </c>
      <c r="H136" s="38">
        <v>248380</v>
      </c>
      <c r="I136" s="38">
        <v>253477</v>
      </c>
      <c r="J136" s="38">
        <v>258566</v>
      </c>
      <c r="K136" s="38">
        <v>263634</v>
      </c>
      <c r="L136" s="38">
        <v>268707</v>
      </c>
      <c r="M136" s="38">
        <v>269370</v>
      </c>
      <c r="N136" s="38">
        <v>270002</v>
      </c>
      <c r="O136" s="38">
        <v>270601</v>
      </c>
      <c r="P136" s="38">
        <v>271159</v>
      </c>
      <c r="Q136" s="38">
        <v>271691</v>
      </c>
      <c r="R136" s="38">
        <v>272099</v>
      </c>
      <c r="S136" s="38">
        <v>272455</v>
      </c>
      <c r="T136" s="38">
        <v>272757</v>
      </c>
      <c r="U136" s="38">
        <v>273007</v>
      </c>
      <c r="V136" s="38">
        <v>273198</v>
      </c>
      <c r="W136" s="38">
        <v>274977</v>
      </c>
      <c r="X136" s="38">
        <v>276693</v>
      </c>
      <c r="Y136" s="38">
        <v>278346</v>
      </c>
      <c r="Z136" s="38">
        <v>279939</v>
      </c>
      <c r="AA136" s="38">
        <v>281452</v>
      </c>
      <c r="AB136" s="38">
        <v>283278</v>
      </c>
      <c r="AC136" s="38">
        <v>285036</v>
      </c>
      <c r="CM136" s="45" t="s">
        <v>64</v>
      </c>
      <c r="CN136" s="56">
        <v>497557</v>
      </c>
      <c r="CO136" s="56">
        <v>519317</v>
      </c>
      <c r="CP136" s="56">
        <v>541086</v>
      </c>
      <c r="CQ136" s="56">
        <v>562851</v>
      </c>
      <c r="CR136" s="56">
        <v>584600</v>
      </c>
      <c r="CS136" s="56">
        <v>606330</v>
      </c>
      <c r="CT136" s="56">
        <v>624831</v>
      </c>
      <c r="CU136" s="56">
        <v>643274</v>
      </c>
      <c r="CV136" s="56">
        <v>661646</v>
      </c>
      <c r="CW136" s="56">
        <v>680034</v>
      </c>
      <c r="CX136" s="56">
        <v>698101</v>
      </c>
      <c r="CY136" s="56">
        <v>726321</v>
      </c>
      <c r="CZ136" s="56">
        <v>754531</v>
      </c>
      <c r="DA136" s="56">
        <v>782723</v>
      </c>
      <c r="DB136" s="56">
        <v>810919</v>
      </c>
      <c r="DC136" s="56">
        <v>839003</v>
      </c>
      <c r="DD136" s="56">
        <v>852136</v>
      </c>
      <c r="DE136" s="56">
        <v>865248</v>
      </c>
      <c r="DF136" s="56">
        <v>878329</v>
      </c>
      <c r="DG136" s="56">
        <v>891341</v>
      </c>
      <c r="DH136" s="56">
        <v>904351</v>
      </c>
      <c r="DI136" s="56">
        <v>912835</v>
      </c>
      <c r="DJ136" s="56">
        <v>921213</v>
      </c>
      <c r="DK136" s="56">
        <v>929479</v>
      </c>
      <c r="DL136" s="56">
        <v>937604</v>
      </c>
      <c r="DM136" s="56">
        <v>945641</v>
      </c>
      <c r="DN136" s="56">
        <v>975110</v>
      </c>
      <c r="DO136" s="56">
        <v>1004411</v>
      </c>
      <c r="DP136" s="56">
        <v>1033522</v>
      </c>
      <c r="DQ136" s="56">
        <v>1062426</v>
      </c>
      <c r="DR136" s="56">
        <v>1091080</v>
      </c>
      <c r="DS136" s="56">
        <v>1112242</v>
      </c>
      <c r="DT136" s="56">
        <v>1133161</v>
      </c>
      <c r="DU136" s="56">
        <v>1153824</v>
      </c>
      <c r="DV136" s="56">
        <v>1174232</v>
      </c>
      <c r="DW136" s="56">
        <v>1194301</v>
      </c>
      <c r="DX136" s="56">
        <v>1215820</v>
      </c>
      <c r="DY136" s="56">
        <v>1237057</v>
      </c>
      <c r="DZ136" s="56">
        <v>1257992</v>
      </c>
      <c r="EA136" s="56">
        <v>1278640</v>
      </c>
      <c r="EB136" s="56">
        <v>1298891</v>
      </c>
      <c r="EC136" s="56">
        <v>1300646</v>
      </c>
      <c r="ED136" s="56">
        <v>1302078</v>
      </c>
      <c r="EE136" s="56">
        <v>1303185</v>
      </c>
      <c r="EF136" s="56">
        <v>1303989</v>
      </c>
      <c r="EG136" s="56">
        <v>1304415</v>
      </c>
      <c r="EH136" s="56">
        <v>1307478</v>
      </c>
      <c r="EI136" s="56">
        <v>1310214</v>
      </c>
      <c r="EJ136" s="56">
        <v>1312619</v>
      </c>
      <c r="EK136" s="56">
        <v>1314693</v>
      </c>
      <c r="EL136" s="56">
        <v>1316429</v>
      </c>
      <c r="EM136" s="56">
        <v>1324938</v>
      </c>
      <c r="EN136" s="56">
        <v>1333098</v>
      </c>
      <c r="EO136" s="56">
        <v>1340902</v>
      </c>
      <c r="EP136" s="56">
        <v>1348470</v>
      </c>
      <c r="EQ136" s="56">
        <v>1355419</v>
      </c>
      <c r="ER136" s="56">
        <v>1362777</v>
      </c>
      <c r="ES136" s="56">
        <v>1369887</v>
      </c>
      <c r="ET136" s="56">
        <v>1376744</v>
      </c>
      <c r="EU136" s="56">
        <v>1383347</v>
      </c>
      <c r="EV136" s="56">
        <v>1389691</v>
      </c>
    </row>
    <row r="137" spans="1:152">
      <c r="A137" s="52">
        <v>24</v>
      </c>
      <c r="B137" s="38">
        <v>214708</v>
      </c>
      <c r="C137" s="38">
        <v>219599</v>
      </c>
      <c r="D137" s="38">
        <v>224488</v>
      </c>
      <c r="E137" s="38">
        <v>229370</v>
      </c>
      <c r="F137" s="38">
        <v>234254</v>
      </c>
      <c r="G137" s="38">
        <v>239103</v>
      </c>
      <c r="H137" s="38">
        <v>243883</v>
      </c>
      <c r="I137" s="38">
        <v>248657</v>
      </c>
      <c r="J137" s="38">
        <v>253422</v>
      </c>
      <c r="K137" s="38">
        <v>258167</v>
      </c>
      <c r="L137" s="38">
        <v>262916</v>
      </c>
      <c r="M137" s="38">
        <v>264703</v>
      </c>
      <c r="N137" s="38">
        <v>266460</v>
      </c>
      <c r="O137" s="38">
        <v>268184</v>
      </c>
      <c r="P137" s="38">
        <v>269867</v>
      </c>
      <c r="Q137" s="38">
        <v>271524</v>
      </c>
      <c r="R137" s="38">
        <v>271737</v>
      </c>
      <c r="S137" s="38">
        <v>271898</v>
      </c>
      <c r="T137" s="38">
        <v>272006</v>
      </c>
      <c r="U137" s="38">
        <v>272061</v>
      </c>
      <c r="V137" s="38">
        <v>272058</v>
      </c>
      <c r="W137" s="38">
        <v>273551</v>
      </c>
      <c r="X137" s="38">
        <v>274983</v>
      </c>
      <c r="Y137" s="38">
        <v>276351</v>
      </c>
      <c r="Z137" s="38">
        <v>277659</v>
      </c>
      <c r="AA137" s="38">
        <v>278889</v>
      </c>
      <c r="AB137" s="38">
        <v>280810</v>
      </c>
      <c r="AC137" s="38">
        <v>282663</v>
      </c>
      <c r="CM137" s="45" t="s">
        <v>65</v>
      </c>
      <c r="CN137" s="56">
        <v>380100</v>
      </c>
      <c r="CO137" s="56">
        <v>402222</v>
      </c>
      <c r="CP137" s="56">
        <v>424349</v>
      </c>
      <c r="CQ137" s="56">
        <v>446475</v>
      </c>
      <c r="CR137" s="56">
        <v>468588</v>
      </c>
      <c r="CS137" s="56">
        <v>490661</v>
      </c>
      <c r="CT137" s="56">
        <v>512379</v>
      </c>
      <c r="CU137" s="56">
        <v>534051</v>
      </c>
      <c r="CV137" s="56">
        <v>555665</v>
      </c>
      <c r="CW137" s="56">
        <v>577294</v>
      </c>
      <c r="CX137" s="56">
        <v>598643</v>
      </c>
      <c r="CY137" s="56">
        <v>616909</v>
      </c>
      <c r="CZ137" s="56">
        <v>635168</v>
      </c>
      <c r="DA137" s="56">
        <v>653410</v>
      </c>
      <c r="DB137" s="56">
        <v>671656</v>
      </c>
      <c r="DC137" s="56">
        <v>689802</v>
      </c>
      <c r="DD137" s="56">
        <v>717848</v>
      </c>
      <c r="DE137" s="56">
        <v>745877</v>
      </c>
      <c r="DF137" s="56">
        <v>773880</v>
      </c>
      <c r="DG137" s="56">
        <v>801823</v>
      </c>
      <c r="DH137" s="56">
        <v>829766</v>
      </c>
      <c r="DI137" s="56">
        <v>843046</v>
      </c>
      <c r="DJ137" s="56">
        <v>856232</v>
      </c>
      <c r="DK137" s="56">
        <v>869313</v>
      </c>
      <c r="DL137" s="56">
        <v>882262</v>
      </c>
      <c r="DM137" s="56">
        <v>895126</v>
      </c>
      <c r="DN137" s="56">
        <v>903789</v>
      </c>
      <c r="DO137" s="56">
        <v>912284</v>
      </c>
      <c r="DP137" s="56">
        <v>920603</v>
      </c>
      <c r="DQ137" s="56">
        <v>928741</v>
      </c>
      <c r="DR137" s="56">
        <v>936676</v>
      </c>
      <c r="DS137" s="56">
        <v>966075</v>
      </c>
      <c r="DT137" s="56">
        <v>995273</v>
      </c>
      <c r="DU137" s="56">
        <v>1024246</v>
      </c>
      <c r="DV137" s="56">
        <v>1052993</v>
      </c>
      <c r="DW137" s="56">
        <v>1081424</v>
      </c>
      <c r="DX137" s="56">
        <v>1102569</v>
      </c>
      <c r="DY137" s="56">
        <v>1123459</v>
      </c>
      <c r="DZ137" s="56">
        <v>1144076</v>
      </c>
      <c r="EA137" s="56">
        <v>1164432</v>
      </c>
      <c r="EB137" s="56">
        <v>1184424</v>
      </c>
      <c r="EC137" s="56">
        <v>1205904</v>
      </c>
      <c r="ED137" s="56">
        <v>1227101</v>
      </c>
      <c r="EE137" s="56">
        <v>1247996</v>
      </c>
      <c r="EF137" s="56">
        <v>1268596</v>
      </c>
      <c r="EG137" s="56">
        <v>1288812</v>
      </c>
      <c r="EH137" s="56">
        <v>1290679</v>
      </c>
      <c r="EI137" s="56">
        <v>1292223</v>
      </c>
      <c r="EJ137" s="56">
        <v>1293440</v>
      </c>
      <c r="EK137" s="56">
        <v>1294331</v>
      </c>
      <c r="EL137" s="56">
        <v>1294892</v>
      </c>
      <c r="EM137" s="56">
        <v>1298077</v>
      </c>
      <c r="EN137" s="56">
        <v>1300915</v>
      </c>
      <c r="EO137" s="56">
        <v>1303406</v>
      </c>
      <c r="EP137" s="56">
        <v>1305666</v>
      </c>
      <c r="EQ137" s="56">
        <v>1307332</v>
      </c>
      <c r="ER137" s="56">
        <v>1315655</v>
      </c>
      <c r="ES137" s="56">
        <v>1323738</v>
      </c>
      <c r="ET137" s="56">
        <v>1331579</v>
      </c>
      <c r="EU137" s="56">
        <v>1339172</v>
      </c>
      <c r="EV137" s="56">
        <v>1346513</v>
      </c>
    </row>
    <row r="138" spans="1:152">
      <c r="A138" s="53" t="s">
        <v>88</v>
      </c>
      <c r="B138" s="46">
        <v>0</v>
      </c>
      <c r="C138" s="46">
        <v>0</v>
      </c>
      <c r="D138" s="46">
        <v>0</v>
      </c>
      <c r="E138" s="46">
        <v>0</v>
      </c>
      <c r="F138" s="46">
        <v>0</v>
      </c>
      <c r="G138" s="46">
        <v>0</v>
      </c>
      <c r="H138" s="46">
        <v>0</v>
      </c>
      <c r="I138" s="46">
        <v>0</v>
      </c>
      <c r="J138" s="46">
        <v>0</v>
      </c>
      <c r="K138" s="46">
        <v>0</v>
      </c>
      <c r="L138" s="46">
        <v>0</v>
      </c>
      <c r="M138" s="46">
        <v>0</v>
      </c>
      <c r="N138" s="46">
        <v>0</v>
      </c>
      <c r="O138" s="46">
        <v>0</v>
      </c>
      <c r="P138" s="46">
        <v>0</v>
      </c>
      <c r="Q138" s="46">
        <v>0</v>
      </c>
      <c r="R138" s="46">
        <v>0</v>
      </c>
      <c r="S138" s="46">
        <v>0</v>
      </c>
      <c r="T138" s="46">
        <v>0</v>
      </c>
      <c r="U138" s="46">
        <v>0</v>
      </c>
      <c r="V138" s="46">
        <v>0</v>
      </c>
      <c r="W138" s="46">
        <v>0</v>
      </c>
      <c r="X138" s="46">
        <v>0</v>
      </c>
      <c r="Y138" s="46">
        <v>0</v>
      </c>
      <c r="Z138" s="46">
        <v>0</v>
      </c>
      <c r="AA138" s="46">
        <v>0</v>
      </c>
      <c r="AB138" s="46">
        <v>0</v>
      </c>
      <c r="AC138" s="46">
        <v>0</v>
      </c>
      <c r="CM138" s="45" t="s">
        <v>66</v>
      </c>
      <c r="CN138" s="56">
        <v>296117</v>
      </c>
      <c r="CO138" s="56">
        <v>311340</v>
      </c>
      <c r="CP138" s="56">
        <v>326568</v>
      </c>
      <c r="CQ138" s="56">
        <v>341794</v>
      </c>
      <c r="CR138" s="56">
        <v>357010</v>
      </c>
      <c r="CS138" s="56">
        <v>372217</v>
      </c>
      <c r="CT138" s="56">
        <v>394161</v>
      </c>
      <c r="CU138" s="56">
        <v>416072</v>
      </c>
      <c r="CV138" s="56">
        <v>437938</v>
      </c>
      <c r="CW138" s="56">
        <v>459816</v>
      </c>
      <c r="CX138" s="56">
        <v>481483</v>
      </c>
      <c r="CY138" s="56">
        <v>502860</v>
      </c>
      <c r="CZ138" s="56">
        <v>524230</v>
      </c>
      <c r="DA138" s="56">
        <v>545586</v>
      </c>
      <c r="DB138" s="56">
        <v>566946</v>
      </c>
      <c r="DC138" s="56">
        <v>588238</v>
      </c>
      <c r="DD138" s="56">
        <v>606369</v>
      </c>
      <c r="DE138" s="56">
        <v>624485</v>
      </c>
      <c r="DF138" s="56">
        <v>642579</v>
      </c>
      <c r="DG138" s="56">
        <v>660622</v>
      </c>
      <c r="DH138" s="56">
        <v>678675</v>
      </c>
      <c r="DI138" s="56">
        <v>706581</v>
      </c>
      <c r="DJ138" s="56">
        <v>734414</v>
      </c>
      <c r="DK138" s="56">
        <v>762161</v>
      </c>
      <c r="DL138" s="56">
        <v>789789</v>
      </c>
      <c r="DM138" s="56">
        <v>817336</v>
      </c>
      <c r="DN138" s="56">
        <v>830715</v>
      </c>
      <c r="DO138" s="56">
        <v>843943</v>
      </c>
      <c r="DP138" s="56">
        <v>857010</v>
      </c>
      <c r="DQ138" s="56">
        <v>869907</v>
      </c>
      <c r="DR138" s="56">
        <v>882621</v>
      </c>
      <c r="DS138" s="56">
        <v>891398</v>
      </c>
      <c r="DT138" s="56">
        <v>899975</v>
      </c>
      <c r="DU138" s="56">
        <v>908346</v>
      </c>
      <c r="DV138" s="56">
        <v>916519</v>
      </c>
      <c r="DW138" s="56">
        <v>924433</v>
      </c>
      <c r="DX138" s="56">
        <v>953654</v>
      </c>
      <c r="DY138" s="56">
        <v>982662</v>
      </c>
      <c r="DZ138" s="56">
        <v>1011434</v>
      </c>
      <c r="EA138" s="56">
        <v>1039972</v>
      </c>
      <c r="EB138" s="56">
        <v>1068176</v>
      </c>
      <c r="EC138" s="56">
        <v>1089242</v>
      </c>
      <c r="ED138" s="56">
        <v>1110051</v>
      </c>
      <c r="EE138" s="56">
        <v>1130589</v>
      </c>
      <c r="EF138" s="56">
        <v>1150858</v>
      </c>
      <c r="EG138" s="56">
        <v>1170779</v>
      </c>
      <c r="EH138" s="56">
        <v>1192188</v>
      </c>
      <c r="EI138" s="56">
        <v>1213311</v>
      </c>
      <c r="EJ138" s="56">
        <v>1234135</v>
      </c>
      <c r="EK138" s="56">
        <v>1254642</v>
      </c>
      <c r="EL138" s="56">
        <v>1274815</v>
      </c>
      <c r="EM138" s="56">
        <v>1276845</v>
      </c>
      <c r="EN138" s="56">
        <v>1278534</v>
      </c>
      <c r="EO138" s="56">
        <v>1279880</v>
      </c>
      <c r="EP138" s="56">
        <v>1281001</v>
      </c>
      <c r="EQ138" s="56">
        <v>1281542</v>
      </c>
      <c r="ER138" s="56">
        <v>1284605</v>
      </c>
      <c r="ES138" s="56">
        <v>1287432</v>
      </c>
      <c r="ET138" s="56">
        <v>1290022</v>
      </c>
      <c r="EU138" s="56">
        <v>1292372</v>
      </c>
      <c r="EV138" s="56">
        <v>1294481</v>
      </c>
    </row>
    <row r="139" spans="1:152">
      <c r="A139" s="53">
        <v>25</v>
      </c>
      <c r="B139" s="38">
        <v>206327</v>
      </c>
      <c r="C139" s="38">
        <v>212122</v>
      </c>
      <c r="D139" s="38">
        <v>217915</v>
      </c>
      <c r="E139" s="38">
        <v>223701</v>
      </c>
      <c r="F139" s="38">
        <v>229491</v>
      </c>
      <c r="G139" s="38">
        <v>235244</v>
      </c>
      <c r="H139" s="38">
        <v>239480</v>
      </c>
      <c r="I139" s="38">
        <v>243711</v>
      </c>
      <c r="J139" s="38">
        <v>247933</v>
      </c>
      <c r="K139" s="38">
        <v>252134</v>
      </c>
      <c r="L139" s="38">
        <v>256340</v>
      </c>
      <c r="M139" s="38">
        <v>259448</v>
      </c>
      <c r="N139" s="38">
        <v>262528</v>
      </c>
      <c r="O139" s="38">
        <v>265575</v>
      </c>
      <c r="P139" s="38">
        <v>268582</v>
      </c>
      <c r="Q139" s="38">
        <v>271562</v>
      </c>
      <c r="R139" s="38">
        <v>271513</v>
      </c>
      <c r="S139" s="38">
        <v>271413</v>
      </c>
      <c r="T139" s="38">
        <v>271260</v>
      </c>
      <c r="U139" s="38">
        <v>271055</v>
      </c>
      <c r="V139" s="38">
        <v>270790</v>
      </c>
      <c r="W139" s="38">
        <v>272002</v>
      </c>
      <c r="X139" s="38">
        <v>273150</v>
      </c>
      <c r="Y139" s="38">
        <v>274236</v>
      </c>
      <c r="Z139" s="38">
        <v>275263</v>
      </c>
      <c r="AA139" s="38">
        <v>276211</v>
      </c>
      <c r="AB139" s="38">
        <v>278221</v>
      </c>
      <c r="AC139" s="38">
        <v>280164</v>
      </c>
      <c r="CM139" s="45" t="s">
        <v>67</v>
      </c>
      <c r="CN139" s="56">
        <v>249561</v>
      </c>
      <c r="CO139" s="56">
        <v>256980</v>
      </c>
      <c r="CP139" s="56">
        <v>264403</v>
      </c>
      <c r="CQ139" s="56">
        <v>271824</v>
      </c>
      <c r="CR139" s="56">
        <v>279238</v>
      </c>
      <c r="CS139" s="56">
        <v>286627</v>
      </c>
      <c r="CT139" s="56">
        <v>301700</v>
      </c>
      <c r="CU139" s="56">
        <v>316748</v>
      </c>
      <c r="CV139" s="56">
        <v>331760</v>
      </c>
      <c r="CW139" s="56">
        <v>346782</v>
      </c>
      <c r="CX139" s="56">
        <v>361646</v>
      </c>
      <c r="CY139" s="56">
        <v>383126</v>
      </c>
      <c r="CZ139" s="56">
        <v>404601</v>
      </c>
      <c r="DA139" s="56">
        <v>426066</v>
      </c>
      <c r="DB139" s="56">
        <v>447535</v>
      </c>
      <c r="DC139" s="56">
        <v>468938</v>
      </c>
      <c r="DD139" s="56">
        <v>489983</v>
      </c>
      <c r="DE139" s="56">
        <v>511018</v>
      </c>
      <c r="DF139" s="56">
        <v>532034</v>
      </c>
      <c r="DG139" s="56">
        <v>553008</v>
      </c>
      <c r="DH139" s="56">
        <v>573990</v>
      </c>
      <c r="DI139" s="56">
        <v>592013</v>
      </c>
      <c r="DJ139" s="56">
        <v>609975</v>
      </c>
      <c r="DK139" s="56">
        <v>627863</v>
      </c>
      <c r="DL139" s="56">
        <v>645653</v>
      </c>
      <c r="DM139" s="56">
        <v>663385</v>
      </c>
      <c r="DN139" s="56">
        <v>691003</v>
      </c>
      <c r="DO139" s="56">
        <v>718504</v>
      </c>
      <c r="DP139" s="56">
        <v>745872</v>
      </c>
      <c r="DQ139" s="56">
        <v>773089</v>
      </c>
      <c r="DR139" s="56">
        <v>800131</v>
      </c>
      <c r="DS139" s="56">
        <v>813527</v>
      </c>
      <c r="DT139" s="56">
        <v>826744</v>
      </c>
      <c r="DU139" s="56">
        <v>839772</v>
      </c>
      <c r="DV139" s="56">
        <v>852617</v>
      </c>
      <c r="DW139" s="56">
        <v>865216</v>
      </c>
      <c r="DX139" s="56">
        <v>874067</v>
      </c>
      <c r="DY139" s="56">
        <v>882710</v>
      </c>
      <c r="DZ139" s="56">
        <v>891137</v>
      </c>
      <c r="EA139" s="56">
        <v>899362</v>
      </c>
      <c r="EB139" s="56">
        <v>907313</v>
      </c>
      <c r="EC139" s="56">
        <v>936224</v>
      </c>
      <c r="ED139" s="56">
        <v>964923</v>
      </c>
      <c r="EE139" s="56">
        <v>993388</v>
      </c>
      <c r="EF139" s="56">
        <v>1021616</v>
      </c>
      <c r="EG139" s="56">
        <v>1049526</v>
      </c>
      <c r="EH139" s="56">
        <v>1070453</v>
      </c>
      <c r="EI139" s="56">
        <v>1091126</v>
      </c>
      <c r="EJ139" s="56">
        <v>1111529</v>
      </c>
      <c r="EK139" s="56">
        <v>1131646</v>
      </c>
      <c r="EL139" s="56">
        <v>1151461</v>
      </c>
      <c r="EM139" s="56">
        <v>1172764</v>
      </c>
      <c r="EN139" s="56">
        <v>1193768</v>
      </c>
      <c r="EO139" s="56">
        <v>1214457</v>
      </c>
      <c r="EP139" s="56">
        <v>1234930</v>
      </c>
      <c r="EQ139" s="56">
        <v>1254826</v>
      </c>
      <c r="ER139" s="56">
        <v>1256795</v>
      </c>
      <c r="ES139" s="56">
        <v>1258532</v>
      </c>
      <c r="ET139" s="56">
        <v>1260037</v>
      </c>
      <c r="EU139" s="56">
        <v>1261309</v>
      </c>
      <c r="EV139" s="56">
        <v>1262345</v>
      </c>
    </row>
    <row r="140" spans="1:152">
      <c r="A140" s="53">
        <v>26</v>
      </c>
      <c r="B140" s="38">
        <v>198695</v>
      </c>
      <c r="C140" s="38">
        <v>205148</v>
      </c>
      <c r="D140" s="38">
        <v>211598</v>
      </c>
      <c r="E140" s="38">
        <v>218042</v>
      </c>
      <c r="F140" s="38">
        <v>224487</v>
      </c>
      <c r="G140" s="38">
        <v>230899</v>
      </c>
      <c r="H140" s="38">
        <v>234727</v>
      </c>
      <c r="I140" s="38">
        <v>238550</v>
      </c>
      <c r="J140" s="38">
        <v>242364</v>
      </c>
      <c r="K140" s="38">
        <v>246160</v>
      </c>
      <c r="L140" s="38">
        <v>249958</v>
      </c>
      <c r="M140" s="38">
        <v>254234</v>
      </c>
      <c r="N140" s="38">
        <v>258482</v>
      </c>
      <c r="O140" s="38">
        <v>262699</v>
      </c>
      <c r="P140" s="38">
        <v>266875</v>
      </c>
      <c r="Q140" s="38">
        <v>271025</v>
      </c>
      <c r="R140" s="38">
        <v>270810</v>
      </c>
      <c r="S140" s="38">
        <v>270543</v>
      </c>
      <c r="T140" s="38">
        <v>270223</v>
      </c>
      <c r="U140" s="38">
        <v>269850</v>
      </c>
      <c r="V140" s="38">
        <v>269419</v>
      </c>
      <c r="W140" s="38">
        <v>270387</v>
      </c>
      <c r="X140" s="38">
        <v>271294</v>
      </c>
      <c r="Y140" s="38">
        <v>272138</v>
      </c>
      <c r="Z140" s="38">
        <v>272922</v>
      </c>
      <c r="AA140" s="38">
        <v>273631</v>
      </c>
      <c r="AB140" s="38">
        <v>275699</v>
      </c>
      <c r="AC140" s="38">
        <v>277700</v>
      </c>
      <c r="CM140" s="45" t="s">
        <v>68</v>
      </c>
      <c r="CN140" s="56">
        <v>209447</v>
      </c>
      <c r="CO140" s="56">
        <v>215012</v>
      </c>
      <c r="CP140" s="56">
        <v>220579</v>
      </c>
      <c r="CQ140" s="56">
        <v>226145</v>
      </c>
      <c r="CR140" s="56">
        <v>231705</v>
      </c>
      <c r="CS140" s="56">
        <v>237263</v>
      </c>
      <c r="CT140" s="56">
        <v>244674</v>
      </c>
      <c r="CU140" s="56">
        <v>252061</v>
      </c>
      <c r="CV140" s="56">
        <v>259422</v>
      </c>
      <c r="CW140" s="56">
        <v>266788</v>
      </c>
      <c r="CX140" s="56">
        <v>274035</v>
      </c>
      <c r="CY140" s="56">
        <v>288645</v>
      </c>
      <c r="CZ140" s="56">
        <v>303250</v>
      </c>
      <c r="DA140" s="56">
        <v>317848</v>
      </c>
      <c r="DB140" s="56">
        <v>332449</v>
      </c>
      <c r="DC140" s="56">
        <v>347003</v>
      </c>
      <c r="DD140" s="56">
        <v>367885</v>
      </c>
      <c r="DE140" s="56">
        <v>388759</v>
      </c>
      <c r="DF140" s="56">
        <v>409619</v>
      </c>
      <c r="DG140" s="56">
        <v>430446</v>
      </c>
      <c r="DH140" s="56">
        <v>451278</v>
      </c>
      <c r="DI140" s="56">
        <v>471913</v>
      </c>
      <c r="DJ140" s="56">
        <v>492500</v>
      </c>
      <c r="DK140" s="56">
        <v>513029</v>
      </c>
      <c r="DL140" s="56">
        <v>533478</v>
      </c>
      <c r="DM140" s="56">
        <v>553861</v>
      </c>
      <c r="DN140" s="56">
        <v>571638</v>
      </c>
      <c r="DO140" s="56">
        <v>589316</v>
      </c>
      <c r="DP140" s="56">
        <v>606884</v>
      </c>
      <c r="DQ140" s="56">
        <v>624329</v>
      </c>
      <c r="DR140" s="56">
        <v>641639</v>
      </c>
      <c r="DS140" s="56">
        <v>668729</v>
      </c>
      <c r="DT140" s="56">
        <v>695685</v>
      </c>
      <c r="DU140" s="56">
        <v>722484</v>
      </c>
      <c r="DV140" s="56">
        <v>749122</v>
      </c>
      <c r="DW140" s="56">
        <v>775535</v>
      </c>
      <c r="DX140" s="56">
        <v>788862</v>
      </c>
      <c r="DY140" s="56">
        <v>802005</v>
      </c>
      <c r="DZ140" s="56">
        <v>814953</v>
      </c>
      <c r="EA140" s="56">
        <v>827715</v>
      </c>
      <c r="EB140" s="56">
        <v>840220</v>
      </c>
      <c r="EC140" s="56">
        <v>849118</v>
      </c>
      <c r="ED140" s="56">
        <v>857812</v>
      </c>
      <c r="EE140" s="56">
        <v>866292</v>
      </c>
      <c r="EF140" s="56">
        <v>874571</v>
      </c>
      <c r="EG140" s="56">
        <v>882589</v>
      </c>
      <c r="EH140" s="56">
        <v>911029</v>
      </c>
      <c r="EI140" s="56">
        <v>939261</v>
      </c>
      <c r="EJ140" s="56">
        <v>967263</v>
      </c>
      <c r="EK140" s="56">
        <v>995012</v>
      </c>
      <c r="EL140" s="56">
        <v>1022490</v>
      </c>
      <c r="EM140" s="56">
        <v>1043200</v>
      </c>
      <c r="EN140" s="56">
        <v>1063647</v>
      </c>
      <c r="EO140" s="56">
        <v>1083813</v>
      </c>
      <c r="EP140" s="56">
        <v>1103784</v>
      </c>
      <c r="EQ140" s="56">
        <v>1123239</v>
      </c>
      <c r="ER140" s="56">
        <v>1144099</v>
      </c>
      <c r="ES140" s="56">
        <v>1164758</v>
      </c>
      <c r="ET140" s="56">
        <v>1185208</v>
      </c>
      <c r="EU140" s="56">
        <v>1205433</v>
      </c>
      <c r="EV140" s="56">
        <v>1225426</v>
      </c>
    </row>
    <row r="141" spans="1:152">
      <c r="A141" s="53">
        <v>27</v>
      </c>
      <c r="B141" s="38">
        <v>192943</v>
      </c>
      <c r="C141" s="38">
        <v>199468</v>
      </c>
      <c r="D141" s="38">
        <v>205990</v>
      </c>
      <c r="E141" s="38">
        <v>212507</v>
      </c>
      <c r="F141" s="38">
        <v>219025</v>
      </c>
      <c r="G141" s="38">
        <v>225509</v>
      </c>
      <c r="H141" s="38">
        <v>229256</v>
      </c>
      <c r="I141" s="38">
        <v>232996</v>
      </c>
      <c r="J141" s="38">
        <v>236728</v>
      </c>
      <c r="K141" s="38">
        <v>240441</v>
      </c>
      <c r="L141" s="38">
        <v>244157</v>
      </c>
      <c r="M141" s="38">
        <v>249176</v>
      </c>
      <c r="N141" s="38">
        <v>254168</v>
      </c>
      <c r="O141" s="38">
        <v>259130</v>
      </c>
      <c r="P141" s="38">
        <v>264051</v>
      </c>
      <c r="Q141" s="38">
        <v>268946</v>
      </c>
      <c r="R141" s="38">
        <v>268960</v>
      </c>
      <c r="S141" s="38">
        <v>268922</v>
      </c>
      <c r="T141" s="38">
        <v>268832</v>
      </c>
      <c r="U141" s="38">
        <v>268689</v>
      </c>
      <c r="V141" s="38">
        <v>268488</v>
      </c>
      <c r="W141" s="38">
        <v>269211</v>
      </c>
      <c r="X141" s="38">
        <v>269874</v>
      </c>
      <c r="Y141" s="38">
        <v>270473</v>
      </c>
      <c r="Z141" s="38">
        <v>271014</v>
      </c>
      <c r="AA141" s="38">
        <v>271480</v>
      </c>
      <c r="AB141" s="38">
        <v>273495</v>
      </c>
      <c r="AC141" s="38">
        <v>275445</v>
      </c>
      <c r="CM141" s="45" t="s">
        <v>69</v>
      </c>
      <c r="CN141" s="56">
        <v>153653</v>
      </c>
      <c r="CO141" s="56">
        <v>161663</v>
      </c>
      <c r="CP141" s="56">
        <v>169675</v>
      </c>
      <c r="CQ141" s="56">
        <v>177686</v>
      </c>
      <c r="CR141" s="56">
        <v>185692</v>
      </c>
      <c r="CS141" s="56">
        <v>193677</v>
      </c>
      <c r="CT141" s="56">
        <v>199214</v>
      </c>
      <c r="CU141" s="56">
        <v>204732</v>
      </c>
      <c r="CV141" s="56">
        <v>210227</v>
      </c>
      <c r="CW141" s="56">
        <v>215729</v>
      </c>
      <c r="CX141" s="56">
        <v>221141</v>
      </c>
      <c r="CY141" s="56">
        <v>228271</v>
      </c>
      <c r="CZ141" s="56">
        <v>235397</v>
      </c>
      <c r="DA141" s="56">
        <v>242518</v>
      </c>
      <c r="DB141" s="56">
        <v>249640</v>
      </c>
      <c r="DC141" s="56">
        <v>256722</v>
      </c>
      <c r="DD141" s="56">
        <v>270716</v>
      </c>
      <c r="DE141" s="56">
        <v>284706</v>
      </c>
      <c r="DF141" s="56">
        <v>298685</v>
      </c>
      <c r="DG141" s="56">
        <v>312639</v>
      </c>
      <c r="DH141" s="56">
        <v>326596</v>
      </c>
      <c r="DI141" s="56">
        <v>346672</v>
      </c>
      <c r="DJ141" s="56">
        <v>366715</v>
      </c>
      <c r="DK141" s="56">
        <v>386715</v>
      </c>
      <c r="DL141" s="56">
        <v>406654</v>
      </c>
      <c r="DM141" s="56">
        <v>426539</v>
      </c>
      <c r="DN141" s="56">
        <v>446496</v>
      </c>
      <c r="DO141" s="56">
        <v>466380</v>
      </c>
      <c r="DP141" s="56">
        <v>486176</v>
      </c>
      <c r="DQ141" s="56">
        <v>505875</v>
      </c>
      <c r="DR141" s="56">
        <v>525453</v>
      </c>
      <c r="DS141" s="56">
        <v>542763</v>
      </c>
      <c r="DT141" s="56">
        <v>559962</v>
      </c>
      <c r="DU141" s="56">
        <v>577033</v>
      </c>
      <c r="DV141" s="56">
        <v>593976</v>
      </c>
      <c r="DW141" s="56">
        <v>610744</v>
      </c>
      <c r="DX141" s="56">
        <v>636991</v>
      </c>
      <c r="DY141" s="56">
        <v>663103</v>
      </c>
      <c r="DZ141" s="56">
        <v>689056</v>
      </c>
      <c r="EA141" s="56">
        <v>714849</v>
      </c>
      <c r="EB141" s="56">
        <v>740411</v>
      </c>
      <c r="EC141" s="56">
        <v>753562</v>
      </c>
      <c r="ED141" s="56">
        <v>766536</v>
      </c>
      <c r="EE141" s="56">
        <v>779321</v>
      </c>
      <c r="EF141" s="56">
        <v>791923</v>
      </c>
      <c r="EG141" s="56">
        <v>804284</v>
      </c>
      <c r="EH141" s="56">
        <v>813211</v>
      </c>
      <c r="EI141" s="56">
        <v>821940</v>
      </c>
      <c r="EJ141" s="56">
        <v>830464</v>
      </c>
      <c r="EK141" s="56">
        <v>838777</v>
      </c>
      <c r="EL141" s="56">
        <v>846870</v>
      </c>
      <c r="EM141" s="56">
        <v>874582</v>
      </c>
      <c r="EN141" s="56">
        <v>902082</v>
      </c>
      <c r="EO141" s="56">
        <v>929347</v>
      </c>
      <c r="EP141" s="56">
        <v>956444</v>
      </c>
      <c r="EQ141" s="56">
        <v>983083</v>
      </c>
      <c r="ER141" s="56">
        <v>1003202</v>
      </c>
      <c r="ES141" s="56">
        <v>1023147</v>
      </c>
      <c r="ET141" s="56">
        <v>1042906</v>
      </c>
      <c r="EU141" s="56">
        <v>1062469</v>
      </c>
      <c r="EV141" s="56">
        <v>1081825</v>
      </c>
    </row>
    <row r="142" spans="1:152">
      <c r="A142" s="53">
        <v>28</v>
      </c>
      <c r="B142" s="38">
        <v>189807</v>
      </c>
      <c r="C142" s="38">
        <v>195595</v>
      </c>
      <c r="D142" s="38">
        <v>201380</v>
      </c>
      <c r="E142" s="38">
        <v>207159</v>
      </c>
      <c r="F142" s="38">
        <v>212940</v>
      </c>
      <c r="G142" s="38">
        <v>218688</v>
      </c>
      <c r="H142" s="38">
        <v>222846</v>
      </c>
      <c r="I142" s="38">
        <v>226998</v>
      </c>
      <c r="J142" s="38">
        <v>231142</v>
      </c>
      <c r="K142" s="38">
        <v>235268</v>
      </c>
      <c r="L142" s="38">
        <v>239396</v>
      </c>
      <c r="M142" s="38">
        <v>244539</v>
      </c>
      <c r="N142" s="38">
        <v>249654</v>
      </c>
      <c r="O142" s="38">
        <v>254739</v>
      </c>
      <c r="P142" s="38">
        <v>259785</v>
      </c>
      <c r="Q142" s="38">
        <v>264805</v>
      </c>
      <c r="R142" s="38">
        <v>265570</v>
      </c>
      <c r="S142" s="38">
        <v>266284</v>
      </c>
      <c r="T142" s="38">
        <v>266947</v>
      </c>
      <c r="U142" s="38">
        <v>267558</v>
      </c>
      <c r="V142" s="38">
        <v>268110</v>
      </c>
      <c r="W142" s="38">
        <v>268597</v>
      </c>
      <c r="X142" s="38">
        <v>269023</v>
      </c>
      <c r="Y142" s="38">
        <v>269387</v>
      </c>
      <c r="Z142" s="38">
        <v>269692</v>
      </c>
      <c r="AA142" s="38">
        <v>269922</v>
      </c>
      <c r="AB142" s="38">
        <v>271749</v>
      </c>
      <c r="AC142" s="38">
        <v>273511</v>
      </c>
      <c r="CM142" s="45" t="s">
        <v>70</v>
      </c>
      <c r="CN142" s="56">
        <v>111336</v>
      </c>
      <c r="CO142" s="56">
        <v>116281</v>
      </c>
      <c r="CP142" s="56">
        <v>121229</v>
      </c>
      <c r="CQ142" s="56">
        <v>126177</v>
      </c>
      <c r="CR142" s="56">
        <v>131119</v>
      </c>
      <c r="CS142" s="56">
        <v>136054</v>
      </c>
      <c r="CT142" s="56">
        <v>143621</v>
      </c>
      <c r="CU142" s="56">
        <v>151175</v>
      </c>
      <c r="CV142" s="56">
        <v>158713</v>
      </c>
      <c r="CW142" s="56">
        <v>166256</v>
      </c>
      <c r="CX142" s="56">
        <v>173719</v>
      </c>
      <c r="CY142" s="56">
        <v>178983</v>
      </c>
      <c r="CZ142" s="56">
        <v>184245</v>
      </c>
      <c r="DA142" s="56">
        <v>189501</v>
      </c>
      <c r="DB142" s="56">
        <v>194760</v>
      </c>
      <c r="DC142" s="56">
        <v>199995</v>
      </c>
      <c r="DD142" s="56">
        <v>206769</v>
      </c>
      <c r="DE142" s="56">
        <v>213538</v>
      </c>
      <c r="DF142" s="56">
        <v>220300</v>
      </c>
      <c r="DG142" s="56">
        <v>227043</v>
      </c>
      <c r="DH142" s="56">
        <v>233804</v>
      </c>
      <c r="DI142" s="56">
        <v>246972</v>
      </c>
      <c r="DJ142" s="56">
        <v>260116</v>
      </c>
      <c r="DK142" s="56">
        <v>273230</v>
      </c>
      <c r="DL142" s="56">
        <v>286301</v>
      </c>
      <c r="DM142" s="56">
        <v>299344</v>
      </c>
      <c r="DN142" s="56">
        <v>318227</v>
      </c>
      <c r="DO142" s="56">
        <v>337061</v>
      </c>
      <c r="DP142" s="56">
        <v>355832</v>
      </c>
      <c r="DQ142" s="56">
        <v>374531</v>
      </c>
      <c r="DR142" s="56">
        <v>393137</v>
      </c>
      <c r="DS142" s="56">
        <v>412044</v>
      </c>
      <c r="DT142" s="56">
        <v>430868</v>
      </c>
      <c r="DU142" s="56">
        <v>449598</v>
      </c>
      <c r="DV142" s="56">
        <v>468227</v>
      </c>
      <c r="DW142" s="56">
        <v>486711</v>
      </c>
      <c r="DX142" s="56">
        <v>503269</v>
      </c>
      <c r="DY142" s="56">
        <v>519716</v>
      </c>
      <c r="DZ142" s="56">
        <v>536037</v>
      </c>
      <c r="EA142" s="56">
        <v>552235</v>
      </c>
      <c r="EB142" s="56">
        <v>568254</v>
      </c>
      <c r="EC142" s="56">
        <v>593227</v>
      </c>
      <c r="ED142" s="56">
        <v>618070</v>
      </c>
      <c r="EE142" s="56">
        <v>642765</v>
      </c>
      <c r="EF142" s="56">
        <v>667305</v>
      </c>
      <c r="EG142" s="56">
        <v>691633</v>
      </c>
      <c r="EH142" s="56">
        <v>704459</v>
      </c>
      <c r="EI142" s="56">
        <v>717116</v>
      </c>
      <c r="EJ142" s="56">
        <v>729596</v>
      </c>
      <c r="EK142" s="56">
        <v>741888</v>
      </c>
      <c r="EL142" s="56">
        <v>753984</v>
      </c>
      <c r="EM142" s="56">
        <v>762855</v>
      </c>
      <c r="EN142" s="56">
        <v>771527</v>
      </c>
      <c r="EO142" s="56">
        <v>779995</v>
      </c>
      <c r="EP142" s="56">
        <v>788324</v>
      </c>
      <c r="EQ142" s="56">
        <v>796287</v>
      </c>
      <c r="ER142" s="56">
        <v>822688</v>
      </c>
      <c r="ES142" s="56">
        <v>848951</v>
      </c>
      <c r="ET142" s="56">
        <v>875063</v>
      </c>
      <c r="EU142" s="56">
        <v>901008</v>
      </c>
      <c r="EV142" s="56">
        <v>926772</v>
      </c>
    </row>
    <row r="143" spans="1:152">
      <c r="A143" s="53">
        <v>29</v>
      </c>
      <c r="B143" s="38">
        <v>188585</v>
      </c>
      <c r="C143" s="38">
        <v>193077</v>
      </c>
      <c r="D143" s="38">
        <v>197566</v>
      </c>
      <c r="E143" s="38">
        <v>202051</v>
      </c>
      <c r="F143" s="38">
        <v>206536</v>
      </c>
      <c r="G143" s="38">
        <v>210989</v>
      </c>
      <c r="H143" s="38">
        <v>215872</v>
      </c>
      <c r="I143" s="38">
        <v>220750</v>
      </c>
      <c r="J143" s="38">
        <v>225620</v>
      </c>
      <c r="K143" s="38">
        <v>230472</v>
      </c>
      <c r="L143" s="38">
        <v>235327</v>
      </c>
      <c r="M143" s="38">
        <v>240148</v>
      </c>
      <c r="N143" s="38">
        <v>244942</v>
      </c>
      <c r="O143" s="38">
        <v>249706</v>
      </c>
      <c r="P143" s="38">
        <v>254432</v>
      </c>
      <c r="Q143" s="38">
        <v>259132</v>
      </c>
      <c r="R143" s="38">
        <v>261002</v>
      </c>
      <c r="S143" s="38">
        <v>262824</v>
      </c>
      <c r="T143" s="38">
        <v>264594</v>
      </c>
      <c r="U143" s="38">
        <v>266313</v>
      </c>
      <c r="V143" s="38">
        <v>267974</v>
      </c>
      <c r="W143" s="38">
        <v>268267</v>
      </c>
      <c r="X143" s="38">
        <v>268499</v>
      </c>
      <c r="Y143" s="38">
        <v>268668</v>
      </c>
      <c r="Z143" s="38">
        <v>268780</v>
      </c>
      <c r="AA143" s="38">
        <v>268817</v>
      </c>
      <c r="AB143" s="38">
        <v>270360</v>
      </c>
      <c r="AC143" s="38">
        <v>271838</v>
      </c>
      <c r="CM143" s="45" t="s">
        <v>71</v>
      </c>
      <c r="CN143" s="56">
        <v>73782</v>
      </c>
      <c r="CO143" s="56">
        <v>77410</v>
      </c>
      <c r="CP143" s="56">
        <v>81040</v>
      </c>
      <c r="CQ143" s="56">
        <v>84669</v>
      </c>
      <c r="CR143" s="56">
        <v>88295</v>
      </c>
      <c r="CS143" s="56">
        <v>91913</v>
      </c>
      <c r="CT143" s="56">
        <v>96533</v>
      </c>
      <c r="CU143" s="56">
        <v>101147</v>
      </c>
      <c r="CV143" s="56">
        <v>105748</v>
      </c>
      <c r="CW143" s="56">
        <v>110352</v>
      </c>
      <c r="CX143" s="56">
        <v>114899</v>
      </c>
      <c r="CY143" s="56">
        <v>121686</v>
      </c>
      <c r="CZ143" s="56">
        <v>128473</v>
      </c>
      <c r="DA143" s="56">
        <v>135257</v>
      </c>
      <c r="DB143" s="56">
        <v>142041</v>
      </c>
      <c r="DC143" s="56">
        <v>148808</v>
      </c>
      <c r="DD143" s="56">
        <v>153676</v>
      </c>
      <c r="DE143" s="56">
        <v>158541</v>
      </c>
      <c r="DF143" s="56">
        <v>163399</v>
      </c>
      <c r="DG143" s="56">
        <v>168245</v>
      </c>
      <c r="DH143" s="56">
        <v>173096</v>
      </c>
      <c r="DI143" s="56">
        <v>179374</v>
      </c>
      <c r="DJ143" s="56">
        <v>185632</v>
      </c>
      <c r="DK143" s="56">
        <v>191869</v>
      </c>
      <c r="DL143" s="56">
        <v>198075</v>
      </c>
      <c r="DM143" s="56">
        <v>204268</v>
      </c>
      <c r="DN143" s="56">
        <v>216234</v>
      </c>
      <c r="DO143" s="56">
        <v>228167</v>
      </c>
      <c r="DP143" s="56">
        <v>240056</v>
      </c>
      <c r="DQ143" s="56">
        <v>251897</v>
      </c>
      <c r="DR143" s="56">
        <v>263684</v>
      </c>
      <c r="DS143" s="56">
        <v>280845</v>
      </c>
      <c r="DT143" s="56">
        <v>297952</v>
      </c>
      <c r="DU143" s="56">
        <v>314996</v>
      </c>
      <c r="DV143" s="56">
        <v>331967</v>
      </c>
      <c r="DW143" s="56">
        <v>348834</v>
      </c>
      <c r="DX143" s="56">
        <v>366188</v>
      </c>
      <c r="DY143" s="56">
        <v>383465</v>
      </c>
      <c r="DZ143" s="56">
        <v>400651</v>
      </c>
      <c r="EA143" s="56">
        <v>417744</v>
      </c>
      <c r="EB143" s="56">
        <v>434701</v>
      </c>
      <c r="EC143" s="56">
        <v>450081</v>
      </c>
      <c r="ED143" s="56">
        <v>465360</v>
      </c>
      <c r="EE143" s="56">
        <v>480527</v>
      </c>
      <c r="EF143" s="56">
        <v>495579</v>
      </c>
      <c r="EG143" s="56">
        <v>510474</v>
      </c>
      <c r="EH143" s="56">
        <v>533560</v>
      </c>
      <c r="EI143" s="56">
        <v>556530</v>
      </c>
      <c r="EJ143" s="56">
        <v>579364</v>
      </c>
      <c r="EK143" s="56">
        <v>602047</v>
      </c>
      <c r="EL143" s="56">
        <v>624558</v>
      </c>
      <c r="EM143" s="56">
        <v>636757</v>
      </c>
      <c r="EN143" s="56">
        <v>648795</v>
      </c>
      <c r="EO143" s="56">
        <v>660661</v>
      </c>
      <c r="EP143" s="56">
        <v>672409</v>
      </c>
      <c r="EQ143" s="56">
        <v>683841</v>
      </c>
      <c r="ER143" s="56">
        <v>692317</v>
      </c>
      <c r="ES143" s="56">
        <v>700669</v>
      </c>
      <c r="ET143" s="56">
        <v>708895</v>
      </c>
      <c r="EU143" s="56">
        <v>716987</v>
      </c>
      <c r="EV143" s="56">
        <v>724939</v>
      </c>
    </row>
    <row r="144" spans="1:152">
      <c r="A144" s="53" t="s">
        <v>89</v>
      </c>
      <c r="B144" s="46">
        <v>0</v>
      </c>
      <c r="C144" s="46">
        <v>0</v>
      </c>
      <c r="D144" s="46">
        <v>0</v>
      </c>
      <c r="E144" s="46">
        <v>0</v>
      </c>
      <c r="F144" s="46">
        <v>0</v>
      </c>
      <c r="G144" s="46">
        <v>0</v>
      </c>
      <c r="H144" s="46">
        <v>0</v>
      </c>
      <c r="I144" s="46">
        <v>0</v>
      </c>
      <c r="J144" s="46">
        <v>0</v>
      </c>
      <c r="K144" s="46">
        <v>0</v>
      </c>
      <c r="L144" s="46">
        <v>0</v>
      </c>
      <c r="M144" s="46">
        <v>0</v>
      </c>
      <c r="N144" s="46">
        <v>0</v>
      </c>
      <c r="O144" s="46">
        <v>0</v>
      </c>
      <c r="P144" s="46">
        <v>0</v>
      </c>
      <c r="Q144" s="46">
        <v>0</v>
      </c>
      <c r="R144" s="46">
        <v>0</v>
      </c>
      <c r="S144" s="46">
        <v>0</v>
      </c>
      <c r="T144" s="46">
        <v>0</v>
      </c>
      <c r="U144" s="46">
        <v>0</v>
      </c>
      <c r="V144" s="46">
        <v>0</v>
      </c>
      <c r="W144" s="46">
        <v>0</v>
      </c>
      <c r="X144" s="46">
        <v>0</v>
      </c>
      <c r="Y144" s="46">
        <v>0</v>
      </c>
      <c r="Z144" s="46">
        <v>0</v>
      </c>
      <c r="AA144" s="46">
        <v>0</v>
      </c>
      <c r="AB144" s="46">
        <v>0</v>
      </c>
      <c r="AC144" s="46">
        <v>0</v>
      </c>
      <c r="CM144" s="45" t="s">
        <v>99</v>
      </c>
      <c r="CN144" s="56">
        <v>55762</v>
      </c>
      <c r="CO144" s="56">
        <v>58571</v>
      </c>
      <c r="CP144" s="56">
        <v>61381</v>
      </c>
      <c r="CQ144" s="56">
        <v>64190</v>
      </c>
      <c r="CR144" s="56">
        <v>66998</v>
      </c>
      <c r="CS144" s="56">
        <v>69797</v>
      </c>
      <c r="CT144" s="56">
        <v>73314</v>
      </c>
      <c r="CU144" s="56">
        <v>76825</v>
      </c>
      <c r="CV144" s="56">
        <v>80327</v>
      </c>
      <c r="CW144" s="56">
        <v>83833</v>
      </c>
      <c r="CX144" s="56">
        <v>87313</v>
      </c>
      <c r="CY144" s="56">
        <v>91884</v>
      </c>
      <c r="CZ144" s="56">
        <v>96454</v>
      </c>
      <c r="DA144" s="56">
        <v>101022</v>
      </c>
      <c r="DB144" s="56">
        <v>105590</v>
      </c>
      <c r="DC144" s="56">
        <v>110139</v>
      </c>
      <c r="DD144" s="56">
        <v>117245</v>
      </c>
      <c r="DE144" s="56">
        <v>124347</v>
      </c>
      <c r="DF144" s="56">
        <v>131447</v>
      </c>
      <c r="DG144" s="56">
        <v>138534</v>
      </c>
      <c r="DH144" s="56">
        <v>145624</v>
      </c>
      <c r="DI144" s="56">
        <v>153385</v>
      </c>
      <c r="DJ144" s="56">
        <v>161131</v>
      </c>
      <c r="DK144" s="56">
        <v>168858</v>
      </c>
      <c r="DL144" s="56">
        <v>176558</v>
      </c>
      <c r="DM144" s="56">
        <v>184239</v>
      </c>
      <c r="DN144" s="56">
        <v>193441</v>
      </c>
      <c r="DO144" s="56">
        <v>202612</v>
      </c>
      <c r="DP144" s="56">
        <v>211746</v>
      </c>
      <c r="DQ144" s="56">
        <v>220836</v>
      </c>
      <c r="DR144" s="56">
        <v>229872</v>
      </c>
      <c r="DS144" s="56">
        <v>243610</v>
      </c>
      <c r="DT144" s="56">
        <v>257300</v>
      </c>
      <c r="DU144" s="56">
        <v>270935</v>
      </c>
      <c r="DV144" s="56">
        <v>284508</v>
      </c>
      <c r="DW144" s="56">
        <v>297994</v>
      </c>
      <c r="DX144" s="56">
        <v>318036</v>
      </c>
      <c r="DY144" s="56">
        <v>338015</v>
      </c>
      <c r="DZ144" s="56">
        <v>357916</v>
      </c>
      <c r="EA144" s="56">
        <v>377731</v>
      </c>
      <c r="EB144" s="56">
        <v>397417</v>
      </c>
      <c r="EC144" s="56">
        <v>421970</v>
      </c>
      <c r="ED144" s="56">
        <v>446436</v>
      </c>
      <c r="EE144" s="56">
        <v>470797</v>
      </c>
      <c r="EF144" s="56">
        <v>495042</v>
      </c>
      <c r="EG144" s="56">
        <v>519126</v>
      </c>
      <c r="EH144" s="56">
        <v>545751</v>
      </c>
      <c r="EI144" s="56">
        <v>572258</v>
      </c>
      <c r="EJ144" s="56">
        <v>598626</v>
      </c>
      <c r="EK144" s="56">
        <v>624838</v>
      </c>
      <c r="EL144" s="56">
        <v>650872</v>
      </c>
      <c r="EM144" s="56">
        <v>684187</v>
      </c>
      <c r="EN144" s="56">
        <v>717345</v>
      </c>
      <c r="EO144" s="56">
        <v>750320</v>
      </c>
      <c r="EP144" s="56">
        <v>783157</v>
      </c>
      <c r="EQ144" s="56">
        <v>815612</v>
      </c>
      <c r="ER144" s="56">
        <v>846508</v>
      </c>
      <c r="ES144" s="56">
        <v>877265</v>
      </c>
      <c r="ET144" s="56">
        <v>907864</v>
      </c>
      <c r="EU144" s="56">
        <v>938291</v>
      </c>
      <c r="EV144" s="56">
        <v>968527</v>
      </c>
    </row>
    <row r="145" spans="1:152">
      <c r="A145" s="53">
        <v>30</v>
      </c>
      <c r="B145" s="38">
        <v>187868</v>
      </c>
      <c r="C145" s="38">
        <v>190870</v>
      </c>
      <c r="D145" s="38">
        <v>193869</v>
      </c>
      <c r="E145" s="38">
        <v>196862</v>
      </c>
      <c r="F145" s="38">
        <v>199857</v>
      </c>
      <c r="G145" s="38">
        <v>202821</v>
      </c>
      <c r="H145" s="38">
        <v>208591</v>
      </c>
      <c r="I145" s="38">
        <v>214356</v>
      </c>
      <c r="J145" s="38">
        <v>220113</v>
      </c>
      <c r="K145" s="38">
        <v>225853</v>
      </c>
      <c r="L145" s="38">
        <v>231596</v>
      </c>
      <c r="M145" s="38">
        <v>235878</v>
      </c>
      <c r="N145" s="38">
        <v>240134</v>
      </c>
      <c r="O145" s="38">
        <v>244360</v>
      </c>
      <c r="P145" s="38">
        <v>248548</v>
      </c>
      <c r="Q145" s="38">
        <v>252711</v>
      </c>
      <c r="R145" s="38">
        <v>255881</v>
      </c>
      <c r="S145" s="38">
        <v>259006</v>
      </c>
      <c r="T145" s="38">
        <v>262078</v>
      </c>
      <c r="U145" s="38">
        <v>265100</v>
      </c>
      <c r="V145" s="38">
        <v>268063</v>
      </c>
      <c r="W145" s="38">
        <v>268096</v>
      </c>
      <c r="X145" s="38">
        <v>268068</v>
      </c>
      <c r="Y145" s="38">
        <v>267977</v>
      </c>
      <c r="Z145" s="38">
        <v>267829</v>
      </c>
      <c r="AA145" s="38">
        <v>267607</v>
      </c>
      <c r="AB145" s="38">
        <v>268868</v>
      </c>
      <c r="AC145" s="38">
        <v>270066</v>
      </c>
      <c r="CM145" s="45"/>
      <c r="CN145" s="47"/>
      <c r="CO145" s="47"/>
      <c r="CP145" s="47"/>
      <c r="CQ145" s="47"/>
      <c r="CR145" s="47"/>
      <c r="CS145" s="47"/>
      <c r="CT145" s="47"/>
      <c r="CU145" s="47"/>
      <c r="CV145" s="47"/>
      <c r="CW145" s="47"/>
      <c r="CX145" s="47"/>
      <c r="CY145" s="47"/>
      <c r="CZ145" s="47"/>
      <c r="DA145" s="47"/>
      <c r="DB145" s="47"/>
      <c r="DC145" s="61"/>
      <c r="DD145" s="61"/>
      <c r="DE145" s="61"/>
      <c r="DF145" s="61"/>
      <c r="DG145" s="61"/>
      <c r="DH145" s="61"/>
      <c r="DI145" s="61"/>
      <c r="DJ145" s="61"/>
      <c r="DK145" s="61"/>
      <c r="DL145" s="61"/>
      <c r="DM145" s="61"/>
      <c r="DN145" s="61"/>
      <c r="DO145" s="61"/>
      <c r="DP145" s="61"/>
      <c r="DQ145" s="61"/>
      <c r="DR145" s="61"/>
      <c r="DS145" s="61"/>
      <c r="DT145" s="61"/>
      <c r="DU145" s="61"/>
      <c r="DV145" s="61"/>
      <c r="DW145" s="61"/>
      <c r="DX145" s="61"/>
      <c r="DY145" s="61"/>
      <c r="DZ145" s="61"/>
      <c r="EA145" s="61"/>
      <c r="EB145" s="61"/>
      <c r="EC145" s="61"/>
      <c r="ED145" s="61"/>
      <c r="EE145" s="61"/>
      <c r="EF145" s="61"/>
      <c r="EG145" s="61"/>
      <c r="EH145" s="61"/>
      <c r="EI145" s="61"/>
      <c r="EJ145" s="61"/>
      <c r="EK145" s="61"/>
      <c r="EL145" s="61"/>
      <c r="EM145" s="61"/>
      <c r="EN145" s="61"/>
      <c r="EO145" s="61"/>
      <c r="EP145" s="61"/>
      <c r="EQ145" s="61"/>
      <c r="ER145" s="61"/>
      <c r="ES145" s="61"/>
      <c r="ET145" s="61"/>
      <c r="EU145" s="61"/>
      <c r="EV145" s="61"/>
    </row>
    <row r="146" spans="1:152">
      <c r="A146" s="53">
        <v>31</v>
      </c>
      <c r="B146" s="38">
        <v>186674</v>
      </c>
      <c r="C146" s="38">
        <v>188429</v>
      </c>
      <c r="D146" s="38">
        <v>190182</v>
      </c>
      <c r="E146" s="38">
        <v>191929</v>
      </c>
      <c r="F146" s="38">
        <v>193677</v>
      </c>
      <c r="G146" s="38">
        <v>195396</v>
      </c>
      <c r="H146" s="38">
        <v>201809</v>
      </c>
      <c r="I146" s="38">
        <v>208218</v>
      </c>
      <c r="J146" s="38">
        <v>214620</v>
      </c>
      <c r="K146" s="38">
        <v>221005</v>
      </c>
      <c r="L146" s="38">
        <v>227393</v>
      </c>
      <c r="M146" s="38">
        <v>231269</v>
      </c>
      <c r="N146" s="38">
        <v>235119</v>
      </c>
      <c r="O146" s="38">
        <v>238940</v>
      </c>
      <c r="P146" s="38">
        <v>242725</v>
      </c>
      <c r="Q146" s="38">
        <v>246484</v>
      </c>
      <c r="R146" s="38">
        <v>250803</v>
      </c>
      <c r="S146" s="38">
        <v>255076</v>
      </c>
      <c r="T146" s="38">
        <v>259300</v>
      </c>
      <c r="U146" s="38">
        <v>263474</v>
      </c>
      <c r="V146" s="38">
        <v>267589</v>
      </c>
      <c r="W146" s="38">
        <v>267455</v>
      </c>
      <c r="X146" s="38">
        <v>267259</v>
      </c>
      <c r="Y146" s="38">
        <v>267001</v>
      </c>
      <c r="Z146" s="38">
        <v>266685</v>
      </c>
      <c r="AA146" s="38">
        <v>266296</v>
      </c>
      <c r="AB146" s="38">
        <v>267315</v>
      </c>
      <c r="AC146" s="38">
        <v>268269</v>
      </c>
      <c r="CM146" s="45" t="s">
        <v>79</v>
      </c>
      <c r="CN146" s="45">
        <v>1990</v>
      </c>
      <c r="CO146" s="45">
        <v>1991</v>
      </c>
      <c r="CP146" s="45">
        <v>1992</v>
      </c>
      <c r="CQ146" s="45">
        <v>1993</v>
      </c>
      <c r="CR146" s="45">
        <v>1994</v>
      </c>
      <c r="CS146" s="45">
        <v>1995</v>
      </c>
      <c r="CT146" s="45">
        <v>1996</v>
      </c>
      <c r="CU146" s="45">
        <v>1997</v>
      </c>
      <c r="CV146" s="45">
        <v>1998</v>
      </c>
      <c r="CW146" s="45">
        <v>1999</v>
      </c>
      <c r="CX146" s="45">
        <v>2000</v>
      </c>
      <c r="CY146" s="45">
        <v>2001</v>
      </c>
      <c r="CZ146" s="45">
        <v>2002</v>
      </c>
      <c r="DA146" s="45">
        <v>2003</v>
      </c>
      <c r="DB146" s="45">
        <v>2004</v>
      </c>
      <c r="DC146" s="45">
        <v>2005</v>
      </c>
      <c r="DD146" s="45">
        <v>2006</v>
      </c>
      <c r="DE146" s="45">
        <v>2007</v>
      </c>
      <c r="DF146" s="45">
        <v>2008</v>
      </c>
      <c r="DG146" s="45">
        <v>2009</v>
      </c>
      <c r="DH146" s="45">
        <v>2010</v>
      </c>
      <c r="DI146" s="45">
        <v>2011</v>
      </c>
      <c r="DJ146" s="45">
        <v>2012</v>
      </c>
      <c r="DK146" s="45">
        <v>2013</v>
      </c>
      <c r="DL146" s="45">
        <v>2014</v>
      </c>
      <c r="DM146" s="45">
        <v>2015</v>
      </c>
      <c r="DN146" s="45">
        <v>2016</v>
      </c>
      <c r="DO146" s="45">
        <v>2017</v>
      </c>
      <c r="DP146" s="45">
        <v>2018</v>
      </c>
      <c r="DQ146" s="45">
        <v>2019</v>
      </c>
      <c r="DR146" s="45">
        <v>2020</v>
      </c>
      <c r="DS146" s="45">
        <v>2021</v>
      </c>
      <c r="DT146" s="45">
        <v>2022</v>
      </c>
      <c r="DU146" s="45">
        <v>2023</v>
      </c>
      <c r="DV146" s="45">
        <v>2024</v>
      </c>
      <c r="DW146" s="45">
        <v>2025</v>
      </c>
      <c r="DX146" s="45">
        <v>2026</v>
      </c>
      <c r="DY146" s="45">
        <v>2027</v>
      </c>
      <c r="DZ146" s="45">
        <v>2028</v>
      </c>
      <c r="EA146" s="45">
        <v>2029</v>
      </c>
      <c r="EB146" s="45">
        <v>2030</v>
      </c>
      <c r="EC146" s="45">
        <v>2031</v>
      </c>
      <c r="ED146" s="45">
        <v>2032</v>
      </c>
      <c r="EE146" s="45">
        <v>2033</v>
      </c>
      <c r="EF146" s="45">
        <v>2034</v>
      </c>
      <c r="EG146" s="45">
        <v>2035</v>
      </c>
      <c r="EH146" s="45">
        <v>2036</v>
      </c>
      <c r="EI146" s="45">
        <v>2037</v>
      </c>
      <c r="EJ146" s="45">
        <v>2038</v>
      </c>
      <c r="EK146" s="45">
        <v>2039</v>
      </c>
      <c r="EL146" s="45">
        <v>2040</v>
      </c>
      <c r="EM146" s="45">
        <v>2041</v>
      </c>
      <c r="EN146" s="45">
        <v>2042</v>
      </c>
      <c r="EO146" s="45">
        <v>2043</v>
      </c>
      <c r="EP146" s="45">
        <v>2044</v>
      </c>
      <c r="EQ146" s="45">
        <v>2045</v>
      </c>
      <c r="ER146" s="45">
        <v>2046</v>
      </c>
      <c r="ES146" s="45">
        <v>2047</v>
      </c>
      <c r="ET146" s="45">
        <v>2048</v>
      </c>
      <c r="EU146" s="45">
        <v>2049</v>
      </c>
      <c r="EV146" s="45">
        <v>2050</v>
      </c>
    </row>
    <row r="147" spans="1:152">
      <c r="A147" s="53">
        <v>32</v>
      </c>
      <c r="B147" s="38">
        <v>185177</v>
      </c>
      <c r="C147" s="38">
        <v>186113</v>
      </c>
      <c r="D147" s="38">
        <v>187047</v>
      </c>
      <c r="E147" s="38">
        <v>187976</v>
      </c>
      <c r="F147" s="38">
        <v>188905</v>
      </c>
      <c r="G147" s="38">
        <v>189805</v>
      </c>
      <c r="H147" s="38">
        <v>196287</v>
      </c>
      <c r="I147" s="38">
        <v>202765</v>
      </c>
      <c r="J147" s="38">
        <v>209235</v>
      </c>
      <c r="K147" s="38">
        <v>215688</v>
      </c>
      <c r="L147" s="38">
        <v>222146</v>
      </c>
      <c r="M147" s="38">
        <v>225936</v>
      </c>
      <c r="N147" s="38">
        <v>229701</v>
      </c>
      <c r="O147" s="38">
        <v>233439</v>
      </c>
      <c r="P147" s="38">
        <v>237141</v>
      </c>
      <c r="Q147" s="38">
        <v>240817</v>
      </c>
      <c r="R147" s="38">
        <v>245865</v>
      </c>
      <c r="S147" s="38">
        <v>250869</v>
      </c>
      <c r="T147" s="38">
        <v>255826</v>
      </c>
      <c r="U147" s="38">
        <v>260731</v>
      </c>
      <c r="V147" s="38">
        <v>265579</v>
      </c>
      <c r="W147" s="38">
        <v>265669</v>
      </c>
      <c r="X147" s="38">
        <v>265697</v>
      </c>
      <c r="Y147" s="38">
        <v>265664</v>
      </c>
      <c r="Z147" s="38">
        <v>265574</v>
      </c>
      <c r="AA147" s="38">
        <v>265410</v>
      </c>
      <c r="AB147" s="38">
        <v>266185</v>
      </c>
      <c r="AC147" s="38">
        <v>266895</v>
      </c>
      <c r="CM147" s="45"/>
      <c r="CN147" s="47"/>
      <c r="CO147" s="47"/>
      <c r="CP147" s="47"/>
      <c r="CQ147" s="47"/>
      <c r="CR147" s="47"/>
      <c r="CS147" s="47"/>
      <c r="CT147" s="47"/>
      <c r="CU147" s="47"/>
      <c r="CV147" s="47"/>
      <c r="CW147" s="47"/>
      <c r="CX147" s="47"/>
      <c r="CY147" s="47"/>
      <c r="CZ147" s="47"/>
      <c r="DA147" s="47"/>
      <c r="DB147" s="47"/>
      <c r="DC147" s="47"/>
      <c r="DD147" s="47"/>
      <c r="DE147" s="47"/>
      <c r="DF147" s="47"/>
      <c r="DG147" s="47"/>
      <c r="DH147" s="47"/>
      <c r="DI147" s="47"/>
      <c r="DJ147" s="47"/>
      <c r="DK147" s="47"/>
      <c r="DL147" s="47"/>
      <c r="DM147" s="47"/>
      <c r="DN147" s="47"/>
      <c r="DO147" s="47"/>
      <c r="DP147" s="47"/>
      <c r="DQ147" s="47"/>
      <c r="DR147" s="47"/>
      <c r="DS147" s="47"/>
      <c r="DT147" s="47"/>
      <c r="DU147" s="47"/>
      <c r="DV147" s="47"/>
      <c r="DW147" s="47"/>
      <c r="DX147" s="47"/>
      <c r="DY147" s="47"/>
      <c r="DZ147" s="47"/>
      <c r="EA147" s="47"/>
      <c r="EB147" s="47"/>
      <c r="EC147" s="47"/>
      <c r="ED147" s="47"/>
      <c r="EE147" s="47"/>
      <c r="EF147" s="47"/>
      <c r="EG147" s="47"/>
      <c r="EH147" s="47"/>
      <c r="EI147" s="47"/>
      <c r="EJ147" s="47"/>
      <c r="EK147" s="47"/>
      <c r="EL147" s="47"/>
      <c r="EM147" s="47"/>
      <c r="EN147" s="47"/>
      <c r="EO147" s="47"/>
      <c r="EP147" s="47"/>
      <c r="EQ147" s="47"/>
      <c r="ER147" s="47"/>
      <c r="ES147" s="47"/>
      <c r="ET147" s="47"/>
      <c r="EU147" s="47"/>
      <c r="EV147" s="47"/>
    </row>
    <row r="148" spans="1:152">
      <c r="A148" s="53">
        <v>33</v>
      </c>
      <c r="B148" s="38">
        <v>183028</v>
      </c>
      <c r="C148" s="38">
        <v>183784</v>
      </c>
      <c r="D148" s="38">
        <v>184538</v>
      </c>
      <c r="E148" s="38">
        <v>185286</v>
      </c>
      <c r="F148" s="38">
        <v>186036</v>
      </c>
      <c r="G148" s="38">
        <v>186757</v>
      </c>
      <c r="H148" s="38">
        <v>192511</v>
      </c>
      <c r="I148" s="38">
        <v>198260</v>
      </c>
      <c r="J148" s="38">
        <v>204003</v>
      </c>
      <c r="K148" s="38">
        <v>209729</v>
      </c>
      <c r="L148" s="38">
        <v>215458</v>
      </c>
      <c r="M148" s="38">
        <v>219650</v>
      </c>
      <c r="N148" s="38">
        <v>223818</v>
      </c>
      <c r="O148" s="38">
        <v>227960</v>
      </c>
      <c r="P148" s="38">
        <v>232066</v>
      </c>
      <c r="Q148" s="38">
        <v>236147</v>
      </c>
      <c r="R148" s="38">
        <v>241313</v>
      </c>
      <c r="S148" s="38">
        <v>246436</v>
      </c>
      <c r="T148" s="38">
        <v>251512</v>
      </c>
      <c r="U148" s="38">
        <v>256539</v>
      </c>
      <c r="V148" s="38">
        <v>261508</v>
      </c>
      <c r="W148" s="38">
        <v>262338</v>
      </c>
      <c r="X148" s="38">
        <v>263108</v>
      </c>
      <c r="Y148" s="38">
        <v>263817</v>
      </c>
      <c r="Z148" s="38">
        <v>264469</v>
      </c>
      <c r="AA148" s="38">
        <v>265047</v>
      </c>
      <c r="AB148" s="38">
        <v>265587</v>
      </c>
      <c r="AC148" s="38">
        <v>266062</v>
      </c>
      <c r="CM148" s="45" t="s">
        <v>82</v>
      </c>
      <c r="CN148" s="56">
        <v>19734723</v>
      </c>
      <c r="CO148" s="56">
        <v>20196727</v>
      </c>
      <c r="CP148" s="56">
        <v>20659047</v>
      </c>
      <c r="CQ148" s="56">
        <v>21121216</v>
      </c>
      <c r="CR148" s="56">
        <v>21582756</v>
      </c>
      <c r="CS148" s="56">
        <v>22043179</v>
      </c>
      <c r="CT148" s="56">
        <v>22501988</v>
      </c>
      <c r="CU148" s="56">
        <v>22958680</v>
      </c>
      <c r="CV148" s="56">
        <v>23412742</v>
      </c>
      <c r="CW148" s="56">
        <v>23867393</v>
      </c>
      <c r="CX148" s="56">
        <v>24310896</v>
      </c>
      <c r="CY148" s="56">
        <v>24765581</v>
      </c>
      <c r="CZ148" s="56">
        <v>25219910</v>
      </c>
      <c r="DA148" s="56">
        <v>25673550</v>
      </c>
      <c r="DB148" s="56">
        <v>26127351</v>
      </c>
      <c r="DC148" s="56">
        <v>26577423</v>
      </c>
      <c r="DD148" s="56">
        <v>27030656</v>
      </c>
      <c r="DE148" s="56">
        <v>27483208</v>
      </c>
      <c r="DF148" s="56">
        <v>27934783</v>
      </c>
      <c r="DG148" s="56">
        <v>28384132</v>
      </c>
      <c r="DH148" s="56">
        <v>28833845</v>
      </c>
      <c r="DI148" s="56">
        <v>29277736</v>
      </c>
      <c r="DJ148" s="56">
        <v>29718357</v>
      </c>
      <c r="DK148" s="56">
        <v>30155352</v>
      </c>
      <c r="DL148" s="56">
        <v>30587736</v>
      </c>
      <c r="DM148" s="56">
        <v>31017064</v>
      </c>
      <c r="DN148" s="56">
        <v>31439105</v>
      </c>
      <c r="DO148" s="56">
        <v>31855396</v>
      </c>
      <c r="DP148" s="56">
        <v>32265553</v>
      </c>
      <c r="DQ148" s="56">
        <v>32669379</v>
      </c>
      <c r="DR148" s="56">
        <v>33065965</v>
      </c>
      <c r="DS148" s="56">
        <v>33456022</v>
      </c>
      <c r="DT148" s="56">
        <v>33838655</v>
      </c>
      <c r="DU148" s="56">
        <v>34213506</v>
      </c>
      <c r="DV148" s="56">
        <v>34580906</v>
      </c>
      <c r="DW148" s="56">
        <v>34938434</v>
      </c>
      <c r="DX148" s="56">
        <v>35289945</v>
      </c>
      <c r="DY148" s="56">
        <v>35633043</v>
      </c>
      <c r="DZ148" s="56">
        <v>35967412</v>
      </c>
      <c r="EA148" s="56">
        <v>36293631</v>
      </c>
      <c r="EB148" s="56">
        <v>36608747</v>
      </c>
      <c r="EC148" s="56">
        <v>36917807</v>
      </c>
      <c r="ED148" s="56">
        <v>37217897</v>
      </c>
      <c r="EE148" s="56">
        <v>37508759</v>
      </c>
      <c r="EF148" s="56">
        <v>37790837</v>
      </c>
      <c r="EG148" s="56">
        <v>38061788</v>
      </c>
      <c r="EH148" s="56">
        <v>38325592</v>
      </c>
      <c r="EI148" s="56">
        <v>38579936</v>
      </c>
      <c r="EJ148" s="56">
        <v>38824610</v>
      </c>
      <c r="EK148" s="56">
        <v>39059416</v>
      </c>
      <c r="EL148" s="56">
        <v>39284123</v>
      </c>
      <c r="EM148" s="56">
        <v>39498630</v>
      </c>
      <c r="EN148" s="56">
        <v>39702704</v>
      </c>
      <c r="EO148" s="56">
        <v>39896173</v>
      </c>
      <c r="EP148" s="56">
        <v>40082580</v>
      </c>
      <c r="EQ148" s="56">
        <v>40250659</v>
      </c>
      <c r="ER148" s="56">
        <v>40422559</v>
      </c>
      <c r="ES148" s="56">
        <v>40587082</v>
      </c>
      <c r="ET148" s="56">
        <v>40744133</v>
      </c>
      <c r="EU148" s="56">
        <v>40893620</v>
      </c>
      <c r="EV148" s="56">
        <v>41035449</v>
      </c>
    </row>
    <row r="149" spans="1:152">
      <c r="A149" s="53">
        <v>34</v>
      </c>
      <c r="B149" s="38">
        <v>180276</v>
      </c>
      <c r="C149" s="38">
        <v>181345</v>
      </c>
      <c r="D149" s="38">
        <v>182410</v>
      </c>
      <c r="E149" s="38">
        <v>183471</v>
      </c>
      <c r="F149" s="38">
        <v>184532</v>
      </c>
      <c r="G149" s="38">
        <v>185567</v>
      </c>
      <c r="H149" s="38">
        <v>190044</v>
      </c>
      <c r="I149" s="38">
        <v>194516</v>
      </c>
      <c r="J149" s="38">
        <v>198981</v>
      </c>
      <c r="K149" s="38">
        <v>203430</v>
      </c>
      <c r="L149" s="38">
        <v>207882</v>
      </c>
      <c r="M149" s="38">
        <v>212786</v>
      </c>
      <c r="N149" s="38">
        <v>217666</v>
      </c>
      <c r="O149" s="38">
        <v>222520</v>
      </c>
      <c r="P149" s="38">
        <v>227340</v>
      </c>
      <c r="Q149" s="38">
        <v>232136</v>
      </c>
      <c r="R149" s="38">
        <v>236982</v>
      </c>
      <c r="S149" s="38">
        <v>241785</v>
      </c>
      <c r="T149" s="38">
        <v>246543</v>
      </c>
      <c r="U149" s="38">
        <v>251251</v>
      </c>
      <c r="V149" s="38">
        <v>255904</v>
      </c>
      <c r="W149" s="38">
        <v>257824</v>
      </c>
      <c r="X149" s="38">
        <v>259686</v>
      </c>
      <c r="Y149" s="38">
        <v>261488</v>
      </c>
      <c r="Z149" s="38">
        <v>263233</v>
      </c>
      <c r="AA149" s="38">
        <v>264903</v>
      </c>
      <c r="AB149" s="38">
        <v>265251</v>
      </c>
      <c r="AC149" s="38">
        <v>265533</v>
      </c>
      <c r="CM149" s="45"/>
      <c r="CN149" s="47"/>
      <c r="CO149" s="47"/>
      <c r="CP149" s="47"/>
      <c r="CQ149" s="47"/>
      <c r="CR149" s="47"/>
      <c r="CS149" s="47"/>
      <c r="CT149" s="47"/>
      <c r="CU149" s="47"/>
      <c r="CV149" s="47"/>
      <c r="CW149" s="47"/>
      <c r="CX149" s="47"/>
      <c r="CY149" s="47"/>
      <c r="CZ149" s="47"/>
      <c r="DA149" s="47"/>
      <c r="DB149" s="47"/>
      <c r="DC149" s="56"/>
      <c r="DD149" s="56"/>
      <c r="DE149" s="56"/>
      <c r="DF149" s="56"/>
      <c r="DG149" s="56"/>
      <c r="DH149" s="56"/>
      <c r="DI149" s="56"/>
      <c r="DJ149" s="56"/>
      <c r="DK149" s="56"/>
      <c r="DL149" s="56"/>
      <c r="DM149" s="56"/>
      <c r="DN149" s="56"/>
      <c r="DO149" s="56"/>
      <c r="DP149" s="56"/>
      <c r="DQ149" s="56"/>
      <c r="DR149" s="56"/>
      <c r="DS149" s="56"/>
      <c r="DT149" s="56"/>
      <c r="DU149" s="56"/>
      <c r="DV149" s="56"/>
      <c r="DW149" s="56"/>
      <c r="DX149" s="56"/>
      <c r="DY149" s="56"/>
      <c r="DZ149" s="56"/>
      <c r="EA149" s="56"/>
      <c r="EB149" s="56"/>
      <c r="EC149" s="56"/>
      <c r="ED149" s="56"/>
      <c r="EE149" s="56"/>
      <c r="EF149" s="56"/>
      <c r="EG149" s="56"/>
      <c r="EH149" s="56"/>
      <c r="EI149" s="56"/>
      <c r="EJ149" s="56"/>
      <c r="EK149" s="56"/>
      <c r="EL149" s="56"/>
      <c r="EM149" s="56"/>
      <c r="EN149" s="56"/>
      <c r="EO149" s="56"/>
      <c r="EP149" s="56"/>
      <c r="EQ149" s="56"/>
      <c r="ER149" s="56"/>
      <c r="ES149" s="56"/>
      <c r="ET149" s="56"/>
      <c r="EU149" s="56"/>
      <c r="EV149" s="56"/>
    </row>
    <row r="150" spans="1:152">
      <c r="A150" s="53" t="s">
        <v>90</v>
      </c>
      <c r="B150" s="46">
        <v>0</v>
      </c>
      <c r="C150" s="46">
        <v>0</v>
      </c>
      <c r="D150" s="46">
        <v>0</v>
      </c>
      <c r="E150" s="46">
        <v>0</v>
      </c>
      <c r="F150" s="46">
        <v>0</v>
      </c>
      <c r="G150" s="46">
        <v>0</v>
      </c>
      <c r="H150" s="46">
        <v>0</v>
      </c>
      <c r="I150" s="46">
        <v>0</v>
      </c>
      <c r="J150" s="46">
        <v>0</v>
      </c>
      <c r="K150" s="46">
        <v>0</v>
      </c>
      <c r="L150" s="46">
        <v>0</v>
      </c>
      <c r="M150" s="46">
        <v>0</v>
      </c>
      <c r="N150" s="46">
        <v>0</v>
      </c>
      <c r="O150" s="46">
        <v>0</v>
      </c>
      <c r="P150" s="46">
        <v>0</v>
      </c>
      <c r="Q150" s="46">
        <v>0</v>
      </c>
      <c r="R150" s="46">
        <v>0</v>
      </c>
      <c r="S150" s="46">
        <v>0</v>
      </c>
      <c r="T150" s="46">
        <v>0</v>
      </c>
      <c r="U150" s="46">
        <v>0</v>
      </c>
      <c r="V150" s="46">
        <v>0</v>
      </c>
      <c r="W150" s="46">
        <v>0</v>
      </c>
      <c r="X150" s="46">
        <v>0</v>
      </c>
      <c r="Y150" s="46">
        <v>0</v>
      </c>
      <c r="Z150" s="46">
        <v>0</v>
      </c>
      <c r="AA150" s="46">
        <v>0</v>
      </c>
      <c r="AB150" s="46">
        <v>0</v>
      </c>
      <c r="AC150" s="46">
        <v>0</v>
      </c>
      <c r="CM150" s="45" t="s">
        <v>100</v>
      </c>
      <c r="CN150" s="56">
        <v>2729333</v>
      </c>
      <c r="CO150" s="56">
        <v>2731864</v>
      </c>
      <c r="CP150" s="56">
        <v>2734434</v>
      </c>
      <c r="CQ150" s="56">
        <v>2736985</v>
      </c>
      <c r="CR150" s="56">
        <v>2739452</v>
      </c>
      <c r="CS150" s="56">
        <v>2741791</v>
      </c>
      <c r="CT150" s="56">
        <v>2747188</v>
      </c>
      <c r="CU150" s="56">
        <v>2752310</v>
      </c>
      <c r="CV150" s="56">
        <v>2757108</v>
      </c>
      <c r="CW150" s="56">
        <v>2761972</v>
      </c>
      <c r="CX150" s="56">
        <v>2765557</v>
      </c>
      <c r="CY150" s="56">
        <v>2781218</v>
      </c>
      <c r="CZ150" s="56">
        <v>2796840</v>
      </c>
      <c r="DA150" s="56">
        <v>2812381</v>
      </c>
      <c r="DB150" s="56">
        <v>2827936</v>
      </c>
      <c r="DC150" s="56">
        <v>2843098</v>
      </c>
      <c r="DD150" s="56">
        <v>2856707</v>
      </c>
      <c r="DE150" s="56">
        <v>2870240</v>
      </c>
      <c r="DF150" s="56">
        <v>2883672</v>
      </c>
      <c r="DG150" s="56">
        <v>2896873</v>
      </c>
      <c r="DH150" s="56">
        <v>2910131</v>
      </c>
      <c r="DI150" s="56">
        <v>2912647</v>
      </c>
      <c r="DJ150" s="56">
        <v>2914825</v>
      </c>
      <c r="DK150" s="56">
        <v>2916641</v>
      </c>
      <c r="DL150" s="56">
        <v>2918015</v>
      </c>
      <c r="DM150" s="56">
        <v>2919110</v>
      </c>
      <c r="DN150" s="56">
        <v>2912063</v>
      </c>
      <c r="DO150" s="56">
        <v>2904453</v>
      </c>
      <c r="DP150" s="56">
        <v>2896277</v>
      </c>
      <c r="DQ150" s="56">
        <v>2887541</v>
      </c>
      <c r="DR150" s="56">
        <v>2878191</v>
      </c>
      <c r="DS150" s="56">
        <v>2867807</v>
      </c>
      <c r="DT150" s="56">
        <v>2856756</v>
      </c>
      <c r="DU150" s="56">
        <v>2845037</v>
      </c>
      <c r="DV150" s="56">
        <v>2832708</v>
      </c>
      <c r="DW150" s="56">
        <v>2819601</v>
      </c>
      <c r="DX150" s="56">
        <v>2808981</v>
      </c>
      <c r="DY150" s="56">
        <v>2797662</v>
      </c>
      <c r="DZ150" s="56">
        <v>2785649</v>
      </c>
      <c r="EA150" s="56">
        <v>2773013</v>
      </c>
      <c r="EB150" s="56">
        <v>2759558</v>
      </c>
      <c r="EC150" s="56">
        <v>2747975</v>
      </c>
      <c r="ED150" s="56">
        <v>2735699</v>
      </c>
      <c r="EE150" s="56">
        <v>2722735</v>
      </c>
      <c r="EF150" s="56">
        <v>2709142</v>
      </c>
      <c r="EG150" s="56">
        <v>2694777</v>
      </c>
      <c r="EH150" s="56">
        <v>2680570</v>
      </c>
      <c r="EI150" s="56">
        <v>2665676</v>
      </c>
      <c r="EJ150" s="56">
        <v>2650106</v>
      </c>
      <c r="EK150" s="56">
        <v>2633870</v>
      </c>
      <c r="EL150" s="56">
        <v>2616979</v>
      </c>
      <c r="EM150" s="56">
        <v>2601035</v>
      </c>
      <c r="EN150" s="56">
        <v>2584380</v>
      </c>
      <c r="EO150" s="56">
        <v>2567026</v>
      </c>
      <c r="EP150" s="56">
        <v>2549223</v>
      </c>
      <c r="EQ150" s="56">
        <v>2530282</v>
      </c>
      <c r="ER150" s="56">
        <v>2525129</v>
      </c>
      <c r="ES150" s="56">
        <v>2519507</v>
      </c>
      <c r="ET150" s="56">
        <v>2513418</v>
      </c>
      <c r="EU150" s="56">
        <v>2506866</v>
      </c>
      <c r="EV150" s="56">
        <v>2499852</v>
      </c>
    </row>
    <row r="151" spans="1:152">
      <c r="A151" s="53">
        <v>35</v>
      </c>
      <c r="B151" s="38">
        <v>177712</v>
      </c>
      <c r="C151" s="38">
        <v>179154</v>
      </c>
      <c r="D151" s="38">
        <v>180594</v>
      </c>
      <c r="E151" s="38">
        <v>182028</v>
      </c>
      <c r="F151" s="38">
        <v>183461</v>
      </c>
      <c r="G151" s="38">
        <v>184872</v>
      </c>
      <c r="H151" s="38">
        <v>187878</v>
      </c>
      <c r="I151" s="38">
        <v>190880</v>
      </c>
      <c r="J151" s="38">
        <v>193875</v>
      </c>
      <c r="K151" s="38">
        <v>196855</v>
      </c>
      <c r="L151" s="38">
        <v>199837</v>
      </c>
      <c r="M151" s="38">
        <v>205611</v>
      </c>
      <c r="N151" s="38">
        <v>211364</v>
      </c>
      <c r="O151" s="38">
        <v>217090</v>
      </c>
      <c r="P151" s="38">
        <v>222784</v>
      </c>
      <c r="Q151" s="38">
        <v>228454</v>
      </c>
      <c r="R151" s="38">
        <v>232764</v>
      </c>
      <c r="S151" s="38">
        <v>237034</v>
      </c>
      <c r="T151" s="38">
        <v>241258</v>
      </c>
      <c r="U151" s="38">
        <v>245435</v>
      </c>
      <c r="V151" s="38">
        <v>249557</v>
      </c>
      <c r="W151" s="38">
        <v>252759</v>
      </c>
      <c r="X151" s="38">
        <v>255905</v>
      </c>
      <c r="Y151" s="38">
        <v>258992</v>
      </c>
      <c r="Z151" s="38">
        <v>262022</v>
      </c>
      <c r="AA151" s="38">
        <v>264977</v>
      </c>
      <c r="AB151" s="38">
        <v>265067</v>
      </c>
      <c r="AC151" s="38">
        <v>265092</v>
      </c>
      <c r="CM151" s="57" t="s">
        <v>101</v>
      </c>
      <c r="CN151" s="56">
        <v>2498578</v>
      </c>
      <c r="CO151" s="56">
        <v>2541691</v>
      </c>
      <c r="CP151" s="56">
        <v>2584843</v>
      </c>
      <c r="CQ151" s="56">
        <v>2627975</v>
      </c>
      <c r="CR151" s="56">
        <v>2671029</v>
      </c>
      <c r="CS151" s="56">
        <v>2713938</v>
      </c>
      <c r="CT151" s="56">
        <v>2716228</v>
      </c>
      <c r="CU151" s="56">
        <v>2718244</v>
      </c>
      <c r="CV151" s="56">
        <v>2719940</v>
      </c>
      <c r="CW151" s="56">
        <v>2721702</v>
      </c>
      <c r="CX151" s="56">
        <v>2722222</v>
      </c>
      <c r="CY151" s="56">
        <v>2726697</v>
      </c>
      <c r="CZ151" s="56">
        <v>2731128</v>
      </c>
      <c r="DA151" s="56">
        <v>2735482</v>
      </c>
      <c r="DB151" s="56">
        <v>2739852</v>
      </c>
      <c r="DC151" s="56">
        <v>2743832</v>
      </c>
      <c r="DD151" s="56">
        <v>2759835</v>
      </c>
      <c r="DE151" s="56">
        <v>2775764</v>
      </c>
      <c r="DF151" s="56">
        <v>2791594</v>
      </c>
      <c r="DG151" s="56">
        <v>2807202</v>
      </c>
      <c r="DH151" s="56">
        <v>2822855</v>
      </c>
      <c r="DI151" s="56">
        <v>2837261</v>
      </c>
      <c r="DJ151" s="56">
        <v>2851339</v>
      </c>
      <c r="DK151" s="56">
        <v>2865065</v>
      </c>
      <c r="DL151" s="56">
        <v>2878358</v>
      </c>
      <c r="DM151" s="56">
        <v>2891378</v>
      </c>
      <c r="DN151" s="56">
        <v>2894651</v>
      </c>
      <c r="DO151" s="56">
        <v>2897374</v>
      </c>
      <c r="DP151" s="56">
        <v>2899531</v>
      </c>
      <c r="DQ151" s="56">
        <v>2901129</v>
      </c>
      <c r="DR151" s="56">
        <v>2902096</v>
      </c>
      <c r="DS151" s="56">
        <v>2895625</v>
      </c>
      <c r="DT151" s="56">
        <v>2888487</v>
      </c>
      <c r="DU151" s="56">
        <v>2880673</v>
      </c>
      <c r="DV151" s="56">
        <v>2872241</v>
      </c>
      <c r="DW151" s="56">
        <v>2863016</v>
      </c>
      <c r="DX151" s="56">
        <v>2853059</v>
      </c>
      <c r="DY151" s="56">
        <v>2842393</v>
      </c>
      <c r="DZ151" s="56">
        <v>2831021</v>
      </c>
      <c r="EA151" s="56">
        <v>2819016</v>
      </c>
      <c r="EB151" s="56">
        <v>2806176</v>
      </c>
      <c r="EC151" s="56">
        <v>2795870</v>
      </c>
      <c r="ED151" s="56">
        <v>2784859</v>
      </c>
      <c r="EE151" s="56">
        <v>2773150</v>
      </c>
      <c r="EF151" s="56">
        <v>2760799</v>
      </c>
      <c r="EG151" s="56">
        <v>2747662</v>
      </c>
      <c r="EH151" s="56">
        <v>2736367</v>
      </c>
      <c r="EI151" s="56">
        <v>2724373</v>
      </c>
      <c r="EJ151" s="56">
        <v>2711689</v>
      </c>
      <c r="EK151" s="56">
        <v>2698324</v>
      </c>
      <c r="EL151" s="56">
        <v>2684282</v>
      </c>
      <c r="EM151" s="56">
        <v>2670405</v>
      </c>
      <c r="EN151" s="56">
        <v>2655800</v>
      </c>
      <c r="EO151" s="56">
        <v>2640478</v>
      </c>
      <c r="EP151" s="56">
        <v>2624694</v>
      </c>
      <c r="EQ151" s="56">
        <v>2607731</v>
      </c>
      <c r="ER151" s="56">
        <v>2591576</v>
      </c>
      <c r="ES151" s="56">
        <v>2574933</v>
      </c>
      <c r="ET151" s="56">
        <v>2557811</v>
      </c>
      <c r="EU151" s="56">
        <v>2540219</v>
      </c>
      <c r="EV151" s="56">
        <v>2522166</v>
      </c>
    </row>
    <row r="152" spans="1:152">
      <c r="A152" s="53">
        <v>36</v>
      </c>
      <c r="B152" s="38">
        <v>175039</v>
      </c>
      <c r="C152" s="38">
        <v>176782</v>
      </c>
      <c r="D152" s="38">
        <v>178523</v>
      </c>
      <c r="E152" s="38">
        <v>180259</v>
      </c>
      <c r="F152" s="38">
        <v>181996</v>
      </c>
      <c r="G152" s="38">
        <v>183709</v>
      </c>
      <c r="H152" s="38">
        <v>185487</v>
      </c>
      <c r="I152" s="38">
        <v>187259</v>
      </c>
      <c r="J152" s="38">
        <v>189026</v>
      </c>
      <c r="K152" s="38">
        <v>190777</v>
      </c>
      <c r="L152" s="38">
        <v>192529</v>
      </c>
      <c r="M152" s="38">
        <v>198934</v>
      </c>
      <c r="N152" s="38">
        <v>205317</v>
      </c>
      <c r="O152" s="38">
        <v>211676</v>
      </c>
      <c r="P152" s="38">
        <v>218002</v>
      </c>
      <c r="Q152" s="38">
        <v>224306</v>
      </c>
      <c r="R152" s="38">
        <v>228214</v>
      </c>
      <c r="S152" s="38">
        <v>232081</v>
      </c>
      <c r="T152" s="38">
        <v>235903</v>
      </c>
      <c r="U152" s="38">
        <v>239679</v>
      </c>
      <c r="V152" s="38">
        <v>243403</v>
      </c>
      <c r="W152" s="38">
        <v>247736</v>
      </c>
      <c r="X152" s="38">
        <v>252016</v>
      </c>
      <c r="Y152" s="38">
        <v>256238</v>
      </c>
      <c r="Z152" s="38">
        <v>260404</v>
      </c>
      <c r="AA152" s="38">
        <v>264494</v>
      </c>
      <c r="AB152" s="38">
        <v>264416</v>
      </c>
      <c r="AC152" s="38">
        <v>264273</v>
      </c>
      <c r="CM152" s="57" t="s">
        <v>58</v>
      </c>
      <c r="CN152" s="56">
        <v>2281764</v>
      </c>
      <c r="CO152" s="56">
        <v>2324048</v>
      </c>
      <c r="CP152" s="56">
        <v>2366369</v>
      </c>
      <c r="CQ152" s="56">
        <v>2408671</v>
      </c>
      <c r="CR152" s="56">
        <v>2450901</v>
      </c>
      <c r="CS152" s="56">
        <v>2492998</v>
      </c>
      <c r="CT152" s="56">
        <v>2536717</v>
      </c>
      <c r="CU152" s="56">
        <v>2580195</v>
      </c>
      <c r="CV152" s="56">
        <v>2623376</v>
      </c>
      <c r="CW152" s="56">
        <v>2666623</v>
      </c>
      <c r="CX152" s="56">
        <v>2708630</v>
      </c>
      <c r="CY152" s="56">
        <v>2710530</v>
      </c>
      <c r="CZ152" s="56">
        <v>2712386</v>
      </c>
      <c r="DA152" s="56">
        <v>2714165</v>
      </c>
      <c r="DB152" s="56">
        <v>2715961</v>
      </c>
      <c r="DC152" s="56">
        <v>2717359</v>
      </c>
      <c r="DD152" s="56">
        <v>2721953</v>
      </c>
      <c r="DE152" s="56">
        <v>2726474</v>
      </c>
      <c r="DF152" s="56">
        <v>2730895</v>
      </c>
      <c r="DG152" s="56">
        <v>2735101</v>
      </c>
      <c r="DH152" s="56">
        <v>2739346</v>
      </c>
      <c r="DI152" s="56">
        <v>2755888</v>
      </c>
      <c r="DJ152" s="56">
        <v>2772112</v>
      </c>
      <c r="DK152" s="56">
        <v>2787995</v>
      </c>
      <c r="DL152" s="56">
        <v>2803455</v>
      </c>
      <c r="DM152" s="56">
        <v>2818621</v>
      </c>
      <c r="DN152" s="56">
        <v>2833477</v>
      </c>
      <c r="DO152" s="56">
        <v>2847802</v>
      </c>
      <c r="DP152" s="56">
        <v>2861573</v>
      </c>
      <c r="DQ152" s="56">
        <v>2874787</v>
      </c>
      <c r="DR152" s="56">
        <v>2887388</v>
      </c>
      <c r="DS152" s="56">
        <v>2890937</v>
      </c>
      <c r="DT152" s="56">
        <v>2893824</v>
      </c>
      <c r="DU152" s="56">
        <v>2896037</v>
      </c>
      <c r="DV152" s="56">
        <v>2897624</v>
      </c>
      <c r="DW152" s="56">
        <v>2898411</v>
      </c>
      <c r="DX152" s="56">
        <v>2892091</v>
      </c>
      <c r="DY152" s="56">
        <v>2885051</v>
      </c>
      <c r="DZ152" s="56">
        <v>2877298</v>
      </c>
      <c r="EA152" s="56">
        <v>2868901</v>
      </c>
      <c r="EB152" s="56">
        <v>2859653</v>
      </c>
      <c r="EC152" s="56">
        <v>2849775</v>
      </c>
      <c r="ED152" s="56">
        <v>2839179</v>
      </c>
      <c r="EE152" s="56">
        <v>2827871</v>
      </c>
      <c r="EF152" s="56">
        <v>2815908</v>
      </c>
      <c r="EG152" s="56">
        <v>2803146</v>
      </c>
      <c r="EH152" s="56">
        <v>2792909</v>
      </c>
      <c r="EI152" s="56">
        <v>2781961</v>
      </c>
      <c r="EJ152" s="56">
        <v>2770308</v>
      </c>
      <c r="EK152" s="56">
        <v>2757958</v>
      </c>
      <c r="EL152" s="56">
        <v>2744916</v>
      </c>
      <c r="EM152" s="56">
        <v>2733758</v>
      </c>
      <c r="EN152" s="56">
        <v>2721857</v>
      </c>
      <c r="EO152" s="56">
        <v>2709222</v>
      </c>
      <c r="EP152" s="56">
        <v>2696112</v>
      </c>
      <c r="EQ152" s="56">
        <v>2681788</v>
      </c>
      <c r="ER152" s="56">
        <v>2667509</v>
      </c>
      <c r="ES152" s="56">
        <v>2652729</v>
      </c>
      <c r="ET152" s="56">
        <v>2637456</v>
      </c>
      <c r="EU152" s="56">
        <v>2621698</v>
      </c>
      <c r="EV152" s="56">
        <v>2605465</v>
      </c>
    </row>
    <row r="153" spans="1:152">
      <c r="A153" s="53">
        <v>37</v>
      </c>
      <c r="B153" s="38">
        <v>171071</v>
      </c>
      <c r="C153" s="38">
        <v>173314</v>
      </c>
      <c r="D153" s="38">
        <v>175553</v>
      </c>
      <c r="E153" s="38">
        <v>177788</v>
      </c>
      <c r="F153" s="38">
        <v>180025</v>
      </c>
      <c r="G153" s="38">
        <v>182237</v>
      </c>
      <c r="H153" s="38">
        <v>183207</v>
      </c>
      <c r="I153" s="38">
        <v>184172</v>
      </c>
      <c r="J153" s="38">
        <v>185130</v>
      </c>
      <c r="K153" s="38">
        <v>186074</v>
      </c>
      <c r="L153" s="38">
        <v>187019</v>
      </c>
      <c r="M153" s="38">
        <v>193487</v>
      </c>
      <c r="N153" s="38">
        <v>199935</v>
      </c>
      <c r="O153" s="38">
        <v>206359</v>
      </c>
      <c r="P153" s="38">
        <v>212751</v>
      </c>
      <c r="Q153" s="38">
        <v>219121</v>
      </c>
      <c r="R153" s="38">
        <v>222941</v>
      </c>
      <c r="S153" s="38">
        <v>226721</v>
      </c>
      <c r="T153" s="38">
        <v>230457</v>
      </c>
      <c r="U153" s="38">
        <v>234148</v>
      </c>
      <c r="V153" s="38">
        <v>237789</v>
      </c>
      <c r="W153" s="38">
        <v>242840</v>
      </c>
      <c r="X153" s="38">
        <v>247840</v>
      </c>
      <c r="Y153" s="38">
        <v>252783</v>
      </c>
      <c r="Z153" s="38">
        <v>257670</v>
      </c>
      <c r="AA153" s="38">
        <v>262482</v>
      </c>
      <c r="AB153" s="38">
        <v>262624</v>
      </c>
      <c r="AC153" s="38">
        <v>262701</v>
      </c>
      <c r="CM153" s="45" t="s">
        <v>59</v>
      </c>
      <c r="CN153" s="56">
        <v>1972472</v>
      </c>
      <c r="CO153" s="56">
        <v>2032489</v>
      </c>
      <c r="CP153" s="56">
        <v>2092538</v>
      </c>
      <c r="CQ153" s="56">
        <v>2152573</v>
      </c>
      <c r="CR153" s="56">
        <v>2212543</v>
      </c>
      <c r="CS153" s="56">
        <v>2272403</v>
      </c>
      <c r="CT153" s="56">
        <v>2314925</v>
      </c>
      <c r="CU153" s="56">
        <v>2357228</v>
      </c>
      <c r="CV153" s="56">
        <v>2399260</v>
      </c>
      <c r="CW153" s="56">
        <v>2441352</v>
      </c>
      <c r="CX153" s="56">
        <v>2482323</v>
      </c>
      <c r="CY153" s="56">
        <v>2525375</v>
      </c>
      <c r="CZ153" s="56">
        <v>2568391</v>
      </c>
      <c r="DA153" s="56">
        <v>2611336</v>
      </c>
      <c r="DB153" s="56">
        <v>2654298</v>
      </c>
      <c r="DC153" s="56">
        <v>2696867</v>
      </c>
      <c r="DD153" s="56">
        <v>2699011</v>
      </c>
      <c r="DE153" s="56">
        <v>2701083</v>
      </c>
      <c r="DF153" s="56">
        <v>2703056</v>
      </c>
      <c r="DG153" s="56">
        <v>2704816</v>
      </c>
      <c r="DH153" s="56">
        <v>2706612</v>
      </c>
      <c r="DI153" s="56">
        <v>2711858</v>
      </c>
      <c r="DJ153" s="56">
        <v>2716787</v>
      </c>
      <c r="DK153" s="56">
        <v>2721380</v>
      </c>
      <c r="DL153" s="56">
        <v>2725562</v>
      </c>
      <c r="DM153" s="56">
        <v>2729492</v>
      </c>
      <c r="DN153" s="56">
        <v>2746544</v>
      </c>
      <c r="DO153" s="56">
        <v>2763083</v>
      </c>
      <c r="DP153" s="56">
        <v>2779085</v>
      </c>
      <c r="DQ153" s="56">
        <v>2794545</v>
      </c>
      <c r="DR153" s="56">
        <v>2809403</v>
      </c>
      <c r="DS153" s="56">
        <v>2824598</v>
      </c>
      <c r="DT153" s="56">
        <v>2839153</v>
      </c>
      <c r="DU153" s="56">
        <v>2853052</v>
      </c>
      <c r="DV153" s="56">
        <v>2866333</v>
      </c>
      <c r="DW153" s="56">
        <v>2878805</v>
      </c>
      <c r="DX153" s="56">
        <v>2882586</v>
      </c>
      <c r="DY153" s="56">
        <v>2885661</v>
      </c>
      <c r="DZ153" s="56">
        <v>2888022</v>
      </c>
      <c r="EA153" s="56">
        <v>2889738</v>
      </c>
      <c r="EB153" s="56">
        <v>2890586</v>
      </c>
      <c r="EC153" s="56">
        <v>2884435</v>
      </c>
      <c r="ED153" s="56">
        <v>2877561</v>
      </c>
      <c r="EE153" s="56">
        <v>2869966</v>
      </c>
      <c r="EF153" s="56">
        <v>2861705</v>
      </c>
      <c r="EG153" s="56">
        <v>2852625</v>
      </c>
      <c r="EH153" s="56">
        <v>2842911</v>
      </c>
      <c r="EI153" s="56">
        <v>2832472</v>
      </c>
      <c r="EJ153" s="56">
        <v>2821316</v>
      </c>
      <c r="EK153" s="56">
        <v>2809451</v>
      </c>
      <c r="EL153" s="56">
        <v>2796881</v>
      </c>
      <c r="EM153" s="56">
        <v>2786862</v>
      </c>
      <c r="EN153" s="56">
        <v>2776086</v>
      </c>
      <c r="EO153" s="56">
        <v>2764562</v>
      </c>
      <c r="EP153" s="56">
        <v>2752553</v>
      </c>
      <c r="EQ153" s="56">
        <v>2739308</v>
      </c>
      <c r="ER153" s="56">
        <v>2727805</v>
      </c>
      <c r="ES153" s="56">
        <v>2715792</v>
      </c>
      <c r="ET153" s="56">
        <v>2703275</v>
      </c>
      <c r="EU153" s="56">
        <v>2690260</v>
      </c>
      <c r="EV153" s="56">
        <v>2676757</v>
      </c>
    </row>
    <row r="154" spans="1:152">
      <c r="A154" s="53">
        <v>38</v>
      </c>
      <c r="B154" s="38">
        <v>165418</v>
      </c>
      <c r="C154" s="38">
        <v>168365</v>
      </c>
      <c r="D154" s="38">
        <v>171310</v>
      </c>
      <c r="E154" s="38">
        <v>174251</v>
      </c>
      <c r="F154" s="38">
        <v>177193</v>
      </c>
      <c r="G154" s="38">
        <v>180112</v>
      </c>
      <c r="H154" s="38">
        <v>180903</v>
      </c>
      <c r="I154" s="38">
        <v>181690</v>
      </c>
      <c r="J154" s="38">
        <v>182470</v>
      </c>
      <c r="K154" s="38">
        <v>183235</v>
      </c>
      <c r="L154" s="38">
        <v>184002</v>
      </c>
      <c r="M154" s="38">
        <v>189750</v>
      </c>
      <c r="N154" s="38">
        <v>195477</v>
      </c>
      <c r="O154" s="38">
        <v>201181</v>
      </c>
      <c r="P154" s="38">
        <v>206854</v>
      </c>
      <c r="Q154" s="38">
        <v>212505</v>
      </c>
      <c r="R154" s="38">
        <v>216718</v>
      </c>
      <c r="S154" s="38">
        <v>220891</v>
      </c>
      <c r="T154" s="38">
        <v>225023</v>
      </c>
      <c r="U154" s="38">
        <v>229110</v>
      </c>
      <c r="V154" s="38">
        <v>233146</v>
      </c>
      <c r="W154" s="38">
        <v>238312</v>
      </c>
      <c r="X154" s="38">
        <v>243426</v>
      </c>
      <c r="Y154" s="38">
        <v>248485</v>
      </c>
      <c r="Z154" s="38">
        <v>253490</v>
      </c>
      <c r="AA154" s="38">
        <v>258420</v>
      </c>
      <c r="AB154" s="38">
        <v>259291</v>
      </c>
      <c r="AC154" s="38">
        <v>260099</v>
      </c>
      <c r="CM154" s="45" t="s">
        <v>60</v>
      </c>
      <c r="CN154" s="56">
        <v>1875542</v>
      </c>
      <c r="CO154" s="56">
        <v>1892092</v>
      </c>
      <c r="CP154" s="56">
        <v>1908670</v>
      </c>
      <c r="CQ154" s="56">
        <v>1925232</v>
      </c>
      <c r="CR154" s="56">
        <v>1941737</v>
      </c>
      <c r="CS154" s="56">
        <v>1958126</v>
      </c>
      <c r="CT154" s="56">
        <v>2017725</v>
      </c>
      <c r="CU154" s="56">
        <v>2077140</v>
      </c>
      <c r="CV154" s="56">
        <v>2136320</v>
      </c>
      <c r="CW154" s="56">
        <v>2195555</v>
      </c>
      <c r="CX154" s="56">
        <v>2253741</v>
      </c>
      <c r="CY154" s="56">
        <v>2295287</v>
      </c>
      <c r="CZ154" s="56">
        <v>2336801</v>
      </c>
      <c r="DA154" s="56">
        <v>2378250</v>
      </c>
      <c r="DB154" s="56">
        <v>2419714</v>
      </c>
      <c r="DC154" s="56">
        <v>2460836</v>
      </c>
      <c r="DD154" s="56">
        <v>2503978</v>
      </c>
      <c r="DE154" s="56">
        <v>2547058</v>
      </c>
      <c r="DF154" s="56">
        <v>2590046</v>
      </c>
      <c r="DG154" s="56">
        <v>2632829</v>
      </c>
      <c r="DH154" s="56">
        <v>2675644</v>
      </c>
      <c r="DI154" s="56">
        <v>2678629</v>
      </c>
      <c r="DJ154" s="56">
        <v>2681300</v>
      </c>
      <c r="DK154" s="56">
        <v>2683639</v>
      </c>
      <c r="DL154" s="56">
        <v>2685572</v>
      </c>
      <c r="DM154" s="56">
        <v>2687245</v>
      </c>
      <c r="DN154" s="56">
        <v>2693202</v>
      </c>
      <c r="DO154" s="56">
        <v>2698650</v>
      </c>
      <c r="DP154" s="56">
        <v>2703571</v>
      </c>
      <c r="DQ154" s="56">
        <v>2707967</v>
      </c>
      <c r="DR154" s="56">
        <v>2711792</v>
      </c>
      <c r="DS154" s="56">
        <v>2729281</v>
      </c>
      <c r="DT154" s="56">
        <v>2746153</v>
      </c>
      <c r="DU154" s="56">
        <v>2762391</v>
      </c>
      <c r="DV154" s="56">
        <v>2778031</v>
      </c>
      <c r="DW154" s="56">
        <v>2792884</v>
      </c>
      <c r="DX154" s="56">
        <v>2808389</v>
      </c>
      <c r="DY154" s="56">
        <v>2823214</v>
      </c>
      <c r="DZ154" s="56">
        <v>2837346</v>
      </c>
      <c r="EA154" s="56">
        <v>2850836</v>
      </c>
      <c r="EB154" s="56">
        <v>2863464</v>
      </c>
      <c r="EC154" s="56">
        <v>2867530</v>
      </c>
      <c r="ED154" s="56">
        <v>2870884</v>
      </c>
      <c r="EE154" s="56">
        <v>2873521</v>
      </c>
      <c r="EF154" s="56">
        <v>2875490</v>
      </c>
      <c r="EG154" s="56">
        <v>2876627</v>
      </c>
      <c r="EH154" s="56">
        <v>2870777</v>
      </c>
      <c r="EI154" s="56">
        <v>2864199</v>
      </c>
      <c r="EJ154" s="56">
        <v>2856898</v>
      </c>
      <c r="EK154" s="56">
        <v>2848877</v>
      </c>
      <c r="EL154" s="56">
        <v>2840135</v>
      </c>
      <c r="EM154" s="56">
        <v>2830772</v>
      </c>
      <c r="EN154" s="56">
        <v>2820642</v>
      </c>
      <c r="EO154" s="56">
        <v>2809751</v>
      </c>
      <c r="EP154" s="56">
        <v>2798368</v>
      </c>
      <c r="EQ154" s="56">
        <v>2785725</v>
      </c>
      <c r="ER154" s="56">
        <v>2775471</v>
      </c>
      <c r="ES154" s="56">
        <v>2764698</v>
      </c>
      <c r="ET154" s="56">
        <v>2753412</v>
      </c>
      <c r="EU154" s="56">
        <v>2741620</v>
      </c>
      <c r="EV154" s="56">
        <v>2729326</v>
      </c>
    </row>
    <row r="155" spans="1:152">
      <c r="A155" s="53">
        <v>39</v>
      </c>
      <c r="B155" s="38">
        <v>158587</v>
      </c>
      <c r="C155" s="38">
        <v>162354</v>
      </c>
      <c r="D155" s="38">
        <v>166119</v>
      </c>
      <c r="E155" s="38">
        <v>169879</v>
      </c>
      <c r="F155" s="38">
        <v>173641</v>
      </c>
      <c r="G155" s="38">
        <v>177380</v>
      </c>
      <c r="H155" s="38">
        <v>178478</v>
      </c>
      <c r="I155" s="38">
        <v>179571</v>
      </c>
      <c r="J155" s="38">
        <v>180657</v>
      </c>
      <c r="K155" s="38">
        <v>181729</v>
      </c>
      <c r="L155" s="38">
        <v>182803</v>
      </c>
      <c r="M155" s="38">
        <v>187289</v>
      </c>
      <c r="N155" s="38">
        <v>191755</v>
      </c>
      <c r="O155" s="38">
        <v>196198</v>
      </c>
      <c r="P155" s="38">
        <v>200610</v>
      </c>
      <c r="Q155" s="38">
        <v>205002</v>
      </c>
      <c r="R155" s="38">
        <v>209912</v>
      </c>
      <c r="S155" s="38">
        <v>214784</v>
      </c>
      <c r="T155" s="38">
        <v>219615</v>
      </c>
      <c r="U155" s="38">
        <v>224402</v>
      </c>
      <c r="V155" s="38">
        <v>229139</v>
      </c>
      <c r="W155" s="38">
        <v>233986</v>
      </c>
      <c r="X155" s="38">
        <v>238782</v>
      </c>
      <c r="Y155" s="38">
        <v>243524</v>
      </c>
      <c r="Z155" s="38">
        <v>248213</v>
      </c>
      <c r="AA155" s="38">
        <v>252829</v>
      </c>
      <c r="AB155" s="38">
        <v>254775</v>
      </c>
      <c r="AC155" s="38">
        <v>256660</v>
      </c>
      <c r="CM155" s="45" t="s">
        <v>61</v>
      </c>
      <c r="CN155" s="56">
        <v>1729001</v>
      </c>
      <c r="CO155" s="56">
        <v>1755015</v>
      </c>
      <c r="CP155" s="56">
        <v>1781057</v>
      </c>
      <c r="CQ155" s="56">
        <v>1807084</v>
      </c>
      <c r="CR155" s="56">
        <v>1833058</v>
      </c>
      <c r="CS155" s="56">
        <v>1858941</v>
      </c>
      <c r="CT155" s="56">
        <v>1875303</v>
      </c>
      <c r="CU155" s="56">
        <v>1891481</v>
      </c>
      <c r="CV155" s="56">
        <v>1907439</v>
      </c>
      <c r="CW155" s="56">
        <v>1923443</v>
      </c>
      <c r="CX155" s="56">
        <v>1938557</v>
      </c>
      <c r="CY155" s="56">
        <v>1996962</v>
      </c>
      <c r="CZ155" s="56">
        <v>2055341</v>
      </c>
      <c r="DA155" s="56">
        <v>2113665</v>
      </c>
      <c r="DB155" s="56">
        <v>2172003</v>
      </c>
      <c r="DC155" s="56">
        <v>2229999</v>
      </c>
      <c r="DD155" s="56">
        <v>2271616</v>
      </c>
      <c r="DE155" s="56">
        <v>2313175</v>
      </c>
      <c r="DF155" s="56">
        <v>2354653</v>
      </c>
      <c r="DG155" s="56">
        <v>2395943</v>
      </c>
      <c r="DH155" s="56">
        <v>2437246</v>
      </c>
      <c r="DI155" s="56">
        <v>2480862</v>
      </c>
      <c r="DJ155" s="56">
        <v>2524202</v>
      </c>
      <c r="DK155" s="56">
        <v>2567236</v>
      </c>
      <c r="DL155" s="56">
        <v>2609876</v>
      </c>
      <c r="DM155" s="56">
        <v>2652255</v>
      </c>
      <c r="DN155" s="56">
        <v>2656016</v>
      </c>
      <c r="DO155" s="56">
        <v>2659272</v>
      </c>
      <c r="DP155" s="56">
        <v>2662010</v>
      </c>
      <c r="DQ155" s="56">
        <v>2664232</v>
      </c>
      <c r="DR155" s="56">
        <v>2665878</v>
      </c>
      <c r="DS155" s="56">
        <v>2672378</v>
      </c>
      <c r="DT155" s="56">
        <v>2678268</v>
      </c>
      <c r="DU155" s="56">
        <v>2683536</v>
      </c>
      <c r="DV155" s="56">
        <v>2688225</v>
      </c>
      <c r="DW155" s="56">
        <v>2692161</v>
      </c>
      <c r="DX155" s="56">
        <v>2709966</v>
      </c>
      <c r="DY155" s="56">
        <v>2727118</v>
      </c>
      <c r="DZ155" s="56">
        <v>2743600</v>
      </c>
      <c r="EA155" s="56">
        <v>2759462</v>
      </c>
      <c r="EB155" s="56">
        <v>2774485</v>
      </c>
      <c r="EC155" s="56">
        <v>2790242</v>
      </c>
      <c r="ED155" s="56">
        <v>2805316</v>
      </c>
      <c r="EE155" s="56">
        <v>2819692</v>
      </c>
      <c r="EF155" s="56">
        <v>2833409</v>
      </c>
      <c r="EG155" s="56">
        <v>2846298</v>
      </c>
      <c r="EH155" s="56">
        <v>2850660</v>
      </c>
      <c r="EI155" s="56">
        <v>2854308</v>
      </c>
      <c r="EJ155" s="56">
        <v>2857237</v>
      </c>
      <c r="EK155" s="56">
        <v>2859441</v>
      </c>
      <c r="EL155" s="56">
        <v>2860917</v>
      </c>
      <c r="EM155" s="56">
        <v>2855452</v>
      </c>
      <c r="EN155" s="56">
        <v>2849215</v>
      </c>
      <c r="EO155" s="56">
        <v>2842211</v>
      </c>
      <c r="EP155" s="56">
        <v>2834709</v>
      </c>
      <c r="EQ155" s="56">
        <v>2825926</v>
      </c>
      <c r="ER155" s="56">
        <v>2816370</v>
      </c>
      <c r="ES155" s="56">
        <v>2806288</v>
      </c>
      <c r="ET155" s="56">
        <v>2795686</v>
      </c>
      <c r="EU155" s="56">
        <v>2784568</v>
      </c>
      <c r="EV155" s="56">
        <v>2772941</v>
      </c>
    </row>
    <row r="156" spans="1:152">
      <c r="A156" s="53" t="s">
        <v>91</v>
      </c>
      <c r="B156" s="46">
        <v>0</v>
      </c>
      <c r="C156" s="46">
        <v>0</v>
      </c>
      <c r="D156" s="46">
        <v>0</v>
      </c>
      <c r="E156" s="46">
        <v>0</v>
      </c>
      <c r="F156" s="46">
        <v>0</v>
      </c>
      <c r="G156" s="46">
        <v>0</v>
      </c>
      <c r="H156" s="46">
        <v>0</v>
      </c>
      <c r="I156" s="46">
        <v>0</v>
      </c>
      <c r="J156" s="46">
        <v>0</v>
      </c>
      <c r="K156" s="46">
        <v>0</v>
      </c>
      <c r="L156" s="46">
        <v>0</v>
      </c>
      <c r="M156" s="46">
        <v>0</v>
      </c>
      <c r="N156" s="46">
        <v>0</v>
      </c>
      <c r="O156" s="46">
        <v>0</v>
      </c>
      <c r="P156" s="46">
        <v>0</v>
      </c>
      <c r="Q156" s="46">
        <v>0</v>
      </c>
      <c r="R156" s="46">
        <v>0</v>
      </c>
      <c r="S156" s="46">
        <v>0</v>
      </c>
      <c r="T156" s="46">
        <v>0</v>
      </c>
      <c r="U156" s="46">
        <v>0</v>
      </c>
      <c r="V156" s="46">
        <v>0</v>
      </c>
      <c r="W156" s="46">
        <v>0</v>
      </c>
      <c r="X156" s="46">
        <v>0</v>
      </c>
      <c r="Y156" s="46">
        <v>0</v>
      </c>
      <c r="Z156" s="46">
        <v>0</v>
      </c>
      <c r="AA156" s="46">
        <v>0</v>
      </c>
      <c r="AB156" s="46">
        <v>0</v>
      </c>
      <c r="AC156" s="46">
        <v>0</v>
      </c>
      <c r="CM156" s="45" t="s">
        <v>62</v>
      </c>
      <c r="CN156" s="56">
        <v>1428671</v>
      </c>
      <c r="CO156" s="56">
        <v>1485448</v>
      </c>
      <c r="CP156" s="56">
        <v>1542250</v>
      </c>
      <c r="CQ156" s="56">
        <v>1599041</v>
      </c>
      <c r="CR156" s="56">
        <v>1655785</v>
      </c>
      <c r="CS156" s="56">
        <v>1712462</v>
      </c>
      <c r="CT156" s="56">
        <v>1738335</v>
      </c>
      <c r="CU156" s="56">
        <v>1764041</v>
      </c>
      <c r="CV156" s="56">
        <v>1789543</v>
      </c>
      <c r="CW156" s="56">
        <v>1815090</v>
      </c>
      <c r="CX156" s="56">
        <v>1839781</v>
      </c>
      <c r="CY156" s="56">
        <v>1855520</v>
      </c>
      <c r="CZ156" s="56">
        <v>1871230</v>
      </c>
      <c r="DA156" s="56">
        <v>1886888</v>
      </c>
      <c r="DB156" s="56">
        <v>1902557</v>
      </c>
      <c r="DC156" s="56">
        <v>1917948</v>
      </c>
      <c r="DD156" s="56">
        <v>1976161</v>
      </c>
      <c r="DE156" s="56">
        <v>2034328</v>
      </c>
      <c r="DF156" s="56">
        <v>2092423</v>
      </c>
      <c r="DG156" s="56">
        <v>2150350</v>
      </c>
      <c r="DH156" s="56">
        <v>2208300</v>
      </c>
      <c r="DI156" s="56">
        <v>2250300</v>
      </c>
      <c r="DJ156" s="56">
        <v>2292053</v>
      </c>
      <c r="DK156" s="56">
        <v>2333526</v>
      </c>
      <c r="DL156" s="56">
        <v>2374642</v>
      </c>
      <c r="DM156" s="56">
        <v>2415515</v>
      </c>
      <c r="DN156" s="56">
        <v>2459493</v>
      </c>
      <c r="DO156" s="56">
        <v>2503028</v>
      </c>
      <c r="DP156" s="56">
        <v>2546084</v>
      </c>
      <c r="DQ156" s="56">
        <v>2588637</v>
      </c>
      <c r="DR156" s="56">
        <v>2630595</v>
      </c>
      <c r="DS156" s="56">
        <v>2634881</v>
      </c>
      <c r="DT156" s="56">
        <v>2638563</v>
      </c>
      <c r="DU156" s="56">
        <v>2641632</v>
      </c>
      <c r="DV156" s="56">
        <v>2644132</v>
      </c>
      <c r="DW156" s="56">
        <v>2645894</v>
      </c>
      <c r="DX156" s="56">
        <v>2652753</v>
      </c>
      <c r="DY156" s="56">
        <v>2658964</v>
      </c>
      <c r="DZ156" s="56">
        <v>2664520</v>
      </c>
      <c r="EA156" s="56">
        <v>2669476</v>
      </c>
      <c r="EB156" s="56">
        <v>2673629</v>
      </c>
      <c r="EC156" s="56">
        <v>2691638</v>
      </c>
      <c r="ED156" s="56">
        <v>2708990</v>
      </c>
      <c r="EE156" s="56">
        <v>2725668</v>
      </c>
      <c r="EF156" s="56">
        <v>2741710</v>
      </c>
      <c r="EG156" s="56">
        <v>2756947</v>
      </c>
      <c r="EH156" s="56">
        <v>2772902</v>
      </c>
      <c r="EI156" s="56">
        <v>2788171</v>
      </c>
      <c r="EJ156" s="56">
        <v>2802739</v>
      </c>
      <c r="EK156" s="56">
        <v>2816596</v>
      </c>
      <c r="EL156" s="56">
        <v>2829729</v>
      </c>
      <c r="EM156" s="56">
        <v>2834406</v>
      </c>
      <c r="EN156" s="56">
        <v>2838326</v>
      </c>
      <c r="EO156" s="56">
        <v>2841485</v>
      </c>
      <c r="EP156" s="56">
        <v>2844142</v>
      </c>
      <c r="EQ156" s="56">
        <v>2845506</v>
      </c>
      <c r="ER156" s="56">
        <v>2839815</v>
      </c>
      <c r="ES156" s="56">
        <v>2833595</v>
      </c>
      <c r="ET156" s="56">
        <v>2826848</v>
      </c>
      <c r="EU156" s="56">
        <v>2819581</v>
      </c>
      <c r="EV156" s="56">
        <v>2811794</v>
      </c>
    </row>
    <row r="157" spans="1:152">
      <c r="A157" s="53">
        <v>40</v>
      </c>
      <c r="B157" s="38">
        <v>151141</v>
      </c>
      <c r="C157" s="38">
        <v>155887</v>
      </c>
      <c r="D157" s="38">
        <v>160628</v>
      </c>
      <c r="E157" s="38">
        <v>165367</v>
      </c>
      <c r="F157" s="38">
        <v>170107</v>
      </c>
      <c r="G157" s="38">
        <v>174825</v>
      </c>
      <c r="H157" s="38">
        <v>176289</v>
      </c>
      <c r="I157" s="38">
        <v>177750</v>
      </c>
      <c r="J157" s="38">
        <v>179203</v>
      </c>
      <c r="K157" s="38">
        <v>180642</v>
      </c>
      <c r="L157" s="38">
        <v>182084</v>
      </c>
      <c r="M157" s="38">
        <v>185117</v>
      </c>
      <c r="N157" s="38">
        <v>188132</v>
      </c>
      <c r="O157" s="38">
        <v>191124</v>
      </c>
      <c r="P157" s="38">
        <v>194085</v>
      </c>
      <c r="Q157" s="38">
        <v>197027</v>
      </c>
      <c r="R157" s="38">
        <v>202790</v>
      </c>
      <c r="S157" s="38">
        <v>208517</v>
      </c>
      <c r="T157" s="38">
        <v>214205</v>
      </c>
      <c r="U157" s="38">
        <v>219850</v>
      </c>
      <c r="V157" s="38">
        <v>225444</v>
      </c>
      <c r="W157" s="38">
        <v>229762</v>
      </c>
      <c r="X157" s="38">
        <v>234029</v>
      </c>
      <c r="Y157" s="38">
        <v>238243</v>
      </c>
      <c r="Z157" s="38">
        <v>242405</v>
      </c>
      <c r="AA157" s="38">
        <v>246495</v>
      </c>
      <c r="AB157" s="38">
        <v>249705</v>
      </c>
      <c r="AC157" s="38">
        <v>252856</v>
      </c>
      <c r="CM157" s="45" t="s">
        <v>63</v>
      </c>
      <c r="CN157" s="56">
        <v>1233782</v>
      </c>
      <c r="CO157" s="56">
        <v>1269729</v>
      </c>
      <c r="CP157" s="56">
        <v>1305696</v>
      </c>
      <c r="CQ157" s="56">
        <v>1341654</v>
      </c>
      <c r="CR157" s="56">
        <v>1377572</v>
      </c>
      <c r="CS157" s="56">
        <v>1413421</v>
      </c>
      <c r="CT157" s="56">
        <v>1469818</v>
      </c>
      <c r="CU157" s="56">
        <v>1526086</v>
      </c>
      <c r="CV157" s="56">
        <v>1582184</v>
      </c>
      <c r="CW157" s="56">
        <v>1638322</v>
      </c>
      <c r="CX157" s="56">
        <v>1693690</v>
      </c>
      <c r="CY157" s="56">
        <v>1718943</v>
      </c>
      <c r="CZ157" s="56">
        <v>1744170</v>
      </c>
      <c r="DA157" s="56">
        <v>1769350</v>
      </c>
      <c r="DB157" s="56">
        <v>1794540</v>
      </c>
      <c r="DC157" s="56">
        <v>1819485</v>
      </c>
      <c r="DD157" s="56">
        <v>1835406</v>
      </c>
      <c r="DE157" s="56">
        <v>1851279</v>
      </c>
      <c r="DF157" s="56">
        <v>1867086</v>
      </c>
      <c r="DG157" s="56">
        <v>1882745</v>
      </c>
      <c r="DH157" s="56">
        <v>1898430</v>
      </c>
      <c r="DI157" s="56">
        <v>1956735</v>
      </c>
      <c r="DJ157" s="56">
        <v>2014832</v>
      </c>
      <c r="DK157" s="56">
        <v>2072687</v>
      </c>
      <c r="DL157" s="56">
        <v>2130221</v>
      </c>
      <c r="DM157" s="56">
        <v>2187529</v>
      </c>
      <c r="DN157" s="56">
        <v>2229795</v>
      </c>
      <c r="DO157" s="56">
        <v>2271660</v>
      </c>
      <c r="DP157" s="56">
        <v>2313090</v>
      </c>
      <c r="DQ157" s="56">
        <v>2354064</v>
      </c>
      <c r="DR157" s="56">
        <v>2394520</v>
      </c>
      <c r="DS157" s="56">
        <v>2438627</v>
      </c>
      <c r="DT157" s="56">
        <v>2482204</v>
      </c>
      <c r="DU157" s="56">
        <v>2525215</v>
      </c>
      <c r="DV157" s="56">
        <v>2567671</v>
      </c>
      <c r="DW157" s="56">
        <v>2609382</v>
      </c>
      <c r="DX157" s="56">
        <v>2614015</v>
      </c>
      <c r="DY157" s="56">
        <v>2618010</v>
      </c>
      <c r="DZ157" s="56">
        <v>2621358</v>
      </c>
      <c r="EA157" s="56">
        <v>2624116</v>
      </c>
      <c r="EB157" s="56">
        <v>2626086</v>
      </c>
      <c r="EC157" s="56">
        <v>2633186</v>
      </c>
      <c r="ED157" s="56">
        <v>2639634</v>
      </c>
      <c r="EE157" s="56">
        <v>2645425</v>
      </c>
      <c r="EF157" s="56">
        <v>2650599</v>
      </c>
      <c r="EG157" s="56">
        <v>2655005</v>
      </c>
      <c r="EH157" s="56">
        <v>2673158</v>
      </c>
      <c r="EI157" s="56">
        <v>2690651</v>
      </c>
      <c r="EJ157" s="56">
        <v>2707469</v>
      </c>
      <c r="EK157" s="56">
        <v>2723599</v>
      </c>
      <c r="EL157" s="56">
        <v>2739027</v>
      </c>
      <c r="EM157" s="56">
        <v>2755199</v>
      </c>
      <c r="EN157" s="56">
        <v>2770644</v>
      </c>
      <c r="EO157" s="56">
        <v>2785349</v>
      </c>
      <c r="EP157" s="56">
        <v>2799561</v>
      </c>
      <c r="EQ157" s="56">
        <v>2812488</v>
      </c>
      <c r="ER157" s="56">
        <v>2816871</v>
      </c>
      <c r="ES157" s="56">
        <v>2820736</v>
      </c>
      <c r="ET157" s="56">
        <v>2824081</v>
      </c>
      <c r="EU157" s="56">
        <v>2826901</v>
      </c>
      <c r="EV157" s="56">
        <v>2829202</v>
      </c>
    </row>
    <row r="158" spans="1:152">
      <c r="A158" s="53">
        <v>41</v>
      </c>
      <c r="B158" s="38">
        <v>144068</v>
      </c>
      <c r="C158" s="38">
        <v>149692</v>
      </c>
      <c r="D158" s="38">
        <v>155314</v>
      </c>
      <c r="E158" s="38">
        <v>160931</v>
      </c>
      <c r="F158" s="38">
        <v>166550</v>
      </c>
      <c r="G158" s="38">
        <v>172148</v>
      </c>
      <c r="H158" s="38">
        <v>173909</v>
      </c>
      <c r="I158" s="38">
        <v>175665</v>
      </c>
      <c r="J158" s="38">
        <v>177415</v>
      </c>
      <c r="K158" s="38">
        <v>179151</v>
      </c>
      <c r="L158" s="38">
        <v>180890</v>
      </c>
      <c r="M158" s="38">
        <v>182710</v>
      </c>
      <c r="N158" s="38">
        <v>184509</v>
      </c>
      <c r="O158" s="38">
        <v>186285</v>
      </c>
      <c r="P158" s="38">
        <v>188033</v>
      </c>
      <c r="Q158" s="38">
        <v>189762</v>
      </c>
      <c r="R158" s="38">
        <v>196142</v>
      </c>
      <c r="S158" s="38">
        <v>202488</v>
      </c>
      <c r="T158" s="38">
        <v>208796</v>
      </c>
      <c r="U158" s="38">
        <v>215063</v>
      </c>
      <c r="V158" s="38">
        <v>221277</v>
      </c>
      <c r="W158" s="38">
        <v>225193</v>
      </c>
      <c r="X158" s="38">
        <v>229060</v>
      </c>
      <c r="Y158" s="38">
        <v>232875</v>
      </c>
      <c r="Z158" s="38">
        <v>236639</v>
      </c>
      <c r="AA158" s="38">
        <v>240335</v>
      </c>
      <c r="AB158" s="38">
        <v>244661</v>
      </c>
      <c r="AC158" s="38">
        <v>248930</v>
      </c>
      <c r="CM158" s="45" t="s">
        <v>64</v>
      </c>
      <c r="CN158" s="56">
        <v>1006342</v>
      </c>
      <c r="CO158" s="56">
        <v>1048563</v>
      </c>
      <c r="CP158" s="56">
        <v>1090802</v>
      </c>
      <c r="CQ158" s="56">
        <v>1133034</v>
      </c>
      <c r="CR158" s="56">
        <v>1175232</v>
      </c>
      <c r="CS158" s="56">
        <v>1217377</v>
      </c>
      <c r="CT158" s="56">
        <v>1253230</v>
      </c>
      <c r="CU158" s="56">
        <v>1288969</v>
      </c>
      <c r="CV158" s="56">
        <v>1324562</v>
      </c>
      <c r="CW158" s="56">
        <v>1360189</v>
      </c>
      <c r="CX158" s="56">
        <v>1395172</v>
      </c>
      <c r="CY158" s="56">
        <v>1450685</v>
      </c>
      <c r="CZ158" s="56">
        <v>1506179</v>
      </c>
      <c r="DA158" s="56">
        <v>1561634</v>
      </c>
      <c r="DB158" s="56">
        <v>1617100</v>
      </c>
      <c r="DC158" s="56">
        <v>1672350</v>
      </c>
      <c r="DD158" s="56">
        <v>1697633</v>
      </c>
      <c r="DE158" s="56">
        <v>1722873</v>
      </c>
      <c r="DF158" s="56">
        <v>1748052</v>
      </c>
      <c r="DG158" s="56">
        <v>1773092</v>
      </c>
      <c r="DH158" s="56">
        <v>1798146</v>
      </c>
      <c r="DI158" s="56">
        <v>1814496</v>
      </c>
      <c r="DJ158" s="56">
        <v>1830638</v>
      </c>
      <c r="DK158" s="56">
        <v>1846556</v>
      </c>
      <c r="DL158" s="56">
        <v>1862193</v>
      </c>
      <c r="DM158" s="56">
        <v>1877648</v>
      </c>
      <c r="DN158" s="56">
        <v>1935909</v>
      </c>
      <c r="DO158" s="56">
        <v>1993835</v>
      </c>
      <c r="DP158" s="56">
        <v>2051384</v>
      </c>
      <c r="DQ158" s="56">
        <v>2108524</v>
      </c>
      <c r="DR158" s="56">
        <v>2165162</v>
      </c>
      <c r="DS158" s="56">
        <v>2207474</v>
      </c>
      <c r="DT158" s="56">
        <v>2249307</v>
      </c>
      <c r="DU158" s="56">
        <v>2290628</v>
      </c>
      <c r="DV158" s="56">
        <v>2331446</v>
      </c>
      <c r="DW158" s="56">
        <v>2371587</v>
      </c>
      <c r="DX158" s="56">
        <v>2415645</v>
      </c>
      <c r="DY158" s="56">
        <v>2459143</v>
      </c>
      <c r="DZ158" s="56">
        <v>2502043</v>
      </c>
      <c r="EA158" s="56">
        <v>2544371</v>
      </c>
      <c r="EB158" s="56">
        <v>2585907</v>
      </c>
      <c r="EC158" s="56">
        <v>2590787</v>
      </c>
      <c r="ED158" s="56">
        <v>2595024</v>
      </c>
      <c r="EE158" s="56">
        <v>2598614</v>
      </c>
      <c r="EF158" s="56">
        <v>2601599</v>
      </c>
      <c r="EG158" s="56">
        <v>2603832</v>
      </c>
      <c r="EH158" s="56">
        <v>2611139</v>
      </c>
      <c r="EI158" s="56">
        <v>2617793</v>
      </c>
      <c r="EJ158" s="56">
        <v>2623788</v>
      </c>
      <c r="EK158" s="56">
        <v>2629119</v>
      </c>
      <c r="EL158" s="56">
        <v>2633776</v>
      </c>
      <c r="EM158" s="56">
        <v>2652090</v>
      </c>
      <c r="EN158" s="56">
        <v>2669707</v>
      </c>
      <c r="EO158" s="56">
        <v>2686612</v>
      </c>
      <c r="EP158" s="56">
        <v>2703041</v>
      </c>
      <c r="EQ158" s="56">
        <v>2718232</v>
      </c>
      <c r="ER158" s="56">
        <v>2734024</v>
      </c>
      <c r="ES158" s="56">
        <v>2749319</v>
      </c>
      <c r="ET158" s="56">
        <v>2764108</v>
      </c>
      <c r="EU158" s="56">
        <v>2778384</v>
      </c>
      <c r="EV158" s="56">
        <v>2792137</v>
      </c>
    </row>
    <row r="159" spans="1:152">
      <c r="A159" s="53">
        <v>42</v>
      </c>
      <c r="B159" s="38">
        <v>138036</v>
      </c>
      <c r="C159" s="38">
        <v>144071</v>
      </c>
      <c r="D159" s="38">
        <v>150105</v>
      </c>
      <c r="E159" s="38">
        <v>156135</v>
      </c>
      <c r="F159" s="38">
        <v>162166</v>
      </c>
      <c r="G159" s="38">
        <v>168176</v>
      </c>
      <c r="H159" s="38">
        <v>170425</v>
      </c>
      <c r="I159" s="38">
        <v>172669</v>
      </c>
      <c r="J159" s="38">
        <v>174908</v>
      </c>
      <c r="K159" s="38">
        <v>177132</v>
      </c>
      <c r="L159" s="38">
        <v>179360</v>
      </c>
      <c r="M159" s="38">
        <v>180382</v>
      </c>
      <c r="N159" s="38">
        <v>181382</v>
      </c>
      <c r="O159" s="38">
        <v>182360</v>
      </c>
      <c r="P159" s="38">
        <v>183311</v>
      </c>
      <c r="Q159" s="38">
        <v>184243</v>
      </c>
      <c r="R159" s="38">
        <v>190682</v>
      </c>
      <c r="S159" s="38">
        <v>197089</v>
      </c>
      <c r="T159" s="38">
        <v>203459</v>
      </c>
      <c r="U159" s="38">
        <v>209788</v>
      </c>
      <c r="V159" s="38">
        <v>216065</v>
      </c>
      <c r="W159" s="38">
        <v>219890</v>
      </c>
      <c r="X159" s="38">
        <v>223668</v>
      </c>
      <c r="Y159" s="38">
        <v>227394</v>
      </c>
      <c r="Z159" s="38">
        <v>231071</v>
      </c>
      <c r="AA159" s="38">
        <v>234680</v>
      </c>
      <c r="AB159" s="38">
        <v>239714</v>
      </c>
      <c r="AC159" s="38">
        <v>244692</v>
      </c>
      <c r="CM159" s="45" t="s">
        <v>65</v>
      </c>
      <c r="CN159" s="56">
        <v>764294</v>
      </c>
      <c r="CO159" s="56">
        <v>808932</v>
      </c>
      <c r="CP159" s="56">
        <v>853583</v>
      </c>
      <c r="CQ159" s="56">
        <v>898230</v>
      </c>
      <c r="CR159" s="56">
        <v>942850</v>
      </c>
      <c r="CS159" s="56">
        <v>987403</v>
      </c>
      <c r="CT159" s="56">
        <v>1029363</v>
      </c>
      <c r="CU159" s="56">
        <v>1071233</v>
      </c>
      <c r="CV159" s="56">
        <v>1112984</v>
      </c>
      <c r="CW159" s="56">
        <v>1154764</v>
      </c>
      <c r="CX159" s="56">
        <v>1195978</v>
      </c>
      <c r="CY159" s="56">
        <v>1231207</v>
      </c>
      <c r="CZ159" s="56">
        <v>1266420</v>
      </c>
      <c r="DA159" s="56">
        <v>1301599</v>
      </c>
      <c r="DB159" s="56">
        <v>1336787</v>
      </c>
      <c r="DC159" s="56">
        <v>1371781</v>
      </c>
      <c r="DD159" s="56">
        <v>1426744</v>
      </c>
      <c r="DE159" s="56">
        <v>1481674</v>
      </c>
      <c r="DF159" s="56">
        <v>1536553</v>
      </c>
      <c r="DG159" s="56">
        <v>1591309</v>
      </c>
      <c r="DH159" s="56">
        <v>1646079</v>
      </c>
      <c r="DI159" s="56">
        <v>1671604</v>
      </c>
      <c r="DJ159" s="56">
        <v>1696943</v>
      </c>
      <c r="DK159" s="56">
        <v>1722074</v>
      </c>
      <c r="DL159" s="56">
        <v>1746942</v>
      </c>
      <c r="DM159" s="56">
        <v>1771635</v>
      </c>
      <c r="DN159" s="56">
        <v>1788331</v>
      </c>
      <c r="DO159" s="56">
        <v>1804695</v>
      </c>
      <c r="DP159" s="56">
        <v>1820710</v>
      </c>
      <c r="DQ159" s="56">
        <v>1836369</v>
      </c>
      <c r="DR159" s="56">
        <v>1851627</v>
      </c>
      <c r="DS159" s="56">
        <v>1909562</v>
      </c>
      <c r="DT159" s="56">
        <v>1967099</v>
      </c>
      <c r="DU159" s="56">
        <v>2024191</v>
      </c>
      <c r="DV159" s="56">
        <v>2080836</v>
      </c>
      <c r="DW159" s="56">
        <v>2136860</v>
      </c>
      <c r="DX159" s="56">
        <v>2179020</v>
      </c>
      <c r="DY159" s="56">
        <v>2220677</v>
      </c>
      <c r="DZ159" s="56">
        <v>2261794</v>
      </c>
      <c r="EA159" s="56">
        <v>2302394</v>
      </c>
      <c r="EB159" s="56">
        <v>2342273</v>
      </c>
      <c r="EC159" s="56">
        <v>2386130</v>
      </c>
      <c r="ED159" s="56">
        <v>2429426</v>
      </c>
      <c r="EE159" s="56">
        <v>2472125</v>
      </c>
      <c r="EF159" s="56">
        <v>2514240</v>
      </c>
      <c r="EG159" s="56">
        <v>2555596</v>
      </c>
      <c r="EH159" s="56">
        <v>2560727</v>
      </c>
      <c r="EI159" s="56">
        <v>2565217</v>
      </c>
      <c r="EJ159" s="56">
        <v>2569060</v>
      </c>
      <c r="EK159" s="56">
        <v>2572254</v>
      </c>
      <c r="EL159" s="56">
        <v>2574792</v>
      </c>
      <c r="EM159" s="56">
        <v>2582356</v>
      </c>
      <c r="EN159" s="56">
        <v>2589232</v>
      </c>
      <c r="EO159" s="56">
        <v>2595416</v>
      </c>
      <c r="EP159" s="56">
        <v>2601141</v>
      </c>
      <c r="EQ159" s="56">
        <v>2605683</v>
      </c>
      <c r="ER159" s="56">
        <v>2623601</v>
      </c>
      <c r="ES159" s="56">
        <v>2641044</v>
      </c>
      <c r="ET159" s="56">
        <v>2658002</v>
      </c>
      <c r="EU159" s="56">
        <v>2674465</v>
      </c>
      <c r="EV159" s="56">
        <v>2690424</v>
      </c>
    </row>
    <row r="160" spans="1:152">
      <c r="A160" s="53">
        <v>43</v>
      </c>
      <c r="B160" s="38">
        <v>133576</v>
      </c>
      <c r="C160" s="38">
        <v>139371</v>
      </c>
      <c r="D160" s="38">
        <v>145166</v>
      </c>
      <c r="E160" s="38">
        <v>150956</v>
      </c>
      <c r="F160" s="38">
        <v>156747</v>
      </c>
      <c r="G160" s="38">
        <v>162518</v>
      </c>
      <c r="H160" s="38">
        <v>165456</v>
      </c>
      <c r="I160" s="38">
        <v>168390</v>
      </c>
      <c r="J160" s="38">
        <v>171318</v>
      </c>
      <c r="K160" s="38">
        <v>174232</v>
      </c>
      <c r="L160" s="38">
        <v>177149</v>
      </c>
      <c r="M160" s="38">
        <v>177994</v>
      </c>
      <c r="N160" s="38">
        <v>178818</v>
      </c>
      <c r="O160" s="38">
        <v>179620</v>
      </c>
      <c r="P160" s="38">
        <v>180395</v>
      </c>
      <c r="Q160" s="38">
        <v>181151</v>
      </c>
      <c r="R160" s="38">
        <v>186878</v>
      </c>
      <c r="S160" s="38">
        <v>192573</v>
      </c>
      <c r="T160" s="38">
        <v>198231</v>
      </c>
      <c r="U160" s="38">
        <v>203850</v>
      </c>
      <c r="V160" s="38">
        <v>209419</v>
      </c>
      <c r="W160" s="38">
        <v>213625</v>
      </c>
      <c r="X160" s="38">
        <v>217785</v>
      </c>
      <c r="Y160" s="38">
        <v>221895</v>
      </c>
      <c r="Z160" s="38">
        <v>225956</v>
      </c>
      <c r="AA160" s="38">
        <v>229952</v>
      </c>
      <c r="AB160" s="38">
        <v>235095</v>
      </c>
      <c r="AC160" s="38">
        <v>240185</v>
      </c>
      <c r="CM160" s="45" t="s">
        <v>66</v>
      </c>
      <c r="CN160" s="56">
        <v>589173</v>
      </c>
      <c r="CO160" s="56">
        <v>619974</v>
      </c>
      <c r="CP160" s="56">
        <v>650785</v>
      </c>
      <c r="CQ160" s="56">
        <v>681592</v>
      </c>
      <c r="CR160" s="56">
        <v>712379</v>
      </c>
      <c r="CS160" s="56">
        <v>743137</v>
      </c>
      <c r="CT160" s="56">
        <v>787225</v>
      </c>
      <c r="CU160" s="56">
        <v>831249</v>
      </c>
      <c r="CV160" s="56">
        <v>875182</v>
      </c>
      <c r="CW160" s="56">
        <v>919138</v>
      </c>
      <c r="CX160" s="56">
        <v>962662</v>
      </c>
      <c r="CY160" s="56">
        <v>1003783</v>
      </c>
      <c r="CZ160" s="56">
        <v>1044891</v>
      </c>
      <c r="DA160" s="56">
        <v>1085972</v>
      </c>
      <c r="DB160" s="56">
        <v>1127060</v>
      </c>
      <c r="DC160" s="56">
        <v>1168000</v>
      </c>
      <c r="DD160" s="56">
        <v>1202803</v>
      </c>
      <c r="DE160" s="56">
        <v>1237577</v>
      </c>
      <c r="DF160" s="56">
        <v>1272307</v>
      </c>
      <c r="DG160" s="56">
        <v>1306936</v>
      </c>
      <c r="DH160" s="56">
        <v>1341579</v>
      </c>
      <c r="DI160" s="56">
        <v>1395985</v>
      </c>
      <c r="DJ160" s="56">
        <v>1450247</v>
      </c>
      <c r="DK160" s="56">
        <v>1504337</v>
      </c>
      <c r="DL160" s="56">
        <v>1558193</v>
      </c>
      <c r="DM160" s="56">
        <v>1611895</v>
      </c>
      <c r="DN160" s="56">
        <v>1637527</v>
      </c>
      <c r="DO160" s="56">
        <v>1662861</v>
      </c>
      <c r="DP160" s="56">
        <v>1687876</v>
      </c>
      <c r="DQ160" s="56">
        <v>1712559</v>
      </c>
      <c r="DR160" s="56">
        <v>1736858</v>
      </c>
      <c r="DS160" s="56">
        <v>1753736</v>
      </c>
      <c r="DT160" s="56">
        <v>1770222</v>
      </c>
      <c r="DU160" s="56">
        <v>1786300</v>
      </c>
      <c r="DV160" s="56">
        <v>1801990</v>
      </c>
      <c r="DW160" s="56">
        <v>1817169</v>
      </c>
      <c r="DX160" s="56">
        <v>1874477</v>
      </c>
      <c r="DY160" s="56">
        <v>1931367</v>
      </c>
      <c r="DZ160" s="56">
        <v>1987793</v>
      </c>
      <c r="EA160" s="56">
        <v>2043760</v>
      </c>
      <c r="EB160" s="56">
        <v>2099073</v>
      </c>
      <c r="EC160" s="56">
        <v>2140886</v>
      </c>
      <c r="ED160" s="56">
        <v>2182196</v>
      </c>
      <c r="EE160" s="56">
        <v>2222972</v>
      </c>
      <c r="EF160" s="56">
        <v>2263221</v>
      </c>
      <c r="EG160" s="56">
        <v>2302785</v>
      </c>
      <c r="EH160" s="56">
        <v>2346290</v>
      </c>
      <c r="EI160" s="56">
        <v>2389236</v>
      </c>
      <c r="EJ160" s="56">
        <v>2431591</v>
      </c>
      <c r="EK160" s="56">
        <v>2473321</v>
      </c>
      <c r="EL160" s="56">
        <v>2514389</v>
      </c>
      <c r="EM160" s="56">
        <v>2519840</v>
      </c>
      <c r="EN160" s="56">
        <v>2524619</v>
      </c>
      <c r="EO160" s="56">
        <v>2528722</v>
      </c>
      <c r="EP160" s="56">
        <v>2532378</v>
      </c>
      <c r="EQ160" s="56">
        <v>2534884</v>
      </c>
      <c r="ER160" s="56">
        <v>2542197</v>
      </c>
      <c r="ES160" s="56">
        <v>2549044</v>
      </c>
      <c r="ET160" s="56">
        <v>2555421</v>
      </c>
      <c r="EU160" s="56">
        <v>2561324</v>
      </c>
      <c r="EV160" s="56">
        <v>2566748</v>
      </c>
    </row>
    <row r="161" spans="1:152">
      <c r="A161" s="53">
        <v>44</v>
      </c>
      <c r="B161" s="38">
        <v>130250</v>
      </c>
      <c r="C161" s="38">
        <v>135343</v>
      </c>
      <c r="D161" s="38">
        <v>140435</v>
      </c>
      <c r="E161" s="38">
        <v>145522</v>
      </c>
      <c r="F161" s="38">
        <v>150611</v>
      </c>
      <c r="G161" s="38">
        <v>155680</v>
      </c>
      <c r="H161" s="38">
        <v>159418</v>
      </c>
      <c r="I161" s="38">
        <v>163151</v>
      </c>
      <c r="J161" s="38">
        <v>166879</v>
      </c>
      <c r="K161" s="38">
        <v>170594</v>
      </c>
      <c r="L161" s="38">
        <v>174312</v>
      </c>
      <c r="M161" s="38">
        <v>175458</v>
      </c>
      <c r="N161" s="38">
        <v>176584</v>
      </c>
      <c r="O161" s="38">
        <v>177688</v>
      </c>
      <c r="P161" s="38">
        <v>178765</v>
      </c>
      <c r="Q161" s="38">
        <v>179824</v>
      </c>
      <c r="R161" s="38">
        <v>184307</v>
      </c>
      <c r="S161" s="38">
        <v>188757</v>
      </c>
      <c r="T161" s="38">
        <v>193171</v>
      </c>
      <c r="U161" s="38">
        <v>197547</v>
      </c>
      <c r="V161" s="38">
        <v>201877</v>
      </c>
      <c r="W161" s="38">
        <v>206762</v>
      </c>
      <c r="X161" s="38">
        <v>211604</v>
      </c>
      <c r="Y161" s="38">
        <v>216397</v>
      </c>
      <c r="Z161" s="38">
        <v>221143</v>
      </c>
      <c r="AA161" s="38">
        <v>225824</v>
      </c>
      <c r="AB161" s="38">
        <v>230650</v>
      </c>
      <c r="AC161" s="38">
        <v>235423</v>
      </c>
      <c r="CM161" s="45" t="s">
        <v>67</v>
      </c>
      <c r="CN161" s="56">
        <v>493363</v>
      </c>
      <c r="CO161" s="56">
        <v>507572</v>
      </c>
      <c r="CP161" s="56">
        <v>521789</v>
      </c>
      <c r="CQ161" s="56">
        <v>536002</v>
      </c>
      <c r="CR161" s="56">
        <v>550200</v>
      </c>
      <c r="CS161" s="56">
        <v>564365</v>
      </c>
      <c r="CT161" s="56">
        <v>594679</v>
      </c>
      <c r="CU161" s="56">
        <v>624943</v>
      </c>
      <c r="CV161" s="56">
        <v>655138</v>
      </c>
      <c r="CW161" s="56">
        <v>685351</v>
      </c>
      <c r="CX161" s="56">
        <v>715240</v>
      </c>
      <c r="CY161" s="56">
        <v>758076</v>
      </c>
      <c r="CZ161" s="56">
        <v>800903</v>
      </c>
      <c r="DA161" s="56">
        <v>843710</v>
      </c>
      <c r="DB161" s="56">
        <v>886524</v>
      </c>
      <c r="DC161" s="56">
        <v>929210</v>
      </c>
      <c r="DD161" s="56">
        <v>969382</v>
      </c>
      <c r="DE161" s="56">
        <v>1009532</v>
      </c>
      <c r="DF161" s="56">
        <v>1049647</v>
      </c>
      <c r="DG161" s="56">
        <v>1089678</v>
      </c>
      <c r="DH161" s="56">
        <v>1129726</v>
      </c>
      <c r="DI161" s="56">
        <v>1164071</v>
      </c>
      <c r="DJ161" s="56">
        <v>1198293</v>
      </c>
      <c r="DK161" s="56">
        <v>1232371</v>
      </c>
      <c r="DL161" s="56">
        <v>1266258</v>
      </c>
      <c r="DM161" s="56">
        <v>1300025</v>
      </c>
      <c r="DN161" s="56">
        <v>1353465</v>
      </c>
      <c r="DO161" s="56">
        <v>1406678</v>
      </c>
      <c r="DP161" s="56">
        <v>1459628</v>
      </c>
      <c r="DQ161" s="56">
        <v>1512284</v>
      </c>
      <c r="DR161" s="56">
        <v>1564584</v>
      </c>
      <c r="DS161" s="56">
        <v>1590091</v>
      </c>
      <c r="DT161" s="56">
        <v>1615249</v>
      </c>
      <c r="DU161" s="56">
        <v>1640038</v>
      </c>
      <c r="DV161" s="56">
        <v>1664468</v>
      </c>
      <c r="DW161" s="56">
        <v>1688419</v>
      </c>
      <c r="DX161" s="56">
        <v>1705355</v>
      </c>
      <c r="DY161" s="56">
        <v>1721885</v>
      </c>
      <c r="DZ161" s="56">
        <v>1737993</v>
      </c>
      <c r="EA161" s="56">
        <v>1753707</v>
      </c>
      <c r="EB161" s="56">
        <v>1768884</v>
      </c>
      <c r="EC161" s="56">
        <v>1825175</v>
      </c>
      <c r="ED161" s="56">
        <v>1881053</v>
      </c>
      <c r="EE161" s="56">
        <v>1936475</v>
      </c>
      <c r="EF161" s="56">
        <v>1991435</v>
      </c>
      <c r="EG161" s="56">
        <v>2045775</v>
      </c>
      <c r="EH161" s="56">
        <v>2087020</v>
      </c>
      <c r="EI161" s="56">
        <v>2127770</v>
      </c>
      <c r="EJ161" s="56">
        <v>2167994</v>
      </c>
      <c r="EK161" s="56">
        <v>2207660</v>
      </c>
      <c r="EL161" s="56">
        <v>2246733</v>
      </c>
      <c r="EM161" s="56">
        <v>2289703</v>
      </c>
      <c r="EN161" s="56">
        <v>2332092</v>
      </c>
      <c r="EO161" s="56">
        <v>2373867</v>
      </c>
      <c r="EP161" s="56">
        <v>2415217</v>
      </c>
      <c r="EQ161" s="56">
        <v>2455440</v>
      </c>
      <c r="ER161" s="56">
        <v>2460747</v>
      </c>
      <c r="ES161" s="56">
        <v>2465601</v>
      </c>
      <c r="ET161" s="56">
        <v>2470001</v>
      </c>
      <c r="EU161" s="56">
        <v>2473944</v>
      </c>
      <c r="EV161" s="56">
        <v>2477422</v>
      </c>
    </row>
    <row r="162" spans="1:152">
      <c r="A162" s="53" t="s">
        <v>92</v>
      </c>
      <c r="B162" s="46">
        <v>0</v>
      </c>
      <c r="C162" s="46">
        <v>0</v>
      </c>
      <c r="D162" s="46">
        <v>0</v>
      </c>
      <c r="E162" s="46">
        <v>0</v>
      </c>
      <c r="F162" s="46">
        <v>0</v>
      </c>
      <c r="G162" s="46">
        <v>0</v>
      </c>
      <c r="H162" s="46">
        <v>0</v>
      </c>
      <c r="I162" s="46">
        <v>0</v>
      </c>
      <c r="J162" s="46">
        <v>0</v>
      </c>
      <c r="K162" s="46">
        <v>0</v>
      </c>
      <c r="L162" s="46">
        <v>0</v>
      </c>
      <c r="M162" s="46">
        <v>0</v>
      </c>
      <c r="N162" s="46">
        <v>0</v>
      </c>
      <c r="O162" s="46">
        <v>0</v>
      </c>
      <c r="P162" s="46">
        <v>0</v>
      </c>
      <c r="Q162" s="46">
        <v>0</v>
      </c>
      <c r="R162" s="46">
        <v>0</v>
      </c>
      <c r="S162" s="46">
        <v>0</v>
      </c>
      <c r="T162" s="46">
        <v>0</v>
      </c>
      <c r="U162" s="46">
        <v>0</v>
      </c>
      <c r="V162" s="46">
        <v>0</v>
      </c>
      <c r="W162" s="46">
        <v>0</v>
      </c>
      <c r="X162" s="46">
        <v>0</v>
      </c>
      <c r="Y162" s="46">
        <v>0</v>
      </c>
      <c r="Z162" s="46">
        <v>0</v>
      </c>
      <c r="AA162" s="46">
        <v>0</v>
      </c>
      <c r="AB162" s="46">
        <v>0</v>
      </c>
      <c r="AC162" s="46">
        <v>0</v>
      </c>
      <c r="CM162" s="45" t="s">
        <v>68</v>
      </c>
      <c r="CN162" s="56">
        <v>409458</v>
      </c>
      <c r="CO162" s="56">
        <v>420008</v>
      </c>
      <c r="CP162" s="56">
        <v>430564</v>
      </c>
      <c r="CQ162" s="56">
        <v>441117</v>
      </c>
      <c r="CR162" s="56">
        <v>451657</v>
      </c>
      <c r="CS162" s="56">
        <v>462194</v>
      </c>
      <c r="CT162" s="56">
        <v>476398</v>
      </c>
      <c r="CU162" s="56">
        <v>490558</v>
      </c>
      <c r="CV162" s="56">
        <v>504664</v>
      </c>
      <c r="CW162" s="56">
        <v>518782</v>
      </c>
      <c r="CX162" s="56">
        <v>532670</v>
      </c>
      <c r="CY162" s="56">
        <v>561778</v>
      </c>
      <c r="CZ162" s="56">
        <v>590879</v>
      </c>
      <c r="DA162" s="56">
        <v>619965</v>
      </c>
      <c r="DB162" s="56">
        <v>649056</v>
      </c>
      <c r="DC162" s="56">
        <v>678055</v>
      </c>
      <c r="DD162" s="56">
        <v>719188</v>
      </c>
      <c r="DE162" s="56">
        <v>760306</v>
      </c>
      <c r="DF162" s="56">
        <v>801398</v>
      </c>
      <c r="DG162" s="56">
        <v>842425</v>
      </c>
      <c r="DH162" s="56">
        <v>883464</v>
      </c>
      <c r="DI162" s="56">
        <v>922415</v>
      </c>
      <c r="DJ162" s="56">
        <v>961271</v>
      </c>
      <c r="DK162" s="56">
        <v>1000014</v>
      </c>
      <c r="DL162" s="56">
        <v>1038601</v>
      </c>
      <c r="DM162" s="56">
        <v>1077064</v>
      </c>
      <c r="DN162" s="56">
        <v>1110585</v>
      </c>
      <c r="DO162" s="56">
        <v>1143914</v>
      </c>
      <c r="DP162" s="56">
        <v>1177027</v>
      </c>
      <c r="DQ162" s="56">
        <v>1209905</v>
      </c>
      <c r="DR162" s="56">
        <v>1242506</v>
      </c>
      <c r="DS162" s="56">
        <v>1294336</v>
      </c>
      <c r="DT162" s="56">
        <v>1345905</v>
      </c>
      <c r="DU162" s="56">
        <v>1397172</v>
      </c>
      <c r="DV162" s="56">
        <v>1448128</v>
      </c>
      <c r="DW162" s="56">
        <v>1498646</v>
      </c>
      <c r="DX162" s="56">
        <v>1523770</v>
      </c>
      <c r="DY162" s="56">
        <v>1548539</v>
      </c>
      <c r="DZ162" s="56">
        <v>1572931</v>
      </c>
      <c r="EA162" s="56">
        <v>1596964</v>
      </c>
      <c r="EB162" s="56">
        <v>1620501</v>
      </c>
      <c r="EC162" s="56">
        <v>1637370</v>
      </c>
      <c r="ED162" s="56">
        <v>1653844</v>
      </c>
      <c r="EE162" s="56">
        <v>1669908</v>
      </c>
      <c r="EF162" s="56">
        <v>1685581</v>
      </c>
      <c r="EG162" s="56">
        <v>1700754</v>
      </c>
      <c r="EH162" s="56">
        <v>1755513</v>
      </c>
      <c r="EI162" s="56">
        <v>1809871</v>
      </c>
      <c r="EJ162" s="56">
        <v>1863786</v>
      </c>
      <c r="EK162" s="56">
        <v>1917216</v>
      </c>
      <c r="EL162" s="56">
        <v>1970122</v>
      </c>
      <c r="EM162" s="56">
        <v>2010489</v>
      </c>
      <c r="EN162" s="56">
        <v>2050349</v>
      </c>
      <c r="EO162" s="56">
        <v>2089669</v>
      </c>
      <c r="EP162" s="56">
        <v>2128613</v>
      </c>
      <c r="EQ162" s="56">
        <v>2166562</v>
      </c>
      <c r="ER162" s="56">
        <v>2208182</v>
      </c>
      <c r="ES162" s="56">
        <v>2249417</v>
      </c>
      <c r="ET162" s="56">
        <v>2290245</v>
      </c>
      <c r="EU162" s="56">
        <v>2330640</v>
      </c>
      <c r="EV162" s="56">
        <v>2370583</v>
      </c>
    </row>
    <row r="163" spans="1:152">
      <c r="A163" s="53">
        <v>45</v>
      </c>
      <c r="B163" s="38">
        <v>127195</v>
      </c>
      <c r="C163" s="38">
        <v>131408</v>
      </c>
      <c r="D163" s="38">
        <v>135619</v>
      </c>
      <c r="E163" s="38">
        <v>139826</v>
      </c>
      <c r="F163" s="38">
        <v>144035</v>
      </c>
      <c r="G163" s="38">
        <v>148222</v>
      </c>
      <c r="H163" s="38">
        <v>152914</v>
      </c>
      <c r="I163" s="38">
        <v>157602</v>
      </c>
      <c r="J163" s="38">
        <v>162283</v>
      </c>
      <c r="K163" s="38">
        <v>166953</v>
      </c>
      <c r="L163" s="38">
        <v>171627</v>
      </c>
      <c r="M163" s="38">
        <v>173135</v>
      </c>
      <c r="N163" s="38">
        <v>174623</v>
      </c>
      <c r="O163" s="38">
        <v>176091</v>
      </c>
      <c r="P163" s="38">
        <v>177531</v>
      </c>
      <c r="Q163" s="38">
        <v>178952</v>
      </c>
      <c r="R163" s="38">
        <v>182003</v>
      </c>
      <c r="S163" s="38">
        <v>185020</v>
      </c>
      <c r="T163" s="38">
        <v>188002</v>
      </c>
      <c r="U163" s="38">
        <v>190947</v>
      </c>
      <c r="V163" s="38">
        <v>193849</v>
      </c>
      <c r="W163" s="38">
        <v>199568</v>
      </c>
      <c r="X163" s="38">
        <v>205244</v>
      </c>
      <c r="Y163" s="38">
        <v>210874</v>
      </c>
      <c r="Z163" s="38">
        <v>216458</v>
      </c>
      <c r="AA163" s="38">
        <v>221978</v>
      </c>
      <c r="AB163" s="38">
        <v>226279</v>
      </c>
      <c r="AC163" s="38">
        <v>230529</v>
      </c>
      <c r="CM163" s="45" t="s">
        <v>69</v>
      </c>
      <c r="CN163" s="56">
        <v>292654</v>
      </c>
      <c r="CO163" s="56">
        <v>308301</v>
      </c>
      <c r="CP163" s="56">
        <v>323953</v>
      </c>
      <c r="CQ163" s="56">
        <v>339603</v>
      </c>
      <c r="CR163" s="56">
        <v>355243</v>
      </c>
      <c r="CS163" s="56">
        <v>370853</v>
      </c>
      <c r="CT163" s="56">
        <v>381420</v>
      </c>
      <c r="CU163" s="56">
        <v>391951</v>
      </c>
      <c r="CV163" s="56">
        <v>402438</v>
      </c>
      <c r="CW163" s="56">
        <v>412936</v>
      </c>
      <c r="CX163" s="56">
        <v>423244</v>
      </c>
      <c r="CY163" s="56">
        <v>436823</v>
      </c>
      <c r="CZ163" s="56">
        <v>450395</v>
      </c>
      <c r="DA163" s="56">
        <v>463956</v>
      </c>
      <c r="DB163" s="56">
        <v>477520</v>
      </c>
      <c r="DC163" s="56">
        <v>491014</v>
      </c>
      <c r="DD163" s="56">
        <v>518392</v>
      </c>
      <c r="DE163" s="56">
        <v>545760</v>
      </c>
      <c r="DF163" s="56">
        <v>573109</v>
      </c>
      <c r="DG163" s="56">
        <v>600411</v>
      </c>
      <c r="DH163" s="56">
        <v>627725</v>
      </c>
      <c r="DI163" s="56">
        <v>666569</v>
      </c>
      <c r="DJ163" s="56">
        <v>705350</v>
      </c>
      <c r="DK163" s="56">
        <v>744048</v>
      </c>
      <c r="DL163" s="56">
        <v>782629</v>
      </c>
      <c r="DM163" s="56">
        <v>821125</v>
      </c>
      <c r="DN163" s="56">
        <v>858198</v>
      </c>
      <c r="DO163" s="56">
        <v>895129</v>
      </c>
      <c r="DP163" s="56">
        <v>931892</v>
      </c>
      <c r="DQ163" s="56">
        <v>968468</v>
      </c>
      <c r="DR163" s="56">
        <v>1004817</v>
      </c>
      <c r="DS163" s="56">
        <v>1036936</v>
      </c>
      <c r="DT163" s="56">
        <v>1068840</v>
      </c>
      <c r="DU163" s="56">
        <v>1100502</v>
      </c>
      <c r="DV163" s="56">
        <v>1131920</v>
      </c>
      <c r="DW163" s="56">
        <v>1163001</v>
      </c>
      <c r="DX163" s="56">
        <v>1212387</v>
      </c>
      <c r="DY163" s="56">
        <v>1261513</v>
      </c>
      <c r="DZ163" s="56">
        <v>1310338</v>
      </c>
      <c r="EA163" s="56">
        <v>1358858</v>
      </c>
      <c r="EB163" s="56">
        <v>1406939</v>
      </c>
      <c r="EC163" s="56">
        <v>1431344</v>
      </c>
      <c r="ED163" s="56">
        <v>1455411</v>
      </c>
      <c r="EE163" s="56">
        <v>1479120</v>
      </c>
      <c r="EF163" s="56">
        <v>1502480</v>
      </c>
      <c r="EG163" s="56">
        <v>1525389</v>
      </c>
      <c r="EH163" s="56">
        <v>1542039</v>
      </c>
      <c r="EI163" s="56">
        <v>1558313</v>
      </c>
      <c r="EJ163" s="56">
        <v>1574198</v>
      </c>
      <c r="EK163" s="56">
        <v>1589682</v>
      </c>
      <c r="EL163" s="56">
        <v>1604752</v>
      </c>
      <c r="EM163" s="56">
        <v>1657226</v>
      </c>
      <c r="EN163" s="56">
        <v>1709298</v>
      </c>
      <c r="EO163" s="56">
        <v>1760925</v>
      </c>
      <c r="EP163" s="56">
        <v>1812232</v>
      </c>
      <c r="EQ163" s="56">
        <v>1862675</v>
      </c>
      <c r="ER163" s="56">
        <v>1901243</v>
      </c>
      <c r="ES163" s="56">
        <v>1939481</v>
      </c>
      <c r="ET163" s="56">
        <v>1977367</v>
      </c>
      <c r="EU163" s="56">
        <v>2014881</v>
      </c>
      <c r="EV163" s="56">
        <v>2052001</v>
      </c>
    </row>
    <row r="164" spans="1:152">
      <c r="A164" s="53">
        <v>46</v>
      </c>
      <c r="B164" s="38">
        <v>123746</v>
      </c>
      <c r="C164" s="38">
        <v>127228</v>
      </c>
      <c r="D164" s="38">
        <v>130709</v>
      </c>
      <c r="E164" s="38">
        <v>134186</v>
      </c>
      <c r="F164" s="38">
        <v>137664</v>
      </c>
      <c r="G164" s="38">
        <v>141123</v>
      </c>
      <c r="H164" s="38">
        <v>146672</v>
      </c>
      <c r="I164" s="38">
        <v>152218</v>
      </c>
      <c r="J164" s="38">
        <v>157758</v>
      </c>
      <c r="K164" s="38">
        <v>163285</v>
      </c>
      <c r="L164" s="38">
        <v>168815</v>
      </c>
      <c r="M164" s="38">
        <v>170615</v>
      </c>
      <c r="N164" s="38">
        <v>172396</v>
      </c>
      <c r="O164" s="38">
        <v>174156</v>
      </c>
      <c r="P164" s="38">
        <v>175888</v>
      </c>
      <c r="Q164" s="38">
        <v>177603</v>
      </c>
      <c r="R164" s="38">
        <v>179453</v>
      </c>
      <c r="S164" s="38">
        <v>181271</v>
      </c>
      <c r="T164" s="38">
        <v>183053</v>
      </c>
      <c r="U164" s="38">
        <v>184799</v>
      </c>
      <c r="V164" s="38">
        <v>186506</v>
      </c>
      <c r="W164" s="38">
        <v>192825</v>
      </c>
      <c r="X164" s="38">
        <v>199105</v>
      </c>
      <c r="Y164" s="38">
        <v>205340</v>
      </c>
      <c r="Z164" s="38">
        <v>211530</v>
      </c>
      <c r="AA164" s="38">
        <v>217656</v>
      </c>
      <c r="AB164" s="38">
        <v>221559</v>
      </c>
      <c r="AC164" s="38">
        <v>225411</v>
      </c>
      <c r="CM164" s="45" t="s">
        <v>70</v>
      </c>
      <c r="CN164" s="56">
        <v>204666</v>
      </c>
      <c r="CO164" s="56">
        <v>214163</v>
      </c>
      <c r="CP164" s="56">
        <v>223664</v>
      </c>
      <c r="CQ164" s="56">
        <v>233164</v>
      </c>
      <c r="CR164" s="56">
        <v>242656</v>
      </c>
      <c r="CS164" s="56">
        <v>252131</v>
      </c>
      <c r="CT164" s="56">
        <v>266710</v>
      </c>
      <c r="CU164" s="56">
        <v>281266</v>
      </c>
      <c r="CV164" s="56">
        <v>295792</v>
      </c>
      <c r="CW164" s="56">
        <v>310326</v>
      </c>
      <c r="CX164" s="56">
        <v>324710</v>
      </c>
      <c r="CY164" s="56">
        <v>334634</v>
      </c>
      <c r="CZ164" s="56">
        <v>344553</v>
      </c>
      <c r="DA164" s="56">
        <v>354463</v>
      </c>
      <c r="DB164" s="56">
        <v>364376</v>
      </c>
      <c r="DC164" s="56">
        <v>374240</v>
      </c>
      <c r="DD164" s="56">
        <v>386812</v>
      </c>
      <c r="DE164" s="56">
        <v>399375</v>
      </c>
      <c r="DF164" s="56">
        <v>411924</v>
      </c>
      <c r="DG164" s="56">
        <v>424439</v>
      </c>
      <c r="DH164" s="56">
        <v>436968</v>
      </c>
      <c r="DI164" s="56">
        <v>462053</v>
      </c>
      <c r="DJ164" s="56">
        <v>487094</v>
      </c>
      <c r="DK164" s="56">
        <v>512078</v>
      </c>
      <c r="DL164" s="56">
        <v>536981</v>
      </c>
      <c r="DM164" s="56">
        <v>561823</v>
      </c>
      <c r="DN164" s="56">
        <v>597445</v>
      </c>
      <c r="DO164" s="56">
        <v>632974</v>
      </c>
      <c r="DP164" s="56">
        <v>668387</v>
      </c>
      <c r="DQ164" s="56">
        <v>703663</v>
      </c>
      <c r="DR164" s="56">
        <v>738767</v>
      </c>
      <c r="DS164" s="56">
        <v>773064</v>
      </c>
      <c r="DT164" s="56">
        <v>807206</v>
      </c>
      <c r="DU164" s="56">
        <v>841169</v>
      </c>
      <c r="DV164" s="56">
        <v>874944</v>
      </c>
      <c r="DW164" s="56">
        <v>908451</v>
      </c>
      <c r="DX164" s="56">
        <v>938440</v>
      </c>
      <c r="DY164" s="56">
        <v>968221</v>
      </c>
      <c r="DZ164" s="56">
        <v>997769</v>
      </c>
      <c r="EA164" s="56">
        <v>1027087</v>
      </c>
      <c r="EB164" s="56">
        <v>1056073</v>
      </c>
      <c r="EC164" s="56">
        <v>1101916</v>
      </c>
      <c r="ED164" s="56">
        <v>1147518</v>
      </c>
      <c r="EE164" s="56">
        <v>1192845</v>
      </c>
      <c r="EF164" s="56">
        <v>1237884</v>
      </c>
      <c r="EG164" s="56">
        <v>1282530</v>
      </c>
      <c r="EH164" s="56">
        <v>1305751</v>
      </c>
      <c r="EI164" s="56">
        <v>1328660</v>
      </c>
      <c r="EJ164" s="56">
        <v>1351240</v>
      </c>
      <c r="EK164" s="56">
        <v>1373473</v>
      </c>
      <c r="EL164" s="56">
        <v>1395342</v>
      </c>
      <c r="EM164" s="56">
        <v>1411482</v>
      </c>
      <c r="EN164" s="56">
        <v>1427255</v>
      </c>
      <c r="EO164" s="56">
        <v>1442650</v>
      </c>
      <c r="EP164" s="56">
        <v>1457787</v>
      </c>
      <c r="EQ164" s="56">
        <v>1472250</v>
      </c>
      <c r="ER164" s="56">
        <v>1521016</v>
      </c>
      <c r="ES164" s="56">
        <v>1569528</v>
      </c>
      <c r="ET164" s="56">
        <v>1617759</v>
      </c>
      <c r="EU164" s="56">
        <v>1665682</v>
      </c>
      <c r="EV164" s="56">
        <v>1713268</v>
      </c>
    </row>
    <row r="165" spans="1:152">
      <c r="A165" s="53">
        <v>47</v>
      </c>
      <c r="B165" s="38">
        <v>119961</v>
      </c>
      <c r="C165" s="38">
        <v>122984</v>
      </c>
      <c r="D165" s="38">
        <v>126005</v>
      </c>
      <c r="E165" s="38">
        <v>129023</v>
      </c>
      <c r="F165" s="38">
        <v>132042</v>
      </c>
      <c r="G165" s="38">
        <v>135043</v>
      </c>
      <c r="H165" s="38">
        <v>140991</v>
      </c>
      <c r="I165" s="38">
        <v>146936</v>
      </c>
      <c r="J165" s="38">
        <v>152877</v>
      </c>
      <c r="K165" s="38">
        <v>158804</v>
      </c>
      <c r="L165" s="38">
        <v>164735</v>
      </c>
      <c r="M165" s="38">
        <v>167011</v>
      </c>
      <c r="N165" s="38">
        <v>169269</v>
      </c>
      <c r="O165" s="38">
        <v>171505</v>
      </c>
      <c r="P165" s="38">
        <v>173716</v>
      </c>
      <c r="Q165" s="38">
        <v>175908</v>
      </c>
      <c r="R165" s="38">
        <v>176969</v>
      </c>
      <c r="S165" s="38">
        <v>177998</v>
      </c>
      <c r="T165" s="38">
        <v>178992</v>
      </c>
      <c r="U165" s="38">
        <v>179951</v>
      </c>
      <c r="V165" s="38">
        <v>180872</v>
      </c>
      <c r="W165" s="38">
        <v>187247</v>
      </c>
      <c r="X165" s="38">
        <v>193583</v>
      </c>
      <c r="Y165" s="38">
        <v>199875</v>
      </c>
      <c r="Z165" s="38">
        <v>206122</v>
      </c>
      <c r="AA165" s="38">
        <v>212309</v>
      </c>
      <c r="AB165" s="38">
        <v>216116</v>
      </c>
      <c r="AC165" s="38">
        <v>219873</v>
      </c>
      <c r="CM165" s="45" t="s">
        <v>71</v>
      </c>
      <c r="CN165" s="56">
        <v>131864</v>
      </c>
      <c r="CO165" s="56">
        <v>138255</v>
      </c>
      <c r="CP165" s="56">
        <v>144649</v>
      </c>
      <c r="CQ165" s="56">
        <v>151041</v>
      </c>
      <c r="CR165" s="56">
        <v>157429</v>
      </c>
      <c r="CS165" s="56">
        <v>163802</v>
      </c>
      <c r="CT165" s="56">
        <v>172546</v>
      </c>
      <c r="CU165" s="56">
        <v>181277</v>
      </c>
      <c r="CV165" s="56">
        <v>189987</v>
      </c>
      <c r="CW165" s="56">
        <v>198702</v>
      </c>
      <c r="CX165" s="56">
        <v>207321</v>
      </c>
      <c r="CY165" s="56">
        <v>220122</v>
      </c>
      <c r="CZ165" s="56">
        <v>232921</v>
      </c>
      <c r="DA165" s="56">
        <v>245715</v>
      </c>
      <c r="DB165" s="56">
        <v>258510</v>
      </c>
      <c r="DC165" s="56">
        <v>271283</v>
      </c>
      <c r="DD165" s="56">
        <v>280119</v>
      </c>
      <c r="DE165" s="56">
        <v>288949</v>
      </c>
      <c r="DF165" s="56">
        <v>297768</v>
      </c>
      <c r="DG165" s="56">
        <v>306564</v>
      </c>
      <c r="DH165" s="56">
        <v>315362</v>
      </c>
      <c r="DI165" s="56">
        <v>326595</v>
      </c>
      <c r="DJ165" s="56">
        <v>337794</v>
      </c>
      <c r="DK165" s="56">
        <v>348952</v>
      </c>
      <c r="DL165" s="56">
        <v>360056</v>
      </c>
      <c r="DM165" s="56">
        <v>371129</v>
      </c>
      <c r="DN165" s="56">
        <v>393147</v>
      </c>
      <c r="DO165" s="56">
        <v>415104</v>
      </c>
      <c r="DP165" s="56">
        <v>436983</v>
      </c>
      <c r="DQ165" s="56">
        <v>458774</v>
      </c>
      <c r="DR165" s="56">
        <v>480460</v>
      </c>
      <c r="DS165" s="56">
        <v>511747</v>
      </c>
      <c r="DT165" s="56">
        <v>542938</v>
      </c>
      <c r="DU165" s="56">
        <v>574011</v>
      </c>
      <c r="DV165" s="56">
        <v>604953</v>
      </c>
      <c r="DW165" s="56">
        <v>635707</v>
      </c>
      <c r="DX165" s="56">
        <v>666161</v>
      </c>
      <c r="DY165" s="56">
        <v>696475</v>
      </c>
      <c r="DZ165" s="56">
        <v>726623</v>
      </c>
      <c r="EA165" s="56">
        <v>756602</v>
      </c>
      <c r="EB165" s="56">
        <v>786335</v>
      </c>
      <c r="EC165" s="56">
        <v>813251</v>
      </c>
      <c r="ED165" s="56">
        <v>839985</v>
      </c>
      <c r="EE165" s="56">
        <v>866516</v>
      </c>
      <c r="EF165" s="56">
        <v>892839</v>
      </c>
      <c r="EG165" s="56">
        <v>918881</v>
      </c>
      <c r="EH165" s="56">
        <v>959804</v>
      </c>
      <c r="EI165" s="56">
        <v>1000517</v>
      </c>
      <c r="EJ165" s="56">
        <v>1040987</v>
      </c>
      <c r="EK165" s="56">
        <v>1081184</v>
      </c>
      <c r="EL165" s="56">
        <v>1121077</v>
      </c>
      <c r="EM165" s="56">
        <v>1142371</v>
      </c>
      <c r="EN165" s="56">
        <v>1163376</v>
      </c>
      <c r="EO165" s="56">
        <v>1184073</v>
      </c>
      <c r="EP165" s="56">
        <v>1204559</v>
      </c>
      <c r="EQ165" s="56">
        <v>1224480</v>
      </c>
      <c r="ER165" s="56">
        <v>1239315</v>
      </c>
      <c r="ES165" s="56">
        <v>1253929</v>
      </c>
      <c r="ET165" s="56">
        <v>1268315</v>
      </c>
      <c r="EU165" s="56">
        <v>1282463</v>
      </c>
      <c r="EV165" s="56">
        <v>1296364</v>
      </c>
    </row>
    <row r="166" spans="1:152">
      <c r="A166" s="53">
        <v>48</v>
      </c>
      <c r="B166" s="38">
        <v>115609</v>
      </c>
      <c r="C166" s="38">
        <v>118596</v>
      </c>
      <c r="D166" s="38">
        <v>121580</v>
      </c>
      <c r="E166" s="38">
        <v>124561</v>
      </c>
      <c r="F166" s="38">
        <v>127543</v>
      </c>
      <c r="G166" s="38">
        <v>130507</v>
      </c>
      <c r="H166" s="38">
        <v>136217</v>
      </c>
      <c r="I166" s="38">
        <v>141924</v>
      </c>
      <c r="J166" s="38">
        <v>147627</v>
      </c>
      <c r="K166" s="38">
        <v>153317</v>
      </c>
      <c r="L166" s="38">
        <v>159009</v>
      </c>
      <c r="M166" s="38">
        <v>161953</v>
      </c>
      <c r="N166" s="38">
        <v>164879</v>
      </c>
      <c r="O166" s="38">
        <v>167785</v>
      </c>
      <c r="P166" s="38">
        <v>170665</v>
      </c>
      <c r="Q166" s="38">
        <v>173528</v>
      </c>
      <c r="R166" s="38">
        <v>174415</v>
      </c>
      <c r="S166" s="38">
        <v>175269</v>
      </c>
      <c r="T166" s="38">
        <v>176089</v>
      </c>
      <c r="U166" s="38">
        <v>176875</v>
      </c>
      <c r="V166" s="38">
        <v>177623</v>
      </c>
      <c r="W166" s="38">
        <v>183296</v>
      </c>
      <c r="X166" s="38">
        <v>188931</v>
      </c>
      <c r="Y166" s="38">
        <v>194523</v>
      </c>
      <c r="Z166" s="38">
        <v>200072</v>
      </c>
      <c r="AA166" s="38">
        <v>205561</v>
      </c>
      <c r="AB166" s="38">
        <v>209734</v>
      </c>
      <c r="AC166" s="38">
        <v>213858</v>
      </c>
      <c r="CM166" s="45" t="s">
        <v>99</v>
      </c>
      <c r="CN166" s="56">
        <v>93766</v>
      </c>
      <c r="CO166" s="56">
        <v>98583</v>
      </c>
      <c r="CP166" s="56">
        <v>103401</v>
      </c>
      <c r="CQ166" s="56">
        <v>108218</v>
      </c>
      <c r="CR166" s="56">
        <v>113033</v>
      </c>
      <c r="CS166" s="56">
        <v>117837</v>
      </c>
      <c r="CT166" s="56">
        <v>124178</v>
      </c>
      <c r="CU166" s="56">
        <v>130509</v>
      </c>
      <c r="CV166" s="56">
        <v>136825</v>
      </c>
      <c r="CW166" s="56">
        <v>143146</v>
      </c>
      <c r="CX166" s="56">
        <v>149398</v>
      </c>
      <c r="CY166" s="56">
        <v>157941</v>
      </c>
      <c r="CZ166" s="56">
        <v>166482</v>
      </c>
      <c r="DA166" s="56">
        <v>175019</v>
      </c>
      <c r="DB166" s="56">
        <v>183557</v>
      </c>
      <c r="DC166" s="56">
        <v>192066</v>
      </c>
      <c r="DD166" s="56">
        <v>204916</v>
      </c>
      <c r="DE166" s="56">
        <v>217761</v>
      </c>
      <c r="DF166" s="56">
        <v>230600</v>
      </c>
      <c r="DG166" s="56">
        <v>243419</v>
      </c>
      <c r="DH166" s="56">
        <v>256232</v>
      </c>
      <c r="DI166" s="56">
        <v>269768</v>
      </c>
      <c r="DJ166" s="56">
        <v>283277</v>
      </c>
      <c r="DK166" s="56">
        <v>296753</v>
      </c>
      <c r="DL166" s="56">
        <v>310182</v>
      </c>
      <c r="DM166" s="56">
        <v>323575</v>
      </c>
      <c r="DN166" s="56">
        <v>339257</v>
      </c>
      <c r="DO166" s="56">
        <v>354884</v>
      </c>
      <c r="DP166" s="56">
        <v>370445</v>
      </c>
      <c r="DQ166" s="56">
        <v>385931</v>
      </c>
      <c r="DR166" s="56">
        <v>401321</v>
      </c>
      <c r="DS166" s="56">
        <v>424942</v>
      </c>
      <c r="DT166" s="56">
        <v>448481</v>
      </c>
      <c r="DU166" s="56">
        <v>471922</v>
      </c>
      <c r="DV166" s="56">
        <v>495256</v>
      </c>
      <c r="DW166" s="56">
        <v>518440</v>
      </c>
      <c r="DX166" s="56">
        <v>552850</v>
      </c>
      <c r="DY166" s="56">
        <v>587150</v>
      </c>
      <c r="DZ166" s="56">
        <v>621314</v>
      </c>
      <c r="EA166" s="56">
        <v>655330</v>
      </c>
      <c r="EB166" s="56">
        <v>689125</v>
      </c>
      <c r="EC166" s="56">
        <v>730297</v>
      </c>
      <c r="ED166" s="56">
        <v>771318</v>
      </c>
      <c r="EE166" s="56">
        <v>812156</v>
      </c>
      <c r="EF166" s="56">
        <v>852796</v>
      </c>
      <c r="EG166" s="56">
        <v>893159</v>
      </c>
      <c r="EH166" s="56">
        <v>937055</v>
      </c>
      <c r="EI166" s="56">
        <v>980748</v>
      </c>
      <c r="EJ166" s="56">
        <v>1024204</v>
      </c>
      <c r="EK166" s="56">
        <v>1067391</v>
      </c>
      <c r="EL166" s="56">
        <v>1110274</v>
      </c>
      <c r="EM166" s="56">
        <v>1165184</v>
      </c>
      <c r="EN166" s="56">
        <v>1219826</v>
      </c>
      <c r="EO166" s="56">
        <v>1274155</v>
      </c>
      <c r="EP166" s="56">
        <v>1328250</v>
      </c>
      <c r="EQ166" s="56">
        <v>1381699</v>
      </c>
      <c r="ER166" s="56">
        <v>1431688</v>
      </c>
      <c r="ES166" s="56">
        <v>1481441</v>
      </c>
      <c r="ET166" s="56">
        <v>1530928</v>
      </c>
      <c r="EU166" s="56">
        <v>1580124</v>
      </c>
      <c r="EV166" s="56">
        <v>1628999</v>
      </c>
    </row>
    <row r="167" spans="1:152">
      <c r="A167" s="53">
        <v>49</v>
      </c>
      <c r="B167" s="38">
        <v>110824</v>
      </c>
      <c r="C167" s="38">
        <v>114082</v>
      </c>
      <c r="D167" s="38">
        <v>117339</v>
      </c>
      <c r="E167" s="38">
        <v>120593</v>
      </c>
      <c r="F167" s="38">
        <v>123847</v>
      </c>
      <c r="G167" s="38">
        <v>127084</v>
      </c>
      <c r="H167" s="38">
        <v>132102</v>
      </c>
      <c r="I167" s="38">
        <v>137117</v>
      </c>
      <c r="J167" s="38">
        <v>142128</v>
      </c>
      <c r="K167" s="38">
        <v>147127</v>
      </c>
      <c r="L167" s="38">
        <v>152127</v>
      </c>
      <c r="M167" s="38">
        <v>155844</v>
      </c>
      <c r="N167" s="38">
        <v>159544</v>
      </c>
      <c r="O167" s="38">
        <v>163224</v>
      </c>
      <c r="P167" s="38">
        <v>166880</v>
      </c>
      <c r="Q167" s="38">
        <v>170518</v>
      </c>
      <c r="R167" s="38">
        <v>171702</v>
      </c>
      <c r="S167" s="38">
        <v>172853</v>
      </c>
      <c r="T167" s="38">
        <v>173971</v>
      </c>
      <c r="U167" s="38">
        <v>175056</v>
      </c>
      <c r="V167" s="38">
        <v>176101</v>
      </c>
      <c r="W167" s="38">
        <v>180551</v>
      </c>
      <c r="X167" s="38">
        <v>184963</v>
      </c>
      <c r="Y167" s="38">
        <v>189333</v>
      </c>
      <c r="Z167" s="38">
        <v>193661</v>
      </c>
      <c r="AA167" s="38">
        <v>197932</v>
      </c>
      <c r="AB167" s="38">
        <v>202763</v>
      </c>
      <c r="AC167" s="38">
        <v>207547</v>
      </c>
    </row>
    <row r="168" spans="1:152">
      <c r="A168" s="51" t="s">
        <v>93</v>
      </c>
      <c r="B168" s="46">
        <v>0</v>
      </c>
      <c r="C168" s="46">
        <v>0</v>
      </c>
      <c r="D168" s="46">
        <v>0</v>
      </c>
      <c r="E168" s="46">
        <v>0</v>
      </c>
      <c r="F168" s="46">
        <v>0</v>
      </c>
      <c r="G168" s="46">
        <v>0</v>
      </c>
      <c r="H168" s="46">
        <v>0</v>
      </c>
      <c r="I168" s="46">
        <v>0</v>
      </c>
      <c r="J168" s="46">
        <v>0</v>
      </c>
      <c r="K168" s="46">
        <v>0</v>
      </c>
      <c r="L168" s="46">
        <v>0</v>
      </c>
      <c r="M168" s="46">
        <v>0</v>
      </c>
      <c r="N168" s="46">
        <v>0</v>
      </c>
      <c r="O168" s="46">
        <v>0</v>
      </c>
      <c r="P168" s="46">
        <v>0</v>
      </c>
      <c r="Q168" s="46">
        <v>0</v>
      </c>
      <c r="R168" s="46">
        <v>0</v>
      </c>
      <c r="S168" s="46">
        <v>0</v>
      </c>
      <c r="T168" s="46">
        <v>0</v>
      </c>
      <c r="U168" s="46">
        <v>0</v>
      </c>
      <c r="V168" s="46">
        <v>0</v>
      </c>
      <c r="W168" s="46">
        <v>0</v>
      </c>
      <c r="X168" s="46">
        <v>0</v>
      </c>
      <c r="Y168" s="46">
        <v>0</v>
      </c>
      <c r="Z168" s="46">
        <v>0</v>
      </c>
      <c r="AA168" s="46">
        <v>0</v>
      </c>
      <c r="AB168" s="46">
        <v>0</v>
      </c>
      <c r="AC168" s="46">
        <v>0</v>
      </c>
    </row>
    <row r="169" spans="1:152">
      <c r="A169" s="52">
        <v>50</v>
      </c>
      <c r="B169" s="38">
        <v>106070</v>
      </c>
      <c r="C169" s="38">
        <v>109648</v>
      </c>
      <c r="D169" s="38">
        <v>113224</v>
      </c>
      <c r="E169" s="38">
        <v>116796</v>
      </c>
      <c r="F169" s="38">
        <v>120369</v>
      </c>
      <c r="G169" s="38">
        <v>123926</v>
      </c>
      <c r="H169" s="38">
        <v>128076</v>
      </c>
      <c r="I169" s="38">
        <v>132225</v>
      </c>
      <c r="J169" s="38">
        <v>136367</v>
      </c>
      <c r="K169" s="38">
        <v>140500</v>
      </c>
      <c r="L169" s="38">
        <v>144634</v>
      </c>
      <c r="M169" s="38">
        <v>149274</v>
      </c>
      <c r="N169" s="38">
        <v>153896</v>
      </c>
      <c r="O169" s="38">
        <v>158501</v>
      </c>
      <c r="P169" s="38">
        <v>163080</v>
      </c>
      <c r="Q169" s="38">
        <v>167645</v>
      </c>
      <c r="R169" s="38">
        <v>169187</v>
      </c>
      <c r="S169" s="38">
        <v>170697</v>
      </c>
      <c r="T169" s="38">
        <v>172175</v>
      </c>
      <c r="U169" s="38">
        <v>173618</v>
      </c>
      <c r="V169" s="38">
        <v>175023</v>
      </c>
      <c r="W169" s="38">
        <v>178064</v>
      </c>
      <c r="X169" s="38">
        <v>181067</v>
      </c>
      <c r="Y169" s="38">
        <v>184028</v>
      </c>
      <c r="Z169" s="38">
        <v>186948</v>
      </c>
      <c r="AA169" s="38">
        <v>189816</v>
      </c>
      <c r="AB169" s="38">
        <v>195453</v>
      </c>
      <c r="AC169" s="38">
        <v>201046</v>
      </c>
    </row>
    <row r="170" spans="1:152">
      <c r="A170" s="52">
        <v>51</v>
      </c>
      <c r="B170" s="38">
        <v>101431</v>
      </c>
      <c r="C170" s="38">
        <v>105224</v>
      </c>
      <c r="D170" s="38">
        <v>109016</v>
      </c>
      <c r="E170" s="38">
        <v>112805</v>
      </c>
      <c r="F170" s="38">
        <v>116595</v>
      </c>
      <c r="G170" s="38">
        <v>120368</v>
      </c>
      <c r="H170" s="38">
        <v>123799</v>
      </c>
      <c r="I170" s="38">
        <v>127226</v>
      </c>
      <c r="J170" s="38">
        <v>130650</v>
      </c>
      <c r="K170" s="38">
        <v>134062</v>
      </c>
      <c r="L170" s="38">
        <v>137476</v>
      </c>
      <c r="M170" s="38">
        <v>142943</v>
      </c>
      <c r="N170" s="38">
        <v>148396</v>
      </c>
      <c r="O170" s="38">
        <v>153830</v>
      </c>
      <c r="P170" s="38">
        <v>159241</v>
      </c>
      <c r="Q170" s="38">
        <v>164637</v>
      </c>
      <c r="R170" s="38">
        <v>166465</v>
      </c>
      <c r="S170" s="38">
        <v>168262</v>
      </c>
      <c r="T170" s="38">
        <v>170027</v>
      </c>
      <c r="U170" s="38">
        <v>171759</v>
      </c>
      <c r="V170" s="38">
        <v>173450</v>
      </c>
      <c r="W170" s="38">
        <v>175311</v>
      </c>
      <c r="X170" s="38">
        <v>177132</v>
      </c>
      <c r="Y170" s="38">
        <v>178913</v>
      </c>
      <c r="Z170" s="38">
        <v>180655</v>
      </c>
      <c r="AA170" s="38">
        <v>182345</v>
      </c>
      <c r="AB170" s="38">
        <v>188563</v>
      </c>
      <c r="AC170" s="38">
        <v>194739</v>
      </c>
    </row>
    <row r="171" spans="1:152">
      <c r="A171" s="52">
        <v>52</v>
      </c>
      <c r="B171" s="38">
        <v>96523</v>
      </c>
      <c r="C171" s="38">
        <v>100516</v>
      </c>
      <c r="D171" s="38">
        <v>104507</v>
      </c>
      <c r="E171" s="38">
        <v>108497</v>
      </c>
      <c r="F171" s="38">
        <v>112487</v>
      </c>
      <c r="G171" s="38">
        <v>116460</v>
      </c>
      <c r="H171" s="38">
        <v>119435</v>
      </c>
      <c r="I171" s="38">
        <v>122406</v>
      </c>
      <c r="J171" s="38">
        <v>125373</v>
      </c>
      <c r="K171" s="38">
        <v>128330</v>
      </c>
      <c r="L171" s="38">
        <v>131287</v>
      </c>
      <c r="M171" s="38">
        <v>137137</v>
      </c>
      <c r="N171" s="38">
        <v>142973</v>
      </c>
      <c r="O171" s="38">
        <v>148792</v>
      </c>
      <c r="P171" s="38">
        <v>154588</v>
      </c>
      <c r="Q171" s="38">
        <v>160369</v>
      </c>
      <c r="R171" s="38">
        <v>162658</v>
      </c>
      <c r="S171" s="38">
        <v>164918</v>
      </c>
      <c r="T171" s="38">
        <v>167145</v>
      </c>
      <c r="U171" s="38">
        <v>169340</v>
      </c>
      <c r="V171" s="38">
        <v>171494</v>
      </c>
      <c r="W171" s="38">
        <v>172578</v>
      </c>
      <c r="X171" s="38">
        <v>173623</v>
      </c>
      <c r="Y171" s="38">
        <v>174628</v>
      </c>
      <c r="Z171" s="38">
        <v>175596</v>
      </c>
      <c r="AA171" s="38">
        <v>176513</v>
      </c>
      <c r="AB171" s="38">
        <v>182779</v>
      </c>
      <c r="AC171" s="38">
        <v>189006</v>
      </c>
    </row>
    <row r="172" spans="1:152">
      <c r="A172" s="52">
        <v>53</v>
      </c>
      <c r="B172" s="38">
        <v>91289</v>
      </c>
      <c r="C172" s="38">
        <v>95430</v>
      </c>
      <c r="D172" s="38">
        <v>99571</v>
      </c>
      <c r="E172" s="38">
        <v>103709</v>
      </c>
      <c r="F172" s="38">
        <v>107848</v>
      </c>
      <c r="G172" s="38">
        <v>111971</v>
      </c>
      <c r="H172" s="38">
        <v>114900</v>
      </c>
      <c r="I172" s="38">
        <v>117827</v>
      </c>
      <c r="J172" s="38">
        <v>120750</v>
      </c>
      <c r="K172" s="38">
        <v>123663</v>
      </c>
      <c r="L172" s="38">
        <v>126577</v>
      </c>
      <c r="M172" s="38">
        <v>132188</v>
      </c>
      <c r="N172" s="38">
        <v>137787</v>
      </c>
      <c r="O172" s="38">
        <v>143369</v>
      </c>
      <c r="P172" s="38">
        <v>148929</v>
      </c>
      <c r="Q172" s="38">
        <v>154474</v>
      </c>
      <c r="R172" s="38">
        <v>157403</v>
      </c>
      <c r="S172" s="38">
        <v>160304</v>
      </c>
      <c r="T172" s="38">
        <v>163173</v>
      </c>
      <c r="U172" s="38">
        <v>166011</v>
      </c>
      <c r="V172" s="38">
        <v>168808</v>
      </c>
      <c r="W172" s="38">
        <v>169720</v>
      </c>
      <c r="X172" s="38">
        <v>170594</v>
      </c>
      <c r="Y172" s="38">
        <v>171428</v>
      </c>
      <c r="Z172" s="38">
        <v>172225</v>
      </c>
      <c r="AA172" s="38">
        <v>172973</v>
      </c>
      <c r="AB172" s="38">
        <v>178553</v>
      </c>
      <c r="AC172" s="38">
        <v>184093</v>
      </c>
    </row>
    <row r="173" spans="1:152">
      <c r="A173" s="52">
        <v>54</v>
      </c>
      <c r="B173" s="38">
        <v>85866</v>
      </c>
      <c r="C173" s="38">
        <v>90105</v>
      </c>
      <c r="D173" s="38">
        <v>94343</v>
      </c>
      <c r="E173" s="38">
        <v>98579</v>
      </c>
      <c r="F173" s="38">
        <v>102815</v>
      </c>
      <c r="G173" s="38">
        <v>107037</v>
      </c>
      <c r="H173" s="38">
        <v>110224</v>
      </c>
      <c r="I173" s="38">
        <v>113408</v>
      </c>
      <c r="J173" s="38">
        <v>116588</v>
      </c>
      <c r="K173" s="38">
        <v>119759</v>
      </c>
      <c r="L173" s="38">
        <v>122930</v>
      </c>
      <c r="M173" s="38">
        <v>127862</v>
      </c>
      <c r="N173" s="38">
        <v>132781</v>
      </c>
      <c r="O173" s="38">
        <v>137684</v>
      </c>
      <c r="P173" s="38">
        <v>142566</v>
      </c>
      <c r="Q173" s="38">
        <v>147434</v>
      </c>
      <c r="R173" s="38">
        <v>151099</v>
      </c>
      <c r="S173" s="38">
        <v>154737</v>
      </c>
      <c r="T173" s="38">
        <v>158346</v>
      </c>
      <c r="U173" s="38">
        <v>161924</v>
      </c>
      <c r="V173" s="38">
        <v>165462</v>
      </c>
      <c r="W173" s="38">
        <v>166665</v>
      </c>
      <c r="X173" s="38">
        <v>167831</v>
      </c>
      <c r="Y173" s="38">
        <v>168957</v>
      </c>
      <c r="Z173" s="38">
        <v>170047</v>
      </c>
      <c r="AA173" s="38">
        <v>171089</v>
      </c>
      <c r="AB173" s="38">
        <v>175475</v>
      </c>
      <c r="AC173" s="38">
        <v>179821</v>
      </c>
    </row>
    <row r="174" spans="1:152">
      <c r="A174" s="51" t="s">
        <v>94</v>
      </c>
      <c r="B174" s="46">
        <v>0</v>
      </c>
      <c r="C174" s="46">
        <v>0</v>
      </c>
      <c r="D174" s="46">
        <v>0</v>
      </c>
      <c r="E174" s="46">
        <v>0</v>
      </c>
      <c r="F174" s="46">
        <v>0</v>
      </c>
      <c r="G174" s="46">
        <v>0</v>
      </c>
      <c r="H174" s="46">
        <v>0</v>
      </c>
      <c r="I174" s="46">
        <v>0</v>
      </c>
      <c r="J174" s="46">
        <v>0</v>
      </c>
      <c r="K174" s="46">
        <v>0</v>
      </c>
      <c r="L174" s="46">
        <v>0</v>
      </c>
      <c r="M174" s="46">
        <v>0</v>
      </c>
      <c r="N174" s="46">
        <v>0</v>
      </c>
      <c r="O174" s="46">
        <v>0</v>
      </c>
      <c r="P174" s="46">
        <v>0</v>
      </c>
      <c r="Q174" s="46">
        <v>0</v>
      </c>
      <c r="R174" s="46">
        <v>0</v>
      </c>
      <c r="S174" s="46">
        <v>0</v>
      </c>
      <c r="T174" s="46">
        <v>0</v>
      </c>
      <c r="U174" s="46">
        <v>0</v>
      </c>
      <c r="V174" s="46">
        <v>0</v>
      </c>
      <c r="W174" s="46">
        <v>0</v>
      </c>
      <c r="X174" s="46">
        <v>0</v>
      </c>
      <c r="Y174" s="46">
        <v>0</v>
      </c>
      <c r="Z174" s="46">
        <v>0</v>
      </c>
      <c r="AA174" s="46">
        <v>0</v>
      </c>
      <c r="AB174" s="46">
        <v>0</v>
      </c>
      <c r="AC174" s="46">
        <v>0</v>
      </c>
    </row>
    <row r="175" spans="1:152">
      <c r="A175" s="52">
        <v>55</v>
      </c>
      <c r="B175" s="38">
        <v>80413</v>
      </c>
      <c r="C175" s="38">
        <v>84761</v>
      </c>
      <c r="D175" s="38">
        <v>89107</v>
      </c>
      <c r="E175" s="38">
        <v>93452</v>
      </c>
      <c r="F175" s="38">
        <v>97796</v>
      </c>
      <c r="G175" s="38">
        <v>102128</v>
      </c>
      <c r="H175" s="38">
        <v>105617</v>
      </c>
      <c r="I175" s="38">
        <v>109103</v>
      </c>
      <c r="J175" s="38">
        <v>112587</v>
      </c>
      <c r="K175" s="38">
        <v>116060</v>
      </c>
      <c r="L175" s="38">
        <v>119536</v>
      </c>
      <c r="M175" s="38">
        <v>123617</v>
      </c>
      <c r="N175" s="38">
        <v>127684</v>
      </c>
      <c r="O175" s="38">
        <v>131736</v>
      </c>
      <c r="P175" s="38">
        <v>135768</v>
      </c>
      <c r="Q175" s="38">
        <v>139786</v>
      </c>
      <c r="R175" s="38">
        <v>144330</v>
      </c>
      <c r="S175" s="38">
        <v>148850</v>
      </c>
      <c r="T175" s="38">
        <v>153341</v>
      </c>
      <c r="U175" s="38">
        <v>157801</v>
      </c>
      <c r="V175" s="38">
        <v>162225</v>
      </c>
      <c r="W175" s="38">
        <v>163780</v>
      </c>
      <c r="X175" s="38">
        <v>165300</v>
      </c>
      <c r="Y175" s="38">
        <v>166782</v>
      </c>
      <c r="Z175" s="38">
        <v>168227</v>
      </c>
      <c r="AA175" s="38">
        <v>169624</v>
      </c>
      <c r="AB175" s="38">
        <v>172633</v>
      </c>
      <c r="AC175" s="38">
        <v>175604</v>
      </c>
    </row>
    <row r="176" spans="1:152">
      <c r="A176" s="52">
        <v>56</v>
      </c>
      <c r="B176" s="38">
        <v>75162</v>
      </c>
      <c r="C176" s="38">
        <v>79601</v>
      </c>
      <c r="D176" s="38">
        <v>84039</v>
      </c>
      <c r="E176" s="38">
        <v>88475</v>
      </c>
      <c r="F176" s="38">
        <v>92912</v>
      </c>
      <c r="G176" s="38">
        <v>97336</v>
      </c>
      <c r="H176" s="38">
        <v>101027</v>
      </c>
      <c r="I176" s="38">
        <v>104715</v>
      </c>
      <c r="J176" s="38">
        <v>108401</v>
      </c>
      <c r="K176" s="38">
        <v>112077</v>
      </c>
      <c r="L176" s="38">
        <v>115755</v>
      </c>
      <c r="M176" s="38">
        <v>119125</v>
      </c>
      <c r="N176" s="38">
        <v>122483</v>
      </c>
      <c r="O176" s="38">
        <v>125826</v>
      </c>
      <c r="P176" s="38">
        <v>129149</v>
      </c>
      <c r="Q176" s="38">
        <v>132460</v>
      </c>
      <c r="R176" s="38">
        <v>137794</v>
      </c>
      <c r="S176" s="38">
        <v>143105</v>
      </c>
      <c r="T176" s="38">
        <v>148389</v>
      </c>
      <c r="U176" s="38">
        <v>153643</v>
      </c>
      <c r="V176" s="38">
        <v>158859</v>
      </c>
      <c r="W176" s="38">
        <v>160695</v>
      </c>
      <c r="X176" s="38">
        <v>162496</v>
      </c>
      <c r="Y176" s="38">
        <v>164259</v>
      </c>
      <c r="Z176" s="38">
        <v>165986</v>
      </c>
      <c r="AA176" s="38">
        <v>167667</v>
      </c>
      <c r="AB176" s="38">
        <v>169520</v>
      </c>
      <c r="AC176" s="38">
        <v>171332</v>
      </c>
    </row>
    <row r="177" spans="1:29">
      <c r="A177" s="52">
        <v>57</v>
      </c>
      <c r="B177" s="38">
        <v>70267</v>
      </c>
      <c r="C177" s="38">
        <v>74678</v>
      </c>
      <c r="D177" s="38">
        <v>79089</v>
      </c>
      <c r="E177" s="38">
        <v>83498</v>
      </c>
      <c r="F177" s="38">
        <v>87908</v>
      </c>
      <c r="G177" s="38">
        <v>92305</v>
      </c>
      <c r="H177" s="38">
        <v>96178</v>
      </c>
      <c r="I177" s="38">
        <v>100049</v>
      </c>
      <c r="J177" s="38">
        <v>103916</v>
      </c>
      <c r="K177" s="38">
        <v>107775</v>
      </c>
      <c r="L177" s="38">
        <v>111636</v>
      </c>
      <c r="M177" s="38">
        <v>114551</v>
      </c>
      <c r="N177" s="38">
        <v>117454</v>
      </c>
      <c r="O177" s="38">
        <v>120343</v>
      </c>
      <c r="P177" s="38">
        <v>123213</v>
      </c>
      <c r="Q177" s="38">
        <v>126072</v>
      </c>
      <c r="R177" s="38">
        <v>131766</v>
      </c>
      <c r="S177" s="38">
        <v>137438</v>
      </c>
      <c r="T177" s="38">
        <v>143085</v>
      </c>
      <c r="U177" s="38">
        <v>148703</v>
      </c>
      <c r="V177" s="38">
        <v>154284</v>
      </c>
      <c r="W177" s="38">
        <v>156561</v>
      </c>
      <c r="X177" s="38">
        <v>158803</v>
      </c>
      <c r="Y177" s="38">
        <v>161009</v>
      </c>
      <c r="Z177" s="38">
        <v>163179</v>
      </c>
      <c r="AA177" s="38">
        <v>165303</v>
      </c>
      <c r="AB177" s="38">
        <v>166396</v>
      </c>
      <c r="AC177" s="38">
        <v>167448</v>
      </c>
    </row>
    <row r="178" spans="1:29">
      <c r="A178" s="52">
        <v>58</v>
      </c>
      <c r="B178" s="38">
        <v>65861</v>
      </c>
      <c r="C178" s="38">
        <v>70091</v>
      </c>
      <c r="D178" s="38">
        <v>74320</v>
      </c>
      <c r="E178" s="38">
        <v>78546</v>
      </c>
      <c r="F178" s="38">
        <v>82774</v>
      </c>
      <c r="G178" s="38">
        <v>86989</v>
      </c>
      <c r="H178" s="38">
        <v>90989</v>
      </c>
      <c r="I178" s="38">
        <v>94987</v>
      </c>
      <c r="J178" s="38">
        <v>98981</v>
      </c>
      <c r="K178" s="38">
        <v>102968</v>
      </c>
      <c r="L178" s="38">
        <v>106956</v>
      </c>
      <c r="M178" s="38">
        <v>109816</v>
      </c>
      <c r="N178" s="38">
        <v>112664</v>
      </c>
      <c r="O178" s="38">
        <v>115498</v>
      </c>
      <c r="P178" s="38">
        <v>118315</v>
      </c>
      <c r="Q178" s="38">
        <v>121120</v>
      </c>
      <c r="R178" s="38">
        <v>126576</v>
      </c>
      <c r="S178" s="38">
        <v>132012</v>
      </c>
      <c r="T178" s="38">
        <v>137423</v>
      </c>
      <c r="U178" s="38">
        <v>142807</v>
      </c>
      <c r="V178" s="38">
        <v>148155</v>
      </c>
      <c r="W178" s="38">
        <v>151033</v>
      </c>
      <c r="X178" s="38">
        <v>153878</v>
      </c>
      <c r="Y178" s="38">
        <v>156688</v>
      </c>
      <c r="Z178" s="38">
        <v>159464</v>
      </c>
      <c r="AA178" s="38">
        <v>162193</v>
      </c>
      <c r="AB178" s="38">
        <v>163117</v>
      </c>
      <c r="AC178" s="38">
        <v>164001</v>
      </c>
    </row>
    <row r="179" spans="1:29">
      <c r="A179" s="52">
        <v>59</v>
      </c>
      <c r="B179" s="38">
        <v>61891</v>
      </c>
      <c r="C179" s="38">
        <v>65819</v>
      </c>
      <c r="D179" s="38">
        <v>69747</v>
      </c>
      <c r="E179" s="38">
        <v>73673</v>
      </c>
      <c r="F179" s="38">
        <v>77599</v>
      </c>
      <c r="G179" s="38">
        <v>81514</v>
      </c>
      <c r="H179" s="38">
        <v>85588</v>
      </c>
      <c r="I179" s="38">
        <v>89660</v>
      </c>
      <c r="J179" s="38">
        <v>93728</v>
      </c>
      <c r="K179" s="38">
        <v>97790</v>
      </c>
      <c r="L179" s="38">
        <v>101853</v>
      </c>
      <c r="M179" s="38">
        <v>104949</v>
      </c>
      <c r="N179" s="38">
        <v>108033</v>
      </c>
      <c r="O179" s="38">
        <v>111105</v>
      </c>
      <c r="P179" s="38">
        <v>114160</v>
      </c>
      <c r="Q179" s="38">
        <v>117202</v>
      </c>
      <c r="R179" s="38">
        <v>121996</v>
      </c>
      <c r="S179" s="38">
        <v>126769</v>
      </c>
      <c r="T179" s="38">
        <v>131518</v>
      </c>
      <c r="U179" s="38">
        <v>136241</v>
      </c>
      <c r="V179" s="38">
        <v>140930</v>
      </c>
      <c r="W179" s="38">
        <v>144495</v>
      </c>
      <c r="X179" s="38">
        <v>148028</v>
      </c>
      <c r="Y179" s="38">
        <v>151528</v>
      </c>
      <c r="Z179" s="38">
        <v>154995</v>
      </c>
      <c r="AA179" s="38">
        <v>158416</v>
      </c>
      <c r="AB179" s="38">
        <v>159622</v>
      </c>
      <c r="AC179" s="38">
        <v>160790</v>
      </c>
    </row>
    <row r="180" spans="1:29">
      <c r="A180" s="51" t="s">
        <v>95</v>
      </c>
      <c r="B180" s="46">
        <v>0</v>
      </c>
      <c r="C180" s="46">
        <v>0</v>
      </c>
      <c r="D180" s="46">
        <v>0</v>
      </c>
      <c r="E180" s="46">
        <v>0</v>
      </c>
      <c r="F180" s="46">
        <v>0</v>
      </c>
      <c r="G180" s="46">
        <v>0</v>
      </c>
      <c r="H180" s="46">
        <v>0</v>
      </c>
      <c r="I180" s="46">
        <v>0</v>
      </c>
      <c r="J180" s="46">
        <v>0</v>
      </c>
      <c r="K180" s="46">
        <v>0</v>
      </c>
      <c r="L180" s="46">
        <v>0</v>
      </c>
      <c r="M180" s="46">
        <v>0</v>
      </c>
      <c r="N180" s="46">
        <v>0</v>
      </c>
      <c r="O180" s="46">
        <v>0</v>
      </c>
      <c r="P180" s="46">
        <v>0</v>
      </c>
      <c r="Q180" s="46">
        <v>0</v>
      </c>
      <c r="R180" s="46">
        <v>0</v>
      </c>
      <c r="S180" s="46">
        <v>0</v>
      </c>
      <c r="T180" s="46">
        <v>0</v>
      </c>
      <c r="U180" s="46">
        <v>0</v>
      </c>
      <c r="V180" s="46">
        <v>0</v>
      </c>
      <c r="W180" s="46">
        <v>0</v>
      </c>
      <c r="X180" s="46">
        <v>0</v>
      </c>
      <c r="Y180" s="46">
        <v>0</v>
      </c>
      <c r="Z180" s="46">
        <v>0</v>
      </c>
      <c r="AA180" s="46">
        <v>0</v>
      </c>
      <c r="AB180" s="46">
        <v>0</v>
      </c>
      <c r="AC180" s="46">
        <v>0</v>
      </c>
    </row>
    <row r="181" spans="1:29">
      <c r="A181" s="52">
        <v>60</v>
      </c>
      <c r="B181" s="38">
        <v>58072</v>
      </c>
      <c r="C181" s="38">
        <v>61665</v>
      </c>
      <c r="D181" s="38">
        <v>65255</v>
      </c>
      <c r="E181" s="38">
        <v>68845</v>
      </c>
      <c r="F181" s="38">
        <v>72434</v>
      </c>
      <c r="G181" s="38">
        <v>76015</v>
      </c>
      <c r="H181" s="38">
        <v>80172</v>
      </c>
      <c r="I181" s="38">
        <v>84328</v>
      </c>
      <c r="J181" s="38">
        <v>88481</v>
      </c>
      <c r="K181" s="38">
        <v>92627</v>
      </c>
      <c r="L181" s="38">
        <v>96774</v>
      </c>
      <c r="M181" s="38">
        <v>100152</v>
      </c>
      <c r="N181" s="38">
        <v>103518</v>
      </c>
      <c r="O181" s="38">
        <v>106872</v>
      </c>
      <c r="P181" s="38">
        <v>110210</v>
      </c>
      <c r="Q181" s="38">
        <v>113535</v>
      </c>
      <c r="R181" s="38">
        <v>117498</v>
      </c>
      <c r="S181" s="38">
        <v>121443</v>
      </c>
      <c r="T181" s="38">
        <v>125362</v>
      </c>
      <c r="U181" s="38">
        <v>129258</v>
      </c>
      <c r="V181" s="38">
        <v>133122</v>
      </c>
      <c r="W181" s="38">
        <v>137507</v>
      </c>
      <c r="X181" s="38">
        <v>141863</v>
      </c>
      <c r="Y181" s="38">
        <v>146187</v>
      </c>
      <c r="Z181" s="38">
        <v>150477</v>
      </c>
      <c r="AA181" s="38">
        <v>154724</v>
      </c>
      <c r="AB181" s="38">
        <v>156276</v>
      </c>
      <c r="AC181" s="38">
        <v>157792</v>
      </c>
    </row>
    <row r="182" spans="1:29">
      <c r="A182" s="52">
        <v>61</v>
      </c>
      <c r="B182" s="38">
        <v>54417</v>
      </c>
      <c r="C182" s="38">
        <v>57678</v>
      </c>
      <c r="D182" s="38">
        <v>60940</v>
      </c>
      <c r="E182" s="38">
        <v>64200</v>
      </c>
      <c r="F182" s="38">
        <v>67460</v>
      </c>
      <c r="G182" s="38">
        <v>70710</v>
      </c>
      <c r="H182" s="38">
        <v>74937</v>
      </c>
      <c r="I182" s="38">
        <v>79163</v>
      </c>
      <c r="J182" s="38">
        <v>83387</v>
      </c>
      <c r="K182" s="38">
        <v>87603</v>
      </c>
      <c r="L182" s="38">
        <v>91821</v>
      </c>
      <c r="M182" s="38">
        <v>95379</v>
      </c>
      <c r="N182" s="38">
        <v>98928</v>
      </c>
      <c r="O182" s="38">
        <v>102464</v>
      </c>
      <c r="P182" s="38">
        <v>105985</v>
      </c>
      <c r="Q182" s="38">
        <v>109493</v>
      </c>
      <c r="R182" s="38">
        <v>112761</v>
      </c>
      <c r="S182" s="38">
        <v>116010</v>
      </c>
      <c r="T182" s="38">
        <v>119237</v>
      </c>
      <c r="U182" s="38">
        <v>122440</v>
      </c>
      <c r="V182" s="38">
        <v>125613</v>
      </c>
      <c r="W182" s="38">
        <v>130733</v>
      </c>
      <c r="X182" s="38">
        <v>135827</v>
      </c>
      <c r="Y182" s="38">
        <v>140890</v>
      </c>
      <c r="Z182" s="38">
        <v>145923</v>
      </c>
      <c r="AA182" s="38">
        <v>150910</v>
      </c>
      <c r="AB182" s="38">
        <v>152734</v>
      </c>
      <c r="AC182" s="38">
        <v>154522</v>
      </c>
    </row>
    <row r="183" spans="1:29">
      <c r="A183" s="52">
        <v>62</v>
      </c>
      <c r="B183" s="38">
        <v>51226</v>
      </c>
      <c r="C183" s="38">
        <v>54136</v>
      </c>
      <c r="D183" s="38">
        <v>57045</v>
      </c>
      <c r="E183" s="38">
        <v>59953</v>
      </c>
      <c r="F183" s="38">
        <v>62862</v>
      </c>
      <c r="G183" s="38">
        <v>65761</v>
      </c>
      <c r="H183" s="38">
        <v>69945</v>
      </c>
      <c r="I183" s="38">
        <v>74127</v>
      </c>
      <c r="J183" s="38">
        <v>78307</v>
      </c>
      <c r="K183" s="38">
        <v>82481</v>
      </c>
      <c r="L183" s="38">
        <v>86656</v>
      </c>
      <c r="M183" s="38">
        <v>90371</v>
      </c>
      <c r="N183" s="38">
        <v>94077</v>
      </c>
      <c r="O183" s="38">
        <v>97772</v>
      </c>
      <c r="P183" s="38">
        <v>101451</v>
      </c>
      <c r="Q183" s="38">
        <v>105119</v>
      </c>
      <c r="R183" s="38">
        <v>107935</v>
      </c>
      <c r="S183" s="38">
        <v>110731</v>
      </c>
      <c r="T183" s="38">
        <v>113507</v>
      </c>
      <c r="U183" s="38">
        <v>116261</v>
      </c>
      <c r="V183" s="38">
        <v>118986</v>
      </c>
      <c r="W183" s="38">
        <v>124435</v>
      </c>
      <c r="X183" s="38">
        <v>129860</v>
      </c>
      <c r="Y183" s="38">
        <v>135256</v>
      </c>
      <c r="Z183" s="38">
        <v>140622</v>
      </c>
      <c r="AA183" s="38">
        <v>145945</v>
      </c>
      <c r="AB183" s="38">
        <v>148180</v>
      </c>
      <c r="AC183" s="38">
        <v>150381</v>
      </c>
    </row>
    <row r="184" spans="1:29">
      <c r="A184" s="52">
        <v>63</v>
      </c>
      <c r="B184" s="38">
        <v>48575</v>
      </c>
      <c r="C184" s="38">
        <v>51122</v>
      </c>
      <c r="D184" s="38">
        <v>53670</v>
      </c>
      <c r="E184" s="38">
        <v>56215</v>
      </c>
      <c r="F184" s="38">
        <v>58762</v>
      </c>
      <c r="G184" s="38">
        <v>61299</v>
      </c>
      <c r="H184" s="38">
        <v>65292</v>
      </c>
      <c r="I184" s="38">
        <v>69284</v>
      </c>
      <c r="J184" s="38">
        <v>73273</v>
      </c>
      <c r="K184" s="38">
        <v>77256</v>
      </c>
      <c r="L184" s="38">
        <v>81241</v>
      </c>
      <c r="M184" s="38">
        <v>85053</v>
      </c>
      <c r="N184" s="38">
        <v>88856</v>
      </c>
      <c r="O184" s="38">
        <v>92649</v>
      </c>
      <c r="P184" s="38">
        <v>96428</v>
      </c>
      <c r="Q184" s="38">
        <v>100195</v>
      </c>
      <c r="R184" s="38">
        <v>102940</v>
      </c>
      <c r="S184" s="38">
        <v>105666</v>
      </c>
      <c r="T184" s="38">
        <v>108373</v>
      </c>
      <c r="U184" s="38">
        <v>111058</v>
      </c>
      <c r="V184" s="38">
        <v>113717</v>
      </c>
      <c r="W184" s="38">
        <v>118930</v>
      </c>
      <c r="X184" s="38">
        <v>124119</v>
      </c>
      <c r="Y184" s="38">
        <v>129281</v>
      </c>
      <c r="Z184" s="38">
        <v>134414</v>
      </c>
      <c r="AA184" s="38">
        <v>139505</v>
      </c>
      <c r="AB184" s="38">
        <v>142289</v>
      </c>
      <c r="AC184" s="38">
        <v>145040</v>
      </c>
    </row>
    <row r="185" spans="1:29">
      <c r="A185" s="52">
        <v>64</v>
      </c>
      <c r="B185" s="38">
        <v>46345</v>
      </c>
      <c r="C185" s="38">
        <v>48532</v>
      </c>
      <c r="D185" s="38">
        <v>50719</v>
      </c>
      <c r="E185" s="38">
        <v>52904</v>
      </c>
      <c r="F185" s="38">
        <v>55089</v>
      </c>
      <c r="G185" s="38">
        <v>57267</v>
      </c>
      <c r="H185" s="38">
        <v>60957</v>
      </c>
      <c r="I185" s="38">
        <v>64645</v>
      </c>
      <c r="J185" s="38">
        <v>68331</v>
      </c>
      <c r="K185" s="38">
        <v>72012</v>
      </c>
      <c r="L185" s="38">
        <v>75694</v>
      </c>
      <c r="M185" s="38">
        <v>79547</v>
      </c>
      <c r="N185" s="38">
        <v>83392</v>
      </c>
      <c r="O185" s="38">
        <v>87228</v>
      </c>
      <c r="P185" s="38">
        <v>91049</v>
      </c>
      <c r="Q185" s="38">
        <v>94861</v>
      </c>
      <c r="R185" s="38">
        <v>97813</v>
      </c>
      <c r="S185" s="38">
        <v>100748</v>
      </c>
      <c r="T185" s="38">
        <v>103664</v>
      </c>
      <c r="U185" s="38">
        <v>106559</v>
      </c>
      <c r="V185" s="38">
        <v>109429</v>
      </c>
      <c r="W185" s="38">
        <v>114002</v>
      </c>
      <c r="X185" s="38">
        <v>118551</v>
      </c>
      <c r="Y185" s="38">
        <v>123074</v>
      </c>
      <c r="Z185" s="38">
        <v>127570</v>
      </c>
      <c r="AA185" s="38">
        <v>132027</v>
      </c>
      <c r="AB185" s="38">
        <v>135429</v>
      </c>
      <c r="AC185" s="38">
        <v>138799</v>
      </c>
    </row>
    <row r="186" spans="1:29">
      <c r="A186" s="51" t="s">
        <v>96</v>
      </c>
      <c r="B186" s="46">
        <v>0</v>
      </c>
      <c r="C186" s="46">
        <v>0</v>
      </c>
      <c r="D186" s="46">
        <v>0</v>
      </c>
      <c r="E186" s="46">
        <v>0</v>
      </c>
      <c r="F186" s="46">
        <v>0</v>
      </c>
      <c r="G186" s="46">
        <v>0</v>
      </c>
      <c r="H186" s="46">
        <v>0</v>
      </c>
      <c r="I186" s="46">
        <v>0</v>
      </c>
      <c r="J186" s="46">
        <v>0</v>
      </c>
      <c r="K186" s="46">
        <v>0</v>
      </c>
      <c r="L186" s="46">
        <v>0</v>
      </c>
      <c r="M186" s="46">
        <v>0</v>
      </c>
      <c r="N186" s="46">
        <v>0</v>
      </c>
      <c r="O186" s="46">
        <v>0</v>
      </c>
      <c r="P186" s="46">
        <v>0</v>
      </c>
      <c r="Q186" s="46">
        <v>0</v>
      </c>
      <c r="R186" s="46">
        <v>0</v>
      </c>
      <c r="S186" s="46">
        <v>0</v>
      </c>
      <c r="T186" s="46">
        <v>0</v>
      </c>
      <c r="U186" s="46">
        <v>0</v>
      </c>
      <c r="V186" s="46">
        <v>0</v>
      </c>
      <c r="W186" s="46">
        <v>0</v>
      </c>
      <c r="X186" s="46">
        <v>0</v>
      </c>
      <c r="Y186" s="46">
        <v>0</v>
      </c>
      <c r="Z186" s="46">
        <v>0</v>
      </c>
      <c r="AA186" s="46">
        <v>0</v>
      </c>
      <c r="AB186" s="46">
        <v>0</v>
      </c>
      <c r="AC186" s="46">
        <v>0</v>
      </c>
    </row>
    <row r="187" spans="1:29">
      <c r="A187" s="52">
        <v>65</v>
      </c>
      <c r="B187" s="38">
        <v>44348</v>
      </c>
      <c r="C187" s="38">
        <v>46161</v>
      </c>
      <c r="D187" s="38">
        <v>47973</v>
      </c>
      <c r="E187" s="38">
        <v>49783</v>
      </c>
      <c r="F187" s="38">
        <v>51593</v>
      </c>
      <c r="G187" s="38">
        <v>53397</v>
      </c>
      <c r="H187" s="38">
        <v>56748</v>
      </c>
      <c r="I187" s="38">
        <v>60099</v>
      </c>
      <c r="J187" s="38">
        <v>63448</v>
      </c>
      <c r="K187" s="38">
        <v>66793</v>
      </c>
      <c r="L187" s="38">
        <v>70137</v>
      </c>
      <c r="M187" s="38">
        <v>74041</v>
      </c>
      <c r="N187" s="38">
        <v>77936</v>
      </c>
      <c r="O187" s="38">
        <v>81822</v>
      </c>
      <c r="P187" s="38">
        <v>85697</v>
      </c>
      <c r="Q187" s="38">
        <v>89562</v>
      </c>
      <c r="R187" s="38">
        <v>92766</v>
      </c>
      <c r="S187" s="38">
        <v>95952</v>
      </c>
      <c r="T187" s="38">
        <v>99121</v>
      </c>
      <c r="U187" s="38">
        <v>102271</v>
      </c>
      <c r="V187" s="38">
        <v>105394</v>
      </c>
      <c r="W187" s="38">
        <v>109169</v>
      </c>
      <c r="X187" s="38">
        <v>112919</v>
      </c>
      <c r="Y187" s="38">
        <v>116645</v>
      </c>
      <c r="Z187" s="38">
        <v>120345</v>
      </c>
      <c r="AA187" s="38">
        <v>124008</v>
      </c>
      <c r="AB187" s="38">
        <v>128149</v>
      </c>
      <c r="AC187" s="38">
        <v>132261</v>
      </c>
    </row>
    <row r="188" spans="1:29">
      <c r="A188" s="52">
        <v>66</v>
      </c>
      <c r="B188" s="38">
        <v>42409</v>
      </c>
      <c r="C188" s="38">
        <v>43866</v>
      </c>
      <c r="D188" s="38">
        <v>45323</v>
      </c>
      <c r="E188" s="38">
        <v>46779</v>
      </c>
      <c r="F188" s="38">
        <v>48236</v>
      </c>
      <c r="G188" s="38">
        <v>49686</v>
      </c>
      <c r="H188" s="38">
        <v>52708</v>
      </c>
      <c r="I188" s="38">
        <v>55729</v>
      </c>
      <c r="J188" s="38">
        <v>58748</v>
      </c>
      <c r="K188" s="38">
        <v>61762</v>
      </c>
      <c r="L188" s="38">
        <v>64779</v>
      </c>
      <c r="M188" s="38">
        <v>68721</v>
      </c>
      <c r="N188" s="38">
        <v>72657</v>
      </c>
      <c r="O188" s="38">
        <v>76585</v>
      </c>
      <c r="P188" s="38">
        <v>80500</v>
      </c>
      <c r="Q188" s="38">
        <v>84409</v>
      </c>
      <c r="R188" s="38">
        <v>87765</v>
      </c>
      <c r="S188" s="38">
        <v>91107</v>
      </c>
      <c r="T188" s="38">
        <v>94432</v>
      </c>
      <c r="U188" s="38">
        <v>97737</v>
      </c>
      <c r="V188" s="38">
        <v>101021</v>
      </c>
      <c r="W188" s="38">
        <v>104119</v>
      </c>
      <c r="X188" s="38">
        <v>107196</v>
      </c>
      <c r="Y188" s="38">
        <v>110249</v>
      </c>
      <c r="Z188" s="38">
        <v>113277</v>
      </c>
      <c r="AA188" s="38">
        <v>116272</v>
      </c>
      <c r="AB188" s="38">
        <v>121076</v>
      </c>
      <c r="AC188" s="38">
        <v>125854</v>
      </c>
    </row>
    <row r="189" spans="1:29">
      <c r="A189" s="52">
        <v>67</v>
      </c>
      <c r="B189" s="38">
        <v>40478</v>
      </c>
      <c r="C189" s="38">
        <v>41665</v>
      </c>
      <c r="D189" s="38">
        <v>42851</v>
      </c>
      <c r="E189" s="38">
        <v>44036</v>
      </c>
      <c r="F189" s="38">
        <v>45222</v>
      </c>
      <c r="G189" s="38">
        <v>46401</v>
      </c>
      <c r="H189" s="38">
        <v>49080</v>
      </c>
      <c r="I189" s="38">
        <v>51757</v>
      </c>
      <c r="J189" s="38">
        <v>54433</v>
      </c>
      <c r="K189" s="38">
        <v>57104</v>
      </c>
      <c r="L189" s="38">
        <v>59778</v>
      </c>
      <c r="M189" s="38">
        <v>63655</v>
      </c>
      <c r="N189" s="38">
        <v>67526</v>
      </c>
      <c r="O189" s="38">
        <v>71389</v>
      </c>
      <c r="P189" s="38">
        <v>75240</v>
      </c>
      <c r="Q189" s="38">
        <v>79087</v>
      </c>
      <c r="R189" s="38">
        <v>82567</v>
      </c>
      <c r="S189" s="38">
        <v>86034</v>
      </c>
      <c r="T189" s="38">
        <v>89484</v>
      </c>
      <c r="U189" s="38">
        <v>92916</v>
      </c>
      <c r="V189" s="38">
        <v>96328</v>
      </c>
      <c r="W189" s="38">
        <v>98978</v>
      </c>
      <c r="X189" s="38">
        <v>101608</v>
      </c>
      <c r="Y189" s="38">
        <v>104215</v>
      </c>
      <c r="Z189" s="38">
        <v>106798</v>
      </c>
      <c r="AA189" s="38">
        <v>109350</v>
      </c>
      <c r="AB189" s="38">
        <v>114442</v>
      </c>
      <c r="AC189" s="38">
        <v>119509</v>
      </c>
    </row>
    <row r="190" spans="1:29">
      <c r="A190" s="52">
        <v>68</v>
      </c>
      <c r="B190" s="38">
        <v>38470</v>
      </c>
      <c r="C190" s="38">
        <v>39499</v>
      </c>
      <c r="D190" s="38">
        <v>40528</v>
      </c>
      <c r="E190" s="38">
        <v>41556</v>
      </c>
      <c r="F190" s="38">
        <v>42584</v>
      </c>
      <c r="G190" s="38">
        <v>43607</v>
      </c>
      <c r="H190" s="38">
        <v>45941</v>
      </c>
      <c r="I190" s="38">
        <v>48274</v>
      </c>
      <c r="J190" s="38">
        <v>50605</v>
      </c>
      <c r="K190" s="38">
        <v>52932</v>
      </c>
      <c r="L190" s="38">
        <v>55261</v>
      </c>
      <c r="M190" s="38">
        <v>58936</v>
      </c>
      <c r="N190" s="38">
        <v>62606</v>
      </c>
      <c r="O190" s="38">
        <v>66268</v>
      </c>
      <c r="P190" s="38">
        <v>69920</v>
      </c>
      <c r="Q190" s="38">
        <v>73567</v>
      </c>
      <c r="R190" s="38">
        <v>77105</v>
      </c>
      <c r="S190" s="38">
        <v>80631</v>
      </c>
      <c r="T190" s="38">
        <v>84141</v>
      </c>
      <c r="U190" s="38">
        <v>87635</v>
      </c>
      <c r="V190" s="38">
        <v>91109</v>
      </c>
      <c r="W190" s="38">
        <v>93668</v>
      </c>
      <c r="X190" s="38">
        <v>96207</v>
      </c>
      <c r="Y190" s="38">
        <v>98724</v>
      </c>
      <c r="Z190" s="38">
        <v>101220</v>
      </c>
      <c r="AA190" s="38">
        <v>103685</v>
      </c>
      <c r="AB190" s="38">
        <v>108541</v>
      </c>
      <c r="AC190" s="38">
        <v>113374</v>
      </c>
    </row>
    <row r="191" spans="1:29">
      <c r="A191" s="52">
        <v>69</v>
      </c>
      <c r="B191" s="38">
        <v>36398</v>
      </c>
      <c r="C191" s="38">
        <v>37361</v>
      </c>
      <c r="D191" s="38">
        <v>38323</v>
      </c>
      <c r="E191" s="38">
        <v>39284</v>
      </c>
      <c r="F191" s="38">
        <v>40245</v>
      </c>
      <c r="G191" s="38">
        <v>41201</v>
      </c>
      <c r="H191" s="38">
        <v>43199</v>
      </c>
      <c r="I191" s="38">
        <v>45195</v>
      </c>
      <c r="J191" s="38">
        <v>47190</v>
      </c>
      <c r="K191" s="38">
        <v>49181</v>
      </c>
      <c r="L191" s="38">
        <v>51174</v>
      </c>
      <c r="M191" s="38">
        <v>54544</v>
      </c>
      <c r="N191" s="38">
        <v>57910</v>
      </c>
      <c r="O191" s="38">
        <v>61269</v>
      </c>
      <c r="P191" s="38">
        <v>64618</v>
      </c>
      <c r="Q191" s="38">
        <v>67961</v>
      </c>
      <c r="R191" s="38">
        <v>71499</v>
      </c>
      <c r="S191" s="38">
        <v>75025</v>
      </c>
      <c r="T191" s="38">
        <v>78538</v>
      </c>
      <c r="U191" s="38">
        <v>82034</v>
      </c>
      <c r="V191" s="38">
        <v>85512</v>
      </c>
      <c r="W191" s="38">
        <v>88239</v>
      </c>
      <c r="X191" s="38">
        <v>90948</v>
      </c>
      <c r="Y191" s="38">
        <v>93636</v>
      </c>
      <c r="Z191" s="38">
        <v>96304</v>
      </c>
      <c r="AA191" s="38">
        <v>98942</v>
      </c>
      <c r="AB191" s="38">
        <v>103188</v>
      </c>
      <c r="AC191" s="38">
        <v>107412</v>
      </c>
    </row>
    <row r="192" spans="1:29">
      <c r="A192" s="51" t="s">
        <v>97</v>
      </c>
      <c r="B192" s="46">
        <v>0</v>
      </c>
      <c r="C192" s="46">
        <v>0</v>
      </c>
      <c r="D192" s="46">
        <v>0</v>
      </c>
      <c r="E192" s="46">
        <v>0</v>
      </c>
      <c r="F192" s="46">
        <v>0</v>
      </c>
      <c r="G192" s="46">
        <v>0</v>
      </c>
      <c r="H192" s="46">
        <v>0</v>
      </c>
      <c r="I192" s="46">
        <v>0</v>
      </c>
      <c r="J192" s="46">
        <v>0</v>
      </c>
      <c r="K192" s="46">
        <v>0</v>
      </c>
      <c r="L192" s="46">
        <v>0</v>
      </c>
      <c r="M192" s="46">
        <v>0</v>
      </c>
      <c r="N192" s="46">
        <v>0</v>
      </c>
      <c r="O192" s="46">
        <v>0</v>
      </c>
      <c r="P192" s="46">
        <v>0</v>
      </c>
      <c r="Q192" s="46">
        <v>0</v>
      </c>
      <c r="R192" s="46">
        <v>0</v>
      </c>
      <c r="S192" s="46">
        <v>0</v>
      </c>
      <c r="T192" s="46">
        <v>0</v>
      </c>
      <c r="U192" s="46">
        <v>0</v>
      </c>
      <c r="V192" s="46">
        <v>0</v>
      </c>
      <c r="W192" s="46">
        <v>0</v>
      </c>
      <c r="X192" s="46">
        <v>0</v>
      </c>
      <c r="Y192" s="46">
        <v>0</v>
      </c>
      <c r="Z192" s="46">
        <v>0</v>
      </c>
      <c r="AA192" s="46">
        <v>0</v>
      </c>
      <c r="AB192" s="46">
        <v>0</v>
      </c>
      <c r="AC192" s="46">
        <v>0</v>
      </c>
    </row>
    <row r="193" spans="1:29">
      <c r="A193" s="52">
        <v>70</v>
      </c>
      <c r="B193" s="38">
        <v>34471</v>
      </c>
      <c r="C193" s="38">
        <v>35392</v>
      </c>
      <c r="D193" s="38">
        <v>36311</v>
      </c>
      <c r="E193" s="38">
        <v>37231</v>
      </c>
      <c r="F193" s="38">
        <v>38149</v>
      </c>
      <c r="G193" s="38">
        <v>39063</v>
      </c>
      <c r="H193" s="38">
        <v>40715</v>
      </c>
      <c r="I193" s="38">
        <v>42366</v>
      </c>
      <c r="J193" s="38">
        <v>44016</v>
      </c>
      <c r="K193" s="38">
        <v>45664</v>
      </c>
      <c r="L193" s="38">
        <v>47309</v>
      </c>
      <c r="M193" s="38">
        <v>50349</v>
      </c>
      <c r="N193" s="38">
        <v>53385</v>
      </c>
      <c r="O193" s="38">
        <v>56415</v>
      </c>
      <c r="P193" s="38">
        <v>59436</v>
      </c>
      <c r="Q193" s="38">
        <v>62450</v>
      </c>
      <c r="R193" s="38">
        <v>66001</v>
      </c>
      <c r="S193" s="38">
        <v>69543</v>
      </c>
      <c r="T193" s="38">
        <v>73072</v>
      </c>
      <c r="U193" s="38">
        <v>76585</v>
      </c>
      <c r="V193" s="38">
        <v>80081</v>
      </c>
      <c r="W193" s="38">
        <v>83023</v>
      </c>
      <c r="X193" s="38">
        <v>85949</v>
      </c>
      <c r="Y193" s="38">
        <v>88857</v>
      </c>
      <c r="Z193" s="38">
        <v>91743</v>
      </c>
      <c r="AA193" s="38">
        <v>94603</v>
      </c>
      <c r="AB193" s="38">
        <v>98101</v>
      </c>
      <c r="AC193" s="38">
        <v>101576</v>
      </c>
    </row>
    <row r="194" spans="1:29">
      <c r="A194" s="52">
        <v>71</v>
      </c>
      <c r="B194" s="38">
        <v>32610</v>
      </c>
      <c r="C194" s="38">
        <v>33493</v>
      </c>
      <c r="D194" s="38">
        <v>34375</v>
      </c>
      <c r="E194" s="38">
        <v>35256</v>
      </c>
      <c r="F194" s="38">
        <v>36137</v>
      </c>
      <c r="G194" s="38">
        <v>37013</v>
      </c>
      <c r="H194" s="38">
        <v>38338</v>
      </c>
      <c r="I194" s="38">
        <v>39662</v>
      </c>
      <c r="J194" s="38">
        <v>40985</v>
      </c>
      <c r="K194" s="38">
        <v>42304</v>
      </c>
      <c r="L194" s="38">
        <v>43623</v>
      </c>
      <c r="M194" s="38">
        <v>46345</v>
      </c>
      <c r="N194" s="38">
        <v>49062</v>
      </c>
      <c r="O194" s="38">
        <v>51774</v>
      </c>
      <c r="P194" s="38">
        <v>54477</v>
      </c>
      <c r="Q194" s="38">
        <v>57174</v>
      </c>
      <c r="R194" s="38">
        <v>60736</v>
      </c>
      <c r="S194" s="38">
        <v>64288</v>
      </c>
      <c r="T194" s="38">
        <v>67828</v>
      </c>
      <c r="U194" s="38">
        <v>71355</v>
      </c>
      <c r="V194" s="38">
        <v>74864</v>
      </c>
      <c r="W194" s="38">
        <v>77932</v>
      </c>
      <c r="X194" s="38">
        <v>80984</v>
      </c>
      <c r="Y194" s="38">
        <v>84017</v>
      </c>
      <c r="Z194" s="38">
        <v>87032</v>
      </c>
      <c r="AA194" s="38">
        <v>90020</v>
      </c>
      <c r="AB194" s="38">
        <v>92884</v>
      </c>
      <c r="AC194" s="38">
        <v>95727</v>
      </c>
    </row>
    <row r="195" spans="1:29">
      <c r="A195" s="52">
        <v>72</v>
      </c>
      <c r="B195" s="38">
        <v>30501</v>
      </c>
      <c r="C195" s="38">
        <v>31390</v>
      </c>
      <c r="D195" s="38">
        <v>32280</v>
      </c>
      <c r="E195" s="38">
        <v>33168</v>
      </c>
      <c r="F195" s="38">
        <v>34057</v>
      </c>
      <c r="G195" s="38">
        <v>34940</v>
      </c>
      <c r="H195" s="38">
        <v>36010</v>
      </c>
      <c r="I195" s="38">
        <v>37080</v>
      </c>
      <c r="J195" s="38">
        <v>38148</v>
      </c>
      <c r="K195" s="38">
        <v>39213</v>
      </c>
      <c r="L195" s="38">
        <v>40277</v>
      </c>
      <c r="M195" s="38">
        <v>42665</v>
      </c>
      <c r="N195" s="38">
        <v>45049</v>
      </c>
      <c r="O195" s="38">
        <v>47427</v>
      </c>
      <c r="P195" s="38">
        <v>49798</v>
      </c>
      <c r="Q195" s="38">
        <v>52162</v>
      </c>
      <c r="R195" s="38">
        <v>55630</v>
      </c>
      <c r="S195" s="38">
        <v>59090</v>
      </c>
      <c r="T195" s="38">
        <v>62539</v>
      </c>
      <c r="U195" s="38">
        <v>65975</v>
      </c>
      <c r="V195" s="38">
        <v>69395</v>
      </c>
      <c r="W195" s="38">
        <v>72544</v>
      </c>
      <c r="X195" s="38">
        <v>75678</v>
      </c>
      <c r="Y195" s="38">
        <v>78795</v>
      </c>
      <c r="Z195" s="38">
        <v>81895</v>
      </c>
      <c r="AA195" s="38">
        <v>84970</v>
      </c>
      <c r="AB195" s="38">
        <v>87390</v>
      </c>
      <c r="AC195" s="38">
        <v>89791</v>
      </c>
    </row>
    <row r="196" spans="1:29">
      <c r="A196" s="52">
        <v>73</v>
      </c>
      <c r="B196" s="38">
        <v>28040</v>
      </c>
      <c r="C196" s="38">
        <v>28983</v>
      </c>
      <c r="D196" s="38">
        <v>29925</v>
      </c>
      <c r="E196" s="38">
        <v>30866</v>
      </c>
      <c r="F196" s="38">
        <v>31808</v>
      </c>
      <c r="G196" s="38">
        <v>32744</v>
      </c>
      <c r="H196" s="38">
        <v>33658</v>
      </c>
      <c r="I196" s="38">
        <v>34571</v>
      </c>
      <c r="J196" s="38">
        <v>35483</v>
      </c>
      <c r="K196" s="38">
        <v>36391</v>
      </c>
      <c r="L196" s="38">
        <v>37299</v>
      </c>
      <c r="M196" s="38">
        <v>39348</v>
      </c>
      <c r="N196" s="38">
        <v>41393</v>
      </c>
      <c r="O196" s="38">
        <v>43433</v>
      </c>
      <c r="P196" s="38">
        <v>45466</v>
      </c>
      <c r="Q196" s="38">
        <v>47492</v>
      </c>
      <c r="R196" s="38">
        <v>50733</v>
      </c>
      <c r="S196" s="38">
        <v>53965</v>
      </c>
      <c r="T196" s="38">
        <v>57188</v>
      </c>
      <c r="U196" s="38">
        <v>60399</v>
      </c>
      <c r="V196" s="38">
        <v>63595</v>
      </c>
      <c r="W196" s="38">
        <v>66743</v>
      </c>
      <c r="X196" s="38">
        <v>69878</v>
      </c>
      <c r="Y196" s="38">
        <v>72997</v>
      </c>
      <c r="Z196" s="38">
        <v>76100</v>
      </c>
      <c r="AA196" s="38">
        <v>79180</v>
      </c>
      <c r="AB196" s="38">
        <v>81461</v>
      </c>
      <c r="AC196" s="38">
        <v>83724</v>
      </c>
    </row>
    <row r="197" spans="1:29">
      <c r="A197" s="52">
        <v>74</v>
      </c>
      <c r="B197" s="38">
        <v>25369</v>
      </c>
      <c r="C197" s="38">
        <v>26393</v>
      </c>
      <c r="D197" s="38">
        <v>27417</v>
      </c>
      <c r="E197" s="38">
        <v>28441</v>
      </c>
      <c r="F197" s="38">
        <v>29465</v>
      </c>
      <c r="G197" s="38">
        <v>30485</v>
      </c>
      <c r="H197" s="38">
        <v>31322</v>
      </c>
      <c r="I197" s="38">
        <v>32158</v>
      </c>
      <c r="J197" s="38">
        <v>32992</v>
      </c>
      <c r="K197" s="38">
        <v>33824</v>
      </c>
      <c r="L197" s="38">
        <v>34656</v>
      </c>
      <c r="M197" s="38">
        <v>36374</v>
      </c>
      <c r="N197" s="38">
        <v>38089</v>
      </c>
      <c r="O197" s="38">
        <v>39799</v>
      </c>
      <c r="P197" s="38">
        <v>41503</v>
      </c>
      <c r="Q197" s="38">
        <v>43201</v>
      </c>
      <c r="R197" s="38">
        <v>46118</v>
      </c>
      <c r="S197" s="38">
        <v>49027</v>
      </c>
      <c r="T197" s="38">
        <v>51928</v>
      </c>
      <c r="U197" s="38">
        <v>54818</v>
      </c>
      <c r="V197" s="38">
        <v>57695</v>
      </c>
      <c r="W197" s="38">
        <v>60778</v>
      </c>
      <c r="X197" s="38">
        <v>63849</v>
      </c>
      <c r="Y197" s="38">
        <v>66905</v>
      </c>
      <c r="Z197" s="38">
        <v>69947</v>
      </c>
      <c r="AA197" s="38">
        <v>72967</v>
      </c>
      <c r="AB197" s="38">
        <v>75335</v>
      </c>
      <c r="AC197" s="38">
        <v>77687</v>
      </c>
    </row>
    <row r="198" spans="1:29">
      <c r="A198" s="54" t="s">
        <v>98</v>
      </c>
      <c r="B198" s="46">
        <v>0</v>
      </c>
      <c r="C198" s="46">
        <v>0</v>
      </c>
      <c r="D198" s="46">
        <v>0</v>
      </c>
      <c r="E198" s="46">
        <v>0</v>
      </c>
      <c r="F198" s="46">
        <v>0</v>
      </c>
      <c r="G198" s="46">
        <v>0</v>
      </c>
      <c r="H198" s="46">
        <v>0</v>
      </c>
      <c r="I198" s="46">
        <v>0</v>
      </c>
      <c r="J198" s="46">
        <v>0</v>
      </c>
      <c r="K198" s="46">
        <v>0</v>
      </c>
      <c r="L198" s="46">
        <v>0</v>
      </c>
      <c r="M198" s="46">
        <v>0</v>
      </c>
      <c r="N198" s="46">
        <v>0</v>
      </c>
      <c r="O198" s="46">
        <v>0</v>
      </c>
      <c r="P198" s="46">
        <v>0</v>
      </c>
      <c r="Q198" s="46">
        <v>0</v>
      </c>
      <c r="R198" s="46">
        <v>0</v>
      </c>
      <c r="S198" s="46">
        <v>0</v>
      </c>
      <c r="T198" s="46">
        <v>0</v>
      </c>
      <c r="U198" s="46">
        <v>0</v>
      </c>
      <c r="V198" s="46">
        <v>0</v>
      </c>
      <c r="W198" s="46">
        <v>0</v>
      </c>
      <c r="X198" s="46">
        <v>0</v>
      </c>
      <c r="Y198" s="46">
        <v>0</v>
      </c>
      <c r="Z198" s="46">
        <v>0</v>
      </c>
      <c r="AA198" s="46">
        <v>0</v>
      </c>
      <c r="AB198" s="46">
        <v>0</v>
      </c>
      <c r="AC198" s="46">
        <v>0</v>
      </c>
    </row>
    <row r="199" spans="1:29">
      <c r="A199" s="53">
        <v>75</v>
      </c>
      <c r="B199" s="38">
        <v>22707</v>
      </c>
      <c r="C199" s="38">
        <v>23823</v>
      </c>
      <c r="D199" s="38">
        <v>24935</v>
      </c>
      <c r="E199" s="38">
        <v>26049</v>
      </c>
      <c r="F199" s="38">
        <v>27162</v>
      </c>
      <c r="G199" s="38">
        <v>28273</v>
      </c>
      <c r="H199" s="38">
        <v>29079</v>
      </c>
      <c r="I199" s="38">
        <v>29884</v>
      </c>
      <c r="J199" s="38">
        <v>30691</v>
      </c>
      <c r="K199" s="38">
        <v>31493</v>
      </c>
      <c r="L199" s="38">
        <v>32295</v>
      </c>
      <c r="M199" s="38">
        <v>33706</v>
      </c>
      <c r="N199" s="38">
        <v>35115</v>
      </c>
      <c r="O199" s="38">
        <v>36518</v>
      </c>
      <c r="P199" s="38">
        <v>37916</v>
      </c>
      <c r="Q199" s="38">
        <v>39311</v>
      </c>
      <c r="R199" s="38">
        <v>41870</v>
      </c>
      <c r="S199" s="38">
        <v>44425</v>
      </c>
      <c r="T199" s="38">
        <v>46971</v>
      </c>
      <c r="U199" s="38">
        <v>49507</v>
      </c>
      <c r="V199" s="38">
        <v>52031</v>
      </c>
      <c r="W199" s="38">
        <v>55019</v>
      </c>
      <c r="X199" s="38">
        <v>57997</v>
      </c>
      <c r="Y199" s="38">
        <v>60964</v>
      </c>
      <c r="Z199" s="38">
        <v>63913</v>
      </c>
      <c r="AA199" s="38">
        <v>66846</v>
      </c>
      <c r="AB199" s="38">
        <v>69387</v>
      </c>
      <c r="AC199" s="38">
        <v>71912</v>
      </c>
    </row>
    <row r="200" spans="1:29">
      <c r="A200" s="52">
        <v>76</v>
      </c>
      <c r="B200" s="38">
        <v>20251</v>
      </c>
      <c r="C200" s="38">
        <v>21441</v>
      </c>
      <c r="D200" s="38">
        <v>22632</v>
      </c>
      <c r="E200" s="38">
        <v>23822</v>
      </c>
      <c r="F200" s="38">
        <v>25012</v>
      </c>
      <c r="G200" s="38">
        <v>26201</v>
      </c>
      <c r="H200" s="38">
        <v>26997</v>
      </c>
      <c r="I200" s="38">
        <v>27792</v>
      </c>
      <c r="J200" s="38">
        <v>28586</v>
      </c>
      <c r="K200" s="38">
        <v>29378</v>
      </c>
      <c r="L200" s="38">
        <v>30170</v>
      </c>
      <c r="M200" s="38">
        <v>31313</v>
      </c>
      <c r="N200" s="38">
        <v>32453</v>
      </c>
      <c r="O200" s="38">
        <v>33589</v>
      </c>
      <c r="P200" s="38">
        <v>34720</v>
      </c>
      <c r="Q200" s="38">
        <v>35847</v>
      </c>
      <c r="R200" s="38">
        <v>38073</v>
      </c>
      <c r="S200" s="38">
        <v>40292</v>
      </c>
      <c r="T200" s="38">
        <v>42504</v>
      </c>
      <c r="U200" s="38">
        <v>44708</v>
      </c>
      <c r="V200" s="38">
        <v>46900</v>
      </c>
      <c r="W200" s="38">
        <v>49796</v>
      </c>
      <c r="X200" s="38">
        <v>52682</v>
      </c>
      <c r="Y200" s="38">
        <v>55556</v>
      </c>
      <c r="Z200" s="38">
        <v>58419</v>
      </c>
      <c r="AA200" s="38">
        <v>61263</v>
      </c>
      <c r="AB200" s="38">
        <v>63940</v>
      </c>
      <c r="AC200" s="38">
        <v>66605</v>
      </c>
    </row>
    <row r="201" spans="1:29">
      <c r="A201" s="53">
        <v>77</v>
      </c>
      <c r="B201" s="38">
        <v>18123</v>
      </c>
      <c r="C201" s="38">
        <v>19362</v>
      </c>
      <c r="D201" s="38">
        <v>20601</v>
      </c>
      <c r="E201" s="38">
        <v>21840</v>
      </c>
      <c r="F201" s="38">
        <v>23079</v>
      </c>
      <c r="G201" s="38">
        <v>24317</v>
      </c>
      <c r="H201" s="38">
        <v>25106</v>
      </c>
      <c r="I201" s="38">
        <v>25895</v>
      </c>
      <c r="J201" s="38">
        <v>26682</v>
      </c>
      <c r="K201" s="38">
        <v>27467</v>
      </c>
      <c r="L201" s="38">
        <v>28252</v>
      </c>
      <c r="M201" s="38">
        <v>29179</v>
      </c>
      <c r="N201" s="38">
        <v>30103</v>
      </c>
      <c r="O201" s="38">
        <v>31023</v>
      </c>
      <c r="P201" s="38">
        <v>31939</v>
      </c>
      <c r="Q201" s="38">
        <v>32851</v>
      </c>
      <c r="R201" s="38">
        <v>34797</v>
      </c>
      <c r="S201" s="38">
        <v>36738</v>
      </c>
      <c r="T201" s="38">
        <v>38672</v>
      </c>
      <c r="U201" s="38">
        <v>40598</v>
      </c>
      <c r="V201" s="38">
        <v>42515</v>
      </c>
      <c r="W201" s="38">
        <v>45332</v>
      </c>
      <c r="X201" s="38">
        <v>48142</v>
      </c>
      <c r="Y201" s="38">
        <v>50940</v>
      </c>
      <c r="Z201" s="38">
        <v>53728</v>
      </c>
      <c r="AA201" s="38">
        <v>56498</v>
      </c>
      <c r="AB201" s="38">
        <v>59212</v>
      </c>
      <c r="AC201" s="38">
        <v>61914</v>
      </c>
    </row>
    <row r="202" spans="1:29">
      <c r="A202" s="53">
        <v>78</v>
      </c>
      <c r="B202" s="38">
        <v>16371</v>
      </c>
      <c r="C202" s="38">
        <v>17621</v>
      </c>
      <c r="D202" s="38">
        <v>18872</v>
      </c>
      <c r="E202" s="38">
        <v>20121</v>
      </c>
      <c r="F202" s="38">
        <v>21371</v>
      </c>
      <c r="G202" s="38">
        <v>22621</v>
      </c>
      <c r="H202" s="38">
        <v>23405</v>
      </c>
      <c r="I202" s="38">
        <v>24189</v>
      </c>
      <c r="J202" s="38">
        <v>24971</v>
      </c>
      <c r="K202" s="38">
        <v>25752</v>
      </c>
      <c r="L202" s="38">
        <v>26532</v>
      </c>
      <c r="M202" s="38">
        <v>27307</v>
      </c>
      <c r="N202" s="38">
        <v>28079</v>
      </c>
      <c r="O202" s="38">
        <v>28848</v>
      </c>
      <c r="P202" s="38">
        <v>29612</v>
      </c>
      <c r="Q202" s="38">
        <v>30373</v>
      </c>
      <c r="R202" s="38">
        <v>32109</v>
      </c>
      <c r="S202" s="38">
        <v>33839</v>
      </c>
      <c r="T202" s="38">
        <v>35563</v>
      </c>
      <c r="U202" s="38">
        <v>37280</v>
      </c>
      <c r="V202" s="38">
        <v>38988</v>
      </c>
      <c r="W202" s="38">
        <v>41739</v>
      </c>
      <c r="X202" s="38">
        <v>44482</v>
      </c>
      <c r="Y202" s="38">
        <v>47215</v>
      </c>
      <c r="Z202" s="38">
        <v>49938</v>
      </c>
      <c r="AA202" s="38">
        <v>52645</v>
      </c>
      <c r="AB202" s="38">
        <v>55290</v>
      </c>
      <c r="AC202" s="38">
        <v>57924</v>
      </c>
    </row>
    <row r="203" spans="1:29">
      <c r="A203" s="53">
        <v>79</v>
      </c>
      <c r="B203" s="38">
        <v>14970</v>
      </c>
      <c r="C203" s="38">
        <v>16189</v>
      </c>
      <c r="D203" s="38">
        <v>17408</v>
      </c>
      <c r="E203" s="38">
        <v>18626</v>
      </c>
      <c r="F203" s="38">
        <v>19845</v>
      </c>
      <c r="G203" s="38">
        <v>21063</v>
      </c>
      <c r="H203" s="38">
        <v>21856</v>
      </c>
      <c r="I203" s="38">
        <v>22648</v>
      </c>
      <c r="J203" s="38">
        <v>23439</v>
      </c>
      <c r="K203" s="38">
        <v>24229</v>
      </c>
      <c r="L203" s="38">
        <v>25017</v>
      </c>
      <c r="M203" s="38">
        <v>25716</v>
      </c>
      <c r="N203" s="38">
        <v>26412</v>
      </c>
      <c r="O203" s="38">
        <v>27105</v>
      </c>
      <c r="P203" s="38">
        <v>27794</v>
      </c>
      <c r="Q203" s="38">
        <v>28479</v>
      </c>
      <c r="R203" s="38">
        <v>30064</v>
      </c>
      <c r="S203" s="38">
        <v>31643</v>
      </c>
      <c r="T203" s="38">
        <v>33217</v>
      </c>
      <c r="U203" s="38">
        <v>34784</v>
      </c>
      <c r="V203" s="38">
        <v>36342</v>
      </c>
      <c r="W203" s="38">
        <v>39016</v>
      </c>
      <c r="X203" s="38">
        <v>41683</v>
      </c>
      <c r="Y203" s="38">
        <v>44340</v>
      </c>
      <c r="Z203" s="38">
        <v>46988</v>
      </c>
      <c r="AA203" s="38">
        <v>49621</v>
      </c>
      <c r="AB203" s="38">
        <v>52144</v>
      </c>
      <c r="AC203" s="38">
        <v>54655</v>
      </c>
    </row>
    <row r="204" spans="1:29">
      <c r="A204" s="55" t="s">
        <v>99</v>
      </c>
      <c r="B204" s="38">
        <v>62085</v>
      </c>
      <c r="C204" s="38">
        <v>66057</v>
      </c>
      <c r="D204" s="38">
        <v>70028</v>
      </c>
      <c r="E204" s="38">
        <v>73997</v>
      </c>
      <c r="F204" s="38">
        <v>77967</v>
      </c>
      <c r="G204" s="38">
        <v>81927</v>
      </c>
      <c r="H204" s="38">
        <v>87671</v>
      </c>
      <c r="I204" s="38">
        <v>93414</v>
      </c>
      <c r="J204" s="38">
        <v>99153</v>
      </c>
      <c r="K204" s="38">
        <v>104885</v>
      </c>
      <c r="L204" s="38">
        <v>110608</v>
      </c>
      <c r="M204" s="38">
        <v>116383</v>
      </c>
      <c r="N204" s="38">
        <v>122146</v>
      </c>
      <c r="O204" s="38">
        <v>127895</v>
      </c>
      <c r="P204" s="38">
        <v>133624</v>
      </c>
      <c r="Q204" s="38">
        <v>139336</v>
      </c>
      <c r="R204" s="38">
        <v>145816</v>
      </c>
      <c r="S204" s="38">
        <v>152272</v>
      </c>
      <c r="T204" s="38">
        <v>158699</v>
      </c>
      <c r="U204" s="38">
        <v>165095</v>
      </c>
      <c r="V204" s="38">
        <v>171449</v>
      </c>
      <c r="W204" s="38">
        <v>181332</v>
      </c>
      <c r="X204" s="38">
        <v>191181</v>
      </c>
      <c r="Y204" s="38">
        <v>200987</v>
      </c>
      <c r="Z204" s="38">
        <v>210748</v>
      </c>
      <c r="AA204" s="38">
        <v>220446</v>
      </c>
      <c r="AB204" s="38">
        <v>234814</v>
      </c>
      <c r="AC204" s="38">
        <v>249135</v>
      </c>
    </row>
    <row r="206" spans="1:29">
      <c r="A206" s="46" t="s">
        <v>102</v>
      </c>
      <c r="B206" s="46">
        <v>12080943</v>
      </c>
      <c r="C206" s="46">
        <v>12311377</v>
      </c>
      <c r="D206" s="46">
        <v>12541635</v>
      </c>
      <c r="E206" s="46">
        <v>12771551</v>
      </c>
      <c r="F206" s="46">
        <v>13001547</v>
      </c>
      <c r="G206" s="46">
        <v>13229691</v>
      </c>
      <c r="H206" s="46">
        <v>13460238</v>
      </c>
      <c r="I206" s="46">
        <v>13690447</v>
      </c>
      <c r="J206" s="46">
        <v>13920169</v>
      </c>
      <c r="K206" s="46">
        <v>14148781</v>
      </c>
      <c r="L206" s="46">
        <v>14377558</v>
      </c>
      <c r="M206" s="46">
        <v>14604334</v>
      </c>
      <c r="N206" s="46">
        <v>14829481</v>
      </c>
      <c r="O206" s="46">
        <v>15052819</v>
      </c>
      <c r="P206" s="46">
        <v>15273855</v>
      </c>
      <c r="Q206" s="46">
        <v>15493362</v>
      </c>
      <c r="R206" s="46">
        <v>15710146</v>
      </c>
      <c r="S206" s="46">
        <v>15924060</v>
      </c>
      <c r="T206" s="46">
        <v>16134909</v>
      </c>
      <c r="U206" s="46">
        <v>16342591</v>
      </c>
      <c r="V206" s="46">
        <v>16546658</v>
      </c>
      <c r="W206" s="46">
        <v>16748346</v>
      </c>
      <c r="X206" s="46">
        <v>16946323</v>
      </c>
      <c r="Y206" s="46">
        <v>17140404</v>
      </c>
      <c r="Z206" s="46">
        <v>17330750</v>
      </c>
      <c r="AA206" s="46">
        <v>17516146</v>
      </c>
      <c r="AB206" s="46">
        <v>17699140</v>
      </c>
      <c r="AC206" s="46">
        <v>17877920</v>
      </c>
    </row>
    <row r="208" spans="1:29">
      <c r="A208" s="51" t="s">
        <v>83</v>
      </c>
      <c r="B208" s="46">
        <v>0</v>
      </c>
      <c r="C208" s="46">
        <v>0</v>
      </c>
      <c r="D208" s="46">
        <v>0</v>
      </c>
      <c r="E208" s="46">
        <v>0</v>
      </c>
      <c r="F208" s="46">
        <v>0</v>
      </c>
      <c r="G208" s="46">
        <v>0</v>
      </c>
      <c r="H208" s="46">
        <v>0</v>
      </c>
      <c r="I208" s="46">
        <v>0</v>
      </c>
      <c r="J208" s="46">
        <v>0</v>
      </c>
      <c r="K208" s="46">
        <v>0</v>
      </c>
      <c r="L208" s="46">
        <v>0</v>
      </c>
      <c r="M208" s="46">
        <v>0</v>
      </c>
      <c r="N208" s="46">
        <v>0</v>
      </c>
      <c r="O208" s="46">
        <v>0</v>
      </c>
      <c r="P208" s="46">
        <v>0</v>
      </c>
      <c r="Q208" s="46">
        <v>0</v>
      </c>
      <c r="R208" s="46">
        <v>0</v>
      </c>
      <c r="S208" s="46">
        <v>0</v>
      </c>
      <c r="T208" s="46">
        <v>0</v>
      </c>
      <c r="U208" s="46">
        <v>0</v>
      </c>
      <c r="V208" s="46">
        <v>0</v>
      </c>
      <c r="W208" s="46">
        <v>0</v>
      </c>
      <c r="X208" s="46">
        <v>0</v>
      </c>
      <c r="Y208" s="46">
        <v>0</v>
      </c>
      <c r="Z208" s="46">
        <v>0</v>
      </c>
      <c r="AA208" s="46">
        <v>0</v>
      </c>
      <c r="AB208" s="46">
        <v>0</v>
      </c>
      <c r="AC208" s="46">
        <v>0</v>
      </c>
    </row>
    <row r="209" spans="1:29">
      <c r="A209" s="52">
        <v>0</v>
      </c>
      <c r="B209" s="38">
        <v>270471</v>
      </c>
      <c r="C209" s="38">
        <v>273691</v>
      </c>
      <c r="D209" s="38">
        <v>276910</v>
      </c>
      <c r="E209" s="38">
        <v>280118</v>
      </c>
      <c r="F209" s="38">
        <v>283328</v>
      </c>
      <c r="G209" s="38">
        <v>286500</v>
      </c>
      <c r="H209" s="38">
        <v>286867</v>
      </c>
      <c r="I209" s="38">
        <v>287226</v>
      </c>
      <c r="J209" s="38">
        <v>287575</v>
      </c>
      <c r="K209" s="38">
        <v>287902</v>
      </c>
      <c r="L209" s="38">
        <v>288232</v>
      </c>
      <c r="M209" s="38">
        <v>287463</v>
      </c>
      <c r="N209" s="38">
        <v>286663</v>
      </c>
      <c r="O209" s="38">
        <v>285825</v>
      </c>
      <c r="P209" s="38">
        <v>284944</v>
      </c>
      <c r="Q209" s="38">
        <v>284034</v>
      </c>
      <c r="R209" s="38">
        <v>283049</v>
      </c>
      <c r="S209" s="38">
        <v>282009</v>
      </c>
      <c r="T209" s="38">
        <v>280912</v>
      </c>
      <c r="U209" s="38">
        <v>279761</v>
      </c>
      <c r="V209" s="38">
        <v>278553</v>
      </c>
      <c r="W209" s="38">
        <v>277697</v>
      </c>
      <c r="X209" s="38">
        <v>276776</v>
      </c>
      <c r="Y209" s="38">
        <v>275792</v>
      </c>
      <c r="Z209" s="38">
        <v>274749</v>
      </c>
      <c r="AA209" s="38">
        <v>273628</v>
      </c>
      <c r="AB209" s="38">
        <v>272681</v>
      </c>
      <c r="AC209" s="38">
        <v>271668</v>
      </c>
    </row>
    <row r="210" spans="1:29">
      <c r="A210" s="52">
        <v>1</v>
      </c>
      <c r="B210" s="38">
        <v>271457</v>
      </c>
      <c r="C210" s="38">
        <v>273361</v>
      </c>
      <c r="D210" s="38">
        <v>275263</v>
      </c>
      <c r="E210" s="38">
        <v>277156</v>
      </c>
      <c r="F210" s="38">
        <v>279051</v>
      </c>
      <c r="G210" s="38">
        <v>280907</v>
      </c>
      <c r="H210" s="38">
        <v>281958</v>
      </c>
      <c r="I210" s="38">
        <v>283002</v>
      </c>
      <c r="J210" s="38">
        <v>284037</v>
      </c>
      <c r="K210" s="38">
        <v>285048</v>
      </c>
      <c r="L210" s="38">
        <v>286064</v>
      </c>
      <c r="M210" s="38">
        <v>285935</v>
      </c>
      <c r="N210" s="38">
        <v>285773</v>
      </c>
      <c r="O210" s="38">
        <v>285576</v>
      </c>
      <c r="P210" s="38">
        <v>285334</v>
      </c>
      <c r="Q210" s="38">
        <v>285066</v>
      </c>
      <c r="R210" s="38">
        <v>284207</v>
      </c>
      <c r="S210" s="38">
        <v>283293</v>
      </c>
      <c r="T210" s="38">
        <v>282323</v>
      </c>
      <c r="U210" s="38">
        <v>281299</v>
      </c>
      <c r="V210" s="38">
        <v>280214</v>
      </c>
      <c r="W210" s="38">
        <v>279202</v>
      </c>
      <c r="X210" s="38">
        <v>278124</v>
      </c>
      <c r="Y210" s="38">
        <v>276980</v>
      </c>
      <c r="Z210" s="38">
        <v>275778</v>
      </c>
      <c r="AA210" s="38">
        <v>274500</v>
      </c>
      <c r="AB210" s="38">
        <v>273469</v>
      </c>
      <c r="AC210" s="38">
        <v>272371</v>
      </c>
    </row>
    <row r="211" spans="1:29">
      <c r="A211" s="52">
        <v>2</v>
      </c>
      <c r="B211" s="38">
        <v>271287</v>
      </c>
      <c r="C211" s="38">
        <v>272390</v>
      </c>
      <c r="D211" s="38">
        <v>273489</v>
      </c>
      <c r="E211" s="38">
        <v>274581</v>
      </c>
      <c r="F211" s="38">
        <v>275673</v>
      </c>
      <c r="G211" s="38">
        <v>276727</v>
      </c>
      <c r="H211" s="38">
        <v>278236</v>
      </c>
      <c r="I211" s="38">
        <v>279738</v>
      </c>
      <c r="J211" s="38">
        <v>281229</v>
      </c>
      <c r="K211" s="38">
        <v>282698</v>
      </c>
      <c r="L211" s="38">
        <v>284172</v>
      </c>
      <c r="M211" s="38">
        <v>284526</v>
      </c>
      <c r="N211" s="38">
        <v>284848</v>
      </c>
      <c r="O211" s="38">
        <v>285133</v>
      </c>
      <c r="P211" s="38">
        <v>285377</v>
      </c>
      <c r="Q211" s="38">
        <v>285592</v>
      </c>
      <c r="R211" s="38">
        <v>284875</v>
      </c>
      <c r="S211" s="38">
        <v>284104</v>
      </c>
      <c r="T211" s="38">
        <v>283277</v>
      </c>
      <c r="U211" s="38">
        <v>282396</v>
      </c>
      <c r="V211" s="38">
        <v>281455</v>
      </c>
      <c r="W211" s="38">
        <v>280366</v>
      </c>
      <c r="X211" s="38">
        <v>279212</v>
      </c>
      <c r="Y211" s="38">
        <v>277993</v>
      </c>
      <c r="Z211" s="38">
        <v>276714</v>
      </c>
      <c r="AA211" s="38">
        <v>275360</v>
      </c>
      <c r="AB211" s="38">
        <v>274284</v>
      </c>
      <c r="AC211" s="38">
        <v>273141</v>
      </c>
    </row>
    <row r="212" spans="1:29">
      <c r="A212" s="52">
        <v>3</v>
      </c>
      <c r="B212" s="38">
        <v>270324</v>
      </c>
      <c r="C212" s="38">
        <v>271019</v>
      </c>
      <c r="D212" s="38">
        <v>271709</v>
      </c>
      <c r="E212" s="38">
        <v>272390</v>
      </c>
      <c r="F212" s="38">
        <v>273075</v>
      </c>
      <c r="G212" s="38">
        <v>273720</v>
      </c>
      <c r="H212" s="38">
        <v>275492</v>
      </c>
      <c r="I212" s="38">
        <v>277257</v>
      </c>
      <c r="J212" s="38">
        <v>279011</v>
      </c>
      <c r="K212" s="38">
        <v>280744</v>
      </c>
      <c r="L212" s="38">
        <v>282482</v>
      </c>
      <c r="M212" s="38">
        <v>283191</v>
      </c>
      <c r="N212" s="38">
        <v>283866</v>
      </c>
      <c r="O212" s="38">
        <v>284506</v>
      </c>
      <c r="P212" s="38">
        <v>285104</v>
      </c>
      <c r="Q212" s="38">
        <v>285672</v>
      </c>
      <c r="R212" s="38">
        <v>285118</v>
      </c>
      <c r="S212" s="38">
        <v>284507</v>
      </c>
      <c r="T212" s="38">
        <v>283842</v>
      </c>
      <c r="U212" s="38">
        <v>283122</v>
      </c>
      <c r="V212" s="38">
        <v>282341</v>
      </c>
      <c r="W212" s="38">
        <v>281246</v>
      </c>
      <c r="X212" s="38">
        <v>280087</v>
      </c>
      <c r="Y212" s="38">
        <v>278862</v>
      </c>
      <c r="Z212" s="38">
        <v>277577</v>
      </c>
      <c r="AA212" s="38">
        <v>276217</v>
      </c>
      <c r="AB212" s="38">
        <v>275127</v>
      </c>
      <c r="AC212" s="38">
        <v>273969</v>
      </c>
    </row>
    <row r="213" spans="1:29">
      <c r="A213" s="52">
        <v>4</v>
      </c>
      <c r="B213" s="38">
        <v>268930</v>
      </c>
      <c r="C213" s="38">
        <v>269486</v>
      </c>
      <c r="D213" s="38">
        <v>270040</v>
      </c>
      <c r="E213" s="38">
        <v>270585</v>
      </c>
      <c r="F213" s="38">
        <v>271131</v>
      </c>
      <c r="G213" s="38">
        <v>271640</v>
      </c>
      <c r="H213" s="38">
        <v>273514</v>
      </c>
      <c r="I213" s="38">
        <v>275383</v>
      </c>
      <c r="J213" s="38">
        <v>277242</v>
      </c>
      <c r="K213" s="38">
        <v>279077</v>
      </c>
      <c r="L213" s="38">
        <v>280920</v>
      </c>
      <c r="M213" s="38">
        <v>281881</v>
      </c>
      <c r="N213" s="38">
        <v>282809</v>
      </c>
      <c r="O213" s="38">
        <v>283703</v>
      </c>
      <c r="P213" s="38">
        <v>284553</v>
      </c>
      <c r="Q213" s="38">
        <v>285375</v>
      </c>
      <c r="R213" s="38">
        <v>285000</v>
      </c>
      <c r="S213" s="38">
        <v>284569</v>
      </c>
      <c r="T213" s="38">
        <v>284083</v>
      </c>
      <c r="U213" s="38">
        <v>283543</v>
      </c>
      <c r="V213" s="38">
        <v>282939</v>
      </c>
      <c r="W213" s="38">
        <v>281898</v>
      </c>
      <c r="X213" s="38">
        <v>280792</v>
      </c>
      <c r="Y213" s="38">
        <v>279619</v>
      </c>
      <c r="Z213" s="38">
        <v>278386</v>
      </c>
      <c r="AA213" s="38">
        <v>277076</v>
      </c>
      <c r="AB213" s="38">
        <v>276000</v>
      </c>
      <c r="AC213" s="38">
        <v>274851</v>
      </c>
    </row>
    <row r="214" spans="1:29">
      <c r="A214" s="51" t="s">
        <v>84</v>
      </c>
      <c r="B214" s="46">
        <v>0</v>
      </c>
      <c r="C214" s="46">
        <v>0</v>
      </c>
      <c r="D214" s="46">
        <v>0</v>
      </c>
      <c r="E214" s="46">
        <v>0</v>
      </c>
      <c r="F214" s="46">
        <v>0</v>
      </c>
      <c r="G214" s="46">
        <v>0</v>
      </c>
      <c r="H214" s="46">
        <v>0</v>
      </c>
      <c r="I214" s="46">
        <v>0</v>
      </c>
      <c r="J214" s="46">
        <v>0</v>
      </c>
      <c r="K214" s="46">
        <v>0</v>
      </c>
      <c r="L214" s="46">
        <v>0</v>
      </c>
      <c r="M214" s="46">
        <v>0</v>
      </c>
      <c r="N214" s="46">
        <v>0</v>
      </c>
      <c r="O214" s="46">
        <v>0</v>
      </c>
      <c r="P214" s="46">
        <v>0</v>
      </c>
      <c r="Q214" s="46">
        <v>0</v>
      </c>
      <c r="R214" s="46">
        <v>0</v>
      </c>
      <c r="S214" s="46">
        <v>0</v>
      </c>
      <c r="T214" s="46">
        <v>0</v>
      </c>
      <c r="U214" s="46">
        <v>0</v>
      </c>
      <c r="V214" s="46">
        <v>0</v>
      </c>
      <c r="W214" s="46">
        <v>0</v>
      </c>
      <c r="X214" s="46">
        <v>0</v>
      </c>
      <c r="Y214" s="46">
        <v>0</v>
      </c>
      <c r="Z214" s="46">
        <v>0</v>
      </c>
      <c r="AA214" s="46">
        <v>0</v>
      </c>
      <c r="AB214" s="46">
        <v>0</v>
      </c>
      <c r="AC214" s="46">
        <v>0</v>
      </c>
    </row>
    <row r="215" spans="1:29">
      <c r="A215" s="52">
        <v>5</v>
      </c>
      <c r="B215" s="38">
        <v>267485</v>
      </c>
      <c r="C215" s="38">
        <v>268050</v>
      </c>
      <c r="D215" s="38">
        <v>268612</v>
      </c>
      <c r="E215" s="38">
        <v>269165</v>
      </c>
      <c r="F215" s="38">
        <v>269719</v>
      </c>
      <c r="G215" s="38">
        <v>270236</v>
      </c>
      <c r="H215" s="38">
        <v>272088</v>
      </c>
      <c r="I215" s="38">
        <v>273934</v>
      </c>
      <c r="J215" s="38">
        <v>275770</v>
      </c>
      <c r="K215" s="38">
        <v>277583</v>
      </c>
      <c r="L215" s="38">
        <v>279403</v>
      </c>
      <c r="M215" s="38">
        <v>280545</v>
      </c>
      <c r="N215" s="38">
        <v>281655</v>
      </c>
      <c r="O215" s="38">
        <v>282729</v>
      </c>
      <c r="P215" s="38">
        <v>283761</v>
      </c>
      <c r="Q215" s="38">
        <v>284766</v>
      </c>
      <c r="R215" s="38">
        <v>284589</v>
      </c>
      <c r="S215" s="38">
        <v>284358</v>
      </c>
      <c r="T215" s="38">
        <v>284071</v>
      </c>
      <c r="U215" s="38">
        <v>283730</v>
      </c>
      <c r="V215" s="38">
        <v>283325</v>
      </c>
      <c r="W215" s="38">
        <v>282380</v>
      </c>
      <c r="X215" s="38">
        <v>281372</v>
      </c>
      <c r="Y215" s="38">
        <v>280297</v>
      </c>
      <c r="Z215" s="38">
        <v>279162</v>
      </c>
      <c r="AA215" s="38">
        <v>277950</v>
      </c>
      <c r="AB215" s="38">
        <v>276897</v>
      </c>
      <c r="AC215" s="38">
        <v>275775</v>
      </c>
    </row>
    <row r="216" spans="1:29">
      <c r="A216" s="52">
        <v>6</v>
      </c>
      <c r="B216" s="38">
        <v>266352</v>
      </c>
      <c r="C216" s="38">
        <v>266949</v>
      </c>
      <c r="D216" s="38">
        <v>267542</v>
      </c>
      <c r="E216" s="38">
        <v>268127</v>
      </c>
      <c r="F216" s="38">
        <v>268715</v>
      </c>
      <c r="G216" s="38">
        <v>269263</v>
      </c>
      <c r="H216" s="38">
        <v>271001</v>
      </c>
      <c r="I216" s="38">
        <v>272731</v>
      </c>
      <c r="J216" s="38">
        <v>274453</v>
      </c>
      <c r="K216" s="38">
        <v>276152</v>
      </c>
      <c r="L216" s="38">
        <v>277858</v>
      </c>
      <c r="M216" s="38">
        <v>279137</v>
      </c>
      <c r="N216" s="38">
        <v>280384</v>
      </c>
      <c r="O216" s="38">
        <v>281596</v>
      </c>
      <c r="P216" s="38">
        <v>282766</v>
      </c>
      <c r="Q216" s="38">
        <v>283909</v>
      </c>
      <c r="R216" s="38">
        <v>283951</v>
      </c>
      <c r="S216" s="38">
        <v>283938</v>
      </c>
      <c r="T216" s="38">
        <v>283870</v>
      </c>
      <c r="U216" s="38">
        <v>283748</v>
      </c>
      <c r="V216" s="38">
        <v>283563</v>
      </c>
      <c r="W216" s="38">
        <v>282750</v>
      </c>
      <c r="X216" s="38">
        <v>281873</v>
      </c>
      <c r="Y216" s="38">
        <v>280928</v>
      </c>
      <c r="Z216" s="38">
        <v>279924</v>
      </c>
      <c r="AA216" s="38">
        <v>278844</v>
      </c>
      <c r="AB216" s="38">
        <v>277825</v>
      </c>
      <c r="AC216" s="38">
        <v>276738</v>
      </c>
    </row>
    <row r="217" spans="1:29">
      <c r="A217" s="52">
        <v>7</v>
      </c>
      <c r="B217" s="38">
        <v>265825</v>
      </c>
      <c r="C217" s="38">
        <v>266377</v>
      </c>
      <c r="D217" s="38">
        <v>266922</v>
      </c>
      <c r="E217" s="38">
        <v>267461</v>
      </c>
      <c r="F217" s="38">
        <v>268002</v>
      </c>
      <c r="G217" s="38">
        <v>268503</v>
      </c>
      <c r="H217" s="38">
        <v>270066</v>
      </c>
      <c r="I217" s="38">
        <v>271622</v>
      </c>
      <c r="J217" s="38">
        <v>273167</v>
      </c>
      <c r="K217" s="38">
        <v>274692</v>
      </c>
      <c r="L217" s="38">
        <v>276222</v>
      </c>
      <c r="M217" s="38">
        <v>277619</v>
      </c>
      <c r="N217" s="38">
        <v>278983</v>
      </c>
      <c r="O217" s="38">
        <v>280313</v>
      </c>
      <c r="P217" s="38">
        <v>281601</v>
      </c>
      <c r="Q217" s="38">
        <v>282862</v>
      </c>
      <c r="R217" s="38">
        <v>283143</v>
      </c>
      <c r="S217" s="38">
        <v>283369</v>
      </c>
      <c r="T217" s="38">
        <v>283540</v>
      </c>
      <c r="U217" s="38">
        <v>283658</v>
      </c>
      <c r="V217" s="38">
        <v>283712</v>
      </c>
      <c r="W217" s="38">
        <v>283052</v>
      </c>
      <c r="X217" s="38">
        <v>282329</v>
      </c>
      <c r="Y217" s="38">
        <v>281537</v>
      </c>
      <c r="Z217" s="38">
        <v>280687</v>
      </c>
      <c r="AA217" s="38">
        <v>279758</v>
      </c>
      <c r="AB217" s="38">
        <v>278779</v>
      </c>
      <c r="AC217" s="38">
        <v>277729</v>
      </c>
    </row>
    <row r="218" spans="1:29">
      <c r="A218" s="52">
        <v>8</v>
      </c>
      <c r="B218" s="38">
        <v>266092</v>
      </c>
      <c r="C218" s="38">
        <v>266444</v>
      </c>
      <c r="D218" s="38">
        <v>266791</v>
      </c>
      <c r="E218" s="38">
        <v>267132</v>
      </c>
      <c r="F218" s="38">
        <v>267473</v>
      </c>
      <c r="G218" s="38">
        <v>267776</v>
      </c>
      <c r="H218" s="38">
        <v>269132</v>
      </c>
      <c r="I218" s="38">
        <v>270479</v>
      </c>
      <c r="J218" s="38">
        <v>271817</v>
      </c>
      <c r="K218" s="38">
        <v>273133</v>
      </c>
      <c r="L218" s="38">
        <v>274456</v>
      </c>
      <c r="M218" s="38">
        <v>275969</v>
      </c>
      <c r="N218" s="38">
        <v>277450</v>
      </c>
      <c r="O218" s="38">
        <v>278897</v>
      </c>
      <c r="P218" s="38">
        <v>280302</v>
      </c>
      <c r="Q218" s="38">
        <v>281680</v>
      </c>
      <c r="R218" s="38">
        <v>282216</v>
      </c>
      <c r="S218" s="38">
        <v>282699</v>
      </c>
      <c r="T218" s="38">
        <v>283127</v>
      </c>
      <c r="U218" s="38">
        <v>283501</v>
      </c>
      <c r="V218" s="38">
        <v>283813</v>
      </c>
      <c r="W218" s="38">
        <v>283319</v>
      </c>
      <c r="X218" s="38">
        <v>282762</v>
      </c>
      <c r="Y218" s="38">
        <v>282138</v>
      </c>
      <c r="Z218" s="38">
        <v>281453</v>
      </c>
      <c r="AA218" s="38">
        <v>280691</v>
      </c>
      <c r="AB218" s="38">
        <v>279749</v>
      </c>
      <c r="AC218" s="38">
        <v>278736</v>
      </c>
    </row>
    <row r="219" spans="1:29">
      <c r="A219" s="52">
        <v>9</v>
      </c>
      <c r="B219" s="38">
        <v>267007</v>
      </c>
      <c r="C219" s="38">
        <v>267024</v>
      </c>
      <c r="D219" s="38">
        <v>267037</v>
      </c>
      <c r="E219" s="38">
        <v>267043</v>
      </c>
      <c r="F219" s="38">
        <v>267050</v>
      </c>
      <c r="G219" s="38">
        <v>267019</v>
      </c>
      <c r="H219" s="38">
        <v>268153</v>
      </c>
      <c r="I219" s="38">
        <v>269279</v>
      </c>
      <c r="J219" s="38">
        <v>270396</v>
      </c>
      <c r="K219" s="38">
        <v>271492</v>
      </c>
      <c r="L219" s="38">
        <v>272592</v>
      </c>
      <c r="M219" s="38">
        <v>274220</v>
      </c>
      <c r="N219" s="38">
        <v>275816</v>
      </c>
      <c r="O219" s="38">
        <v>277379</v>
      </c>
      <c r="P219" s="38">
        <v>278899</v>
      </c>
      <c r="Q219" s="38">
        <v>280392</v>
      </c>
      <c r="R219" s="38">
        <v>281194</v>
      </c>
      <c r="S219" s="38">
        <v>281944</v>
      </c>
      <c r="T219" s="38">
        <v>282638</v>
      </c>
      <c r="U219" s="38">
        <v>283278</v>
      </c>
      <c r="V219" s="38">
        <v>283855</v>
      </c>
      <c r="W219" s="38">
        <v>283538</v>
      </c>
      <c r="X219" s="38">
        <v>283155</v>
      </c>
      <c r="Y219" s="38">
        <v>282708</v>
      </c>
      <c r="Z219" s="38">
        <v>282199</v>
      </c>
      <c r="AA219" s="38">
        <v>281611</v>
      </c>
      <c r="AB219" s="38">
        <v>280706</v>
      </c>
      <c r="AC219" s="38">
        <v>279733</v>
      </c>
    </row>
    <row r="220" spans="1:29">
      <c r="A220" s="51" t="s">
        <v>85</v>
      </c>
      <c r="B220" s="46">
        <v>0</v>
      </c>
      <c r="C220" s="46">
        <v>0</v>
      </c>
      <c r="D220" s="46">
        <v>0</v>
      </c>
      <c r="E220" s="46">
        <v>0</v>
      </c>
      <c r="F220" s="46">
        <v>0</v>
      </c>
      <c r="G220" s="46">
        <v>0</v>
      </c>
      <c r="H220" s="46">
        <v>0</v>
      </c>
      <c r="I220" s="46">
        <v>0</v>
      </c>
      <c r="J220" s="46">
        <v>0</v>
      </c>
      <c r="K220" s="46">
        <v>0</v>
      </c>
      <c r="L220" s="46">
        <v>0</v>
      </c>
      <c r="M220" s="46">
        <v>0</v>
      </c>
      <c r="N220" s="46">
        <v>0</v>
      </c>
      <c r="O220" s="46">
        <v>0</v>
      </c>
      <c r="P220" s="46">
        <v>0</v>
      </c>
      <c r="Q220" s="46">
        <v>0</v>
      </c>
      <c r="R220" s="46">
        <v>0</v>
      </c>
      <c r="S220" s="46">
        <v>0</v>
      </c>
      <c r="T220" s="46">
        <v>0</v>
      </c>
      <c r="U220" s="46">
        <v>0</v>
      </c>
      <c r="V220" s="46">
        <v>0</v>
      </c>
      <c r="W220" s="46">
        <v>0</v>
      </c>
      <c r="X220" s="46">
        <v>0</v>
      </c>
      <c r="Y220" s="46">
        <v>0</v>
      </c>
      <c r="Z220" s="46">
        <v>0</v>
      </c>
      <c r="AA220" s="46">
        <v>0</v>
      </c>
      <c r="AB220" s="46">
        <v>0</v>
      </c>
      <c r="AC220" s="46">
        <v>0</v>
      </c>
    </row>
    <row r="221" spans="1:29">
      <c r="A221" s="52">
        <v>10</v>
      </c>
      <c r="B221" s="38">
        <v>268081</v>
      </c>
      <c r="C221" s="38">
        <v>267739</v>
      </c>
      <c r="D221" s="38">
        <v>267391</v>
      </c>
      <c r="E221" s="38">
        <v>267039</v>
      </c>
      <c r="F221" s="38">
        <v>266687</v>
      </c>
      <c r="G221" s="38">
        <v>266297</v>
      </c>
      <c r="H221" s="38">
        <v>267204</v>
      </c>
      <c r="I221" s="38">
        <v>268103</v>
      </c>
      <c r="J221" s="38">
        <v>268992</v>
      </c>
      <c r="K221" s="38">
        <v>269860</v>
      </c>
      <c r="L221" s="38">
        <v>270732</v>
      </c>
      <c r="M221" s="38">
        <v>272456</v>
      </c>
      <c r="N221" s="38">
        <v>274146</v>
      </c>
      <c r="O221" s="38">
        <v>275803</v>
      </c>
      <c r="P221" s="38">
        <v>277419</v>
      </c>
      <c r="Q221" s="38">
        <v>279006</v>
      </c>
      <c r="R221" s="38">
        <v>280068</v>
      </c>
      <c r="S221" s="38">
        <v>281081</v>
      </c>
      <c r="T221" s="38">
        <v>282035</v>
      </c>
      <c r="U221" s="38">
        <v>282938</v>
      </c>
      <c r="V221" s="38">
        <v>283777</v>
      </c>
      <c r="W221" s="38">
        <v>283646</v>
      </c>
      <c r="X221" s="38">
        <v>283449</v>
      </c>
      <c r="Y221" s="38">
        <v>283187</v>
      </c>
      <c r="Z221" s="38">
        <v>282863</v>
      </c>
      <c r="AA221" s="38">
        <v>282461</v>
      </c>
      <c r="AB221" s="38">
        <v>281605</v>
      </c>
      <c r="AC221" s="38">
        <v>280680</v>
      </c>
    </row>
    <row r="222" spans="1:29">
      <c r="A222" s="52">
        <v>11</v>
      </c>
      <c r="B222" s="38">
        <v>268513</v>
      </c>
      <c r="C222" s="38">
        <v>267983</v>
      </c>
      <c r="D222" s="38">
        <v>267448</v>
      </c>
      <c r="E222" s="38">
        <v>266904</v>
      </c>
      <c r="F222" s="38">
        <v>266363</v>
      </c>
      <c r="G222" s="38">
        <v>265783</v>
      </c>
      <c r="H222" s="38">
        <v>266456</v>
      </c>
      <c r="I222" s="38">
        <v>267122</v>
      </c>
      <c r="J222" s="38">
        <v>267777</v>
      </c>
      <c r="K222" s="38">
        <v>268412</v>
      </c>
      <c r="L222" s="38">
        <v>269051</v>
      </c>
      <c r="M222" s="38">
        <v>270810</v>
      </c>
      <c r="N222" s="38">
        <v>272538</v>
      </c>
      <c r="O222" s="38">
        <v>274231</v>
      </c>
      <c r="P222" s="38">
        <v>275884</v>
      </c>
      <c r="Q222" s="38">
        <v>277507</v>
      </c>
      <c r="R222" s="38">
        <v>278809</v>
      </c>
      <c r="S222" s="38">
        <v>280057</v>
      </c>
      <c r="T222" s="38">
        <v>281251</v>
      </c>
      <c r="U222" s="38">
        <v>282390</v>
      </c>
      <c r="V222" s="38">
        <v>283468</v>
      </c>
      <c r="W222" s="38">
        <v>283539</v>
      </c>
      <c r="X222" s="38">
        <v>283548</v>
      </c>
      <c r="Y222" s="38">
        <v>283485</v>
      </c>
      <c r="Z222" s="38">
        <v>283365</v>
      </c>
      <c r="AA222" s="38">
        <v>283166</v>
      </c>
      <c r="AB222" s="38">
        <v>282380</v>
      </c>
      <c r="AC222" s="38">
        <v>281525</v>
      </c>
    </row>
    <row r="223" spans="1:29">
      <c r="A223" s="52">
        <v>12</v>
      </c>
      <c r="B223" s="38">
        <v>267375</v>
      </c>
      <c r="C223" s="38">
        <v>267055</v>
      </c>
      <c r="D223" s="38">
        <v>266732</v>
      </c>
      <c r="E223" s="38">
        <v>266400</v>
      </c>
      <c r="F223" s="38">
        <v>266070</v>
      </c>
      <c r="G223" s="38">
        <v>265702</v>
      </c>
      <c r="H223" s="38">
        <v>266130</v>
      </c>
      <c r="I223" s="38">
        <v>266549</v>
      </c>
      <c r="J223" s="38">
        <v>266960</v>
      </c>
      <c r="K223" s="38">
        <v>267349</v>
      </c>
      <c r="L223" s="38">
        <v>267741</v>
      </c>
      <c r="M223" s="38">
        <v>269434</v>
      </c>
      <c r="N223" s="38">
        <v>271098</v>
      </c>
      <c r="O223" s="38">
        <v>272728</v>
      </c>
      <c r="P223" s="38">
        <v>274316</v>
      </c>
      <c r="Q223" s="38">
        <v>275875</v>
      </c>
      <c r="R223" s="38">
        <v>277368</v>
      </c>
      <c r="S223" s="38">
        <v>278808</v>
      </c>
      <c r="T223" s="38">
        <v>280195</v>
      </c>
      <c r="U223" s="38">
        <v>281526</v>
      </c>
      <c r="V223" s="38">
        <v>282797</v>
      </c>
      <c r="W223" s="38">
        <v>283097</v>
      </c>
      <c r="X223" s="38">
        <v>283331</v>
      </c>
      <c r="Y223" s="38">
        <v>283499</v>
      </c>
      <c r="Z223" s="38">
        <v>283605</v>
      </c>
      <c r="AA223" s="38">
        <v>283635</v>
      </c>
      <c r="AB223" s="38">
        <v>282959</v>
      </c>
      <c r="AC223" s="38">
        <v>282214</v>
      </c>
    </row>
    <row r="224" spans="1:29">
      <c r="A224" s="52">
        <v>13</v>
      </c>
      <c r="B224" s="38">
        <v>264107</v>
      </c>
      <c r="C224" s="38">
        <v>264528</v>
      </c>
      <c r="D224" s="38">
        <v>264946</v>
      </c>
      <c r="E224" s="38">
        <v>265356</v>
      </c>
      <c r="F224" s="38">
        <v>265768</v>
      </c>
      <c r="G224" s="38">
        <v>266142</v>
      </c>
      <c r="H224" s="38">
        <v>266318</v>
      </c>
      <c r="I224" s="38">
        <v>266486</v>
      </c>
      <c r="J224" s="38">
        <v>266645</v>
      </c>
      <c r="K224" s="38">
        <v>266783</v>
      </c>
      <c r="L224" s="38">
        <v>266923</v>
      </c>
      <c r="M224" s="38">
        <v>268427</v>
      </c>
      <c r="N224" s="38">
        <v>269901</v>
      </c>
      <c r="O224" s="38">
        <v>271342</v>
      </c>
      <c r="P224" s="38">
        <v>272741</v>
      </c>
      <c r="Q224" s="38">
        <v>274112</v>
      </c>
      <c r="R224" s="38">
        <v>275735</v>
      </c>
      <c r="S224" s="38">
        <v>277307</v>
      </c>
      <c r="T224" s="38">
        <v>278826</v>
      </c>
      <c r="U224" s="38">
        <v>280289</v>
      </c>
      <c r="V224" s="38">
        <v>281693</v>
      </c>
      <c r="W224" s="38">
        <v>282247</v>
      </c>
      <c r="X224" s="38">
        <v>282737</v>
      </c>
      <c r="Y224" s="38">
        <v>283161</v>
      </c>
      <c r="Z224" s="38">
        <v>283524</v>
      </c>
      <c r="AA224" s="38">
        <v>283809</v>
      </c>
      <c r="AB224" s="38">
        <v>283292</v>
      </c>
      <c r="AC224" s="38">
        <v>282705</v>
      </c>
    </row>
    <row r="225" spans="1:29">
      <c r="A225" s="52">
        <v>14</v>
      </c>
      <c r="B225" s="38">
        <v>259246</v>
      </c>
      <c r="C225" s="38">
        <v>260771</v>
      </c>
      <c r="D225" s="38">
        <v>262291</v>
      </c>
      <c r="E225" s="38">
        <v>263804</v>
      </c>
      <c r="F225" s="38">
        <v>265318</v>
      </c>
      <c r="G225" s="38">
        <v>266797</v>
      </c>
      <c r="H225" s="38">
        <v>266752</v>
      </c>
      <c r="I225" s="38">
        <v>266703</v>
      </c>
      <c r="J225" s="38">
        <v>266643</v>
      </c>
      <c r="K225" s="38">
        <v>266562</v>
      </c>
      <c r="L225" s="38">
        <v>266484</v>
      </c>
      <c r="M225" s="38">
        <v>267712</v>
      </c>
      <c r="N225" s="38">
        <v>268909</v>
      </c>
      <c r="O225" s="38">
        <v>270074</v>
      </c>
      <c r="P225" s="38">
        <v>271196</v>
      </c>
      <c r="Q225" s="38">
        <v>272292</v>
      </c>
      <c r="R225" s="38">
        <v>273990</v>
      </c>
      <c r="S225" s="38">
        <v>275636</v>
      </c>
      <c r="T225" s="38">
        <v>277230</v>
      </c>
      <c r="U225" s="38">
        <v>278769</v>
      </c>
      <c r="V225" s="38">
        <v>280248</v>
      </c>
      <c r="W225" s="38">
        <v>281071</v>
      </c>
      <c r="X225" s="38">
        <v>281829</v>
      </c>
      <c r="Y225" s="38">
        <v>282523</v>
      </c>
      <c r="Z225" s="38">
        <v>283154</v>
      </c>
      <c r="AA225" s="38">
        <v>283708</v>
      </c>
      <c r="AB225" s="38">
        <v>283388</v>
      </c>
      <c r="AC225" s="38">
        <v>282996</v>
      </c>
    </row>
    <row r="226" spans="1:29">
      <c r="A226" s="51" t="s">
        <v>86</v>
      </c>
      <c r="B226" s="46">
        <v>0</v>
      </c>
      <c r="C226" s="46">
        <v>0</v>
      </c>
      <c r="D226" s="46">
        <v>0</v>
      </c>
      <c r="E226" s="46">
        <v>0</v>
      </c>
      <c r="F226" s="46">
        <v>0</v>
      </c>
      <c r="G226" s="46">
        <v>0</v>
      </c>
      <c r="H226" s="46">
        <v>0</v>
      </c>
      <c r="I226" s="46">
        <v>0</v>
      </c>
      <c r="J226" s="46">
        <v>0</v>
      </c>
      <c r="K226" s="46">
        <v>0</v>
      </c>
      <c r="L226" s="46">
        <v>0</v>
      </c>
      <c r="M226" s="46">
        <v>0</v>
      </c>
      <c r="N226" s="46">
        <v>0</v>
      </c>
      <c r="O226" s="46">
        <v>0</v>
      </c>
      <c r="P226" s="46">
        <v>0</v>
      </c>
      <c r="Q226" s="46">
        <v>0</v>
      </c>
      <c r="R226" s="46">
        <v>0</v>
      </c>
      <c r="S226" s="46">
        <v>0</v>
      </c>
      <c r="T226" s="46">
        <v>0</v>
      </c>
      <c r="U226" s="46">
        <v>0</v>
      </c>
      <c r="V226" s="46">
        <v>0</v>
      </c>
      <c r="W226" s="46">
        <v>0</v>
      </c>
      <c r="X226" s="46">
        <v>0</v>
      </c>
      <c r="Y226" s="46">
        <v>0</v>
      </c>
      <c r="Z226" s="46">
        <v>0</v>
      </c>
      <c r="AA226" s="46">
        <v>0</v>
      </c>
      <c r="AB226" s="46">
        <v>0</v>
      </c>
      <c r="AC226" s="46">
        <v>0</v>
      </c>
    </row>
    <row r="227" spans="1:29">
      <c r="A227" s="52">
        <v>15</v>
      </c>
      <c r="B227" s="38">
        <v>253632</v>
      </c>
      <c r="C227" s="38">
        <v>256453</v>
      </c>
      <c r="D227" s="38">
        <v>259274</v>
      </c>
      <c r="E227" s="38">
        <v>262083</v>
      </c>
      <c r="F227" s="38">
        <v>264895</v>
      </c>
      <c r="G227" s="38">
        <v>267671</v>
      </c>
      <c r="H227" s="38">
        <v>267342</v>
      </c>
      <c r="I227" s="38">
        <v>267008</v>
      </c>
      <c r="J227" s="38">
        <v>266661</v>
      </c>
      <c r="K227" s="38">
        <v>266296</v>
      </c>
      <c r="L227" s="38">
        <v>265933</v>
      </c>
      <c r="M227" s="38">
        <v>266892</v>
      </c>
      <c r="N227" s="38">
        <v>267819</v>
      </c>
      <c r="O227" s="38">
        <v>268715</v>
      </c>
      <c r="P227" s="38">
        <v>269568</v>
      </c>
      <c r="Q227" s="38">
        <v>270399</v>
      </c>
      <c r="R227" s="38">
        <v>272162</v>
      </c>
      <c r="S227" s="38">
        <v>273876</v>
      </c>
      <c r="T227" s="38">
        <v>275536</v>
      </c>
      <c r="U227" s="38">
        <v>277141</v>
      </c>
      <c r="V227" s="38">
        <v>278687</v>
      </c>
      <c r="W227" s="38">
        <v>279777</v>
      </c>
      <c r="X227" s="38">
        <v>280802</v>
      </c>
      <c r="Y227" s="38">
        <v>281762</v>
      </c>
      <c r="Z227" s="38">
        <v>282660</v>
      </c>
      <c r="AA227" s="38">
        <v>283481</v>
      </c>
      <c r="AB227" s="38">
        <v>283363</v>
      </c>
      <c r="AC227" s="38">
        <v>283175</v>
      </c>
    </row>
    <row r="228" spans="1:29">
      <c r="A228" s="52">
        <v>16</v>
      </c>
      <c r="B228" s="38">
        <v>248196</v>
      </c>
      <c r="C228" s="38">
        <v>252169</v>
      </c>
      <c r="D228" s="38">
        <v>256138</v>
      </c>
      <c r="E228" s="38">
        <v>260101</v>
      </c>
      <c r="F228" s="38">
        <v>264065</v>
      </c>
      <c r="G228" s="38">
        <v>267990</v>
      </c>
      <c r="H228" s="38">
        <v>267475</v>
      </c>
      <c r="I228" s="38">
        <v>266952</v>
      </c>
      <c r="J228" s="38">
        <v>266420</v>
      </c>
      <c r="K228" s="38">
        <v>265866</v>
      </c>
      <c r="L228" s="38">
        <v>265316</v>
      </c>
      <c r="M228" s="38">
        <v>266042</v>
      </c>
      <c r="N228" s="38">
        <v>266738</v>
      </c>
      <c r="O228" s="38">
        <v>267401</v>
      </c>
      <c r="P228" s="38">
        <v>268024</v>
      </c>
      <c r="Q228" s="38">
        <v>268622</v>
      </c>
      <c r="R228" s="38">
        <v>270424</v>
      </c>
      <c r="S228" s="38">
        <v>272176</v>
      </c>
      <c r="T228" s="38">
        <v>273874</v>
      </c>
      <c r="U228" s="38">
        <v>275519</v>
      </c>
      <c r="V228" s="38">
        <v>277104</v>
      </c>
      <c r="W228" s="38">
        <v>278431</v>
      </c>
      <c r="X228" s="38">
        <v>279695</v>
      </c>
      <c r="Y228" s="38">
        <v>280895</v>
      </c>
      <c r="Z228" s="38">
        <v>282035</v>
      </c>
      <c r="AA228" s="38">
        <v>283094</v>
      </c>
      <c r="AB228" s="38">
        <v>283180</v>
      </c>
      <c r="AC228" s="38">
        <v>283197</v>
      </c>
    </row>
    <row r="229" spans="1:29">
      <c r="A229" s="52">
        <v>17</v>
      </c>
      <c r="B229" s="38">
        <v>243230</v>
      </c>
      <c r="C229" s="38">
        <v>247950</v>
      </c>
      <c r="D229" s="38">
        <v>252665</v>
      </c>
      <c r="E229" s="38">
        <v>257375</v>
      </c>
      <c r="F229" s="38">
        <v>262086</v>
      </c>
      <c r="G229" s="38">
        <v>266758</v>
      </c>
      <c r="H229" s="38">
        <v>266455</v>
      </c>
      <c r="I229" s="38">
        <v>266145</v>
      </c>
      <c r="J229" s="38">
        <v>265826</v>
      </c>
      <c r="K229" s="38">
        <v>265484</v>
      </c>
      <c r="L229" s="38">
        <v>265146</v>
      </c>
      <c r="M229" s="38">
        <v>265629</v>
      </c>
      <c r="N229" s="38">
        <v>266081</v>
      </c>
      <c r="O229" s="38">
        <v>266499</v>
      </c>
      <c r="P229" s="38">
        <v>266878</v>
      </c>
      <c r="Q229" s="38">
        <v>267233</v>
      </c>
      <c r="R229" s="38">
        <v>268972</v>
      </c>
      <c r="S229" s="38">
        <v>270660</v>
      </c>
      <c r="T229" s="38">
        <v>272296</v>
      </c>
      <c r="U229" s="38">
        <v>273878</v>
      </c>
      <c r="V229" s="38">
        <v>275400</v>
      </c>
      <c r="W229" s="38">
        <v>276920</v>
      </c>
      <c r="X229" s="38">
        <v>278378</v>
      </c>
      <c r="Y229" s="38">
        <v>279772</v>
      </c>
      <c r="Z229" s="38">
        <v>281105</v>
      </c>
      <c r="AA229" s="38">
        <v>282358</v>
      </c>
      <c r="AB229" s="38">
        <v>282673</v>
      </c>
      <c r="AC229" s="38">
        <v>282919</v>
      </c>
    </row>
    <row r="230" spans="1:29">
      <c r="A230" s="52">
        <v>18</v>
      </c>
      <c r="B230" s="38">
        <v>239145</v>
      </c>
      <c r="C230" s="38">
        <v>244019</v>
      </c>
      <c r="D230" s="38">
        <v>248889</v>
      </c>
      <c r="E230" s="38">
        <v>253753</v>
      </c>
      <c r="F230" s="38">
        <v>258619</v>
      </c>
      <c r="G230" s="38">
        <v>263446</v>
      </c>
      <c r="H230" s="38">
        <v>263884</v>
      </c>
      <c r="I230" s="38">
        <v>264313</v>
      </c>
      <c r="J230" s="38">
        <v>264735</v>
      </c>
      <c r="K230" s="38">
        <v>265134</v>
      </c>
      <c r="L230" s="38">
        <v>265537</v>
      </c>
      <c r="M230" s="38">
        <v>265769</v>
      </c>
      <c r="N230" s="38">
        <v>265971</v>
      </c>
      <c r="O230" s="38">
        <v>266139</v>
      </c>
      <c r="P230" s="38">
        <v>266268</v>
      </c>
      <c r="Q230" s="38">
        <v>266373</v>
      </c>
      <c r="R230" s="38">
        <v>267923</v>
      </c>
      <c r="S230" s="38">
        <v>269422</v>
      </c>
      <c r="T230" s="38">
        <v>270869</v>
      </c>
      <c r="U230" s="38">
        <v>272264</v>
      </c>
      <c r="V230" s="38">
        <v>273600</v>
      </c>
      <c r="W230" s="38">
        <v>275251</v>
      </c>
      <c r="X230" s="38">
        <v>276841</v>
      </c>
      <c r="Y230" s="38">
        <v>278366</v>
      </c>
      <c r="Z230" s="38">
        <v>279831</v>
      </c>
      <c r="AA230" s="38">
        <v>281217</v>
      </c>
      <c r="AB230" s="38">
        <v>281788</v>
      </c>
      <c r="AC230" s="38">
        <v>282289</v>
      </c>
    </row>
    <row r="231" spans="1:29">
      <c r="A231" s="52">
        <v>19</v>
      </c>
      <c r="B231" s="38">
        <v>235623</v>
      </c>
      <c r="C231" s="38">
        <v>240228</v>
      </c>
      <c r="D231" s="38">
        <v>244828</v>
      </c>
      <c r="E231" s="38">
        <v>249422</v>
      </c>
      <c r="F231" s="38">
        <v>254018</v>
      </c>
      <c r="G231" s="38">
        <v>258577</v>
      </c>
      <c r="H231" s="38">
        <v>260114</v>
      </c>
      <c r="I231" s="38">
        <v>261645</v>
      </c>
      <c r="J231" s="38">
        <v>263166</v>
      </c>
      <c r="K231" s="38">
        <v>264667</v>
      </c>
      <c r="L231" s="38">
        <v>266168</v>
      </c>
      <c r="M231" s="38">
        <v>266185</v>
      </c>
      <c r="N231" s="38">
        <v>266169</v>
      </c>
      <c r="O231" s="38">
        <v>266120</v>
      </c>
      <c r="P231" s="38">
        <v>266031</v>
      </c>
      <c r="Q231" s="38">
        <v>265917</v>
      </c>
      <c r="R231" s="38">
        <v>267191</v>
      </c>
      <c r="S231" s="38">
        <v>268415</v>
      </c>
      <c r="T231" s="38">
        <v>269587</v>
      </c>
      <c r="U231" s="38">
        <v>270707</v>
      </c>
      <c r="V231" s="38">
        <v>271767</v>
      </c>
      <c r="W231" s="38">
        <v>273493</v>
      </c>
      <c r="X231" s="38">
        <v>275156</v>
      </c>
      <c r="Y231" s="38">
        <v>276756</v>
      </c>
      <c r="Z231" s="38">
        <v>278296</v>
      </c>
      <c r="AA231" s="38">
        <v>279757</v>
      </c>
      <c r="AB231" s="38">
        <v>280596</v>
      </c>
      <c r="AC231" s="38">
        <v>281366</v>
      </c>
    </row>
    <row r="232" spans="1:29">
      <c r="A232" s="51" t="s">
        <v>87</v>
      </c>
      <c r="B232" s="46">
        <v>0</v>
      </c>
      <c r="C232" s="46">
        <v>0</v>
      </c>
      <c r="D232" s="46">
        <v>0</v>
      </c>
      <c r="E232" s="46">
        <v>0</v>
      </c>
      <c r="F232" s="46">
        <v>0</v>
      </c>
      <c r="G232" s="46">
        <v>0</v>
      </c>
      <c r="H232" s="46">
        <v>0</v>
      </c>
      <c r="I232" s="46">
        <v>0</v>
      </c>
      <c r="J232" s="46">
        <v>0</v>
      </c>
      <c r="K232" s="46">
        <v>0</v>
      </c>
      <c r="L232" s="46">
        <v>0</v>
      </c>
      <c r="M232" s="46">
        <v>0</v>
      </c>
      <c r="N232" s="46">
        <v>0</v>
      </c>
      <c r="O232" s="46">
        <v>0</v>
      </c>
      <c r="P232" s="46">
        <v>0</v>
      </c>
      <c r="Q232" s="46">
        <v>0</v>
      </c>
      <c r="R232" s="46">
        <v>0</v>
      </c>
      <c r="S232" s="46">
        <v>0</v>
      </c>
      <c r="T232" s="46">
        <v>0</v>
      </c>
      <c r="U232" s="46">
        <v>0</v>
      </c>
      <c r="V232" s="46">
        <v>0</v>
      </c>
      <c r="W232" s="46">
        <v>0</v>
      </c>
      <c r="X232" s="46">
        <v>0</v>
      </c>
      <c r="Y232" s="46">
        <v>0</v>
      </c>
      <c r="Z232" s="46">
        <v>0</v>
      </c>
      <c r="AA232" s="46">
        <v>0</v>
      </c>
      <c r="AB232" s="46">
        <v>0</v>
      </c>
      <c r="AC232" s="46">
        <v>0</v>
      </c>
    </row>
    <row r="233" spans="1:29">
      <c r="A233" s="52">
        <v>20</v>
      </c>
      <c r="B233" s="38">
        <v>232398</v>
      </c>
      <c r="C233" s="38">
        <v>236520</v>
      </c>
      <c r="D233" s="38">
        <v>240640</v>
      </c>
      <c r="E233" s="38">
        <v>244754</v>
      </c>
      <c r="F233" s="38">
        <v>248869</v>
      </c>
      <c r="G233" s="38">
        <v>252950</v>
      </c>
      <c r="H233" s="38">
        <v>255780</v>
      </c>
      <c r="I233" s="38">
        <v>258607</v>
      </c>
      <c r="J233" s="38">
        <v>261421</v>
      </c>
      <c r="K233" s="38">
        <v>264217</v>
      </c>
      <c r="L233" s="38">
        <v>267015</v>
      </c>
      <c r="M233" s="38">
        <v>266745</v>
      </c>
      <c r="N233" s="38">
        <v>266447</v>
      </c>
      <c r="O233" s="38">
        <v>266115</v>
      </c>
      <c r="P233" s="38">
        <v>265742</v>
      </c>
      <c r="Q233" s="38">
        <v>265342</v>
      </c>
      <c r="R233" s="38">
        <v>266348</v>
      </c>
      <c r="S233" s="38">
        <v>267303</v>
      </c>
      <c r="T233" s="38">
        <v>268208</v>
      </c>
      <c r="U233" s="38">
        <v>269060</v>
      </c>
      <c r="V233" s="38">
        <v>269855</v>
      </c>
      <c r="W233" s="38">
        <v>271646</v>
      </c>
      <c r="X233" s="38">
        <v>273374</v>
      </c>
      <c r="Y233" s="38">
        <v>275044</v>
      </c>
      <c r="Z233" s="38">
        <v>276649</v>
      </c>
      <c r="AA233" s="38">
        <v>278178</v>
      </c>
      <c r="AB233" s="38">
        <v>279282</v>
      </c>
      <c r="AC233" s="38">
        <v>280318</v>
      </c>
    </row>
    <row r="234" spans="1:29">
      <c r="A234" s="52">
        <v>21</v>
      </c>
      <c r="B234" s="38">
        <v>228683</v>
      </c>
      <c r="C234" s="38">
        <v>232455</v>
      </c>
      <c r="D234" s="38">
        <v>236223</v>
      </c>
      <c r="E234" s="38">
        <v>239985</v>
      </c>
      <c r="F234" s="38">
        <v>243748</v>
      </c>
      <c r="G234" s="38">
        <v>247480</v>
      </c>
      <c r="H234" s="38">
        <v>251460</v>
      </c>
      <c r="I234" s="38">
        <v>255433</v>
      </c>
      <c r="J234" s="38">
        <v>259398</v>
      </c>
      <c r="K234" s="38">
        <v>263342</v>
      </c>
      <c r="L234" s="38">
        <v>267287</v>
      </c>
      <c r="M234" s="38">
        <v>266834</v>
      </c>
      <c r="N234" s="38">
        <v>266348</v>
      </c>
      <c r="O234" s="38">
        <v>265829</v>
      </c>
      <c r="P234" s="38">
        <v>265271</v>
      </c>
      <c r="Q234" s="38">
        <v>264685</v>
      </c>
      <c r="R234" s="38">
        <v>265460</v>
      </c>
      <c r="S234" s="38">
        <v>266185</v>
      </c>
      <c r="T234" s="38">
        <v>266857</v>
      </c>
      <c r="U234" s="38">
        <v>267477</v>
      </c>
      <c r="V234" s="38">
        <v>268043</v>
      </c>
      <c r="W234" s="38">
        <v>269872</v>
      </c>
      <c r="X234" s="38">
        <v>271640</v>
      </c>
      <c r="Y234" s="38">
        <v>273345</v>
      </c>
      <c r="Z234" s="38">
        <v>274992</v>
      </c>
      <c r="AA234" s="38">
        <v>276559</v>
      </c>
      <c r="AB234" s="38">
        <v>277903</v>
      </c>
      <c r="AC234" s="38">
        <v>279178</v>
      </c>
    </row>
    <row r="235" spans="1:29">
      <c r="A235" s="52">
        <v>22</v>
      </c>
      <c r="B235" s="38">
        <v>223864</v>
      </c>
      <c r="C235" s="38">
        <v>227600</v>
      </c>
      <c r="D235" s="38">
        <v>231334</v>
      </c>
      <c r="E235" s="38">
        <v>235060</v>
      </c>
      <c r="F235" s="38">
        <v>238788</v>
      </c>
      <c r="G235" s="38">
        <v>242485</v>
      </c>
      <c r="H235" s="38">
        <v>247211</v>
      </c>
      <c r="I235" s="38">
        <v>251929</v>
      </c>
      <c r="J235" s="38">
        <v>256639</v>
      </c>
      <c r="K235" s="38">
        <v>261328</v>
      </c>
      <c r="L235" s="38">
        <v>266019</v>
      </c>
      <c r="M235" s="38">
        <v>265778</v>
      </c>
      <c r="N235" s="38">
        <v>265505</v>
      </c>
      <c r="O235" s="38">
        <v>265200</v>
      </c>
      <c r="P235" s="38">
        <v>264853</v>
      </c>
      <c r="Q235" s="38">
        <v>264480</v>
      </c>
      <c r="R235" s="38">
        <v>265011</v>
      </c>
      <c r="S235" s="38">
        <v>265493</v>
      </c>
      <c r="T235" s="38">
        <v>265922</v>
      </c>
      <c r="U235" s="38">
        <v>266300</v>
      </c>
      <c r="V235" s="38">
        <v>266623</v>
      </c>
      <c r="W235" s="38">
        <v>268389</v>
      </c>
      <c r="X235" s="38">
        <v>270094</v>
      </c>
      <c r="Y235" s="38">
        <v>271736</v>
      </c>
      <c r="Z235" s="38">
        <v>273320</v>
      </c>
      <c r="AA235" s="38">
        <v>274827</v>
      </c>
      <c r="AB235" s="38">
        <v>276362</v>
      </c>
      <c r="AC235" s="38">
        <v>277831</v>
      </c>
    </row>
    <row r="236" spans="1:29">
      <c r="A236" s="52">
        <v>23</v>
      </c>
      <c r="B236" s="38">
        <v>217540</v>
      </c>
      <c r="C236" s="38">
        <v>221721</v>
      </c>
      <c r="D236" s="38">
        <v>225898</v>
      </c>
      <c r="E236" s="38">
        <v>230068</v>
      </c>
      <c r="F236" s="38">
        <v>234241</v>
      </c>
      <c r="G236" s="38">
        <v>238381</v>
      </c>
      <c r="H236" s="38">
        <v>243260</v>
      </c>
      <c r="I236" s="38">
        <v>248133</v>
      </c>
      <c r="J236" s="38">
        <v>252997</v>
      </c>
      <c r="K236" s="38">
        <v>257841</v>
      </c>
      <c r="L236" s="38">
        <v>262686</v>
      </c>
      <c r="M236" s="38">
        <v>263183</v>
      </c>
      <c r="N236" s="38">
        <v>263648</v>
      </c>
      <c r="O236" s="38">
        <v>264081</v>
      </c>
      <c r="P236" s="38">
        <v>264474</v>
      </c>
      <c r="Q236" s="38">
        <v>264840</v>
      </c>
      <c r="R236" s="38">
        <v>265122</v>
      </c>
      <c r="S236" s="38">
        <v>265354</v>
      </c>
      <c r="T236" s="38">
        <v>265535</v>
      </c>
      <c r="U236" s="38">
        <v>265663</v>
      </c>
      <c r="V236" s="38">
        <v>265737</v>
      </c>
      <c r="W236" s="38">
        <v>267315</v>
      </c>
      <c r="X236" s="38">
        <v>268833</v>
      </c>
      <c r="Y236" s="38">
        <v>270287</v>
      </c>
      <c r="Z236" s="38">
        <v>271684</v>
      </c>
      <c r="AA236" s="38">
        <v>273004</v>
      </c>
      <c r="AB236" s="38">
        <v>274671</v>
      </c>
      <c r="AC236" s="38">
        <v>276271</v>
      </c>
    </row>
    <row r="237" spans="1:29">
      <c r="A237" s="52">
        <v>24</v>
      </c>
      <c r="B237" s="38">
        <v>210279</v>
      </c>
      <c r="C237" s="38">
        <v>215205</v>
      </c>
      <c r="D237" s="38">
        <v>220127</v>
      </c>
      <c r="E237" s="38">
        <v>225044</v>
      </c>
      <c r="F237" s="38">
        <v>229961</v>
      </c>
      <c r="G237" s="38">
        <v>234846</v>
      </c>
      <c r="H237" s="38">
        <v>239456</v>
      </c>
      <c r="I237" s="38">
        <v>244059</v>
      </c>
      <c r="J237" s="38">
        <v>248655</v>
      </c>
      <c r="K237" s="38">
        <v>253230</v>
      </c>
      <c r="L237" s="38">
        <v>257806</v>
      </c>
      <c r="M237" s="38">
        <v>259399</v>
      </c>
      <c r="N237" s="38">
        <v>260961</v>
      </c>
      <c r="O237" s="38">
        <v>262491</v>
      </c>
      <c r="P237" s="38">
        <v>263982</v>
      </c>
      <c r="Q237" s="38">
        <v>265446</v>
      </c>
      <c r="R237" s="38">
        <v>265512</v>
      </c>
      <c r="S237" s="38">
        <v>265528</v>
      </c>
      <c r="T237" s="38">
        <v>265491</v>
      </c>
      <c r="U237" s="38">
        <v>265404</v>
      </c>
      <c r="V237" s="38">
        <v>265261</v>
      </c>
      <c r="W237" s="38">
        <v>266564</v>
      </c>
      <c r="X237" s="38">
        <v>267806</v>
      </c>
      <c r="Y237" s="38">
        <v>268986</v>
      </c>
      <c r="Z237" s="38">
        <v>270109</v>
      </c>
      <c r="AA237" s="38">
        <v>271154</v>
      </c>
      <c r="AB237" s="38">
        <v>272894</v>
      </c>
      <c r="AC237" s="38">
        <v>274569</v>
      </c>
    </row>
    <row r="238" spans="1:29">
      <c r="A238" s="53" t="s">
        <v>88</v>
      </c>
      <c r="B238" s="46">
        <v>0</v>
      </c>
      <c r="C238" s="46">
        <v>0</v>
      </c>
      <c r="D238" s="46">
        <v>0</v>
      </c>
      <c r="E238" s="46">
        <v>0</v>
      </c>
      <c r="F238" s="46">
        <v>0</v>
      </c>
      <c r="G238" s="46">
        <v>0</v>
      </c>
      <c r="H238" s="46">
        <v>0</v>
      </c>
      <c r="I238" s="46">
        <v>0</v>
      </c>
      <c r="J238" s="46">
        <v>0</v>
      </c>
      <c r="K238" s="46">
        <v>0</v>
      </c>
      <c r="L238" s="46">
        <v>0</v>
      </c>
      <c r="M238" s="46">
        <v>0</v>
      </c>
      <c r="N238" s="46">
        <v>0</v>
      </c>
      <c r="O238" s="46">
        <v>0</v>
      </c>
      <c r="P238" s="46">
        <v>0</v>
      </c>
      <c r="Q238" s="46">
        <v>0</v>
      </c>
      <c r="R238" s="46">
        <v>0</v>
      </c>
      <c r="S238" s="46">
        <v>0</v>
      </c>
      <c r="T238" s="46">
        <v>0</v>
      </c>
      <c r="U238" s="46">
        <v>0</v>
      </c>
      <c r="V238" s="46">
        <v>0</v>
      </c>
      <c r="W238" s="46">
        <v>0</v>
      </c>
      <c r="X238" s="46">
        <v>0</v>
      </c>
      <c r="Y238" s="46">
        <v>0</v>
      </c>
      <c r="Z238" s="46">
        <v>0</v>
      </c>
      <c r="AA238" s="46">
        <v>0</v>
      </c>
      <c r="AB238" s="46">
        <v>0</v>
      </c>
      <c r="AC238" s="46">
        <v>0</v>
      </c>
    </row>
    <row r="239" spans="1:29">
      <c r="A239" s="53">
        <v>25</v>
      </c>
      <c r="B239" s="38">
        <v>202507</v>
      </c>
      <c r="C239" s="38">
        <v>208339</v>
      </c>
      <c r="D239" s="38">
        <v>214168</v>
      </c>
      <c r="E239" s="38">
        <v>219993</v>
      </c>
      <c r="F239" s="38">
        <v>225816</v>
      </c>
      <c r="G239" s="38">
        <v>231606</v>
      </c>
      <c r="H239" s="38">
        <v>235738</v>
      </c>
      <c r="I239" s="38">
        <v>239862</v>
      </c>
      <c r="J239" s="38">
        <v>243978</v>
      </c>
      <c r="K239" s="38">
        <v>248075</v>
      </c>
      <c r="L239" s="38">
        <v>252172</v>
      </c>
      <c r="M239" s="38">
        <v>255055</v>
      </c>
      <c r="N239" s="38">
        <v>257907</v>
      </c>
      <c r="O239" s="38">
        <v>260730</v>
      </c>
      <c r="P239" s="38">
        <v>263512</v>
      </c>
      <c r="Q239" s="38">
        <v>266267</v>
      </c>
      <c r="R239" s="38">
        <v>266051</v>
      </c>
      <c r="S239" s="38">
        <v>265784</v>
      </c>
      <c r="T239" s="38">
        <v>265464</v>
      </c>
      <c r="U239" s="38">
        <v>265093</v>
      </c>
      <c r="V239" s="38">
        <v>264668</v>
      </c>
      <c r="W239" s="38">
        <v>265701</v>
      </c>
      <c r="X239" s="38">
        <v>266677</v>
      </c>
      <c r="Y239" s="38">
        <v>267590</v>
      </c>
      <c r="Z239" s="38">
        <v>268445</v>
      </c>
      <c r="AA239" s="38">
        <v>269227</v>
      </c>
      <c r="AB239" s="38">
        <v>271031</v>
      </c>
      <c r="AC239" s="38">
        <v>272771</v>
      </c>
    </row>
    <row r="240" spans="1:29">
      <c r="A240" s="53">
        <v>26</v>
      </c>
      <c r="B240" s="38">
        <v>195454</v>
      </c>
      <c r="C240" s="38">
        <v>201950</v>
      </c>
      <c r="D240" s="38">
        <v>208445</v>
      </c>
      <c r="E240" s="38">
        <v>214934</v>
      </c>
      <c r="F240" s="38">
        <v>221425</v>
      </c>
      <c r="G240" s="38">
        <v>227879</v>
      </c>
      <c r="H240" s="38">
        <v>231660</v>
      </c>
      <c r="I240" s="38">
        <v>235434</v>
      </c>
      <c r="J240" s="38">
        <v>239200</v>
      </c>
      <c r="K240" s="38">
        <v>242946</v>
      </c>
      <c r="L240" s="38">
        <v>246692</v>
      </c>
      <c r="M240" s="38">
        <v>250718</v>
      </c>
      <c r="N240" s="38">
        <v>254717</v>
      </c>
      <c r="O240" s="38">
        <v>258683</v>
      </c>
      <c r="P240" s="38">
        <v>262611</v>
      </c>
      <c r="Q240" s="38">
        <v>266513</v>
      </c>
      <c r="R240" s="38">
        <v>266111</v>
      </c>
      <c r="S240" s="38">
        <v>265658</v>
      </c>
      <c r="T240" s="38">
        <v>265153</v>
      </c>
      <c r="U240" s="38">
        <v>264598</v>
      </c>
      <c r="V240" s="38">
        <v>263987</v>
      </c>
      <c r="W240" s="38">
        <v>264792</v>
      </c>
      <c r="X240" s="38">
        <v>265536</v>
      </c>
      <c r="Y240" s="38">
        <v>266218</v>
      </c>
      <c r="Z240" s="38">
        <v>266844</v>
      </c>
      <c r="AA240" s="38">
        <v>267393</v>
      </c>
      <c r="AB240" s="38">
        <v>269237</v>
      </c>
      <c r="AC240" s="38">
        <v>271016</v>
      </c>
    </row>
    <row r="241" spans="1:29">
      <c r="A241" s="53">
        <v>27</v>
      </c>
      <c r="B241" s="38">
        <v>190203</v>
      </c>
      <c r="C241" s="38">
        <v>196784</v>
      </c>
      <c r="D241" s="38">
        <v>203362</v>
      </c>
      <c r="E241" s="38">
        <v>209934</v>
      </c>
      <c r="F241" s="38">
        <v>216508</v>
      </c>
      <c r="G241" s="38">
        <v>223047</v>
      </c>
      <c r="H241" s="38">
        <v>226790</v>
      </c>
      <c r="I241" s="38">
        <v>230528</v>
      </c>
      <c r="J241" s="38">
        <v>234258</v>
      </c>
      <c r="K241" s="38">
        <v>237970</v>
      </c>
      <c r="L241" s="38">
        <v>241680</v>
      </c>
      <c r="M241" s="38">
        <v>246449</v>
      </c>
      <c r="N241" s="38">
        <v>251190</v>
      </c>
      <c r="O241" s="38">
        <v>255900</v>
      </c>
      <c r="P241" s="38">
        <v>260571</v>
      </c>
      <c r="Q241" s="38">
        <v>265217</v>
      </c>
      <c r="R241" s="38">
        <v>265026</v>
      </c>
      <c r="S241" s="38">
        <v>264786</v>
      </c>
      <c r="T241" s="38">
        <v>264493</v>
      </c>
      <c r="U241" s="38">
        <v>264150</v>
      </c>
      <c r="V241" s="38">
        <v>263751</v>
      </c>
      <c r="W241" s="38">
        <v>264314</v>
      </c>
      <c r="X241" s="38">
        <v>264815</v>
      </c>
      <c r="Y241" s="38">
        <v>265256</v>
      </c>
      <c r="Z241" s="38">
        <v>265639</v>
      </c>
      <c r="AA241" s="38">
        <v>265947</v>
      </c>
      <c r="AB241" s="38">
        <v>267728</v>
      </c>
      <c r="AC241" s="38">
        <v>269443</v>
      </c>
    </row>
    <row r="242" spans="1:29">
      <c r="A242" s="53">
        <v>28</v>
      </c>
      <c r="B242" s="38">
        <v>187469</v>
      </c>
      <c r="C242" s="38">
        <v>193328</v>
      </c>
      <c r="D242" s="38">
        <v>199185</v>
      </c>
      <c r="E242" s="38">
        <v>205037</v>
      </c>
      <c r="F242" s="38">
        <v>210890</v>
      </c>
      <c r="G242" s="38">
        <v>216708</v>
      </c>
      <c r="H242" s="38">
        <v>220892</v>
      </c>
      <c r="I242" s="38">
        <v>225071</v>
      </c>
      <c r="J242" s="38">
        <v>229243</v>
      </c>
      <c r="K242" s="38">
        <v>233395</v>
      </c>
      <c r="L242" s="38">
        <v>237548</v>
      </c>
      <c r="M242" s="38">
        <v>242468</v>
      </c>
      <c r="N242" s="38">
        <v>247362</v>
      </c>
      <c r="O242" s="38">
        <v>252227</v>
      </c>
      <c r="P242" s="38">
        <v>257052</v>
      </c>
      <c r="Q242" s="38">
        <v>261851</v>
      </c>
      <c r="R242" s="38">
        <v>262397</v>
      </c>
      <c r="S242" s="38">
        <v>262893</v>
      </c>
      <c r="T242" s="38">
        <v>263338</v>
      </c>
      <c r="U242" s="38">
        <v>263732</v>
      </c>
      <c r="V242" s="38">
        <v>264068</v>
      </c>
      <c r="W242" s="38">
        <v>264383</v>
      </c>
      <c r="X242" s="38">
        <v>264637</v>
      </c>
      <c r="Y242" s="38">
        <v>264829</v>
      </c>
      <c r="Z242" s="38">
        <v>264965</v>
      </c>
      <c r="AA242" s="38">
        <v>265026</v>
      </c>
      <c r="AB242" s="38">
        <v>266619</v>
      </c>
      <c r="AC242" s="38">
        <v>268148</v>
      </c>
    </row>
    <row r="243" spans="1:29">
      <c r="A243" s="53">
        <v>29</v>
      </c>
      <c r="B243" s="38">
        <v>186567</v>
      </c>
      <c r="C243" s="38">
        <v>191151</v>
      </c>
      <c r="D243" s="38">
        <v>195732</v>
      </c>
      <c r="E243" s="38">
        <v>200307</v>
      </c>
      <c r="F243" s="38">
        <v>204885</v>
      </c>
      <c r="G243" s="38">
        <v>209430</v>
      </c>
      <c r="H243" s="38">
        <v>214355</v>
      </c>
      <c r="I243" s="38">
        <v>219275</v>
      </c>
      <c r="J243" s="38">
        <v>224187</v>
      </c>
      <c r="K243" s="38">
        <v>229082</v>
      </c>
      <c r="L243" s="38">
        <v>233976</v>
      </c>
      <c r="M243" s="38">
        <v>238627</v>
      </c>
      <c r="N243" s="38">
        <v>243252</v>
      </c>
      <c r="O243" s="38">
        <v>247847</v>
      </c>
      <c r="P243" s="38">
        <v>252405</v>
      </c>
      <c r="Q243" s="38">
        <v>256937</v>
      </c>
      <c r="R243" s="38">
        <v>258576</v>
      </c>
      <c r="S243" s="38">
        <v>260165</v>
      </c>
      <c r="T243" s="38">
        <v>261706</v>
      </c>
      <c r="U243" s="38">
        <v>263194</v>
      </c>
      <c r="V243" s="38">
        <v>264623</v>
      </c>
      <c r="W243" s="38">
        <v>264724</v>
      </c>
      <c r="X243" s="38">
        <v>264763</v>
      </c>
      <c r="Y243" s="38">
        <v>264741</v>
      </c>
      <c r="Z243" s="38">
        <v>264661</v>
      </c>
      <c r="AA243" s="38">
        <v>264507</v>
      </c>
      <c r="AB243" s="38">
        <v>265827</v>
      </c>
      <c r="AC243" s="38">
        <v>267082</v>
      </c>
    </row>
    <row r="244" spans="1:29">
      <c r="A244" s="53" t="s">
        <v>89</v>
      </c>
      <c r="B244" s="46">
        <v>0</v>
      </c>
      <c r="C244" s="46">
        <v>0</v>
      </c>
      <c r="D244" s="46">
        <v>0</v>
      </c>
      <c r="E244" s="46">
        <v>0</v>
      </c>
      <c r="F244" s="46">
        <v>0</v>
      </c>
      <c r="G244" s="46">
        <v>0</v>
      </c>
      <c r="H244" s="46">
        <v>0</v>
      </c>
      <c r="I244" s="46">
        <v>0</v>
      </c>
      <c r="J244" s="46">
        <v>0</v>
      </c>
      <c r="K244" s="46">
        <v>0</v>
      </c>
      <c r="L244" s="46">
        <v>0</v>
      </c>
      <c r="M244" s="46">
        <v>0</v>
      </c>
      <c r="N244" s="46">
        <v>0</v>
      </c>
      <c r="O244" s="46">
        <v>0</v>
      </c>
      <c r="P244" s="46">
        <v>0</v>
      </c>
      <c r="Q244" s="46">
        <v>0</v>
      </c>
      <c r="R244" s="46">
        <v>0</v>
      </c>
      <c r="S244" s="46">
        <v>0</v>
      </c>
      <c r="T244" s="46">
        <v>0</v>
      </c>
      <c r="U244" s="46">
        <v>0</v>
      </c>
      <c r="V244" s="46">
        <v>0</v>
      </c>
      <c r="W244" s="46">
        <v>0</v>
      </c>
      <c r="X244" s="46">
        <v>0</v>
      </c>
      <c r="Y244" s="46">
        <v>0</v>
      </c>
      <c r="Z244" s="46">
        <v>0</v>
      </c>
      <c r="AA244" s="46">
        <v>0</v>
      </c>
      <c r="AB244" s="46">
        <v>0</v>
      </c>
      <c r="AC244" s="46">
        <v>0</v>
      </c>
    </row>
    <row r="245" spans="1:29">
      <c r="A245" s="53">
        <v>30</v>
      </c>
      <c r="B245" s="38">
        <v>186134</v>
      </c>
      <c r="C245" s="38">
        <v>189247</v>
      </c>
      <c r="D245" s="38">
        <v>192355</v>
      </c>
      <c r="E245" s="38">
        <v>195460</v>
      </c>
      <c r="F245" s="38">
        <v>198564</v>
      </c>
      <c r="G245" s="38">
        <v>201638</v>
      </c>
      <c r="H245" s="38">
        <v>207466</v>
      </c>
      <c r="I245" s="38">
        <v>213287</v>
      </c>
      <c r="J245" s="38">
        <v>219103</v>
      </c>
      <c r="K245" s="38">
        <v>224900</v>
      </c>
      <c r="L245" s="38">
        <v>230696</v>
      </c>
      <c r="M245" s="38">
        <v>234868</v>
      </c>
      <c r="N245" s="38">
        <v>239014</v>
      </c>
      <c r="O245" s="38">
        <v>243132</v>
      </c>
      <c r="P245" s="38">
        <v>247214</v>
      </c>
      <c r="Q245" s="38">
        <v>251269</v>
      </c>
      <c r="R245" s="38">
        <v>254193</v>
      </c>
      <c r="S245" s="38">
        <v>257069</v>
      </c>
      <c r="T245" s="38">
        <v>259898</v>
      </c>
      <c r="U245" s="38">
        <v>262674</v>
      </c>
      <c r="V245" s="38">
        <v>265390</v>
      </c>
      <c r="W245" s="38">
        <v>265211</v>
      </c>
      <c r="X245" s="38">
        <v>264966</v>
      </c>
      <c r="Y245" s="38">
        <v>264664</v>
      </c>
      <c r="Z245" s="38">
        <v>264303</v>
      </c>
      <c r="AA245" s="38">
        <v>263868</v>
      </c>
      <c r="AB245" s="38">
        <v>264921</v>
      </c>
      <c r="AC245" s="38">
        <v>265908</v>
      </c>
    </row>
    <row r="246" spans="1:29">
      <c r="A246" s="53">
        <v>31</v>
      </c>
      <c r="B246" s="38">
        <v>185211</v>
      </c>
      <c r="C246" s="38">
        <v>187093</v>
      </c>
      <c r="D246" s="38">
        <v>188971</v>
      </c>
      <c r="E246" s="38">
        <v>190844</v>
      </c>
      <c r="F246" s="38">
        <v>192719</v>
      </c>
      <c r="G246" s="38">
        <v>194566</v>
      </c>
      <c r="H246" s="38">
        <v>201054</v>
      </c>
      <c r="I246" s="38">
        <v>207537</v>
      </c>
      <c r="J246" s="38">
        <v>214012</v>
      </c>
      <c r="K246" s="38">
        <v>220470</v>
      </c>
      <c r="L246" s="38">
        <v>226929</v>
      </c>
      <c r="M246" s="38">
        <v>230751</v>
      </c>
      <c r="N246" s="38">
        <v>234548</v>
      </c>
      <c r="O246" s="38">
        <v>238316</v>
      </c>
      <c r="P246" s="38">
        <v>242047</v>
      </c>
      <c r="Q246" s="38">
        <v>245756</v>
      </c>
      <c r="R246" s="38">
        <v>249819</v>
      </c>
      <c r="S246" s="38">
        <v>253838</v>
      </c>
      <c r="T246" s="38">
        <v>257808</v>
      </c>
      <c r="U246" s="38">
        <v>261727</v>
      </c>
      <c r="V246" s="38">
        <v>265583</v>
      </c>
      <c r="W246" s="38">
        <v>265218</v>
      </c>
      <c r="X246" s="38">
        <v>264793</v>
      </c>
      <c r="Y246" s="38">
        <v>264305</v>
      </c>
      <c r="Z246" s="38">
        <v>263761</v>
      </c>
      <c r="AA246" s="38">
        <v>263144</v>
      </c>
      <c r="AB246" s="38">
        <v>263967</v>
      </c>
      <c r="AC246" s="38">
        <v>264725</v>
      </c>
    </row>
    <row r="247" spans="1:29">
      <c r="A247" s="53">
        <v>32</v>
      </c>
      <c r="B247" s="38">
        <v>183951</v>
      </c>
      <c r="C247" s="38">
        <v>185029</v>
      </c>
      <c r="D247" s="38">
        <v>186104</v>
      </c>
      <c r="E247" s="38">
        <v>187173</v>
      </c>
      <c r="F247" s="38">
        <v>188245</v>
      </c>
      <c r="G247" s="38">
        <v>189291</v>
      </c>
      <c r="H247" s="38">
        <v>195860</v>
      </c>
      <c r="I247" s="38">
        <v>202425</v>
      </c>
      <c r="J247" s="38">
        <v>208983</v>
      </c>
      <c r="K247" s="38">
        <v>215524</v>
      </c>
      <c r="L247" s="38">
        <v>222066</v>
      </c>
      <c r="M247" s="38">
        <v>225851</v>
      </c>
      <c r="N247" s="38">
        <v>229611</v>
      </c>
      <c r="O247" s="38">
        <v>233342</v>
      </c>
      <c r="P247" s="38">
        <v>237037</v>
      </c>
      <c r="Q247" s="38">
        <v>240710</v>
      </c>
      <c r="R247" s="38">
        <v>245513</v>
      </c>
      <c r="S247" s="38">
        <v>250272</v>
      </c>
      <c r="T247" s="38">
        <v>254983</v>
      </c>
      <c r="U247" s="38">
        <v>259644</v>
      </c>
      <c r="V247" s="38">
        <v>264241</v>
      </c>
      <c r="W247" s="38">
        <v>264087</v>
      </c>
      <c r="X247" s="38">
        <v>263874</v>
      </c>
      <c r="Y247" s="38">
        <v>263598</v>
      </c>
      <c r="Z247" s="38">
        <v>263265</v>
      </c>
      <c r="AA247" s="38">
        <v>262859</v>
      </c>
      <c r="AB247" s="38">
        <v>263441</v>
      </c>
      <c r="AC247" s="38">
        <v>263958</v>
      </c>
    </row>
    <row r="248" spans="1:29">
      <c r="A248" s="53">
        <v>33</v>
      </c>
      <c r="B248" s="38">
        <v>182013</v>
      </c>
      <c r="C248" s="38">
        <v>182925</v>
      </c>
      <c r="D248" s="38">
        <v>183834</v>
      </c>
      <c r="E248" s="38">
        <v>184739</v>
      </c>
      <c r="F248" s="38">
        <v>185643</v>
      </c>
      <c r="G248" s="38">
        <v>186524</v>
      </c>
      <c r="H248" s="38">
        <v>192375</v>
      </c>
      <c r="I248" s="38">
        <v>198222</v>
      </c>
      <c r="J248" s="38">
        <v>204061</v>
      </c>
      <c r="K248" s="38">
        <v>209885</v>
      </c>
      <c r="L248" s="38">
        <v>215711</v>
      </c>
      <c r="M248" s="38">
        <v>219932</v>
      </c>
      <c r="N248" s="38">
        <v>224129</v>
      </c>
      <c r="O248" s="38">
        <v>228298</v>
      </c>
      <c r="P248" s="38">
        <v>232433</v>
      </c>
      <c r="Q248" s="38">
        <v>236545</v>
      </c>
      <c r="R248" s="38">
        <v>241499</v>
      </c>
      <c r="S248" s="38">
        <v>246410</v>
      </c>
      <c r="T248" s="38">
        <v>251274</v>
      </c>
      <c r="U248" s="38">
        <v>256088</v>
      </c>
      <c r="V248" s="38">
        <v>260841</v>
      </c>
      <c r="W248" s="38">
        <v>261419</v>
      </c>
      <c r="X248" s="38">
        <v>261939</v>
      </c>
      <c r="Y248" s="38">
        <v>262397</v>
      </c>
      <c r="Z248" s="38">
        <v>262799</v>
      </c>
      <c r="AA248" s="38">
        <v>263127</v>
      </c>
      <c r="AB248" s="38">
        <v>263463</v>
      </c>
      <c r="AC248" s="38">
        <v>263735</v>
      </c>
    </row>
    <row r="249" spans="1:29">
      <c r="A249" s="53">
        <v>34</v>
      </c>
      <c r="B249" s="38">
        <v>179449</v>
      </c>
      <c r="C249" s="38">
        <v>180685</v>
      </c>
      <c r="D249" s="38">
        <v>181920</v>
      </c>
      <c r="E249" s="38">
        <v>183148</v>
      </c>
      <c r="F249" s="38">
        <v>184379</v>
      </c>
      <c r="G249" s="38">
        <v>185583</v>
      </c>
      <c r="H249" s="38">
        <v>190164</v>
      </c>
      <c r="I249" s="38">
        <v>194742</v>
      </c>
      <c r="J249" s="38">
        <v>199312</v>
      </c>
      <c r="K249" s="38">
        <v>203866</v>
      </c>
      <c r="L249" s="38">
        <v>208423</v>
      </c>
      <c r="M249" s="38">
        <v>213379</v>
      </c>
      <c r="N249" s="38">
        <v>218313</v>
      </c>
      <c r="O249" s="38">
        <v>223219</v>
      </c>
      <c r="P249" s="38">
        <v>228091</v>
      </c>
      <c r="Q249" s="38">
        <v>232940</v>
      </c>
      <c r="R249" s="38">
        <v>237625</v>
      </c>
      <c r="S249" s="38">
        <v>242267</v>
      </c>
      <c r="T249" s="38">
        <v>246862</v>
      </c>
      <c r="U249" s="38">
        <v>251409</v>
      </c>
      <c r="V249" s="38">
        <v>255897</v>
      </c>
      <c r="W249" s="38">
        <v>257564</v>
      </c>
      <c r="X249" s="38">
        <v>259173</v>
      </c>
      <c r="Y249" s="38">
        <v>260721</v>
      </c>
      <c r="Z249" s="38">
        <v>262214</v>
      </c>
      <c r="AA249" s="38">
        <v>263633</v>
      </c>
      <c r="AB249" s="38">
        <v>263755</v>
      </c>
      <c r="AC249" s="38">
        <v>263813</v>
      </c>
    </row>
    <row r="250" spans="1:29">
      <c r="A250" s="53" t="s">
        <v>90</v>
      </c>
      <c r="B250" s="46">
        <v>0</v>
      </c>
      <c r="C250" s="46">
        <v>0</v>
      </c>
      <c r="D250" s="46">
        <v>0</v>
      </c>
      <c r="E250" s="46">
        <v>0</v>
      </c>
      <c r="F250" s="46">
        <v>0</v>
      </c>
      <c r="G250" s="46">
        <v>0</v>
      </c>
      <c r="H250" s="46">
        <v>0</v>
      </c>
      <c r="I250" s="46">
        <v>0</v>
      </c>
      <c r="J250" s="46">
        <v>0</v>
      </c>
      <c r="K250" s="46">
        <v>0</v>
      </c>
      <c r="L250" s="46">
        <v>0</v>
      </c>
      <c r="M250" s="46">
        <v>0</v>
      </c>
      <c r="N250" s="46">
        <v>0</v>
      </c>
      <c r="O250" s="46">
        <v>0</v>
      </c>
      <c r="P250" s="46">
        <v>0</v>
      </c>
      <c r="Q250" s="46">
        <v>0</v>
      </c>
      <c r="R250" s="46">
        <v>0</v>
      </c>
      <c r="S250" s="46">
        <v>0</v>
      </c>
      <c r="T250" s="46">
        <v>0</v>
      </c>
      <c r="U250" s="46">
        <v>0</v>
      </c>
      <c r="V250" s="46">
        <v>0</v>
      </c>
      <c r="W250" s="46">
        <v>0</v>
      </c>
      <c r="X250" s="46">
        <v>0</v>
      </c>
      <c r="Y250" s="46">
        <v>0</v>
      </c>
      <c r="Z250" s="46">
        <v>0</v>
      </c>
      <c r="AA250" s="46">
        <v>0</v>
      </c>
      <c r="AB250" s="46">
        <v>0</v>
      </c>
      <c r="AC250" s="46">
        <v>0</v>
      </c>
    </row>
    <row r="251" spans="1:29">
      <c r="A251" s="53">
        <v>35</v>
      </c>
      <c r="B251" s="38">
        <v>177040</v>
      </c>
      <c r="C251" s="38">
        <v>178664</v>
      </c>
      <c r="D251" s="38">
        <v>180284</v>
      </c>
      <c r="E251" s="38">
        <v>181900</v>
      </c>
      <c r="F251" s="38">
        <v>183519</v>
      </c>
      <c r="G251" s="38">
        <v>185107</v>
      </c>
      <c r="H251" s="38">
        <v>188226</v>
      </c>
      <c r="I251" s="38">
        <v>191338</v>
      </c>
      <c r="J251" s="38">
        <v>194442</v>
      </c>
      <c r="K251" s="38">
        <v>197533</v>
      </c>
      <c r="L251" s="38">
        <v>200625</v>
      </c>
      <c r="M251" s="38">
        <v>206475</v>
      </c>
      <c r="N251" s="38">
        <v>212304</v>
      </c>
      <c r="O251" s="38">
        <v>218109</v>
      </c>
      <c r="P251" s="38">
        <v>223877</v>
      </c>
      <c r="Q251" s="38">
        <v>229623</v>
      </c>
      <c r="R251" s="38">
        <v>233831</v>
      </c>
      <c r="S251" s="38">
        <v>237994</v>
      </c>
      <c r="T251" s="38">
        <v>242113</v>
      </c>
      <c r="U251" s="38">
        <v>246184</v>
      </c>
      <c r="V251" s="38">
        <v>250201</v>
      </c>
      <c r="W251" s="38">
        <v>253147</v>
      </c>
      <c r="X251" s="38">
        <v>256036</v>
      </c>
      <c r="Y251" s="38">
        <v>258869</v>
      </c>
      <c r="Z251" s="38">
        <v>261644</v>
      </c>
      <c r="AA251" s="38">
        <v>264343</v>
      </c>
      <c r="AB251" s="38">
        <v>264188</v>
      </c>
      <c r="AC251" s="38">
        <v>263966</v>
      </c>
    </row>
    <row r="252" spans="1:29">
      <c r="A252" s="53">
        <v>36</v>
      </c>
      <c r="B252" s="38">
        <v>174501</v>
      </c>
      <c r="C252" s="38">
        <v>176440</v>
      </c>
      <c r="D252" s="38">
        <v>178375</v>
      </c>
      <c r="E252" s="38">
        <v>180305</v>
      </c>
      <c r="F252" s="38">
        <v>182236</v>
      </c>
      <c r="G252" s="38">
        <v>184142</v>
      </c>
      <c r="H252" s="38">
        <v>186033</v>
      </c>
      <c r="I252" s="38">
        <v>187920</v>
      </c>
      <c r="J252" s="38">
        <v>189800</v>
      </c>
      <c r="K252" s="38">
        <v>191665</v>
      </c>
      <c r="L252" s="38">
        <v>193535</v>
      </c>
      <c r="M252" s="38">
        <v>200041</v>
      </c>
      <c r="N252" s="38">
        <v>206527</v>
      </c>
      <c r="O252" s="38">
        <v>212987</v>
      </c>
      <c r="P252" s="38">
        <v>219415</v>
      </c>
      <c r="Q252" s="38">
        <v>225818</v>
      </c>
      <c r="R252" s="38">
        <v>229674</v>
      </c>
      <c r="S252" s="38">
        <v>233489</v>
      </c>
      <c r="T252" s="38">
        <v>237259</v>
      </c>
      <c r="U252" s="38">
        <v>240982</v>
      </c>
      <c r="V252" s="38">
        <v>244652</v>
      </c>
      <c r="W252" s="38">
        <v>248734</v>
      </c>
      <c r="X252" s="38">
        <v>252760</v>
      </c>
      <c r="Y252" s="38">
        <v>256728</v>
      </c>
      <c r="Z252" s="38">
        <v>260640</v>
      </c>
      <c r="AA252" s="38">
        <v>264478</v>
      </c>
      <c r="AB252" s="38">
        <v>264140</v>
      </c>
      <c r="AC252" s="38">
        <v>263737</v>
      </c>
    </row>
    <row r="253" spans="1:29">
      <c r="A253" s="53">
        <v>37</v>
      </c>
      <c r="B253" s="38">
        <v>170671</v>
      </c>
      <c r="C253" s="38">
        <v>173113</v>
      </c>
      <c r="D253" s="38">
        <v>175554</v>
      </c>
      <c r="E253" s="38">
        <v>177990</v>
      </c>
      <c r="F253" s="38">
        <v>180425</v>
      </c>
      <c r="G253" s="38">
        <v>182837</v>
      </c>
      <c r="H253" s="38">
        <v>183928</v>
      </c>
      <c r="I253" s="38">
        <v>185015</v>
      </c>
      <c r="J253" s="38">
        <v>186096</v>
      </c>
      <c r="K253" s="38">
        <v>187161</v>
      </c>
      <c r="L253" s="38">
        <v>188231</v>
      </c>
      <c r="M253" s="38">
        <v>194818</v>
      </c>
      <c r="N253" s="38">
        <v>201384</v>
      </c>
      <c r="O253" s="38">
        <v>207926</v>
      </c>
      <c r="P253" s="38">
        <v>214436</v>
      </c>
      <c r="Q253" s="38">
        <v>220922</v>
      </c>
      <c r="R253" s="38">
        <v>224739</v>
      </c>
      <c r="S253" s="38">
        <v>228515</v>
      </c>
      <c r="T253" s="38">
        <v>232248</v>
      </c>
      <c r="U253" s="38">
        <v>235934</v>
      </c>
      <c r="V253" s="38">
        <v>239569</v>
      </c>
      <c r="W253" s="38">
        <v>244386</v>
      </c>
      <c r="X253" s="38">
        <v>249149</v>
      </c>
      <c r="Y253" s="38">
        <v>253855</v>
      </c>
      <c r="Z253" s="38">
        <v>258506</v>
      </c>
      <c r="AA253" s="38">
        <v>263082</v>
      </c>
      <c r="AB253" s="38">
        <v>262953</v>
      </c>
      <c r="AC253" s="38">
        <v>262761</v>
      </c>
    </row>
    <row r="254" spans="1:29">
      <c r="A254" s="53">
        <v>38</v>
      </c>
      <c r="B254" s="38">
        <v>165165</v>
      </c>
      <c r="C254" s="38">
        <v>168312</v>
      </c>
      <c r="D254" s="38">
        <v>171456</v>
      </c>
      <c r="E254" s="38">
        <v>174595</v>
      </c>
      <c r="F254" s="38">
        <v>177736</v>
      </c>
      <c r="G254" s="38">
        <v>180851</v>
      </c>
      <c r="H254" s="38">
        <v>181778</v>
      </c>
      <c r="I254" s="38">
        <v>182700</v>
      </c>
      <c r="J254" s="38">
        <v>183616</v>
      </c>
      <c r="K254" s="38">
        <v>184517</v>
      </c>
      <c r="L254" s="38">
        <v>185422</v>
      </c>
      <c r="M254" s="38">
        <v>191294</v>
      </c>
      <c r="N254" s="38">
        <v>197145</v>
      </c>
      <c r="O254" s="38">
        <v>202973</v>
      </c>
      <c r="P254" s="38">
        <v>208769</v>
      </c>
      <c r="Q254" s="38">
        <v>214543</v>
      </c>
      <c r="R254" s="38">
        <v>218791</v>
      </c>
      <c r="S254" s="38">
        <v>223001</v>
      </c>
      <c r="T254" s="38">
        <v>227166</v>
      </c>
      <c r="U254" s="38">
        <v>231288</v>
      </c>
      <c r="V254" s="38">
        <v>235359</v>
      </c>
      <c r="W254" s="38">
        <v>240325</v>
      </c>
      <c r="X254" s="38">
        <v>245241</v>
      </c>
      <c r="Y254" s="38">
        <v>250100</v>
      </c>
      <c r="Z254" s="38">
        <v>254903</v>
      </c>
      <c r="AA254" s="38">
        <v>259633</v>
      </c>
      <c r="AB254" s="38">
        <v>260234</v>
      </c>
      <c r="AC254" s="38">
        <v>260772</v>
      </c>
    </row>
    <row r="255" spans="1:29">
      <c r="A255" s="53">
        <v>39</v>
      </c>
      <c r="B255" s="38">
        <v>158486</v>
      </c>
      <c r="C255" s="38">
        <v>162445</v>
      </c>
      <c r="D255" s="38">
        <v>166402</v>
      </c>
      <c r="E255" s="38">
        <v>170355</v>
      </c>
      <c r="F255" s="38">
        <v>174308</v>
      </c>
      <c r="G255" s="38">
        <v>178238</v>
      </c>
      <c r="H255" s="38">
        <v>179488</v>
      </c>
      <c r="I255" s="38">
        <v>180734</v>
      </c>
      <c r="J255" s="38">
        <v>181974</v>
      </c>
      <c r="K255" s="38">
        <v>183199</v>
      </c>
      <c r="L255" s="38">
        <v>184427</v>
      </c>
      <c r="M255" s="38">
        <v>189036</v>
      </c>
      <c r="N255" s="38">
        <v>193624</v>
      </c>
      <c r="O255" s="38">
        <v>198188</v>
      </c>
      <c r="P255" s="38">
        <v>202723</v>
      </c>
      <c r="Q255" s="38">
        <v>207235</v>
      </c>
      <c r="R255" s="38">
        <v>212211</v>
      </c>
      <c r="S255" s="38">
        <v>217150</v>
      </c>
      <c r="T255" s="38">
        <v>222048</v>
      </c>
      <c r="U255" s="38">
        <v>226902</v>
      </c>
      <c r="V255" s="38">
        <v>231705</v>
      </c>
      <c r="W255" s="38">
        <v>236402</v>
      </c>
      <c r="X255" s="38">
        <v>241049</v>
      </c>
      <c r="Y255" s="38">
        <v>245641</v>
      </c>
      <c r="Z255" s="38">
        <v>250179</v>
      </c>
      <c r="AA255" s="38">
        <v>254644</v>
      </c>
      <c r="AB255" s="38">
        <v>256327</v>
      </c>
      <c r="AC255" s="38">
        <v>257949</v>
      </c>
    </row>
    <row r="256" spans="1:29">
      <c r="A256" s="53" t="s">
        <v>91</v>
      </c>
      <c r="B256" s="46">
        <v>0</v>
      </c>
      <c r="C256" s="46">
        <v>0</v>
      </c>
      <c r="D256" s="46">
        <v>0</v>
      </c>
      <c r="E256" s="46">
        <v>0</v>
      </c>
      <c r="F256" s="46">
        <v>0</v>
      </c>
      <c r="G256" s="46">
        <v>0</v>
      </c>
      <c r="H256" s="46">
        <v>0</v>
      </c>
      <c r="I256" s="46">
        <v>0</v>
      </c>
      <c r="J256" s="46">
        <v>0</v>
      </c>
      <c r="K256" s="46">
        <v>0</v>
      </c>
      <c r="L256" s="46">
        <v>0</v>
      </c>
      <c r="M256" s="46">
        <v>0</v>
      </c>
      <c r="N256" s="46">
        <v>0</v>
      </c>
      <c r="O256" s="46">
        <v>0</v>
      </c>
      <c r="P256" s="46">
        <v>0</v>
      </c>
      <c r="Q256" s="46">
        <v>0</v>
      </c>
      <c r="R256" s="46">
        <v>0</v>
      </c>
      <c r="S256" s="46">
        <v>0</v>
      </c>
      <c r="T256" s="46">
        <v>0</v>
      </c>
      <c r="U256" s="46">
        <v>0</v>
      </c>
      <c r="V256" s="46">
        <v>0</v>
      </c>
      <c r="W256" s="46">
        <v>0</v>
      </c>
      <c r="X256" s="46">
        <v>0</v>
      </c>
      <c r="Y256" s="46">
        <v>0</v>
      </c>
      <c r="Z256" s="46">
        <v>0</v>
      </c>
      <c r="AA256" s="46">
        <v>0</v>
      </c>
      <c r="AB256" s="46">
        <v>0</v>
      </c>
      <c r="AC256" s="46">
        <v>0</v>
      </c>
    </row>
    <row r="257" spans="1:29">
      <c r="A257" s="53">
        <v>40</v>
      </c>
      <c r="B257" s="38">
        <v>151182</v>
      </c>
      <c r="C257" s="38">
        <v>156108</v>
      </c>
      <c r="D257" s="38">
        <v>161035</v>
      </c>
      <c r="E257" s="38">
        <v>165956</v>
      </c>
      <c r="F257" s="38">
        <v>170877</v>
      </c>
      <c r="G257" s="38">
        <v>175775</v>
      </c>
      <c r="H257" s="38">
        <v>177414</v>
      </c>
      <c r="I257" s="38">
        <v>179045</v>
      </c>
      <c r="J257" s="38">
        <v>180670</v>
      </c>
      <c r="K257" s="38">
        <v>182281</v>
      </c>
      <c r="L257" s="38">
        <v>183895</v>
      </c>
      <c r="M257" s="38">
        <v>187048</v>
      </c>
      <c r="N257" s="38">
        <v>190176</v>
      </c>
      <c r="O257" s="38">
        <v>193281</v>
      </c>
      <c r="P257" s="38">
        <v>196360</v>
      </c>
      <c r="Q257" s="38">
        <v>199417</v>
      </c>
      <c r="R257" s="38">
        <v>205280</v>
      </c>
      <c r="S257" s="38">
        <v>211107</v>
      </c>
      <c r="T257" s="38">
        <v>216894</v>
      </c>
      <c r="U257" s="38">
        <v>222639</v>
      </c>
      <c r="V257" s="38">
        <v>228331</v>
      </c>
      <c r="W257" s="38">
        <v>232553</v>
      </c>
      <c r="X257" s="38">
        <v>236724</v>
      </c>
      <c r="Y257" s="38">
        <v>240842</v>
      </c>
      <c r="Z257" s="38">
        <v>244907</v>
      </c>
      <c r="AA257" s="38">
        <v>248901</v>
      </c>
      <c r="AB257" s="38">
        <v>251858</v>
      </c>
      <c r="AC257" s="38">
        <v>254754</v>
      </c>
    </row>
    <row r="258" spans="1:29">
      <c r="A258" s="53">
        <v>41</v>
      </c>
      <c r="B258" s="38">
        <v>144226</v>
      </c>
      <c r="C258" s="38">
        <v>150025</v>
      </c>
      <c r="D258" s="38">
        <v>155822</v>
      </c>
      <c r="E258" s="38">
        <v>161616</v>
      </c>
      <c r="F258" s="38">
        <v>167410</v>
      </c>
      <c r="G258" s="38">
        <v>173182</v>
      </c>
      <c r="H258" s="38">
        <v>175131</v>
      </c>
      <c r="I258" s="38">
        <v>177077</v>
      </c>
      <c r="J258" s="38">
        <v>179017</v>
      </c>
      <c r="K258" s="38">
        <v>180942</v>
      </c>
      <c r="L258" s="38">
        <v>182867</v>
      </c>
      <c r="M258" s="38">
        <v>184798</v>
      </c>
      <c r="N258" s="38">
        <v>186708</v>
      </c>
      <c r="O258" s="38">
        <v>188596</v>
      </c>
      <c r="P258" s="38">
        <v>190455</v>
      </c>
      <c r="Q258" s="38">
        <v>192296</v>
      </c>
      <c r="R258" s="38">
        <v>198808</v>
      </c>
      <c r="S258" s="38">
        <v>205286</v>
      </c>
      <c r="T258" s="38">
        <v>211725</v>
      </c>
      <c r="U258" s="38">
        <v>218121</v>
      </c>
      <c r="V258" s="38">
        <v>224466</v>
      </c>
      <c r="W258" s="38">
        <v>228339</v>
      </c>
      <c r="X258" s="38">
        <v>232163</v>
      </c>
      <c r="Y258" s="38">
        <v>235933</v>
      </c>
      <c r="Z258" s="38">
        <v>239652</v>
      </c>
      <c r="AA258" s="38">
        <v>243301</v>
      </c>
      <c r="AB258" s="38">
        <v>247386</v>
      </c>
      <c r="AC258" s="38">
        <v>251413</v>
      </c>
    </row>
    <row r="259" spans="1:29">
      <c r="A259" s="53">
        <v>42</v>
      </c>
      <c r="B259" s="38">
        <v>138278</v>
      </c>
      <c r="C259" s="38">
        <v>144490</v>
      </c>
      <c r="D259" s="38">
        <v>150699</v>
      </c>
      <c r="E259" s="38">
        <v>156905</v>
      </c>
      <c r="F259" s="38">
        <v>163112</v>
      </c>
      <c r="G259" s="38">
        <v>169296</v>
      </c>
      <c r="H259" s="38">
        <v>171747</v>
      </c>
      <c r="I259" s="38">
        <v>174195</v>
      </c>
      <c r="J259" s="38">
        <v>176635</v>
      </c>
      <c r="K259" s="38">
        <v>179062</v>
      </c>
      <c r="L259" s="38">
        <v>181487</v>
      </c>
      <c r="M259" s="38">
        <v>182622</v>
      </c>
      <c r="N259" s="38">
        <v>183737</v>
      </c>
      <c r="O259" s="38">
        <v>184829</v>
      </c>
      <c r="P259" s="38">
        <v>185892</v>
      </c>
      <c r="Q259" s="38">
        <v>186939</v>
      </c>
      <c r="R259" s="38">
        <v>193529</v>
      </c>
      <c r="S259" s="38">
        <v>200086</v>
      </c>
      <c r="T259" s="38">
        <v>206605</v>
      </c>
      <c r="U259" s="38">
        <v>213083</v>
      </c>
      <c r="V259" s="38">
        <v>219510</v>
      </c>
      <c r="W259" s="38">
        <v>223342</v>
      </c>
      <c r="X259" s="38">
        <v>227125</v>
      </c>
      <c r="Y259" s="38">
        <v>230857</v>
      </c>
      <c r="Z259" s="38">
        <v>234537</v>
      </c>
      <c r="AA259" s="38">
        <v>238151</v>
      </c>
      <c r="AB259" s="38">
        <v>242966</v>
      </c>
      <c r="AC259" s="38">
        <v>247726</v>
      </c>
    </row>
    <row r="260" spans="1:29">
      <c r="A260" s="53">
        <v>43</v>
      </c>
      <c r="B260" s="38">
        <v>133863</v>
      </c>
      <c r="C260" s="38">
        <v>139847</v>
      </c>
      <c r="D260" s="38">
        <v>145827</v>
      </c>
      <c r="E260" s="38">
        <v>151804</v>
      </c>
      <c r="F260" s="38">
        <v>157783</v>
      </c>
      <c r="G260" s="38">
        <v>163740</v>
      </c>
      <c r="H260" s="38">
        <v>166886</v>
      </c>
      <c r="I260" s="38">
        <v>170028</v>
      </c>
      <c r="J260" s="38">
        <v>173165</v>
      </c>
      <c r="K260" s="38">
        <v>176288</v>
      </c>
      <c r="L260" s="38">
        <v>179410</v>
      </c>
      <c r="M260" s="38">
        <v>180381</v>
      </c>
      <c r="N260" s="38">
        <v>181332</v>
      </c>
      <c r="O260" s="38">
        <v>182261</v>
      </c>
      <c r="P260" s="38">
        <v>183161</v>
      </c>
      <c r="Q260" s="38">
        <v>184046</v>
      </c>
      <c r="R260" s="38">
        <v>189925</v>
      </c>
      <c r="S260" s="38">
        <v>195772</v>
      </c>
      <c r="T260" s="38">
        <v>201582</v>
      </c>
      <c r="U260" s="38">
        <v>207351</v>
      </c>
      <c r="V260" s="38">
        <v>213072</v>
      </c>
      <c r="W260" s="38">
        <v>217329</v>
      </c>
      <c r="X260" s="38">
        <v>221539</v>
      </c>
      <c r="Y260" s="38">
        <v>225699</v>
      </c>
      <c r="Z260" s="38">
        <v>229809</v>
      </c>
      <c r="AA260" s="38">
        <v>233853</v>
      </c>
      <c r="AB260" s="38">
        <v>238818</v>
      </c>
      <c r="AC260" s="38">
        <v>243728</v>
      </c>
    </row>
    <row r="261" spans="1:29">
      <c r="A261" s="53">
        <v>44</v>
      </c>
      <c r="B261" s="38">
        <v>130552</v>
      </c>
      <c r="C261" s="38">
        <v>135851</v>
      </c>
      <c r="D261" s="38">
        <v>141148</v>
      </c>
      <c r="E261" s="38">
        <v>146442</v>
      </c>
      <c r="F261" s="38">
        <v>151737</v>
      </c>
      <c r="G261" s="38">
        <v>157010</v>
      </c>
      <c r="H261" s="38">
        <v>160958</v>
      </c>
      <c r="I261" s="38">
        <v>164903</v>
      </c>
      <c r="J261" s="38">
        <v>168842</v>
      </c>
      <c r="K261" s="38">
        <v>172768</v>
      </c>
      <c r="L261" s="38">
        <v>176692</v>
      </c>
      <c r="M261" s="38">
        <v>177986</v>
      </c>
      <c r="N261" s="38">
        <v>179260</v>
      </c>
      <c r="O261" s="38">
        <v>180512</v>
      </c>
      <c r="P261" s="38">
        <v>181736</v>
      </c>
      <c r="Q261" s="38">
        <v>182943</v>
      </c>
      <c r="R261" s="38">
        <v>187568</v>
      </c>
      <c r="S261" s="38">
        <v>192160</v>
      </c>
      <c r="T261" s="38">
        <v>196716</v>
      </c>
      <c r="U261" s="38">
        <v>201232</v>
      </c>
      <c r="V261" s="38">
        <v>205701</v>
      </c>
      <c r="W261" s="38">
        <v>210679</v>
      </c>
      <c r="X261" s="38">
        <v>215610</v>
      </c>
      <c r="Y261" s="38">
        <v>220493</v>
      </c>
      <c r="Z261" s="38">
        <v>225327</v>
      </c>
      <c r="AA261" s="38">
        <v>230095</v>
      </c>
      <c r="AB261" s="38">
        <v>234792</v>
      </c>
      <c r="AC261" s="38">
        <v>239436</v>
      </c>
    </row>
    <row r="262" spans="1:29">
      <c r="A262" s="53" t="s">
        <v>92</v>
      </c>
      <c r="B262" s="46">
        <v>0</v>
      </c>
      <c r="C262" s="46">
        <v>0</v>
      </c>
      <c r="D262" s="46">
        <v>0</v>
      </c>
      <c r="E262" s="46">
        <v>0</v>
      </c>
      <c r="F262" s="46">
        <v>0</v>
      </c>
      <c r="G262" s="46">
        <v>0</v>
      </c>
      <c r="H262" s="46">
        <v>0</v>
      </c>
      <c r="I262" s="46">
        <v>0</v>
      </c>
      <c r="J262" s="46">
        <v>0</v>
      </c>
      <c r="K262" s="46">
        <v>0</v>
      </c>
      <c r="L262" s="46">
        <v>0</v>
      </c>
      <c r="M262" s="46">
        <v>0</v>
      </c>
      <c r="N262" s="46">
        <v>0</v>
      </c>
      <c r="O262" s="46">
        <v>0</v>
      </c>
      <c r="P262" s="46">
        <v>0</v>
      </c>
      <c r="Q262" s="46">
        <v>0</v>
      </c>
      <c r="R262" s="46">
        <v>0</v>
      </c>
      <c r="S262" s="46">
        <v>0</v>
      </c>
      <c r="T262" s="46">
        <v>0</v>
      </c>
      <c r="U262" s="46">
        <v>0</v>
      </c>
      <c r="V262" s="46">
        <v>0</v>
      </c>
      <c r="W262" s="46">
        <v>0</v>
      </c>
      <c r="X262" s="46">
        <v>0</v>
      </c>
      <c r="Y262" s="46">
        <v>0</v>
      </c>
      <c r="Z262" s="46">
        <v>0</v>
      </c>
      <c r="AA262" s="46">
        <v>0</v>
      </c>
      <c r="AB262" s="46">
        <v>0</v>
      </c>
      <c r="AC262" s="46">
        <v>0</v>
      </c>
    </row>
    <row r="263" spans="1:29">
      <c r="A263" s="53">
        <v>45</v>
      </c>
      <c r="B263" s="38">
        <v>127521</v>
      </c>
      <c r="C263" s="38">
        <v>131954</v>
      </c>
      <c r="D263" s="38">
        <v>136386</v>
      </c>
      <c r="E263" s="38">
        <v>140814</v>
      </c>
      <c r="F263" s="38">
        <v>145246</v>
      </c>
      <c r="G263" s="38">
        <v>149654</v>
      </c>
      <c r="H263" s="38">
        <v>154558</v>
      </c>
      <c r="I263" s="38">
        <v>159459</v>
      </c>
      <c r="J263" s="38">
        <v>164354</v>
      </c>
      <c r="K263" s="38">
        <v>169236</v>
      </c>
      <c r="L263" s="38">
        <v>174116</v>
      </c>
      <c r="M263" s="38">
        <v>175796</v>
      </c>
      <c r="N263" s="38">
        <v>177455</v>
      </c>
      <c r="O263" s="38">
        <v>179091</v>
      </c>
      <c r="P263" s="38">
        <v>180702</v>
      </c>
      <c r="Q263" s="38">
        <v>182296</v>
      </c>
      <c r="R263" s="38">
        <v>185472</v>
      </c>
      <c r="S263" s="38">
        <v>188615</v>
      </c>
      <c r="T263" s="38">
        <v>191723</v>
      </c>
      <c r="U263" s="38">
        <v>194792</v>
      </c>
      <c r="V263" s="38">
        <v>197817</v>
      </c>
      <c r="W263" s="38">
        <v>203669</v>
      </c>
      <c r="X263" s="38">
        <v>209479</v>
      </c>
      <c r="Y263" s="38">
        <v>215243</v>
      </c>
      <c r="Z263" s="38">
        <v>220957</v>
      </c>
      <c r="AA263" s="38">
        <v>226606</v>
      </c>
      <c r="AB263" s="38">
        <v>230830</v>
      </c>
      <c r="AC263" s="38">
        <v>235000</v>
      </c>
    </row>
    <row r="264" spans="1:29">
      <c r="A264" s="53">
        <v>46</v>
      </c>
      <c r="B264" s="38">
        <v>124089</v>
      </c>
      <c r="C264" s="38">
        <v>127808</v>
      </c>
      <c r="D264" s="38">
        <v>131524</v>
      </c>
      <c r="E264" s="38">
        <v>135237</v>
      </c>
      <c r="F264" s="38">
        <v>138950</v>
      </c>
      <c r="G264" s="38">
        <v>142643</v>
      </c>
      <c r="H264" s="38">
        <v>148407</v>
      </c>
      <c r="I264" s="38">
        <v>154168</v>
      </c>
      <c r="J264" s="38">
        <v>159924</v>
      </c>
      <c r="K264" s="38">
        <v>165668</v>
      </c>
      <c r="L264" s="38">
        <v>171411</v>
      </c>
      <c r="M264" s="38">
        <v>173401</v>
      </c>
      <c r="N264" s="38">
        <v>175372</v>
      </c>
      <c r="O264" s="38">
        <v>177321</v>
      </c>
      <c r="P264" s="38">
        <v>179244</v>
      </c>
      <c r="Q264" s="38">
        <v>181148</v>
      </c>
      <c r="R264" s="38">
        <v>183114</v>
      </c>
      <c r="S264" s="38">
        <v>185046</v>
      </c>
      <c r="T264" s="38">
        <v>186942</v>
      </c>
      <c r="U264" s="38">
        <v>188802</v>
      </c>
      <c r="V264" s="38">
        <v>190619</v>
      </c>
      <c r="W264" s="38">
        <v>197112</v>
      </c>
      <c r="X264" s="38">
        <v>203564</v>
      </c>
      <c r="Y264" s="38">
        <v>209970</v>
      </c>
      <c r="Z264" s="38">
        <v>216329</v>
      </c>
      <c r="AA264" s="38">
        <v>222624</v>
      </c>
      <c r="AB264" s="38">
        <v>226501</v>
      </c>
      <c r="AC264" s="38">
        <v>230325</v>
      </c>
    </row>
    <row r="265" spans="1:29">
      <c r="A265" s="53">
        <v>47</v>
      </c>
      <c r="B265" s="38">
        <v>120275</v>
      </c>
      <c r="C265" s="38">
        <v>123553</v>
      </c>
      <c r="D265" s="38">
        <v>126830</v>
      </c>
      <c r="E265" s="38">
        <v>130103</v>
      </c>
      <c r="F265" s="38">
        <v>133376</v>
      </c>
      <c r="G265" s="38">
        <v>136629</v>
      </c>
      <c r="H265" s="38">
        <v>142800</v>
      </c>
      <c r="I265" s="38">
        <v>148967</v>
      </c>
      <c r="J265" s="38">
        <v>155129</v>
      </c>
      <c r="K265" s="38">
        <v>161279</v>
      </c>
      <c r="L265" s="38">
        <v>167429</v>
      </c>
      <c r="M265" s="38">
        <v>169914</v>
      </c>
      <c r="N265" s="38">
        <v>172380</v>
      </c>
      <c r="O265" s="38">
        <v>174825</v>
      </c>
      <c r="P265" s="38">
        <v>177243</v>
      </c>
      <c r="Q265" s="38">
        <v>179645</v>
      </c>
      <c r="R265" s="38">
        <v>180821</v>
      </c>
      <c r="S265" s="38">
        <v>181961</v>
      </c>
      <c r="T265" s="38">
        <v>183067</v>
      </c>
      <c r="U265" s="38">
        <v>184137</v>
      </c>
      <c r="V265" s="38">
        <v>185167</v>
      </c>
      <c r="W265" s="38">
        <v>191735</v>
      </c>
      <c r="X265" s="38">
        <v>198264</v>
      </c>
      <c r="Y265" s="38">
        <v>204748</v>
      </c>
      <c r="Z265" s="38">
        <v>211188</v>
      </c>
      <c r="AA265" s="38">
        <v>217562</v>
      </c>
      <c r="AB265" s="38">
        <v>221396</v>
      </c>
      <c r="AC265" s="38">
        <v>225179</v>
      </c>
    </row>
    <row r="266" spans="1:29">
      <c r="A266" s="53">
        <v>48</v>
      </c>
      <c r="B266" s="38">
        <v>115834</v>
      </c>
      <c r="C266" s="38">
        <v>119100</v>
      </c>
      <c r="D266" s="38">
        <v>122367</v>
      </c>
      <c r="E266" s="38">
        <v>125630</v>
      </c>
      <c r="F266" s="38">
        <v>128893</v>
      </c>
      <c r="G266" s="38">
        <v>132137</v>
      </c>
      <c r="H266" s="38">
        <v>138080</v>
      </c>
      <c r="I266" s="38">
        <v>144019</v>
      </c>
      <c r="J266" s="38">
        <v>149953</v>
      </c>
      <c r="K266" s="38">
        <v>155875</v>
      </c>
      <c r="L266" s="38">
        <v>161799</v>
      </c>
      <c r="M266" s="38">
        <v>164968</v>
      </c>
      <c r="N266" s="38">
        <v>168119</v>
      </c>
      <c r="O266" s="38">
        <v>171250</v>
      </c>
      <c r="P266" s="38">
        <v>174354</v>
      </c>
      <c r="Q266" s="38">
        <v>177441</v>
      </c>
      <c r="R266" s="38">
        <v>178454</v>
      </c>
      <c r="S266" s="38">
        <v>179433</v>
      </c>
      <c r="T266" s="38">
        <v>180377</v>
      </c>
      <c r="U266" s="38">
        <v>181286</v>
      </c>
      <c r="V266" s="38">
        <v>182156</v>
      </c>
      <c r="W266" s="38">
        <v>188020</v>
      </c>
      <c r="X266" s="38">
        <v>193845</v>
      </c>
      <c r="Y266" s="38">
        <v>199626</v>
      </c>
      <c r="Z266" s="38">
        <v>205363</v>
      </c>
      <c r="AA266" s="38">
        <v>211039</v>
      </c>
      <c r="AB266" s="38">
        <v>215290</v>
      </c>
      <c r="AC266" s="38">
        <v>219491</v>
      </c>
    </row>
    <row r="267" spans="1:29">
      <c r="A267" s="53">
        <v>49</v>
      </c>
      <c r="B267" s="38">
        <v>110924</v>
      </c>
      <c r="C267" s="38">
        <v>114494</v>
      </c>
      <c r="D267" s="38">
        <v>118061</v>
      </c>
      <c r="E267" s="38">
        <v>121626</v>
      </c>
      <c r="F267" s="38">
        <v>125191</v>
      </c>
      <c r="G267" s="38">
        <v>128739</v>
      </c>
      <c r="H267" s="38">
        <v>134003</v>
      </c>
      <c r="I267" s="38">
        <v>139264</v>
      </c>
      <c r="J267" s="38">
        <v>144520</v>
      </c>
      <c r="K267" s="38">
        <v>149765</v>
      </c>
      <c r="L267" s="38">
        <v>155011</v>
      </c>
      <c r="M267" s="38">
        <v>158967</v>
      </c>
      <c r="N267" s="38">
        <v>162906</v>
      </c>
      <c r="O267" s="38">
        <v>166826</v>
      </c>
      <c r="P267" s="38">
        <v>170719</v>
      </c>
      <c r="Q267" s="38">
        <v>174596</v>
      </c>
      <c r="R267" s="38">
        <v>175928</v>
      </c>
      <c r="S267" s="38">
        <v>177229</v>
      </c>
      <c r="T267" s="38">
        <v>178494</v>
      </c>
      <c r="U267" s="38">
        <v>179724</v>
      </c>
      <c r="V267" s="38">
        <v>180917</v>
      </c>
      <c r="W267" s="38">
        <v>185539</v>
      </c>
      <c r="X267" s="38">
        <v>190121</v>
      </c>
      <c r="Y267" s="38">
        <v>194659</v>
      </c>
      <c r="Z267" s="38">
        <v>199156</v>
      </c>
      <c r="AA267" s="38">
        <v>203593</v>
      </c>
      <c r="AB267" s="38">
        <v>208552</v>
      </c>
      <c r="AC267" s="38">
        <v>213464</v>
      </c>
    </row>
    <row r="268" spans="1:29">
      <c r="A268" s="51" t="s">
        <v>93</v>
      </c>
      <c r="B268" s="46">
        <v>0</v>
      </c>
      <c r="C268" s="46">
        <v>0</v>
      </c>
      <c r="D268" s="46">
        <v>0</v>
      </c>
      <c r="E268" s="46">
        <v>0</v>
      </c>
      <c r="F268" s="46">
        <v>0</v>
      </c>
      <c r="G268" s="46">
        <v>0</v>
      </c>
      <c r="H268" s="46">
        <v>0</v>
      </c>
      <c r="I268" s="46">
        <v>0</v>
      </c>
      <c r="J268" s="46">
        <v>0</v>
      </c>
      <c r="K268" s="46">
        <v>0</v>
      </c>
      <c r="L268" s="46">
        <v>0</v>
      </c>
      <c r="M268" s="46">
        <v>0</v>
      </c>
      <c r="N268" s="46">
        <v>0</v>
      </c>
      <c r="O268" s="46">
        <v>0</v>
      </c>
      <c r="P268" s="46">
        <v>0</v>
      </c>
      <c r="Q268" s="46">
        <v>0</v>
      </c>
      <c r="R268" s="46">
        <v>0</v>
      </c>
      <c r="S268" s="46">
        <v>0</v>
      </c>
      <c r="T268" s="46">
        <v>0</v>
      </c>
      <c r="U268" s="46">
        <v>0</v>
      </c>
      <c r="V268" s="46">
        <v>0</v>
      </c>
      <c r="W268" s="46">
        <v>0</v>
      </c>
      <c r="X268" s="46">
        <v>0</v>
      </c>
      <c r="Y268" s="46">
        <v>0</v>
      </c>
      <c r="Z268" s="46">
        <v>0</v>
      </c>
      <c r="AA268" s="46">
        <v>0</v>
      </c>
      <c r="AB268" s="46">
        <v>0</v>
      </c>
      <c r="AC268" s="46">
        <v>0</v>
      </c>
    </row>
    <row r="269" spans="1:29">
      <c r="A269" s="52">
        <v>50</v>
      </c>
      <c r="B269" s="38">
        <v>106027</v>
      </c>
      <c r="C269" s="38">
        <v>109949</v>
      </c>
      <c r="D269" s="38">
        <v>113871</v>
      </c>
      <c r="E269" s="38">
        <v>117792</v>
      </c>
      <c r="F269" s="38">
        <v>121712</v>
      </c>
      <c r="G269" s="38">
        <v>125616</v>
      </c>
      <c r="H269" s="38">
        <v>130024</v>
      </c>
      <c r="I269" s="38">
        <v>134425</v>
      </c>
      <c r="J269" s="38">
        <v>138826</v>
      </c>
      <c r="K269" s="38">
        <v>143213</v>
      </c>
      <c r="L269" s="38">
        <v>147601</v>
      </c>
      <c r="M269" s="38">
        <v>152494</v>
      </c>
      <c r="N269" s="38">
        <v>157372</v>
      </c>
      <c r="O269" s="38">
        <v>162232</v>
      </c>
      <c r="P269" s="38">
        <v>167065</v>
      </c>
      <c r="Q269" s="38">
        <v>171881</v>
      </c>
      <c r="R269" s="38">
        <v>173597</v>
      </c>
      <c r="S269" s="38">
        <v>175281</v>
      </c>
      <c r="T269" s="38">
        <v>176930</v>
      </c>
      <c r="U269" s="38">
        <v>178546</v>
      </c>
      <c r="V269" s="38">
        <v>180122</v>
      </c>
      <c r="W269" s="38">
        <v>183310</v>
      </c>
      <c r="X269" s="38">
        <v>186457</v>
      </c>
      <c r="Y269" s="38">
        <v>189562</v>
      </c>
      <c r="Z269" s="38">
        <v>192625</v>
      </c>
      <c r="AA269" s="38">
        <v>195630</v>
      </c>
      <c r="AB269" s="38">
        <v>201453</v>
      </c>
      <c r="AC269" s="38">
        <v>207228</v>
      </c>
    </row>
    <row r="270" spans="1:29">
      <c r="A270" s="52">
        <v>51</v>
      </c>
      <c r="B270" s="38">
        <v>101286</v>
      </c>
      <c r="C270" s="38">
        <v>105454</v>
      </c>
      <c r="D270" s="38">
        <v>109620</v>
      </c>
      <c r="E270" s="38">
        <v>113783</v>
      </c>
      <c r="F270" s="38">
        <v>117946</v>
      </c>
      <c r="G270" s="38">
        <v>122096</v>
      </c>
      <c r="H270" s="38">
        <v>125790</v>
      </c>
      <c r="I270" s="38">
        <v>129483</v>
      </c>
      <c r="J270" s="38">
        <v>133169</v>
      </c>
      <c r="K270" s="38">
        <v>136846</v>
      </c>
      <c r="L270" s="38">
        <v>140524</v>
      </c>
      <c r="M270" s="38">
        <v>146262</v>
      </c>
      <c r="N270" s="38">
        <v>151984</v>
      </c>
      <c r="O270" s="38">
        <v>157689</v>
      </c>
      <c r="P270" s="38">
        <v>163369</v>
      </c>
      <c r="Q270" s="38">
        <v>169032</v>
      </c>
      <c r="R270" s="38">
        <v>171057</v>
      </c>
      <c r="S270" s="38">
        <v>173051</v>
      </c>
      <c r="T270" s="38">
        <v>175011</v>
      </c>
      <c r="U270" s="38">
        <v>176937</v>
      </c>
      <c r="V270" s="38">
        <v>178826</v>
      </c>
      <c r="W270" s="38">
        <v>180811</v>
      </c>
      <c r="X270" s="38">
        <v>182757</v>
      </c>
      <c r="Y270" s="38">
        <v>184660</v>
      </c>
      <c r="Z270" s="38">
        <v>186523</v>
      </c>
      <c r="AA270" s="38">
        <v>188334</v>
      </c>
      <c r="AB270" s="38">
        <v>194783</v>
      </c>
      <c r="AC270" s="38">
        <v>201190</v>
      </c>
    </row>
    <row r="271" spans="1:29">
      <c r="A271" s="52">
        <v>52</v>
      </c>
      <c r="B271" s="38">
        <v>96417</v>
      </c>
      <c r="C271" s="38">
        <v>100777</v>
      </c>
      <c r="D271" s="38">
        <v>105136</v>
      </c>
      <c r="E271" s="38">
        <v>109491</v>
      </c>
      <c r="F271" s="38">
        <v>113848</v>
      </c>
      <c r="G271" s="38">
        <v>118192</v>
      </c>
      <c r="H271" s="38">
        <v>121447</v>
      </c>
      <c r="I271" s="38">
        <v>124700</v>
      </c>
      <c r="J271" s="38">
        <v>127948</v>
      </c>
      <c r="K271" s="38">
        <v>131186</v>
      </c>
      <c r="L271" s="38">
        <v>134427</v>
      </c>
      <c r="M271" s="38">
        <v>140561</v>
      </c>
      <c r="N271" s="38">
        <v>146681</v>
      </c>
      <c r="O271" s="38">
        <v>152783</v>
      </c>
      <c r="P271" s="38">
        <v>158862</v>
      </c>
      <c r="Q271" s="38">
        <v>164924</v>
      </c>
      <c r="R271" s="38">
        <v>167436</v>
      </c>
      <c r="S271" s="38">
        <v>169916</v>
      </c>
      <c r="T271" s="38">
        <v>172365</v>
      </c>
      <c r="U271" s="38">
        <v>174779</v>
      </c>
      <c r="V271" s="38">
        <v>177158</v>
      </c>
      <c r="W271" s="38">
        <v>178360</v>
      </c>
      <c r="X271" s="38">
        <v>179522</v>
      </c>
      <c r="Y271" s="38">
        <v>180642</v>
      </c>
      <c r="Z271" s="38">
        <v>181723</v>
      </c>
      <c r="AA271" s="38">
        <v>182754</v>
      </c>
      <c r="AB271" s="38">
        <v>189277</v>
      </c>
      <c r="AC271" s="38">
        <v>195757</v>
      </c>
    </row>
    <row r="272" spans="1:29">
      <c r="A272" s="52">
        <v>53</v>
      </c>
      <c r="B272" s="38">
        <v>91407</v>
      </c>
      <c r="C272" s="38">
        <v>95864</v>
      </c>
      <c r="D272" s="38">
        <v>100318</v>
      </c>
      <c r="E272" s="38">
        <v>104770</v>
      </c>
      <c r="F272" s="38">
        <v>109223</v>
      </c>
      <c r="G272" s="38">
        <v>113663</v>
      </c>
      <c r="H272" s="38">
        <v>116904</v>
      </c>
      <c r="I272" s="38">
        <v>120142</v>
      </c>
      <c r="J272" s="38">
        <v>123375</v>
      </c>
      <c r="K272" s="38">
        <v>126599</v>
      </c>
      <c r="L272" s="38">
        <v>129825</v>
      </c>
      <c r="M272" s="38">
        <v>135732</v>
      </c>
      <c r="N272" s="38">
        <v>141624</v>
      </c>
      <c r="O272" s="38">
        <v>147499</v>
      </c>
      <c r="P272" s="38">
        <v>153352</v>
      </c>
      <c r="Q272" s="38">
        <v>159190</v>
      </c>
      <c r="R272" s="38">
        <v>162369</v>
      </c>
      <c r="S272" s="38">
        <v>165520</v>
      </c>
      <c r="T272" s="38">
        <v>168640</v>
      </c>
      <c r="U272" s="38">
        <v>171725</v>
      </c>
      <c r="V272" s="38">
        <v>174775</v>
      </c>
      <c r="W272" s="38">
        <v>175817</v>
      </c>
      <c r="X272" s="38">
        <v>176819</v>
      </c>
      <c r="Y272" s="38">
        <v>177780</v>
      </c>
      <c r="Z272" s="38">
        <v>178703</v>
      </c>
      <c r="AA272" s="38">
        <v>179577</v>
      </c>
      <c r="AB272" s="38">
        <v>185403</v>
      </c>
      <c r="AC272" s="38">
        <v>191189</v>
      </c>
    </row>
    <row r="273" spans="1:29">
      <c r="A273" s="52">
        <v>54</v>
      </c>
      <c r="B273" s="38">
        <v>86346</v>
      </c>
      <c r="C273" s="38">
        <v>90816</v>
      </c>
      <c r="D273" s="38">
        <v>95285</v>
      </c>
      <c r="E273" s="38">
        <v>99750</v>
      </c>
      <c r="F273" s="38">
        <v>104217</v>
      </c>
      <c r="G273" s="38">
        <v>108671</v>
      </c>
      <c r="H273" s="38">
        <v>112204</v>
      </c>
      <c r="I273" s="38">
        <v>115735</v>
      </c>
      <c r="J273" s="38">
        <v>119261</v>
      </c>
      <c r="K273" s="38">
        <v>122778</v>
      </c>
      <c r="L273" s="38">
        <v>126298</v>
      </c>
      <c r="M273" s="38">
        <v>131532</v>
      </c>
      <c r="N273" s="38">
        <v>136753</v>
      </c>
      <c r="O273" s="38">
        <v>141958</v>
      </c>
      <c r="P273" s="38">
        <v>147141</v>
      </c>
      <c r="Q273" s="38">
        <v>152309</v>
      </c>
      <c r="R273" s="38">
        <v>156256</v>
      </c>
      <c r="S273" s="38">
        <v>160175</v>
      </c>
      <c r="T273" s="38">
        <v>164064</v>
      </c>
      <c r="U273" s="38">
        <v>167920</v>
      </c>
      <c r="V273" s="38">
        <v>171740</v>
      </c>
      <c r="W273" s="38">
        <v>173100</v>
      </c>
      <c r="X273" s="38">
        <v>174420</v>
      </c>
      <c r="Y273" s="38">
        <v>175702</v>
      </c>
      <c r="Z273" s="38">
        <v>176945</v>
      </c>
      <c r="AA273" s="38">
        <v>178138</v>
      </c>
      <c r="AB273" s="38">
        <v>182738</v>
      </c>
      <c r="AC273" s="38">
        <v>187298</v>
      </c>
    </row>
    <row r="274" spans="1:29">
      <c r="A274" s="51" t="s">
        <v>94</v>
      </c>
      <c r="B274" s="46">
        <v>0</v>
      </c>
      <c r="C274" s="46">
        <v>0</v>
      </c>
      <c r="D274" s="46">
        <v>0</v>
      </c>
      <c r="E274" s="46">
        <v>0</v>
      </c>
      <c r="F274" s="46">
        <v>0</v>
      </c>
      <c r="G274" s="46">
        <v>0</v>
      </c>
      <c r="H274" s="46">
        <v>0</v>
      </c>
      <c r="I274" s="46">
        <v>0</v>
      </c>
      <c r="J274" s="46">
        <v>0</v>
      </c>
      <c r="K274" s="46">
        <v>0</v>
      </c>
      <c r="L274" s="46">
        <v>0</v>
      </c>
      <c r="M274" s="46">
        <v>0</v>
      </c>
      <c r="N274" s="46">
        <v>0</v>
      </c>
      <c r="O274" s="46">
        <v>0</v>
      </c>
      <c r="P274" s="46">
        <v>0</v>
      </c>
      <c r="Q274" s="46">
        <v>0</v>
      </c>
      <c r="R274" s="46">
        <v>0</v>
      </c>
      <c r="S274" s="46">
        <v>0</v>
      </c>
      <c r="T274" s="46">
        <v>0</v>
      </c>
      <c r="U274" s="46">
        <v>0</v>
      </c>
      <c r="V274" s="46">
        <v>0</v>
      </c>
      <c r="W274" s="46">
        <v>0</v>
      </c>
      <c r="X274" s="46">
        <v>0</v>
      </c>
      <c r="Y274" s="46">
        <v>0</v>
      </c>
      <c r="Z274" s="46">
        <v>0</v>
      </c>
      <c r="AA274" s="46">
        <v>0</v>
      </c>
      <c r="AB274" s="46">
        <v>0</v>
      </c>
      <c r="AC274" s="46">
        <v>0</v>
      </c>
    </row>
    <row r="275" spans="1:29">
      <c r="A275" s="52">
        <v>55</v>
      </c>
      <c r="B275" s="38">
        <v>81300</v>
      </c>
      <c r="C275" s="38">
        <v>85781</v>
      </c>
      <c r="D275" s="38">
        <v>90262</v>
      </c>
      <c r="E275" s="38">
        <v>94740</v>
      </c>
      <c r="F275" s="38">
        <v>99220</v>
      </c>
      <c r="G275" s="38">
        <v>103684</v>
      </c>
      <c r="H275" s="38">
        <v>107563</v>
      </c>
      <c r="I275" s="38">
        <v>111441</v>
      </c>
      <c r="J275" s="38">
        <v>115310</v>
      </c>
      <c r="K275" s="38">
        <v>119175</v>
      </c>
      <c r="L275" s="38">
        <v>123039</v>
      </c>
      <c r="M275" s="38">
        <v>127425</v>
      </c>
      <c r="N275" s="38">
        <v>131798</v>
      </c>
      <c r="O275" s="38">
        <v>136155</v>
      </c>
      <c r="P275" s="38">
        <v>140491</v>
      </c>
      <c r="Q275" s="38">
        <v>144815</v>
      </c>
      <c r="R275" s="38">
        <v>149674</v>
      </c>
      <c r="S275" s="38">
        <v>154507</v>
      </c>
      <c r="T275" s="38">
        <v>159312</v>
      </c>
      <c r="U275" s="38">
        <v>164086</v>
      </c>
      <c r="V275" s="38">
        <v>168820</v>
      </c>
      <c r="W275" s="38">
        <v>170564</v>
      </c>
      <c r="X275" s="38">
        <v>172268</v>
      </c>
      <c r="Y275" s="38">
        <v>173931</v>
      </c>
      <c r="Z275" s="38">
        <v>175557</v>
      </c>
      <c r="AA275" s="38">
        <v>177135</v>
      </c>
      <c r="AB275" s="38">
        <v>180320</v>
      </c>
      <c r="AC275" s="38">
        <v>183459</v>
      </c>
    </row>
    <row r="276" spans="1:29">
      <c r="A276" s="52">
        <v>56</v>
      </c>
      <c r="B276" s="38">
        <v>76434</v>
      </c>
      <c r="C276" s="38">
        <v>80924</v>
      </c>
      <c r="D276" s="38">
        <v>85412</v>
      </c>
      <c r="E276" s="38">
        <v>89899</v>
      </c>
      <c r="F276" s="38">
        <v>94386</v>
      </c>
      <c r="G276" s="38">
        <v>98859</v>
      </c>
      <c r="H276" s="38">
        <v>102971</v>
      </c>
      <c r="I276" s="38">
        <v>107082</v>
      </c>
      <c r="J276" s="38">
        <v>111188</v>
      </c>
      <c r="K276" s="38">
        <v>115286</v>
      </c>
      <c r="L276" s="38">
        <v>119386</v>
      </c>
      <c r="M276" s="38">
        <v>123066</v>
      </c>
      <c r="N276" s="38">
        <v>126733</v>
      </c>
      <c r="O276" s="38">
        <v>130385</v>
      </c>
      <c r="P276" s="38">
        <v>134017</v>
      </c>
      <c r="Q276" s="38">
        <v>137637</v>
      </c>
      <c r="R276" s="38">
        <v>143318</v>
      </c>
      <c r="S276" s="38">
        <v>148975</v>
      </c>
      <c r="T276" s="38">
        <v>154604</v>
      </c>
      <c r="U276" s="38">
        <v>160202</v>
      </c>
      <c r="V276" s="38">
        <v>165765</v>
      </c>
      <c r="W276" s="38">
        <v>167814</v>
      </c>
      <c r="X276" s="38">
        <v>169825</v>
      </c>
      <c r="Y276" s="38">
        <v>171798</v>
      </c>
      <c r="Z276" s="38">
        <v>173734</v>
      </c>
      <c r="AA276" s="38">
        <v>175618</v>
      </c>
      <c r="AB276" s="38">
        <v>177615</v>
      </c>
      <c r="AC276" s="38">
        <v>179571</v>
      </c>
    </row>
    <row r="277" spans="1:29">
      <c r="A277" s="52">
        <v>57</v>
      </c>
      <c r="B277" s="38">
        <v>71909</v>
      </c>
      <c r="C277" s="38">
        <v>76313</v>
      </c>
      <c r="D277" s="38">
        <v>80716</v>
      </c>
      <c r="E277" s="38">
        <v>85116</v>
      </c>
      <c r="F277" s="38">
        <v>89517</v>
      </c>
      <c r="G277" s="38">
        <v>93905</v>
      </c>
      <c r="H277" s="38">
        <v>98200</v>
      </c>
      <c r="I277" s="38">
        <v>102492</v>
      </c>
      <c r="J277" s="38">
        <v>106782</v>
      </c>
      <c r="K277" s="38">
        <v>111062</v>
      </c>
      <c r="L277" s="38">
        <v>115344</v>
      </c>
      <c r="M277" s="38">
        <v>118586</v>
      </c>
      <c r="N277" s="38">
        <v>121815</v>
      </c>
      <c r="O277" s="38">
        <v>125029</v>
      </c>
      <c r="P277" s="38">
        <v>128224</v>
      </c>
      <c r="Q277" s="38">
        <v>131407</v>
      </c>
      <c r="R277" s="38">
        <v>137472</v>
      </c>
      <c r="S277" s="38">
        <v>143514</v>
      </c>
      <c r="T277" s="38">
        <v>149529</v>
      </c>
      <c r="U277" s="38">
        <v>155514</v>
      </c>
      <c r="V277" s="38">
        <v>161464</v>
      </c>
      <c r="W277" s="38">
        <v>163988</v>
      </c>
      <c r="X277" s="38">
        <v>166476</v>
      </c>
      <c r="Y277" s="38">
        <v>168927</v>
      </c>
      <c r="Z277" s="38">
        <v>171341</v>
      </c>
      <c r="AA277" s="38">
        <v>173705</v>
      </c>
      <c r="AB277" s="38">
        <v>174927</v>
      </c>
      <c r="AC277" s="38">
        <v>176109</v>
      </c>
    </row>
    <row r="278" spans="1:29">
      <c r="A278" s="52">
        <v>58</v>
      </c>
      <c r="B278" s="38">
        <v>67837</v>
      </c>
      <c r="C278" s="38">
        <v>72036</v>
      </c>
      <c r="D278" s="38">
        <v>76235</v>
      </c>
      <c r="E278" s="38">
        <v>80432</v>
      </c>
      <c r="F278" s="38">
        <v>84629</v>
      </c>
      <c r="G278" s="38">
        <v>88815</v>
      </c>
      <c r="H278" s="38">
        <v>93194</v>
      </c>
      <c r="I278" s="38">
        <v>97570</v>
      </c>
      <c r="J278" s="38">
        <v>101945</v>
      </c>
      <c r="K278" s="38">
        <v>106310</v>
      </c>
      <c r="L278" s="38">
        <v>110677</v>
      </c>
      <c r="M278" s="38">
        <v>113895</v>
      </c>
      <c r="N278" s="38">
        <v>117102</v>
      </c>
      <c r="O278" s="38">
        <v>120295</v>
      </c>
      <c r="P278" s="38">
        <v>123468</v>
      </c>
      <c r="Q278" s="38">
        <v>126630</v>
      </c>
      <c r="R278" s="38">
        <v>132468</v>
      </c>
      <c r="S278" s="38">
        <v>138283</v>
      </c>
      <c r="T278" s="38">
        <v>144073</v>
      </c>
      <c r="U278" s="38">
        <v>149833</v>
      </c>
      <c r="V278" s="38">
        <v>155559</v>
      </c>
      <c r="W278" s="38">
        <v>158730</v>
      </c>
      <c r="X278" s="38">
        <v>161867</v>
      </c>
      <c r="Y278" s="38">
        <v>164967</v>
      </c>
      <c r="Z278" s="38">
        <v>168031</v>
      </c>
      <c r="AA278" s="38">
        <v>171046</v>
      </c>
      <c r="AB278" s="38">
        <v>172112</v>
      </c>
      <c r="AC278" s="38">
        <v>173137</v>
      </c>
    </row>
    <row r="279" spans="1:29">
      <c r="A279" s="52">
        <v>59</v>
      </c>
      <c r="B279" s="38">
        <v>64166</v>
      </c>
      <c r="C279" s="38">
        <v>68072</v>
      </c>
      <c r="D279" s="38">
        <v>71976</v>
      </c>
      <c r="E279" s="38">
        <v>75879</v>
      </c>
      <c r="F279" s="38">
        <v>79783</v>
      </c>
      <c r="G279" s="38">
        <v>83675</v>
      </c>
      <c r="H279" s="38">
        <v>88055</v>
      </c>
      <c r="I279" s="38">
        <v>92433</v>
      </c>
      <c r="J279" s="38">
        <v>96809</v>
      </c>
      <c r="K279" s="38">
        <v>101175</v>
      </c>
      <c r="L279" s="38">
        <v>105544</v>
      </c>
      <c r="M279" s="38">
        <v>109041</v>
      </c>
      <c r="N279" s="38">
        <v>112527</v>
      </c>
      <c r="O279" s="38">
        <v>115999</v>
      </c>
      <c r="P279" s="38">
        <v>119453</v>
      </c>
      <c r="Q279" s="38">
        <v>122896</v>
      </c>
      <c r="R279" s="38">
        <v>128071</v>
      </c>
      <c r="S279" s="38">
        <v>133225</v>
      </c>
      <c r="T279" s="38">
        <v>138354</v>
      </c>
      <c r="U279" s="38">
        <v>143454</v>
      </c>
      <c r="V279" s="38">
        <v>148523</v>
      </c>
      <c r="W279" s="38">
        <v>152431</v>
      </c>
      <c r="X279" s="38">
        <v>156308</v>
      </c>
      <c r="Y279" s="38">
        <v>160149</v>
      </c>
      <c r="Z279" s="38">
        <v>163954</v>
      </c>
      <c r="AA279" s="38">
        <v>167712</v>
      </c>
      <c r="AB279" s="38">
        <v>169093</v>
      </c>
      <c r="AC279" s="38">
        <v>170434</v>
      </c>
    </row>
    <row r="280" spans="1:29">
      <c r="A280" s="51" t="s">
        <v>95</v>
      </c>
      <c r="B280" s="46">
        <v>0</v>
      </c>
      <c r="C280" s="46">
        <v>0</v>
      </c>
      <c r="D280" s="46">
        <v>0</v>
      </c>
      <c r="E280" s="46">
        <v>0</v>
      </c>
      <c r="F280" s="46">
        <v>0</v>
      </c>
      <c r="G280" s="46">
        <v>0</v>
      </c>
      <c r="H280" s="46">
        <v>0</v>
      </c>
      <c r="I280" s="46">
        <v>0</v>
      </c>
      <c r="J280" s="46">
        <v>0</v>
      </c>
      <c r="K280" s="46">
        <v>0</v>
      </c>
      <c r="L280" s="46">
        <v>0</v>
      </c>
      <c r="M280" s="46">
        <v>0</v>
      </c>
      <c r="N280" s="46">
        <v>0</v>
      </c>
      <c r="O280" s="46">
        <v>0</v>
      </c>
      <c r="P280" s="46">
        <v>0</v>
      </c>
      <c r="Q280" s="46">
        <v>0</v>
      </c>
      <c r="R280" s="46">
        <v>0</v>
      </c>
      <c r="S280" s="46">
        <v>0</v>
      </c>
      <c r="T280" s="46">
        <v>0</v>
      </c>
      <c r="U280" s="46">
        <v>0</v>
      </c>
      <c r="V280" s="46">
        <v>0</v>
      </c>
      <c r="W280" s="46">
        <v>0</v>
      </c>
      <c r="X280" s="46">
        <v>0</v>
      </c>
      <c r="Y280" s="46">
        <v>0</v>
      </c>
      <c r="Z280" s="46">
        <v>0</v>
      </c>
      <c r="AA280" s="46">
        <v>0</v>
      </c>
      <c r="AB280" s="46">
        <v>0</v>
      </c>
      <c r="AC280" s="46">
        <v>0</v>
      </c>
    </row>
    <row r="281" spans="1:29">
      <c r="A281" s="52">
        <v>60</v>
      </c>
      <c r="B281" s="38">
        <v>60657</v>
      </c>
      <c r="C281" s="38">
        <v>64237</v>
      </c>
      <c r="D281" s="38">
        <v>67819</v>
      </c>
      <c r="E281" s="38">
        <v>71399</v>
      </c>
      <c r="F281" s="38">
        <v>74980</v>
      </c>
      <c r="G281" s="38">
        <v>78549</v>
      </c>
      <c r="H281" s="38">
        <v>82927</v>
      </c>
      <c r="I281" s="38">
        <v>87305</v>
      </c>
      <c r="J281" s="38">
        <v>91681</v>
      </c>
      <c r="K281" s="38">
        <v>96046</v>
      </c>
      <c r="L281" s="38">
        <v>100417</v>
      </c>
      <c r="M281" s="38">
        <v>104243</v>
      </c>
      <c r="N281" s="38">
        <v>108060</v>
      </c>
      <c r="O281" s="38">
        <v>111863</v>
      </c>
      <c r="P281" s="38">
        <v>115650</v>
      </c>
      <c r="Q281" s="38">
        <v>119423</v>
      </c>
      <c r="R281" s="38">
        <v>123763</v>
      </c>
      <c r="S281" s="38">
        <v>128081</v>
      </c>
      <c r="T281" s="38">
        <v>132376</v>
      </c>
      <c r="U281" s="38">
        <v>136643</v>
      </c>
      <c r="V281" s="38">
        <v>140881</v>
      </c>
      <c r="W281" s="38">
        <v>145666</v>
      </c>
      <c r="X281" s="38">
        <v>150423</v>
      </c>
      <c r="Y281" s="38">
        <v>155144</v>
      </c>
      <c r="Z281" s="38">
        <v>159835</v>
      </c>
      <c r="AA281" s="38">
        <v>164476</v>
      </c>
      <c r="AB281" s="38">
        <v>166238</v>
      </c>
      <c r="AC281" s="38">
        <v>167959</v>
      </c>
    </row>
    <row r="282" spans="1:29">
      <c r="A282" s="52">
        <v>61</v>
      </c>
      <c r="B282" s="38">
        <v>57307</v>
      </c>
      <c r="C282" s="38">
        <v>60570</v>
      </c>
      <c r="D282" s="38">
        <v>63830</v>
      </c>
      <c r="E282" s="38">
        <v>67088</v>
      </c>
      <c r="F282" s="38">
        <v>70348</v>
      </c>
      <c r="G282" s="38">
        <v>73598</v>
      </c>
      <c r="H282" s="38">
        <v>77974</v>
      </c>
      <c r="I282" s="38">
        <v>82348</v>
      </c>
      <c r="J282" s="38">
        <v>86717</v>
      </c>
      <c r="K282" s="38">
        <v>91082</v>
      </c>
      <c r="L282" s="38">
        <v>95446</v>
      </c>
      <c r="M282" s="38">
        <v>99495</v>
      </c>
      <c r="N282" s="38">
        <v>103532</v>
      </c>
      <c r="O282" s="38">
        <v>107559</v>
      </c>
      <c r="P282" s="38">
        <v>111568</v>
      </c>
      <c r="Q282" s="38">
        <v>115564</v>
      </c>
      <c r="R282" s="38">
        <v>119205</v>
      </c>
      <c r="S282" s="38">
        <v>122825</v>
      </c>
      <c r="T282" s="38">
        <v>126422</v>
      </c>
      <c r="U282" s="38">
        <v>129994</v>
      </c>
      <c r="V282" s="38">
        <v>133538</v>
      </c>
      <c r="W282" s="38">
        <v>139116</v>
      </c>
      <c r="X282" s="38">
        <v>144665</v>
      </c>
      <c r="Y282" s="38">
        <v>150183</v>
      </c>
      <c r="Z282" s="38">
        <v>155666</v>
      </c>
      <c r="AA282" s="38">
        <v>161103</v>
      </c>
      <c r="AB282" s="38">
        <v>163167</v>
      </c>
      <c r="AC282" s="38">
        <v>165193</v>
      </c>
    </row>
    <row r="283" spans="1:29">
      <c r="A283" s="52">
        <v>62</v>
      </c>
      <c r="B283" s="38">
        <v>54370</v>
      </c>
      <c r="C283" s="38">
        <v>57296</v>
      </c>
      <c r="D283" s="38">
        <v>60222</v>
      </c>
      <c r="E283" s="38">
        <v>63146</v>
      </c>
      <c r="F283" s="38">
        <v>66070</v>
      </c>
      <c r="G283" s="38">
        <v>68985</v>
      </c>
      <c r="H283" s="38">
        <v>73266</v>
      </c>
      <c r="I283" s="38">
        <v>77545</v>
      </c>
      <c r="J283" s="38">
        <v>81821</v>
      </c>
      <c r="K283" s="38">
        <v>86090</v>
      </c>
      <c r="L283" s="38">
        <v>90360</v>
      </c>
      <c r="M283" s="38">
        <v>94575</v>
      </c>
      <c r="N283" s="38">
        <v>98780</v>
      </c>
      <c r="O283" s="38">
        <v>102974</v>
      </c>
      <c r="P283" s="38">
        <v>107152</v>
      </c>
      <c r="Q283" s="38">
        <v>111315</v>
      </c>
      <c r="R283" s="38">
        <v>114517</v>
      </c>
      <c r="S283" s="38">
        <v>117700</v>
      </c>
      <c r="T283" s="38">
        <v>120860</v>
      </c>
      <c r="U283" s="38">
        <v>123996</v>
      </c>
      <c r="V283" s="38">
        <v>127105</v>
      </c>
      <c r="W283" s="38">
        <v>133049</v>
      </c>
      <c r="X283" s="38">
        <v>138965</v>
      </c>
      <c r="Y283" s="38">
        <v>144851</v>
      </c>
      <c r="Z283" s="38">
        <v>150703</v>
      </c>
      <c r="AA283" s="38">
        <v>156510</v>
      </c>
      <c r="AB283" s="38">
        <v>159035</v>
      </c>
      <c r="AC283" s="38">
        <v>161522</v>
      </c>
    </row>
    <row r="284" spans="1:29">
      <c r="A284" s="52">
        <v>63</v>
      </c>
      <c r="B284" s="38">
        <v>51901</v>
      </c>
      <c r="C284" s="38">
        <v>54489</v>
      </c>
      <c r="D284" s="38">
        <v>57074</v>
      </c>
      <c r="E284" s="38">
        <v>59659</v>
      </c>
      <c r="F284" s="38">
        <v>62243</v>
      </c>
      <c r="G284" s="38">
        <v>64820</v>
      </c>
      <c r="H284" s="38">
        <v>68892</v>
      </c>
      <c r="I284" s="38">
        <v>72961</v>
      </c>
      <c r="J284" s="38">
        <v>77028</v>
      </c>
      <c r="K284" s="38">
        <v>81090</v>
      </c>
      <c r="L284" s="38">
        <v>85151</v>
      </c>
      <c r="M284" s="38">
        <v>89432</v>
      </c>
      <c r="N284" s="38">
        <v>93705</v>
      </c>
      <c r="O284" s="38">
        <v>97966</v>
      </c>
      <c r="P284" s="38">
        <v>102211</v>
      </c>
      <c r="Q284" s="38">
        <v>106444</v>
      </c>
      <c r="R284" s="38">
        <v>109612</v>
      </c>
      <c r="S284" s="38">
        <v>112761</v>
      </c>
      <c r="T284" s="38">
        <v>115889</v>
      </c>
      <c r="U284" s="38">
        <v>118993</v>
      </c>
      <c r="V284" s="38">
        <v>122072</v>
      </c>
      <c r="W284" s="38">
        <v>127788</v>
      </c>
      <c r="X284" s="38">
        <v>133479</v>
      </c>
      <c r="Y284" s="38">
        <v>139139</v>
      </c>
      <c r="Z284" s="38">
        <v>144768</v>
      </c>
      <c r="AA284" s="38">
        <v>150354</v>
      </c>
      <c r="AB284" s="38">
        <v>153494</v>
      </c>
      <c r="AC284" s="38">
        <v>156599</v>
      </c>
    </row>
    <row r="285" spans="1:29">
      <c r="A285" s="52">
        <v>64</v>
      </c>
      <c r="B285" s="38">
        <v>49800</v>
      </c>
      <c r="C285" s="38">
        <v>52053</v>
      </c>
      <c r="D285" s="38">
        <v>54305</v>
      </c>
      <c r="E285" s="38">
        <v>56556</v>
      </c>
      <c r="F285" s="38">
        <v>58808</v>
      </c>
      <c r="G285" s="38">
        <v>61051</v>
      </c>
      <c r="H285" s="38">
        <v>64826</v>
      </c>
      <c r="I285" s="38">
        <v>68600</v>
      </c>
      <c r="J285" s="38">
        <v>72372</v>
      </c>
      <c r="K285" s="38">
        <v>76138</v>
      </c>
      <c r="L285" s="38">
        <v>79904</v>
      </c>
      <c r="M285" s="38">
        <v>84168</v>
      </c>
      <c r="N285" s="38">
        <v>88423</v>
      </c>
      <c r="O285" s="38">
        <v>92667</v>
      </c>
      <c r="P285" s="38">
        <v>96897</v>
      </c>
      <c r="Q285" s="38">
        <v>101115</v>
      </c>
      <c r="R285" s="38">
        <v>104541</v>
      </c>
      <c r="S285" s="38">
        <v>107949</v>
      </c>
      <c r="T285" s="38">
        <v>111337</v>
      </c>
      <c r="U285" s="38">
        <v>114703</v>
      </c>
      <c r="V285" s="38">
        <v>118043</v>
      </c>
      <c r="W285" s="38">
        <v>123110</v>
      </c>
      <c r="X285" s="38">
        <v>128153</v>
      </c>
      <c r="Y285" s="38">
        <v>133167</v>
      </c>
      <c r="Z285" s="38">
        <v>138150</v>
      </c>
      <c r="AA285" s="38">
        <v>143092</v>
      </c>
      <c r="AB285" s="38">
        <v>146928</v>
      </c>
      <c r="AC285" s="38">
        <v>150732</v>
      </c>
    </row>
    <row r="286" spans="1:29">
      <c r="A286" s="51" t="s">
        <v>96</v>
      </c>
      <c r="B286" s="46">
        <v>0</v>
      </c>
      <c r="C286" s="46">
        <v>0</v>
      </c>
      <c r="D286" s="46">
        <v>0</v>
      </c>
      <c r="E286" s="46">
        <v>0</v>
      </c>
      <c r="F286" s="46">
        <v>0</v>
      </c>
      <c r="G286" s="46">
        <v>0</v>
      </c>
      <c r="H286" s="46">
        <v>0</v>
      </c>
      <c r="I286" s="46">
        <v>0</v>
      </c>
      <c r="J286" s="46">
        <v>0</v>
      </c>
      <c r="K286" s="46">
        <v>0</v>
      </c>
      <c r="L286" s="46">
        <v>0</v>
      </c>
      <c r="M286" s="46">
        <v>0</v>
      </c>
      <c r="N286" s="46">
        <v>0</v>
      </c>
      <c r="O286" s="46">
        <v>0</v>
      </c>
      <c r="P286" s="46">
        <v>0</v>
      </c>
      <c r="Q286" s="46">
        <v>0</v>
      </c>
      <c r="R286" s="46">
        <v>0</v>
      </c>
      <c r="S286" s="46">
        <v>0</v>
      </c>
      <c r="T286" s="46">
        <v>0</v>
      </c>
      <c r="U286" s="46">
        <v>0</v>
      </c>
      <c r="V286" s="46">
        <v>0</v>
      </c>
      <c r="W286" s="46">
        <v>0</v>
      </c>
      <c r="X286" s="46">
        <v>0</v>
      </c>
      <c r="Y286" s="46">
        <v>0</v>
      </c>
      <c r="Z286" s="46">
        <v>0</v>
      </c>
      <c r="AA286" s="46">
        <v>0</v>
      </c>
      <c r="AB286" s="46">
        <v>0</v>
      </c>
      <c r="AC286" s="46">
        <v>0</v>
      </c>
    </row>
    <row r="287" spans="1:29">
      <c r="A287" s="52">
        <v>65</v>
      </c>
      <c r="B287" s="38">
        <v>47898</v>
      </c>
      <c r="C287" s="38">
        <v>49808</v>
      </c>
      <c r="D287" s="38">
        <v>51719</v>
      </c>
      <c r="E287" s="38">
        <v>53629</v>
      </c>
      <c r="F287" s="38">
        <v>55540</v>
      </c>
      <c r="G287" s="38">
        <v>57440</v>
      </c>
      <c r="H287" s="38">
        <v>60891</v>
      </c>
      <c r="I287" s="38">
        <v>64341</v>
      </c>
      <c r="J287" s="38">
        <v>67787</v>
      </c>
      <c r="K287" s="38">
        <v>71227</v>
      </c>
      <c r="L287" s="38">
        <v>74670</v>
      </c>
      <c r="M287" s="38">
        <v>78912</v>
      </c>
      <c r="N287" s="38">
        <v>83149</v>
      </c>
      <c r="O287" s="38">
        <v>87374</v>
      </c>
      <c r="P287" s="38">
        <v>91586</v>
      </c>
      <c r="Q287" s="38">
        <v>95787</v>
      </c>
      <c r="R287" s="38">
        <v>99520</v>
      </c>
      <c r="S287" s="38">
        <v>103240</v>
      </c>
      <c r="T287" s="38">
        <v>106939</v>
      </c>
      <c r="U287" s="38">
        <v>110615</v>
      </c>
      <c r="V287" s="38">
        <v>114270</v>
      </c>
      <c r="W287" s="38">
        <v>118517</v>
      </c>
      <c r="X287" s="38">
        <v>122743</v>
      </c>
      <c r="Y287" s="38">
        <v>126940</v>
      </c>
      <c r="Z287" s="38">
        <v>131108</v>
      </c>
      <c r="AA287" s="38">
        <v>135236</v>
      </c>
      <c r="AB287" s="38">
        <v>139901</v>
      </c>
      <c r="AC287" s="38">
        <v>144536</v>
      </c>
    </row>
    <row r="288" spans="1:29">
      <c r="A288" s="52">
        <v>66</v>
      </c>
      <c r="B288" s="38">
        <v>46052</v>
      </c>
      <c r="C288" s="38">
        <v>47643</v>
      </c>
      <c r="D288" s="38">
        <v>49232</v>
      </c>
      <c r="E288" s="38">
        <v>50819</v>
      </c>
      <c r="F288" s="38">
        <v>52406</v>
      </c>
      <c r="G288" s="38">
        <v>53986</v>
      </c>
      <c r="H288" s="38">
        <v>57115</v>
      </c>
      <c r="I288" s="38">
        <v>60243</v>
      </c>
      <c r="J288" s="38">
        <v>63369</v>
      </c>
      <c r="K288" s="38">
        <v>66490</v>
      </c>
      <c r="L288" s="38">
        <v>69610</v>
      </c>
      <c r="M288" s="38">
        <v>73832</v>
      </c>
      <c r="N288" s="38">
        <v>78047</v>
      </c>
      <c r="O288" s="38">
        <v>82252</v>
      </c>
      <c r="P288" s="38">
        <v>86445</v>
      </c>
      <c r="Q288" s="38">
        <v>90625</v>
      </c>
      <c r="R288" s="38">
        <v>94562</v>
      </c>
      <c r="S288" s="38">
        <v>98482</v>
      </c>
      <c r="T288" s="38">
        <v>102384</v>
      </c>
      <c r="U288" s="38">
        <v>106266</v>
      </c>
      <c r="V288" s="38">
        <v>110122</v>
      </c>
      <c r="W288" s="38">
        <v>113684</v>
      </c>
      <c r="X288" s="38">
        <v>117222</v>
      </c>
      <c r="Y288" s="38">
        <v>120733</v>
      </c>
      <c r="Z288" s="38">
        <v>124218</v>
      </c>
      <c r="AA288" s="38">
        <v>127666</v>
      </c>
      <c r="AB288" s="38">
        <v>133078</v>
      </c>
      <c r="AC288" s="38">
        <v>138462</v>
      </c>
    </row>
    <row r="289" spans="1:29">
      <c r="A289" s="52">
        <v>67</v>
      </c>
      <c r="B289" s="38">
        <v>44246</v>
      </c>
      <c r="C289" s="38">
        <v>45585</v>
      </c>
      <c r="D289" s="38">
        <v>46923</v>
      </c>
      <c r="E289" s="38">
        <v>48260</v>
      </c>
      <c r="F289" s="38">
        <v>49597</v>
      </c>
      <c r="G289" s="38">
        <v>50927</v>
      </c>
      <c r="H289" s="38">
        <v>53724</v>
      </c>
      <c r="I289" s="38">
        <v>56521</v>
      </c>
      <c r="J289" s="38">
        <v>59316</v>
      </c>
      <c r="K289" s="38">
        <v>62106</v>
      </c>
      <c r="L289" s="38">
        <v>64896</v>
      </c>
      <c r="M289" s="38">
        <v>69009</v>
      </c>
      <c r="N289" s="38">
        <v>73116</v>
      </c>
      <c r="O289" s="38">
        <v>77215</v>
      </c>
      <c r="P289" s="38">
        <v>81302</v>
      </c>
      <c r="Q289" s="38">
        <v>85377</v>
      </c>
      <c r="R289" s="38">
        <v>89458</v>
      </c>
      <c r="S289" s="38">
        <v>93524</v>
      </c>
      <c r="T289" s="38">
        <v>97573</v>
      </c>
      <c r="U289" s="38">
        <v>101603</v>
      </c>
      <c r="V289" s="38">
        <v>105607</v>
      </c>
      <c r="W289" s="38">
        <v>108730</v>
      </c>
      <c r="X289" s="38">
        <v>111830</v>
      </c>
      <c r="Y289" s="38">
        <v>114905</v>
      </c>
      <c r="Z289" s="38">
        <v>117955</v>
      </c>
      <c r="AA289" s="38">
        <v>120970</v>
      </c>
      <c r="AB289" s="38">
        <v>126721</v>
      </c>
      <c r="AC289" s="38">
        <v>132446</v>
      </c>
    </row>
    <row r="290" spans="1:29">
      <c r="A290" s="52">
        <v>68</v>
      </c>
      <c r="B290" s="38">
        <v>42409</v>
      </c>
      <c r="C290" s="38">
        <v>43593</v>
      </c>
      <c r="D290" s="38">
        <v>44776</v>
      </c>
      <c r="E290" s="38">
        <v>45958</v>
      </c>
      <c r="F290" s="38">
        <v>47140</v>
      </c>
      <c r="G290" s="38">
        <v>48314</v>
      </c>
      <c r="H290" s="38">
        <v>50783</v>
      </c>
      <c r="I290" s="38">
        <v>53250</v>
      </c>
      <c r="J290" s="38">
        <v>55716</v>
      </c>
      <c r="K290" s="38">
        <v>58177</v>
      </c>
      <c r="L290" s="38">
        <v>60639</v>
      </c>
      <c r="M290" s="38">
        <v>64537</v>
      </c>
      <c r="N290" s="38">
        <v>68428</v>
      </c>
      <c r="O290" s="38">
        <v>72312</v>
      </c>
      <c r="P290" s="38">
        <v>76183</v>
      </c>
      <c r="Q290" s="38">
        <v>80045</v>
      </c>
      <c r="R290" s="38">
        <v>84169</v>
      </c>
      <c r="S290" s="38">
        <v>88278</v>
      </c>
      <c r="T290" s="38">
        <v>92372</v>
      </c>
      <c r="U290" s="38">
        <v>96447</v>
      </c>
      <c r="V290" s="38">
        <v>100497</v>
      </c>
      <c r="W290" s="38">
        <v>103571</v>
      </c>
      <c r="X290" s="38">
        <v>106623</v>
      </c>
      <c r="Y290" s="38">
        <v>109650</v>
      </c>
      <c r="Z290" s="38">
        <v>112653</v>
      </c>
      <c r="AA290" s="38">
        <v>115624</v>
      </c>
      <c r="AB290" s="38">
        <v>121148</v>
      </c>
      <c r="AC290" s="38">
        <v>126647</v>
      </c>
    </row>
    <row r="291" spans="1:29">
      <c r="A291" s="52">
        <v>69</v>
      </c>
      <c r="B291" s="38">
        <v>40536</v>
      </c>
      <c r="C291" s="38">
        <v>41642</v>
      </c>
      <c r="D291" s="38">
        <v>42747</v>
      </c>
      <c r="E291" s="38">
        <v>43852</v>
      </c>
      <c r="F291" s="38">
        <v>44957</v>
      </c>
      <c r="G291" s="38">
        <v>46055</v>
      </c>
      <c r="H291" s="38">
        <v>48203</v>
      </c>
      <c r="I291" s="38">
        <v>50351</v>
      </c>
      <c r="J291" s="38">
        <v>52497</v>
      </c>
      <c r="K291" s="38">
        <v>54639</v>
      </c>
      <c r="L291" s="38">
        <v>56781</v>
      </c>
      <c r="M291" s="38">
        <v>60382</v>
      </c>
      <c r="N291" s="38">
        <v>63975</v>
      </c>
      <c r="O291" s="38">
        <v>67562</v>
      </c>
      <c r="P291" s="38">
        <v>71138</v>
      </c>
      <c r="Q291" s="38">
        <v>74705</v>
      </c>
      <c r="R291" s="38">
        <v>78787</v>
      </c>
      <c r="S291" s="38">
        <v>82856</v>
      </c>
      <c r="T291" s="38">
        <v>86908</v>
      </c>
      <c r="U291" s="38">
        <v>90944</v>
      </c>
      <c r="V291" s="38">
        <v>94957</v>
      </c>
      <c r="W291" s="38">
        <v>98261</v>
      </c>
      <c r="X291" s="38">
        <v>101544</v>
      </c>
      <c r="Y291" s="38">
        <v>104805</v>
      </c>
      <c r="Z291" s="38">
        <v>108042</v>
      </c>
      <c r="AA291" s="38">
        <v>111248</v>
      </c>
      <c r="AB291" s="38">
        <v>116143</v>
      </c>
      <c r="AC291" s="38">
        <v>121012</v>
      </c>
    </row>
    <row r="292" spans="1:29">
      <c r="A292" s="51" t="s">
        <v>97</v>
      </c>
      <c r="B292" s="46">
        <v>0</v>
      </c>
      <c r="C292" s="46">
        <v>0</v>
      </c>
      <c r="D292" s="46">
        <v>0</v>
      </c>
      <c r="E292" s="46">
        <v>0</v>
      </c>
      <c r="F292" s="46">
        <v>0</v>
      </c>
      <c r="G292" s="46">
        <v>0</v>
      </c>
      <c r="H292" s="46">
        <v>0</v>
      </c>
      <c r="I292" s="46">
        <v>0</v>
      </c>
      <c r="J292" s="46">
        <v>0</v>
      </c>
      <c r="K292" s="46">
        <v>0</v>
      </c>
      <c r="L292" s="46">
        <v>0</v>
      </c>
      <c r="M292" s="46">
        <v>0</v>
      </c>
      <c r="N292" s="46">
        <v>0</v>
      </c>
      <c r="O292" s="46">
        <v>0</v>
      </c>
      <c r="P292" s="46">
        <v>0</v>
      </c>
      <c r="Q292" s="46">
        <v>0</v>
      </c>
      <c r="R292" s="46">
        <v>0</v>
      </c>
      <c r="S292" s="46">
        <v>0</v>
      </c>
      <c r="T292" s="46">
        <v>0</v>
      </c>
      <c r="U292" s="46">
        <v>0</v>
      </c>
      <c r="V292" s="46">
        <v>0</v>
      </c>
      <c r="W292" s="46">
        <v>0</v>
      </c>
      <c r="X292" s="46">
        <v>0</v>
      </c>
      <c r="Y292" s="46">
        <v>0</v>
      </c>
      <c r="Z292" s="46">
        <v>0</v>
      </c>
      <c r="AA292" s="46">
        <v>0</v>
      </c>
      <c r="AB292" s="46">
        <v>0</v>
      </c>
      <c r="AC292" s="46">
        <v>0</v>
      </c>
    </row>
    <row r="293" spans="1:29">
      <c r="A293" s="52">
        <v>70</v>
      </c>
      <c r="B293" s="38">
        <v>38821</v>
      </c>
      <c r="C293" s="38">
        <v>39869</v>
      </c>
      <c r="D293" s="38">
        <v>40917</v>
      </c>
      <c r="E293" s="38">
        <v>41962</v>
      </c>
      <c r="F293" s="38">
        <v>43010</v>
      </c>
      <c r="G293" s="38">
        <v>44051</v>
      </c>
      <c r="H293" s="38">
        <v>45877</v>
      </c>
      <c r="I293" s="38">
        <v>47700</v>
      </c>
      <c r="J293" s="38">
        <v>49524</v>
      </c>
      <c r="K293" s="38">
        <v>51340</v>
      </c>
      <c r="L293" s="38">
        <v>53163</v>
      </c>
      <c r="M293" s="38">
        <v>56447</v>
      </c>
      <c r="N293" s="38">
        <v>59723</v>
      </c>
      <c r="O293" s="38">
        <v>62994</v>
      </c>
      <c r="P293" s="38">
        <v>66253</v>
      </c>
      <c r="Q293" s="38">
        <v>69507</v>
      </c>
      <c r="R293" s="38">
        <v>73554</v>
      </c>
      <c r="S293" s="38">
        <v>77587</v>
      </c>
      <c r="T293" s="38">
        <v>81608</v>
      </c>
      <c r="U293" s="38">
        <v>85612</v>
      </c>
      <c r="V293" s="38">
        <v>89594</v>
      </c>
      <c r="W293" s="38">
        <v>93188</v>
      </c>
      <c r="X293" s="38">
        <v>96762</v>
      </c>
      <c r="Y293" s="38">
        <v>100312</v>
      </c>
      <c r="Z293" s="38">
        <v>103843</v>
      </c>
      <c r="AA293" s="38">
        <v>107341</v>
      </c>
      <c r="AB293" s="38">
        <v>111456</v>
      </c>
      <c r="AC293" s="38">
        <v>115547</v>
      </c>
    </row>
    <row r="294" spans="1:29">
      <c r="A294" s="52">
        <v>71</v>
      </c>
      <c r="B294" s="38">
        <v>37136</v>
      </c>
      <c r="C294" s="38">
        <v>38135</v>
      </c>
      <c r="D294" s="38">
        <v>39133</v>
      </c>
      <c r="E294" s="38">
        <v>40131</v>
      </c>
      <c r="F294" s="38">
        <v>41129</v>
      </c>
      <c r="G294" s="38">
        <v>42121</v>
      </c>
      <c r="H294" s="38">
        <v>43641</v>
      </c>
      <c r="I294" s="38">
        <v>45161</v>
      </c>
      <c r="J294" s="38">
        <v>46678</v>
      </c>
      <c r="K294" s="38">
        <v>48192</v>
      </c>
      <c r="L294" s="38">
        <v>49710</v>
      </c>
      <c r="M294" s="38">
        <v>52682</v>
      </c>
      <c r="N294" s="38">
        <v>55650</v>
      </c>
      <c r="O294" s="38">
        <v>58610</v>
      </c>
      <c r="P294" s="38">
        <v>61563</v>
      </c>
      <c r="Q294" s="38">
        <v>64507</v>
      </c>
      <c r="R294" s="38">
        <v>68522</v>
      </c>
      <c r="S294" s="38">
        <v>72526</v>
      </c>
      <c r="T294" s="38">
        <v>76517</v>
      </c>
      <c r="U294" s="38">
        <v>80491</v>
      </c>
      <c r="V294" s="38">
        <v>84446</v>
      </c>
      <c r="W294" s="38">
        <v>88224</v>
      </c>
      <c r="X294" s="38">
        <v>91984</v>
      </c>
      <c r="Y294" s="38">
        <v>95725</v>
      </c>
      <c r="Z294" s="38">
        <v>99444</v>
      </c>
      <c r="AA294" s="38">
        <v>103132</v>
      </c>
      <c r="AB294" s="38">
        <v>106594</v>
      </c>
      <c r="AC294" s="38">
        <v>110033</v>
      </c>
    </row>
    <row r="295" spans="1:29">
      <c r="A295" s="52">
        <v>72</v>
      </c>
      <c r="B295" s="38">
        <v>35132</v>
      </c>
      <c r="C295" s="38">
        <v>36134</v>
      </c>
      <c r="D295" s="38">
        <v>37134</v>
      </c>
      <c r="E295" s="38">
        <v>38134</v>
      </c>
      <c r="F295" s="38">
        <v>39134</v>
      </c>
      <c r="G295" s="38">
        <v>40129</v>
      </c>
      <c r="H295" s="38">
        <v>41408</v>
      </c>
      <c r="I295" s="38">
        <v>42685</v>
      </c>
      <c r="J295" s="38">
        <v>43961</v>
      </c>
      <c r="K295" s="38">
        <v>45233</v>
      </c>
      <c r="L295" s="38">
        <v>46509</v>
      </c>
      <c r="M295" s="38">
        <v>49152</v>
      </c>
      <c r="N295" s="38">
        <v>51791</v>
      </c>
      <c r="O295" s="38">
        <v>54424</v>
      </c>
      <c r="P295" s="38">
        <v>57048</v>
      </c>
      <c r="Q295" s="38">
        <v>59667</v>
      </c>
      <c r="R295" s="38">
        <v>63553</v>
      </c>
      <c r="S295" s="38">
        <v>67429</v>
      </c>
      <c r="T295" s="38">
        <v>71293</v>
      </c>
      <c r="U295" s="38">
        <v>75143</v>
      </c>
      <c r="V295" s="38">
        <v>78973</v>
      </c>
      <c r="W295" s="38">
        <v>82863</v>
      </c>
      <c r="X295" s="38">
        <v>86737</v>
      </c>
      <c r="Y295" s="38">
        <v>90592</v>
      </c>
      <c r="Z295" s="38">
        <v>94426</v>
      </c>
      <c r="AA295" s="38">
        <v>98231</v>
      </c>
      <c r="AB295" s="38">
        <v>101250</v>
      </c>
      <c r="AC295" s="38">
        <v>104246</v>
      </c>
    </row>
    <row r="296" spans="1:29">
      <c r="A296" s="52">
        <v>73</v>
      </c>
      <c r="B296" s="38">
        <v>32681</v>
      </c>
      <c r="C296" s="38">
        <v>33740</v>
      </c>
      <c r="D296" s="38">
        <v>34800</v>
      </c>
      <c r="E296" s="38">
        <v>35859</v>
      </c>
      <c r="F296" s="38">
        <v>36917</v>
      </c>
      <c r="G296" s="38">
        <v>37973</v>
      </c>
      <c r="H296" s="38">
        <v>39092</v>
      </c>
      <c r="I296" s="38">
        <v>40211</v>
      </c>
      <c r="J296" s="38">
        <v>41327</v>
      </c>
      <c r="K296" s="38">
        <v>42442</v>
      </c>
      <c r="L296" s="38">
        <v>43559</v>
      </c>
      <c r="M296" s="38">
        <v>45861</v>
      </c>
      <c r="N296" s="38">
        <v>48159</v>
      </c>
      <c r="O296" s="38">
        <v>50452</v>
      </c>
      <c r="P296" s="38">
        <v>52737</v>
      </c>
      <c r="Q296" s="38">
        <v>55017</v>
      </c>
      <c r="R296" s="38">
        <v>58652</v>
      </c>
      <c r="S296" s="38">
        <v>62280</v>
      </c>
      <c r="T296" s="38">
        <v>65894</v>
      </c>
      <c r="U296" s="38">
        <v>69496</v>
      </c>
      <c r="V296" s="38">
        <v>73081</v>
      </c>
      <c r="W296" s="38">
        <v>76958</v>
      </c>
      <c r="X296" s="38">
        <v>80819</v>
      </c>
      <c r="Y296" s="38">
        <v>84663</v>
      </c>
      <c r="Z296" s="38">
        <v>88488</v>
      </c>
      <c r="AA296" s="38">
        <v>92285</v>
      </c>
      <c r="AB296" s="38">
        <v>95196</v>
      </c>
      <c r="AC296" s="38">
        <v>98085</v>
      </c>
    </row>
    <row r="297" spans="1:29">
      <c r="A297" s="52">
        <v>74</v>
      </c>
      <c r="B297" s="38">
        <v>29949</v>
      </c>
      <c r="C297" s="38">
        <v>31105</v>
      </c>
      <c r="D297" s="38">
        <v>32261</v>
      </c>
      <c r="E297" s="38">
        <v>33415</v>
      </c>
      <c r="F297" s="38">
        <v>34570</v>
      </c>
      <c r="G297" s="38">
        <v>35721</v>
      </c>
      <c r="H297" s="38">
        <v>36751</v>
      </c>
      <c r="I297" s="38">
        <v>37781</v>
      </c>
      <c r="J297" s="38">
        <v>38810</v>
      </c>
      <c r="K297" s="38">
        <v>39836</v>
      </c>
      <c r="L297" s="38">
        <v>40863</v>
      </c>
      <c r="M297" s="38">
        <v>42830</v>
      </c>
      <c r="N297" s="38">
        <v>44793</v>
      </c>
      <c r="O297" s="38">
        <v>46750</v>
      </c>
      <c r="P297" s="38">
        <v>48700</v>
      </c>
      <c r="Q297" s="38">
        <v>50646</v>
      </c>
      <c r="R297" s="38">
        <v>53946</v>
      </c>
      <c r="S297" s="38">
        <v>57239</v>
      </c>
      <c r="T297" s="38">
        <v>60520</v>
      </c>
      <c r="U297" s="38">
        <v>63789</v>
      </c>
      <c r="V297" s="38">
        <v>67043</v>
      </c>
      <c r="W297" s="38">
        <v>70811</v>
      </c>
      <c r="X297" s="38">
        <v>74566</v>
      </c>
      <c r="Y297" s="38">
        <v>78306</v>
      </c>
      <c r="Z297" s="38">
        <v>82026</v>
      </c>
      <c r="AA297" s="38">
        <v>85722</v>
      </c>
      <c r="AB297" s="38">
        <v>88773</v>
      </c>
      <c r="AC297" s="38">
        <v>91805</v>
      </c>
    </row>
    <row r="298" spans="1:29">
      <c r="A298" s="54" t="s">
        <v>98</v>
      </c>
      <c r="B298" s="46">
        <v>0</v>
      </c>
      <c r="C298" s="46">
        <v>0</v>
      </c>
      <c r="D298" s="46">
        <v>0</v>
      </c>
      <c r="E298" s="46">
        <v>0</v>
      </c>
      <c r="F298" s="46">
        <v>0</v>
      </c>
      <c r="G298" s="46">
        <v>0</v>
      </c>
      <c r="H298" s="46">
        <v>0</v>
      </c>
      <c r="I298" s="46">
        <v>0</v>
      </c>
      <c r="J298" s="46">
        <v>0</v>
      </c>
      <c r="K298" s="46">
        <v>0</v>
      </c>
      <c r="L298" s="46">
        <v>0</v>
      </c>
      <c r="M298" s="46">
        <v>0</v>
      </c>
      <c r="N298" s="46">
        <v>0</v>
      </c>
      <c r="O298" s="46">
        <v>0</v>
      </c>
      <c r="P298" s="46">
        <v>0</v>
      </c>
      <c r="Q298" s="46">
        <v>0</v>
      </c>
      <c r="R298" s="46">
        <v>0</v>
      </c>
      <c r="S298" s="46">
        <v>0</v>
      </c>
      <c r="T298" s="46">
        <v>0</v>
      </c>
      <c r="U298" s="46">
        <v>0</v>
      </c>
      <c r="V298" s="46">
        <v>0</v>
      </c>
      <c r="W298" s="46">
        <v>0</v>
      </c>
      <c r="X298" s="46">
        <v>0</v>
      </c>
      <c r="Y298" s="46">
        <v>0</v>
      </c>
      <c r="Z298" s="46">
        <v>0</v>
      </c>
      <c r="AA298" s="46">
        <v>0</v>
      </c>
      <c r="AB298" s="46">
        <v>0</v>
      </c>
      <c r="AC298" s="46">
        <v>0</v>
      </c>
    </row>
    <row r="299" spans="1:29">
      <c r="A299" s="53">
        <v>75</v>
      </c>
      <c r="B299" s="38">
        <v>27212</v>
      </c>
      <c r="C299" s="38">
        <v>28469</v>
      </c>
      <c r="D299" s="38">
        <v>29731</v>
      </c>
      <c r="E299" s="38">
        <v>30990</v>
      </c>
      <c r="F299" s="38">
        <v>32249</v>
      </c>
      <c r="G299" s="38">
        <v>33504</v>
      </c>
      <c r="H299" s="38">
        <v>34492</v>
      </c>
      <c r="I299" s="38">
        <v>35478</v>
      </c>
      <c r="J299" s="38">
        <v>36460</v>
      </c>
      <c r="K299" s="38">
        <v>37444</v>
      </c>
      <c r="L299" s="38">
        <v>38427</v>
      </c>
      <c r="M299" s="38">
        <v>40083</v>
      </c>
      <c r="N299" s="38">
        <v>41735</v>
      </c>
      <c r="O299" s="38">
        <v>43383</v>
      </c>
      <c r="P299" s="38">
        <v>45024</v>
      </c>
      <c r="Q299" s="38">
        <v>46659</v>
      </c>
      <c r="R299" s="38">
        <v>49600</v>
      </c>
      <c r="S299" s="38">
        <v>52529</v>
      </c>
      <c r="T299" s="38">
        <v>55451</v>
      </c>
      <c r="U299" s="38">
        <v>58361</v>
      </c>
      <c r="V299" s="38">
        <v>61258</v>
      </c>
      <c r="W299" s="38">
        <v>64884</v>
      </c>
      <c r="X299" s="38">
        <v>68496</v>
      </c>
      <c r="Y299" s="38">
        <v>72092</v>
      </c>
      <c r="Z299" s="38">
        <v>75674</v>
      </c>
      <c r="AA299" s="38">
        <v>79231</v>
      </c>
      <c r="AB299" s="38">
        <v>82516</v>
      </c>
      <c r="AC299" s="38">
        <v>85784</v>
      </c>
    </row>
    <row r="300" spans="1:29">
      <c r="A300" s="52">
        <v>76</v>
      </c>
      <c r="B300" s="38">
        <v>24697</v>
      </c>
      <c r="C300" s="38">
        <v>26046</v>
      </c>
      <c r="D300" s="38">
        <v>27393</v>
      </c>
      <c r="E300" s="38">
        <v>28740</v>
      </c>
      <c r="F300" s="38">
        <v>30088</v>
      </c>
      <c r="G300" s="38">
        <v>31431</v>
      </c>
      <c r="H300" s="38">
        <v>32398</v>
      </c>
      <c r="I300" s="38">
        <v>33365</v>
      </c>
      <c r="J300" s="38">
        <v>34330</v>
      </c>
      <c r="K300" s="38">
        <v>35292</v>
      </c>
      <c r="L300" s="38">
        <v>36255</v>
      </c>
      <c r="M300" s="38">
        <v>37645</v>
      </c>
      <c r="N300" s="38">
        <v>39030</v>
      </c>
      <c r="O300" s="38">
        <v>40411</v>
      </c>
      <c r="P300" s="38">
        <v>41786</v>
      </c>
      <c r="Q300" s="38">
        <v>43158</v>
      </c>
      <c r="R300" s="38">
        <v>45759</v>
      </c>
      <c r="S300" s="38">
        <v>48355</v>
      </c>
      <c r="T300" s="38">
        <v>50941</v>
      </c>
      <c r="U300" s="38">
        <v>53517</v>
      </c>
      <c r="V300" s="38">
        <v>56081</v>
      </c>
      <c r="W300" s="38">
        <v>59574</v>
      </c>
      <c r="X300" s="38">
        <v>63056</v>
      </c>
      <c r="Y300" s="38">
        <v>66525</v>
      </c>
      <c r="Z300" s="38">
        <v>69978</v>
      </c>
      <c r="AA300" s="38">
        <v>73409</v>
      </c>
      <c r="AB300" s="38">
        <v>76893</v>
      </c>
      <c r="AC300" s="38">
        <v>80359</v>
      </c>
    </row>
    <row r="301" spans="1:29">
      <c r="A301" s="53">
        <v>77</v>
      </c>
      <c r="B301" s="38">
        <v>22563</v>
      </c>
      <c r="C301" s="38">
        <v>23964</v>
      </c>
      <c r="D301" s="38">
        <v>25366</v>
      </c>
      <c r="E301" s="38">
        <v>26766</v>
      </c>
      <c r="F301" s="38">
        <v>28166</v>
      </c>
      <c r="G301" s="38">
        <v>29564</v>
      </c>
      <c r="H301" s="38">
        <v>30523</v>
      </c>
      <c r="I301" s="38">
        <v>31482</v>
      </c>
      <c r="J301" s="38">
        <v>32440</v>
      </c>
      <c r="K301" s="38">
        <v>33395</v>
      </c>
      <c r="L301" s="38">
        <v>34351</v>
      </c>
      <c r="M301" s="38">
        <v>35534</v>
      </c>
      <c r="N301" s="38">
        <v>36713</v>
      </c>
      <c r="O301" s="38">
        <v>37888</v>
      </c>
      <c r="P301" s="38">
        <v>39056</v>
      </c>
      <c r="Q301" s="38">
        <v>40223</v>
      </c>
      <c r="R301" s="38">
        <v>42548</v>
      </c>
      <c r="S301" s="38">
        <v>44866</v>
      </c>
      <c r="T301" s="38">
        <v>47175</v>
      </c>
      <c r="U301" s="38">
        <v>49476</v>
      </c>
      <c r="V301" s="38">
        <v>51765</v>
      </c>
      <c r="W301" s="38">
        <v>55165</v>
      </c>
      <c r="X301" s="38">
        <v>58554</v>
      </c>
      <c r="Y301" s="38">
        <v>61931</v>
      </c>
      <c r="Z301" s="38">
        <v>65293</v>
      </c>
      <c r="AA301" s="38">
        <v>68635</v>
      </c>
      <c r="AB301" s="38">
        <v>72208</v>
      </c>
      <c r="AC301" s="38">
        <v>75765</v>
      </c>
    </row>
    <row r="302" spans="1:29">
      <c r="A302" s="53">
        <v>78</v>
      </c>
      <c r="B302" s="38">
        <v>20863</v>
      </c>
      <c r="C302" s="38">
        <v>22273</v>
      </c>
      <c r="D302" s="38">
        <v>23681</v>
      </c>
      <c r="E302" s="38">
        <v>25090</v>
      </c>
      <c r="F302" s="38">
        <v>26499</v>
      </c>
      <c r="G302" s="38">
        <v>27904</v>
      </c>
      <c r="H302" s="38">
        <v>28868</v>
      </c>
      <c r="I302" s="38">
        <v>29831</v>
      </c>
      <c r="J302" s="38">
        <v>30795</v>
      </c>
      <c r="K302" s="38">
        <v>31754</v>
      </c>
      <c r="L302" s="38">
        <v>32715</v>
      </c>
      <c r="M302" s="38">
        <v>33765</v>
      </c>
      <c r="N302" s="38">
        <v>34811</v>
      </c>
      <c r="O302" s="38">
        <v>35852</v>
      </c>
      <c r="P302" s="38">
        <v>36888</v>
      </c>
      <c r="Q302" s="38">
        <v>37922</v>
      </c>
      <c r="R302" s="38">
        <v>40041</v>
      </c>
      <c r="S302" s="38">
        <v>42155</v>
      </c>
      <c r="T302" s="38">
        <v>44260</v>
      </c>
      <c r="U302" s="38">
        <v>46356</v>
      </c>
      <c r="V302" s="38">
        <v>48443</v>
      </c>
      <c r="W302" s="38">
        <v>51786</v>
      </c>
      <c r="X302" s="38">
        <v>55120</v>
      </c>
      <c r="Y302" s="38">
        <v>58442</v>
      </c>
      <c r="Z302" s="38">
        <v>61750</v>
      </c>
      <c r="AA302" s="38">
        <v>65040</v>
      </c>
      <c r="AB302" s="38">
        <v>68587</v>
      </c>
      <c r="AC302" s="38">
        <v>72120</v>
      </c>
    </row>
    <row r="303" spans="1:29">
      <c r="A303" s="53">
        <v>79</v>
      </c>
      <c r="B303" s="38">
        <v>19564</v>
      </c>
      <c r="C303" s="38">
        <v>20934</v>
      </c>
      <c r="D303" s="38">
        <v>22302</v>
      </c>
      <c r="E303" s="38">
        <v>23671</v>
      </c>
      <c r="F303" s="38">
        <v>25039</v>
      </c>
      <c r="G303" s="38">
        <v>26405</v>
      </c>
      <c r="H303" s="38">
        <v>27395</v>
      </c>
      <c r="I303" s="38">
        <v>28385</v>
      </c>
      <c r="J303" s="38">
        <v>29374</v>
      </c>
      <c r="K303" s="38">
        <v>30360</v>
      </c>
      <c r="L303" s="38">
        <v>31348</v>
      </c>
      <c r="M303" s="38">
        <v>32347</v>
      </c>
      <c r="N303" s="38">
        <v>33343</v>
      </c>
      <c r="O303" s="38">
        <v>34335</v>
      </c>
      <c r="P303" s="38">
        <v>35321</v>
      </c>
      <c r="Q303" s="38">
        <v>36306</v>
      </c>
      <c r="R303" s="38">
        <v>38286</v>
      </c>
      <c r="S303" s="38">
        <v>40262</v>
      </c>
      <c r="T303" s="38">
        <v>42229</v>
      </c>
      <c r="U303" s="38">
        <v>44187</v>
      </c>
      <c r="V303" s="38">
        <v>46137</v>
      </c>
      <c r="W303" s="38">
        <v>49436</v>
      </c>
      <c r="X303" s="38">
        <v>52726</v>
      </c>
      <c r="Y303" s="38">
        <v>56006</v>
      </c>
      <c r="Z303" s="38">
        <v>59272</v>
      </c>
      <c r="AA303" s="38">
        <v>62519</v>
      </c>
      <c r="AB303" s="38">
        <v>65984</v>
      </c>
      <c r="AC303" s="38">
        <v>69437</v>
      </c>
    </row>
    <row r="304" spans="1:29">
      <c r="A304" s="55" t="s">
        <v>99</v>
      </c>
      <c r="B304" s="38">
        <v>87313</v>
      </c>
      <c r="C304" s="38">
        <v>91884</v>
      </c>
      <c r="D304" s="38">
        <v>96454</v>
      </c>
      <c r="E304" s="38">
        <v>101022</v>
      </c>
      <c r="F304" s="38">
        <v>105590</v>
      </c>
      <c r="G304" s="38">
        <v>110139</v>
      </c>
      <c r="H304" s="38">
        <v>117245</v>
      </c>
      <c r="I304" s="38">
        <v>124347</v>
      </c>
      <c r="J304" s="38">
        <v>131447</v>
      </c>
      <c r="K304" s="38">
        <v>138534</v>
      </c>
      <c r="L304" s="38">
        <v>145624</v>
      </c>
      <c r="M304" s="38">
        <v>153385</v>
      </c>
      <c r="N304" s="38">
        <v>161131</v>
      </c>
      <c r="O304" s="38">
        <v>168858</v>
      </c>
      <c r="P304" s="38">
        <v>176558</v>
      </c>
      <c r="Q304" s="38">
        <v>184239</v>
      </c>
      <c r="R304" s="38">
        <v>193441</v>
      </c>
      <c r="S304" s="38">
        <v>202612</v>
      </c>
      <c r="T304" s="38">
        <v>211746</v>
      </c>
      <c r="U304" s="38">
        <v>220836</v>
      </c>
      <c r="V304" s="38">
        <v>229872</v>
      </c>
      <c r="W304" s="38">
        <v>243610</v>
      </c>
      <c r="X304" s="38">
        <v>257300</v>
      </c>
      <c r="Y304" s="38">
        <v>270935</v>
      </c>
      <c r="Z304" s="38">
        <v>284508</v>
      </c>
      <c r="AA304" s="38">
        <v>297994</v>
      </c>
      <c r="AB304" s="38">
        <v>318036</v>
      </c>
      <c r="AC304" s="38">
        <v>338015</v>
      </c>
    </row>
  </sheetData>
  <printOptions horizontalCentered="1"/>
  <pageMargins left="0.39370078740157483" right="0.39370078740157483" top="0.39370078740157483" bottom="0.39370078740157483" header="0" footer="0"/>
  <pageSetup scale="66" fitToWidth="2" fitToHeight="6" orientation="landscape" r:id="rId1"/>
  <headerFooter scaleWithDoc="0" alignWithMargins="0">
    <oddFooter>&amp;R&amp;P/&amp;N</oddFooter>
  </headerFooter>
  <rowBreaks count="5" manualBreakCount="5">
    <brk id="61" max="28" man="1"/>
    <brk id="104" max="28" man="1"/>
    <brk id="161" max="28" man="1"/>
    <brk id="204" max="28" man="1"/>
    <brk id="261" max="28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Z52"/>
  <sheetViews>
    <sheetView workbookViewId="0">
      <selection activeCell="M11" sqref="M11"/>
    </sheetView>
  </sheetViews>
  <sheetFormatPr baseColWidth="10" defaultRowHeight="15"/>
  <cols>
    <col min="1" max="1" width="5.140625" bestFit="1" customWidth="1"/>
    <col min="2" max="2" width="2.42578125" bestFit="1" customWidth="1"/>
    <col min="3" max="3" width="8.140625" bestFit="1" customWidth="1"/>
    <col min="4" max="4" width="7.140625" bestFit="1" customWidth="1"/>
    <col min="5" max="5" width="6.140625" bestFit="1" customWidth="1"/>
    <col min="6" max="8" width="4.140625" bestFit="1" customWidth="1"/>
    <col min="9" max="9" width="6.140625" bestFit="1" customWidth="1"/>
    <col min="10" max="24" width="7.42578125" bestFit="1" customWidth="1"/>
    <col min="25" max="25" width="7.140625" bestFit="1" customWidth="1"/>
    <col min="26" max="26" width="4.140625" bestFit="1" customWidth="1"/>
  </cols>
  <sheetData>
    <row r="1" spans="1:26" s="34" customFormat="1">
      <c r="A1" s="34" t="s">
        <v>21</v>
      </c>
      <c r="B1" s="34" t="s">
        <v>22</v>
      </c>
      <c r="C1" s="34" t="s">
        <v>20</v>
      </c>
      <c r="D1" s="34">
        <v>-1</v>
      </c>
      <c r="E1" s="34">
        <v>1</v>
      </c>
      <c r="F1" s="34">
        <v>2</v>
      </c>
      <c r="G1" s="34">
        <v>3</v>
      </c>
      <c r="H1" s="34">
        <v>4</v>
      </c>
      <c r="I1" s="35" t="s">
        <v>3</v>
      </c>
      <c r="J1" s="34" t="s">
        <v>4</v>
      </c>
      <c r="K1" s="34" t="s">
        <v>5</v>
      </c>
      <c r="L1" s="34" t="s">
        <v>6</v>
      </c>
      <c r="M1" s="34" t="s">
        <v>7</v>
      </c>
      <c r="N1" s="34" t="s">
        <v>8</v>
      </c>
      <c r="O1" s="34" t="s">
        <v>9</v>
      </c>
      <c r="P1" s="34" t="s">
        <v>10</v>
      </c>
      <c r="Q1" s="34" t="s">
        <v>11</v>
      </c>
      <c r="R1" s="34" t="s">
        <v>12</v>
      </c>
      <c r="S1" s="34" t="s">
        <v>13</v>
      </c>
      <c r="T1" s="34" t="s">
        <v>14</v>
      </c>
      <c r="U1" s="34" t="s">
        <v>15</v>
      </c>
      <c r="V1" s="34" t="s">
        <v>16</v>
      </c>
      <c r="W1" s="34" t="s">
        <v>17</v>
      </c>
      <c r="X1" s="34" t="s">
        <v>18</v>
      </c>
      <c r="Y1" s="34" t="s">
        <v>19</v>
      </c>
      <c r="Z1" s="34" t="s">
        <v>23</v>
      </c>
    </row>
    <row r="2" spans="1:26">
      <c r="A2">
        <v>2011</v>
      </c>
      <c r="B2" t="s">
        <v>0</v>
      </c>
      <c r="C2" s="1">
        <v>143020</v>
      </c>
      <c r="D2" s="1">
        <v>8900</v>
      </c>
      <c r="E2">
        <v>607</v>
      </c>
      <c r="F2">
        <v>356</v>
      </c>
      <c r="G2">
        <v>244</v>
      </c>
      <c r="H2">
        <v>188</v>
      </c>
      <c r="I2">
        <v>687</v>
      </c>
      <c r="J2">
        <v>969</v>
      </c>
      <c r="K2" s="1">
        <v>4526</v>
      </c>
      <c r="L2" s="1">
        <v>6425</v>
      </c>
      <c r="M2" s="1">
        <v>5627</v>
      </c>
      <c r="N2" s="1">
        <v>4867</v>
      </c>
      <c r="O2" s="1">
        <v>4482</v>
      </c>
      <c r="P2" s="1">
        <v>4705</v>
      </c>
      <c r="Q2" s="1">
        <v>5771</v>
      </c>
      <c r="R2" s="1">
        <v>7612</v>
      </c>
      <c r="S2" s="1">
        <v>9215</v>
      </c>
      <c r="T2" s="1">
        <v>10405</v>
      </c>
      <c r="U2" s="1">
        <v>10481</v>
      </c>
      <c r="V2" s="1">
        <v>11607</v>
      </c>
      <c r="W2" s="1">
        <v>12602</v>
      </c>
      <c r="X2" s="1">
        <v>13334</v>
      </c>
      <c r="Y2" s="1">
        <v>19336</v>
      </c>
      <c r="Z2">
        <v>74</v>
      </c>
    </row>
    <row r="3" spans="1:26">
      <c r="A3">
        <v>2011</v>
      </c>
      <c r="B3" t="s">
        <v>1</v>
      </c>
      <c r="C3" s="1">
        <v>86504</v>
      </c>
      <c r="D3" s="1">
        <v>5033</v>
      </c>
      <c r="E3">
        <v>310</v>
      </c>
      <c r="F3">
        <v>192</v>
      </c>
      <c r="G3">
        <v>138</v>
      </c>
      <c r="H3">
        <v>95</v>
      </c>
      <c r="I3">
        <v>401</v>
      </c>
      <c r="J3">
        <v>596</v>
      </c>
      <c r="K3" s="1">
        <v>3845</v>
      </c>
      <c r="L3" s="1">
        <v>5635</v>
      </c>
      <c r="M3" s="1">
        <v>4683</v>
      </c>
      <c r="N3" s="1">
        <v>3726</v>
      </c>
      <c r="O3" s="1">
        <v>3216</v>
      </c>
      <c r="P3" s="1">
        <v>3109</v>
      </c>
      <c r="Q3" s="1">
        <v>3747</v>
      </c>
      <c r="R3" s="1">
        <v>4804</v>
      </c>
      <c r="S3" s="1">
        <v>5861</v>
      </c>
      <c r="T3" s="1">
        <v>6450</v>
      </c>
      <c r="U3" s="1">
        <v>6414</v>
      </c>
      <c r="V3" s="1">
        <v>6767</v>
      </c>
      <c r="W3" s="1">
        <v>6805</v>
      </c>
      <c r="X3" s="1">
        <v>6649</v>
      </c>
      <c r="Y3" s="1">
        <v>7960</v>
      </c>
      <c r="Z3">
        <v>68</v>
      </c>
    </row>
    <row r="4" spans="1:26">
      <c r="A4">
        <v>2011</v>
      </c>
      <c r="B4" t="s">
        <v>2</v>
      </c>
      <c r="C4" s="1">
        <v>56516</v>
      </c>
      <c r="D4" s="1">
        <v>3867</v>
      </c>
      <c r="E4">
        <v>297</v>
      </c>
      <c r="F4">
        <v>164</v>
      </c>
      <c r="G4">
        <v>106</v>
      </c>
      <c r="H4">
        <v>93</v>
      </c>
      <c r="I4">
        <v>286</v>
      </c>
      <c r="J4">
        <v>373</v>
      </c>
      <c r="K4">
        <v>681</v>
      </c>
      <c r="L4">
        <v>790</v>
      </c>
      <c r="M4">
        <v>944</v>
      </c>
      <c r="N4" s="1">
        <v>1141</v>
      </c>
      <c r="O4" s="1">
        <v>1266</v>
      </c>
      <c r="P4" s="1">
        <v>1596</v>
      </c>
      <c r="Q4" s="1">
        <v>2024</v>
      </c>
      <c r="R4" s="1">
        <v>2808</v>
      </c>
      <c r="S4" s="1">
        <v>3354</v>
      </c>
      <c r="T4" s="1">
        <v>3955</v>
      </c>
      <c r="U4" s="1">
        <v>4067</v>
      </c>
      <c r="V4" s="1">
        <v>4840</v>
      </c>
      <c r="W4" s="1">
        <v>5797</v>
      </c>
      <c r="X4" s="1">
        <v>6685</v>
      </c>
      <c r="Y4" s="1">
        <v>11376</v>
      </c>
      <c r="Z4">
        <v>6</v>
      </c>
    </row>
    <row r="5" spans="1:26">
      <c r="A5">
        <f>+A2-1</f>
        <v>2010</v>
      </c>
      <c r="B5" t="s">
        <v>0</v>
      </c>
      <c r="C5" s="1">
        <v>138504</v>
      </c>
      <c r="D5" s="1">
        <v>8965</v>
      </c>
      <c r="E5">
        <v>640</v>
      </c>
      <c r="F5">
        <v>365</v>
      </c>
      <c r="G5">
        <v>233</v>
      </c>
      <c r="H5">
        <v>215</v>
      </c>
      <c r="I5">
        <v>784</v>
      </c>
      <c r="J5">
        <v>939</v>
      </c>
      <c r="K5" s="1">
        <v>4584</v>
      </c>
      <c r="L5" s="1">
        <v>6388</v>
      </c>
      <c r="M5" s="1">
        <v>5735</v>
      </c>
      <c r="N5" s="1">
        <v>4897</v>
      </c>
      <c r="O5" s="1">
        <v>4295</v>
      </c>
      <c r="P5" s="1">
        <v>4582</v>
      </c>
      <c r="Q5" s="1">
        <v>5757</v>
      </c>
      <c r="R5" s="1">
        <v>7287</v>
      </c>
      <c r="S5" s="1">
        <v>8799</v>
      </c>
      <c r="T5" s="1">
        <v>9656</v>
      </c>
      <c r="U5" s="1">
        <v>9872</v>
      </c>
      <c r="V5" s="1">
        <v>11445</v>
      </c>
      <c r="W5" s="1">
        <v>12236</v>
      </c>
      <c r="X5" s="1">
        <v>12775</v>
      </c>
      <c r="Y5" s="1">
        <v>18019</v>
      </c>
      <c r="Z5">
        <v>36</v>
      </c>
    </row>
    <row r="6" spans="1:26">
      <c r="A6">
        <f t="shared" ref="A6:A52" si="0">+A3-1</f>
        <v>2010</v>
      </c>
      <c r="B6" t="s">
        <v>1</v>
      </c>
      <c r="C6" s="1">
        <v>84196</v>
      </c>
      <c r="D6" s="1">
        <v>5102</v>
      </c>
      <c r="E6">
        <v>350</v>
      </c>
      <c r="F6">
        <v>227</v>
      </c>
      <c r="G6">
        <v>145</v>
      </c>
      <c r="H6">
        <v>111</v>
      </c>
      <c r="I6">
        <v>449</v>
      </c>
      <c r="J6">
        <v>598</v>
      </c>
      <c r="K6" s="1">
        <v>3822</v>
      </c>
      <c r="L6" s="1">
        <v>5535</v>
      </c>
      <c r="M6" s="1">
        <v>4783</v>
      </c>
      <c r="N6" s="1">
        <v>3810</v>
      </c>
      <c r="O6" s="1">
        <v>3070</v>
      </c>
      <c r="P6" s="1">
        <v>3034</v>
      </c>
      <c r="Q6" s="1">
        <v>3757</v>
      </c>
      <c r="R6" s="1">
        <v>4687</v>
      </c>
      <c r="S6" s="1">
        <v>5517</v>
      </c>
      <c r="T6" s="1">
        <v>6044</v>
      </c>
      <c r="U6" s="1">
        <v>5919</v>
      </c>
      <c r="V6" s="1">
        <v>6536</v>
      </c>
      <c r="W6" s="1">
        <v>6742</v>
      </c>
      <c r="X6" s="1">
        <v>6449</v>
      </c>
      <c r="Y6" s="1">
        <v>7476</v>
      </c>
      <c r="Z6">
        <v>33</v>
      </c>
    </row>
    <row r="7" spans="1:26">
      <c r="A7">
        <f t="shared" si="0"/>
        <v>2010</v>
      </c>
      <c r="B7" t="s">
        <v>2</v>
      </c>
      <c r="C7" s="1">
        <v>54308</v>
      </c>
      <c r="D7" s="1">
        <v>3863</v>
      </c>
      <c r="E7">
        <v>290</v>
      </c>
      <c r="F7">
        <v>138</v>
      </c>
      <c r="G7">
        <v>88</v>
      </c>
      <c r="H7">
        <v>104</v>
      </c>
      <c r="I7">
        <v>335</v>
      </c>
      <c r="J7">
        <v>341</v>
      </c>
      <c r="K7">
        <v>762</v>
      </c>
      <c r="L7">
        <v>853</v>
      </c>
      <c r="M7">
        <v>952</v>
      </c>
      <c r="N7" s="1">
        <v>1087</v>
      </c>
      <c r="O7" s="1">
        <v>1225</v>
      </c>
      <c r="P7" s="1">
        <v>1548</v>
      </c>
      <c r="Q7" s="1">
        <v>2000</v>
      </c>
      <c r="R7" s="1">
        <v>2600</v>
      </c>
      <c r="S7" s="1">
        <v>3282</v>
      </c>
      <c r="T7" s="1">
        <v>3612</v>
      </c>
      <c r="U7" s="1">
        <v>3953</v>
      </c>
      <c r="V7" s="1">
        <v>4909</v>
      </c>
      <c r="W7" s="1">
        <v>5494</v>
      </c>
      <c r="X7" s="1">
        <v>6326</v>
      </c>
      <c r="Y7" s="1">
        <v>10543</v>
      </c>
      <c r="Z7">
        <v>3</v>
      </c>
    </row>
    <row r="8" spans="1:26">
      <c r="A8">
        <f t="shared" si="0"/>
        <v>2009</v>
      </c>
      <c r="B8" t="s">
        <v>0</v>
      </c>
      <c r="C8" s="1">
        <v>134731</v>
      </c>
      <c r="D8" s="1">
        <v>8577</v>
      </c>
      <c r="E8">
        <v>654</v>
      </c>
      <c r="F8">
        <v>360</v>
      </c>
      <c r="G8">
        <v>246</v>
      </c>
      <c r="H8">
        <v>204</v>
      </c>
      <c r="I8">
        <v>766</v>
      </c>
      <c r="J8">
        <v>966</v>
      </c>
      <c r="K8" s="1">
        <v>4813</v>
      </c>
      <c r="L8" s="1">
        <v>6958</v>
      </c>
      <c r="M8" s="1">
        <v>6119</v>
      </c>
      <c r="N8" s="1">
        <v>5049</v>
      </c>
      <c r="O8" s="1">
        <v>4377</v>
      </c>
      <c r="P8" s="1">
        <v>4899</v>
      </c>
      <c r="Q8" s="1">
        <v>5937</v>
      </c>
      <c r="R8" s="1">
        <v>7266</v>
      </c>
      <c r="S8" s="1">
        <v>8663</v>
      </c>
      <c r="T8" s="1">
        <v>9084</v>
      </c>
      <c r="U8" s="1">
        <v>9477</v>
      </c>
      <c r="V8" s="1">
        <v>10717</v>
      </c>
      <c r="W8" s="1">
        <v>11884</v>
      </c>
      <c r="X8" s="1">
        <v>11527</v>
      </c>
      <c r="Y8" s="1">
        <v>16100</v>
      </c>
      <c r="Z8">
        <v>88</v>
      </c>
    </row>
    <row r="9" spans="1:26">
      <c r="A9">
        <f t="shared" si="0"/>
        <v>2009</v>
      </c>
      <c r="B9" t="s">
        <v>1</v>
      </c>
      <c r="C9" s="1">
        <v>83325</v>
      </c>
      <c r="D9" s="1">
        <v>4888</v>
      </c>
      <c r="E9">
        <v>346</v>
      </c>
      <c r="F9">
        <v>184</v>
      </c>
      <c r="G9">
        <v>133</v>
      </c>
      <c r="H9">
        <v>125</v>
      </c>
      <c r="I9">
        <v>439</v>
      </c>
      <c r="J9">
        <v>612</v>
      </c>
      <c r="K9" s="1">
        <v>4051</v>
      </c>
      <c r="L9" s="1">
        <v>6103</v>
      </c>
      <c r="M9" s="1">
        <v>5096</v>
      </c>
      <c r="N9" s="1">
        <v>4023</v>
      </c>
      <c r="O9" s="1">
        <v>3207</v>
      </c>
      <c r="P9" s="1">
        <v>3357</v>
      </c>
      <c r="Q9" s="1">
        <v>3858</v>
      </c>
      <c r="R9" s="1">
        <v>4729</v>
      </c>
      <c r="S9" s="1">
        <v>5524</v>
      </c>
      <c r="T9" s="1">
        <v>5663</v>
      </c>
      <c r="U9" s="1">
        <v>5751</v>
      </c>
      <c r="V9" s="1">
        <v>6201</v>
      </c>
      <c r="W9" s="1">
        <v>6628</v>
      </c>
      <c r="X9" s="1">
        <v>5706</v>
      </c>
      <c r="Y9" s="1">
        <v>6622</v>
      </c>
      <c r="Z9">
        <v>79</v>
      </c>
    </row>
    <row r="10" spans="1:26">
      <c r="A10">
        <f t="shared" si="0"/>
        <v>2009</v>
      </c>
      <c r="B10" t="s">
        <v>2</v>
      </c>
      <c r="C10" s="1">
        <v>51406</v>
      </c>
      <c r="D10" s="1">
        <v>3689</v>
      </c>
      <c r="E10">
        <v>308</v>
      </c>
      <c r="F10">
        <v>176</v>
      </c>
      <c r="G10">
        <v>113</v>
      </c>
      <c r="H10">
        <v>79</v>
      </c>
      <c r="I10">
        <v>327</v>
      </c>
      <c r="J10">
        <v>354</v>
      </c>
      <c r="K10">
        <v>762</v>
      </c>
      <c r="L10">
        <v>855</v>
      </c>
      <c r="M10" s="1">
        <v>1023</v>
      </c>
      <c r="N10" s="1">
        <v>1026</v>
      </c>
      <c r="O10" s="1">
        <v>1170</v>
      </c>
      <c r="P10" s="1">
        <v>1542</v>
      </c>
      <c r="Q10" s="1">
        <v>2079</v>
      </c>
      <c r="R10" s="1">
        <v>2537</v>
      </c>
      <c r="S10" s="1">
        <v>3139</v>
      </c>
      <c r="T10" s="1">
        <v>3421</v>
      </c>
      <c r="U10" s="1">
        <v>3726</v>
      </c>
      <c r="V10" s="1">
        <v>4516</v>
      </c>
      <c r="W10" s="1">
        <v>5256</v>
      </c>
      <c r="X10" s="1">
        <v>5821</v>
      </c>
      <c r="Y10" s="1">
        <v>9478</v>
      </c>
      <c r="Z10">
        <v>9</v>
      </c>
    </row>
    <row r="11" spans="1:26">
      <c r="A11">
        <f t="shared" si="0"/>
        <v>2008</v>
      </c>
      <c r="B11" t="s">
        <v>0</v>
      </c>
      <c r="C11" s="1">
        <v>133651</v>
      </c>
      <c r="D11" s="1">
        <v>8307</v>
      </c>
      <c r="E11">
        <v>662</v>
      </c>
      <c r="F11">
        <v>329</v>
      </c>
      <c r="G11">
        <v>254</v>
      </c>
      <c r="H11">
        <v>168</v>
      </c>
      <c r="I11">
        <v>733</v>
      </c>
      <c r="J11" s="1">
        <v>1060</v>
      </c>
      <c r="K11" s="1">
        <v>4840</v>
      </c>
      <c r="L11" s="1">
        <v>7108</v>
      </c>
      <c r="M11" s="1">
        <v>6077</v>
      </c>
      <c r="N11" s="1">
        <v>4933</v>
      </c>
      <c r="O11" s="1">
        <v>4403</v>
      </c>
      <c r="P11" s="1">
        <v>4813</v>
      </c>
      <c r="Q11" s="1">
        <v>5847</v>
      </c>
      <c r="R11" s="1">
        <v>7046</v>
      </c>
      <c r="S11" s="1">
        <v>8392</v>
      </c>
      <c r="T11" s="1">
        <v>8603</v>
      </c>
      <c r="U11" s="1">
        <v>9514</v>
      </c>
      <c r="V11" s="1">
        <v>10668</v>
      </c>
      <c r="W11" s="1">
        <v>12014</v>
      </c>
      <c r="X11" s="1">
        <v>11380</v>
      </c>
      <c r="Y11" s="1">
        <v>16292</v>
      </c>
      <c r="Z11">
        <v>208</v>
      </c>
    </row>
    <row r="12" spans="1:26">
      <c r="A12">
        <f t="shared" si="0"/>
        <v>2008</v>
      </c>
      <c r="B12" t="s">
        <v>1</v>
      </c>
      <c r="C12" s="1">
        <v>83106</v>
      </c>
      <c r="D12" s="1">
        <v>4781</v>
      </c>
      <c r="E12">
        <v>369</v>
      </c>
      <c r="F12">
        <v>180</v>
      </c>
      <c r="G12">
        <v>149</v>
      </c>
      <c r="H12">
        <v>88</v>
      </c>
      <c r="I12">
        <v>432</v>
      </c>
      <c r="J12">
        <v>671</v>
      </c>
      <c r="K12" s="1">
        <v>4087</v>
      </c>
      <c r="L12" s="1">
        <v>6239</v>
      </c>
      <c r="M12" s="1">
        <v>5161</v>
      </c>
      <c r="N12" s="1">
        <v>3943</v>
      </c>
      <c r="O12" s="1">
        <v>3245</v>
      </c>
      <c r="P12" s="1">
        <v>3326</v>
      </c>
      <c r="Q12" s="1">
        <v>3837</v>
      </c>
      <c r="R12" s="1">
        <v>4585</v>
      </c>
      <c r="S12" s="1">
        <v>5279</v>
      </c>
      <c r="T12" s="1">
        <v>5377</v>
      </c>
      <c r="U12" s="1">
        <v>5771</v>
      </c>
      <c r="V12" s="1">
        <v>6222</v>
      </c>
      <c r="W12" s="1">
        <v>6676</v>
      </c>
      <c r="X12" s="1">
        <v>5749</v>
      </c>
      <c r="Y12" s="1">
        <v>6749</v>
      </c>
      <c r="Z12">
        <v>190</v>
      </c>
    </row>
    <row r="13" spans="1:26">
      <c r="A13">
        <f t="shared" si="0"/>
        <v>2008</v>
      </c>
      <c r="B13" t="s">
        <v>2</v>
      </c>
      <c r="C13" s="1">
        <v>50545</v>
      </c>
      <c r="D13" s="1">
        <v>3526</v>
      </c>
      <c r="E13">
        <v>293</v>
      </c>
      <c r="F13">
        <v>149</v>
      </c>
      <c r="G13">
        <v>105</v>
      </c>
      <c r="H13">
        <v>80</v>
      </c>
      <c r="I13">
        <v>301</v>
      </c>
      <c r="J13">
        <v>389</v>
      </c>
      <c r="K13">
        <v>753</v>
      </c>
      <c r="L13">
        <v>869</v>
      </c>
      <c r="M13">
        <v>916</v>
      </c>
      <c r="N13">
        <v>990</v>
      </c>
      <c r="O13" s="1">
        <v>1158</v>
      </c>
      <c r="P13" s="1">
        <v>1487</v>
      </c>
      <c r="Q13" s="1">
        <v>2010</v>
      </c>
      <c r="R13" s="1">
        <v>2461</v>
      </c>
      <c r="S13" s="1">
        <v>3113</v>
      </c>
      <c r="T13" s="1">
        <v>3226</v>
      </c>
      <c r="U13" s="1">
        <v>3743</v>
      </c>
      <c r="V13" s="1">
        <v>4446</v>
      </c>
      <c r="W13" s="1">
        <v>5338</v>
      </c>
      <c r="X13" s="1">
        <v>5631</v>
      </c>
      <c r="Y13" s="1">
        <v>9543</v>
      </c>
      <c r="Z13">
        <v>18</v>
      </c>
    </row>
    <row r="14" spans="1:26">
      <c r="A14">
        <f t="shared" si="0"/>
        <v>2007</v>
      </c>
      <c r="B14" t="s">
        <v>0</v>
      </c>
      <c r="C14" s="1">
        <v>127463</v>
      </c>
      <c r="D14" s="1">
        <v>8323</v>
      </c>
      <c r="E14">
        <v>800</v>
      </c>
      <c r="F14">
        <v>371</v>
      </c>
      <c r="G14">
        <v>252</v>
      </c>
      <c r="H14">
        <v>203</v>
      </c>
      <c r="I14">
        <v>828</v>
      </c>
      <c r="J14" s="1">
        <v>1058</v>
      </c>
      <c r="K14" s="1">
        <v>4355</v>
      </c>
      <c r="L14" s="1">
        <v>6472</v>
      </c>
      <c r="M14" s="1">
        <v>5905</v>
      </c>
      <c r="N14" s="1">
        <v>4683</v>
      </c>
      <c r="O14" s="1">
        <v>4345</v>
      </c>
      <c r="P14" s="1">
        <v>4682</v>
      </c>
      <c r="Q14" s="1">
        <v>5754</v>
      </c>
      <c r="R14" s="1">
        <v>6824</v>
      </c>
      <c r="S14" s="1">
        <v>7738</v>
      </c>
      <c r="T14" s="1">
        <v>8154</v>
      </c>
      <c r="U14" s="1">
        <v>9148</v>
      </c>
      <c r="V14" s="1">
        <v>10436</v>
      </c>
      <c r="W14" s="1">
        <v>11455</v>
      </c>
      <c r="X14" s="1">
        <v>10501</v>
      </c>
      <c r="Y14" s="1">
        <v>15010</v>
      </c>
      <c r="Z14">
        <v>166</v>
      </c>
    </row>
    <row r="15" spans="1:26">
      <c r="A15">
        <f t="shared" si="0"/>
        <v>2007</v>
      </c>
      <c r="B15" t="s">
        <v>1</v>
      </c>
      <c r="C15" s="1">
        <v>79156</v>
      </c>
      <c r="D15" s="1">
        <v>4847</v>
      </c>
      <c r="E15">
        <v>436</v>
      </c>
      <c r="F15">
        <v>206</v>
      </c>
      <c r="G15">
        <v>137</v>
      </c>
      <c r="H15">
        <v>123</v>
      </c>
      <c r="I15">
        <v>519</v>
      </c>
      <c r="J15">
        <v>667</v>
      </c>
      <c r="K15" s="1">
        <v>3665</v>
      </c>
      <c r="L15" s="1">
        <v>5680</v>
      </c>
      <c r="M15" s="1">
        <v>5029</v>
      </c>
      <c r="N15" s="1">
        <v>3701</v>
      </c>
      <c r="O15" s="1">
        <v>3193</v>
      </c>
      <c r="P15" s="1">
        <v>3249</v>
      </c>
      <c r="Q15" s="1">
        <v>3747</v>
      </c>
      <c r="R15" s="1">
        <v>4366</v>
      </c>
      <c r="S15" s="1">
        <v>4959</v>
      </c>
      <c r="T15" s="1">
        <v>5094</v>
      </c>
      <c r="U15" s="1">
        <v>5574</v>
      </c>
      <c r="V15" s="1">
        <v>6045</v>
      </c>
      <c r="W15" s="1">
        <v>6255</v>
      </c>
      <c r="X15" s="1">
        <v>5305</v>
      </c>
      <c r="Y15" s="1">
        <v>6229</v>
      </c>
      <c r="Z15">
        <v>130</v>
      </c>
    </row>
    <row r="16" spans="1:26">
      <c r="A16">
        <f t="shared" si="0"/>
        <v>2007</v>
      </c>
      <c r="B16" t="s">
        <v>2</v>
      </c>
      <c r="C16" s="1">
        <v>48307</v>
      </c>
      <c r="D16" s="1">
        <v>3476</v>
      </c>
      <c r="E16">
        <v>364</v>
      </c>
      <c r="F16">
        <v>165</v>
      </c>
      <c r="G16">
        <v>115</v>
      </c>
      <c r="H16">
        <v>80</v>
      </c>
      <c r="I16">
        <v>309</v>
      </c>
      <c r="J16">
        <v>391</v>
      </c>
      <c r="K16">
        <v>690</v>
      </c>
      <c r="L16">
        <v>792</v>
      </c>
      <c r="M16">
        <v>876</v>
      </c>
      <c r="N16">
        <v>982</v>
      </c>
      <c r="O16" s="1">
        <v>1152</v>
      </c>
      <c r="P16" s="1">
        <v>1433</v>
      </c>
      <c r="Q16" s="1">
        <v>2007</v>
      </c>
      <c r="R16" s="1">
        <v>2458</v>
      </c>
      <c r="S16" s="1">
        <v>2779</v>
      </c>
      <c r="T16" s="1">
        <v>3060</v>
      </c>
      <c r="U16" s="1">
        <v>3574</v>
      </c>
      <c r="V16" s="1">
        <v>4391</v>
      </c>
      <c r="W16" s="1">
        <v>5200</v>
      </c>
      <c r="X16" s="1">
        <v>5196</v>
      </c>
      <c r="Y16" s="1">
        <v>8781</v>
      </c>
      <c r="Z16">
        <v>36</v>
      </c>
    </row>
    <row r="17" spans="1:26">
      <c r="A17">
        <f t="shared" si="0"/>
        <v>2006</v>
      </c>
      <c r="B17" t="s">
        <v>0</v>
      </c>
      <c r="C17" s="1">
        <v>121586</v>
      </c>
      <c r="D17" s="1">
        <v>8371</v>
      </c>
      <c r="E17">
        <v>821</v>
      </c>
      <c r="F17">
        <v>379</v>
      </c>
      <c r="G17">
        <v>237</v>
      </c>
      <c r="H17">
        <v>213</v>
      </c>
      <c r="I17">
        <v>842</v>
      </c>
      <c r="J17" s="1">
        <v>1068</v>
      </c>
      <c r="K17" s="1">
        <v>3965</v>
      </c>
      <c r="L17" s="1">
        <v>5820</v>
      </c>
      <c r="M17" s="1">
        <v>5358</v>
      </c>
      <c r="N17" s="1">
        <v>4189</v>
      </c>
      <c r="O17" s="1">
        <v>3941</v>
      </c>
      <c r="P17" s="1">
        <v>4648</v>
      </c>
      <c r="Q17" s="1">
        <v>5613</v>
      </c>
      <c r="R17" s="1">
        <v>6698</v>
      </c>
      <c r="S17" s="1">
        <v>7427</v>
      </c>
      <c r="T17" s="1">
        <v>7618</v>
      </c>
      <c r="U17" s="1">
        <v>8781</v>
      </c>
      <c r="V17" s="1">
        <v>10030</v>
      </c>
      <c r="W17" s="1">
        <v>11054</v>
      </c>
      <c r="X17" s="1">
        <v>10155</v>
      </c>
      <c r="Y17" s="1">
        <v>14322</v>
      </c>
      <c r="Z17">
        <v>36</v>
      </c>
    </row>
    <row r="18" spans="1:26">
      <c r="A18">
        <f t="shared" si="0"/>
        <v>2006</v>
      </c>
      <c r="B18" t="s">
        <v>1</v>
      </c>
      <c r="C18" s="1">
        <v>74378</v>
      </c>
      <c r="D18" s="1">
        <v>4801</v>
      </c>
      <c r="E18">
        <v>430</v>
      </c>
      <c r="F18">
        <v>231</v>
      </c>
      <c r="G18">
        <v>136</v>
      </c>
      <c r="H18">
        <v>114</v>
      </c>
      <c r="I18">
        <v>491</v>
      </c>
      <c r="J18">
        <v>655</v>
      </c>
      <c r="K18" s="1">
        <v>3255</v>
      </c>
      <c r="L18" s="1">
        <v>5060</v>
      </c>
      <c r="M18" s="1">
        <v>4458</v>
      </c>
      <c r="N18" s="1">
        <v>3237</v>
      </c>
      <c r="O18" s="1">
        <v>2857</v>
      </c>
      <c r="P18" s="1">
        <v>3144</v>
      </c>
      <c r="Q18" s="1">
        <v>3648</v>
      </c>
      <c r="R18" s="1">
        <v>4239</v>
      </c>
      <c r="S18" s="1">
        <v>4730</v>
      </c>
      <c r="T18" s="1">
        <v>4683</v>
      </c>
      <c r="U18" s="1">
        <v>5259</v>
      </c>
      <c r="V18" s="1">
        <v>5832</v>
      </c>
      <c r="W18" s="1">
        <v>6091</v>
      </c>
      <c r="X18" s="1">
        <v>5041</v>
      </c>
      <c r="Y18" s="1">
        <v>5957</v>
      </c>
      <c r="Z18">
        <v>29</v>
      </c>
    </row>
    <row r="19" spans="1:26">
      <c r="A19">
        <f t="shared" si="0"/>
        <v>2006</v>
      </c>
      <c r="B19" t="s">
        <v>2</v>
      </c>
      <c r="C19" s="1">
        <v>47208</v>
      </c>
      <c r="D19" s="1">
        <v>3570</v>
      </c>
      <c r="E19">
        <v>391</v>
      </c>
      <c r="F19">
        <v>148</v>
      </c>
      <c r="G19">
        <v>101</v>
      </c>
      <c r="H19">
        <v>99</v>
      </c>
      <c r="I19">
        <v>351</v>
      </c>
      <c r="J19">
        <v>413</v>
      </c>
      <c r="K19">
        <v>710</v>
      </c>
      <c r="L19">
        <v>760</v>
      </c>
      <c r="M19">
        <v>900</v>
      </c>
      <c r="N19">
        <v>952</v>
      </c>
      <c r="O19" s="1">
        <v>1084</v>
      </c>
      <c r="P19" s="1">
        <v>1504</v>
      </c>
      <c r="Q19" s="1">
        <v>1965</v>
      </c>
      <c r="R19" s="1">
        <v>2459</v>
      </c>
      <c r="S19" s="1">
        <v>2697</v>
      </c>
      <c r="T19" s="1">
        <v>2935</v>
      </c>
      <c r="U19" s="1">
        <v>3522</v>
      </c>
      <c r="V19" s="1">
        <v>4198</v>
      </c>
      <c r="W19" s="1">
        <v>4963</v>
      </c>
      <c r="X19" s="1">
        <v>5114</v>
      </c>
      <c r="Y19" s="1">
        <v>8365</v>
      </c>
      <c r="Z19">
        <v>7</v>
      </c>
    </row>
    <row r="20" spans="1:26">
      <c r="A20">
        <f t="shared" si="0"/>
        <v>2005</v>
      </c>
      <c r="B20" t="s">
        <v>0</v>
      </c>
      <c r="C20" s="1">
        <v>117831</v>
      </c>
      <c r="D20" s="1">
        <v>9093</v>
      </c>
      <c r="E20">
        <v>878</v>
      </c>
      <c r="F20">
        <v>379</v>
      </c>
      <c r="G20">
        <v>230</v>
      </c>
      <c r="H20">
        <v>208</v>
      </c>
      <c r="I20">
        <v>834</v>
      </c>
      <c r="J20">
        <v>979</v>
      </c>
      <c r="K20" s="1">
        <v>3572</v>
      </c>
      <c r="L20" s="1">
        <v>5205</v>
      </c>
      <c r="M20" s="1">
        <v>4694</v>
      </c>
      <c r="N20" s="1">
        <v>3890</v>
      </c>
      <c r="O20" s="1">
        <v>3814</v>
      </c>
      <c r="P20" s="1">
        <v>4440</v>
      </c>
      <c r="Q20" s="1">
        <v>5275</v>
      </c>
      <c r="R20" s="1">
        <v>6385</v>
      </c>
      <c r="S20" s="1">
        <v>7032</v>
      </c>
      <c r="T20" s="1">
        <v>7527</v>
      </c>
      <c r="U20" s="1">
        <v>8707</v>
      </c>
      <c r="V20" s="1">
        <v>9739</v>
      </c>
      <c r="W20" s="1">
        <v>11133</v>
      </c>
      <c r="X20" s="1">
        <v>9778</v>
      </c>
      <c r="Y20" s="1">
        <v>13934</v>
      </c>
      <c r="Z20">
        <v>105</v>
      </c>
    </row>
    <row r="21" spans="1:26">
      <c r="A21">
        <f t="shared" si="0"/>
        <v>2005</v>
      </c>
      <c r="B21" t="s">
        <v>1</v>
      </c>
      <c r="C21" s="1">
        <v>71155</v>
      </c>
      <c r="D21" s="1">
        <v>5204</v>
      </c>
      <c r="E21">
        <v>476</v>
      </c>
      <c r="F21">
        <v>208</v>
      </c>
      <c r="G21">
        <v>123</v>
      </c>
      <c r="H21">
        <v>126</v>
      </c>
      <c r="I21">
        <v>495</v>
      </c>
      <c r="J21">
        <v>632</v>
      </c>
      <c r="K21" s="1">
        <v>2927</v>
      </c>
      <c r="L21" s="1">
        <v>4391</v>
      </c>
      <c r="M21" s="1">
        <v>3859</v>
      </c>
      <c r="N21" s="1">
        <v>3018</v>
      </c>
      <c r="O21" s="1">
        <v>2705</v>
      </c>
      <c r="P21" s="1">
        <v>3020</v>
      </c>
      <c r="Q21" s="1">
        <v>3424</v>
      </c>
      <c r="R21" s="1">
        <v>4027</v>
      </c>
      <c r="S21" s="1">
        <v>4356</v>
      </c>
      <c r="T21" s="1">
        <v>4646</v>
      </c>
      <c r="U21" s="1">
        <v>5140</v>
      </c>
      <c r="V21" s="1">
        <v>5557</v>
      </c>
      <c r="W21" s="1">
        <v>6016</v>
      </c>
      <c r="X21" s="1">
        <v>4881</v>
      </c>
      <c r="Y21" s="1">
        <v>5832</v>
      </c>
      <c r="Z21">
        <v>92</v>
      </c>
    </row>
    <row r="22" spans="1:26">
      <c r="A22">
        <f t="shared" si="0"/>
        <v>2005</v>
      </c>
      <c r="B22" t="s">
        <v>2</v>
      </c>
      <c r="C22" s="1">
        <v>46676</v>
      </c>
      <c r="D22" s="1">
        <v>3889</v>
      </c>
      <c r="E22">
        <v>402</v>
      </c>
      <c r="F22">
        <v>171</v>
      </c>
      <c r="G22">
        <v>107</v>
      </c>
      <c r="H22">
        <v>82</v>
      </c>
      <c r="I22">
        <v>339</v>
      </c>
      <c r="J22">
        <v>347</v>
      </c>
      <c r="K22">
        <v>645</v>
      </c>
      <c r="L22">
        <v>814</v>
      </c>
      <c r="M22">
        <v>835</v>
      </c>
      <c r="N22">
        <v>872</v>
      </c>
      <c r="O22" s="1">
        <v>1109</v>
      </c>
      <c r="P22" s="1">
        <v>1420</v>
      </c>
      <c r="Q22" s="1">
        <v>1851</v>
      </c>
      <c r="R22" s="1">
        <v>2358</v>
      </c>
      <c r="S22" s="1">
        <v>2676</v>
      </c>
      <c r="T22" s="1">
        <v>2881</v>
      </c>
      <c r="U22" s="1">
        <v>3567</v>
      </c>
      <c r="V22" s="1">
        <v>4182</v>
      </c>
      <c r="W22" s="1">
        <v>5117</v>
      </c>
      <c r="X22" s="1">
        <v>4897</v>
      </c>
      <c r="Y22" s="1">
        <v>8102</v>
      </c>
      <c r="Z22">
        <v>13</v>
      </c>
    </row>
    <row r="23" spans="1:26">
      <c r="A23">
        <f t="shared" si="0"/>
        <v>2004</v>
      </c>
      <c r="B23" t="s">
        <v>0</v>
      </c>
      <c r="C23" s="1">
        <v>117227</v>
      </c>
      <c r="D23" s="1">
        <v>9272</v>
      </c>
      <c r="E23" s="1">
        <v>1054</v>
      </c>
      <c r="F23">
        <v>475</v>
      </c>
      <c r="G23">
        <v>307</v>
      </c>
      <c r="H23">
        <v>249</v>
      </c>
      <c r="I23">
        <v>942</v>
      </c>
      <c r="J23" s="1">
        <v>1066</v>
      </c>
      <c r="K23" s="1">
        <v>3748</v>
      </c>
      <c r="L23" s="1">
        <v>5469</v>
      </c>
      <c r="M23" s="1">
        <v>4754</v>
      </c>
      <c r="N23" s="1">
        <v>4011</v>
      </c>
      <c r="O23" s="1">
        <v>3862</v>
      </c>
      <c r="P23" s="1">
        <v>4315</v>
      </c>
      <c r="Q23" s="1">
        <v>5231</v>
      </c>
      <c r="R23" s="1">
        <v>6165</v>
      </c>
      <c r="S23" s="1">
        <v>6646</v>
      </c>
      <c r="T23" s="1">
        <v>7230</v>
      </c>
      <c r="U23" s="1">
        <v>8610</v>
      </c>
      <c r="V23" s="1">
        <v>9914</v>
      </c>
      <c r="W23" s="1">
        <v>10815</v>
      </c>
      <c r="X23" s="1">
        <v>9635</v>
      </c>
      <c r="Y23" s="1">
        <v>13376</v>
      </c>
      <c r="Z23">
        <v>81</v>
      </c>
    </row>
    <row r="24" spans="1:26">
      <c r="A24">
        <f t="shared" si="0"/>
        <v>2004</v>
      </c>
      <c r="B24" t="s">
        <v>1</v>
      </c>
      <c r="C24" s="1">
        <v>70835</v>
      </c>
      <c r="D24" s="1">
        <v>5317</v>
      </c>
      <c r="E24">
        <v>553</v>
      </c>
      <c r="F24">
        <v>267</v>
      </c>
      <c r="G24">
        <v>163</v>
      </c>
      <c r="H24">
        <v>125</v>
      </c>
      <c r="I24">
        <v>572</v>
      </c>
      <c r="J24">
        <v>641</v>
      </c>
      <c r="K24" s="1">
        <v>3036</v>
      </c>
      <c r="L24" s="1">
        <v>4648</v>
      </c>
      <c r="M24" s="1">
        <v>3908</v>
      </c>
      <c r="N24" s="1">
        <v>3112</v>
      </c>
      <c r="O24" s="1">
        <v>2785</v>
      </c>
      <c r="P24" s="1">
        <v>2888</v>
      </c>
      <c r="Q24" s="1">
        <v>3356</v>
      </c>
      <c r="R24" s="1">
        <v>3906</v>
      </c>
      <c r="S24" s="1">
        <v>4173</v>
      </c>
      <c r="T24" s="1">
        <v>4511</v>
      </c>
      <c r="U24" s="1">
        <v>5062</v>
      </c>
      <c r="V24" s="1">
        <v>5603</v>
      </c>
      <c r="W24" s="1">
        <v>5835</v>
      </c>
      <c r="X24" s="1">
        <v>4751</v>
      </c>
      <c r="Y24" s="1">
        <v>5552</v>
      </c>
      <c r="Z24">
        <v>71</v>
      </c>
    </row>
    <row r="25" spans="1:26">
      <c r="A25">
        <f t="shared" si="0"/>
        <v>2004</v>
      </c>
      <c r="B25" t="s">
        <v>2</v>
      </c>
      <c r="C25" s="1">
        <v>46392</v>
      </c>
      <c r="D25" s="1">
        <v>3955</v>
      </c>
      <c r="E25">
        <v>501</v>
      </c>
      <c r="F25">
        <v>208</v>
      </c>
      <c r="G25">
        <v>144</v>
      </c>
      <c r="H25">
        <v>124</v>
      </c>
      <c r="I25">
        <v>370</v>
      </c>
      <c r="J25">
        <v>425</v>
      </c>
      <c r="K25">
        <v>712</v>
      </c>
      <c r="L25">
        <v>821</v>
      </c>
      <c r="M25">
        <v>846</v>
      </c>
      <c r="N25">
        <v>899</v>
      </c>
      <c r="O25" s="1">
        <v>1077</v>
      </c>
      <c r="P25" s="1">
        <v>1427</v>
      </c>
      <c r="Q25" s="1">
        <v>1875</v>
      </c>
      <c r="R25" s="1">
        <v>2259</v>
      </c>
      <c r="S25" s="1">
        <v>2473</v>
      </c>
      <c r="T25" s="1">
        <v>2719</v>
      </c>
      <c r="U25" s="1">
        <v>3548</v>
      </c>
      <c r="V25" s="1">
        <v>4311</v>
      </c>
      <c r="W25" s="1">
        <v>4980</v>
      </c>
      <c r="X25" s="1">
        <v>4884</v>
      </c>
      <c r="Y25" s="1">
        <v>7824</v>
      </c>
      <c r="Z25">
        <v>10</v>
      </c>
    </row>
    <row r="26" spans="1:26">
      <c r="A26">
        <f t="shared" si="0"/>
        <v>2003</v>
      </c>
      <c r="B26" t="s">
        <v>0</v>
      </c>
      <c r="C26" s="1">
        <v>121864</v>
      </c>
      <c r="D26" s="1">
        <v>10276</v>
      </c>
      <c r="E26" s="1">
        <v>1539</v>
      </c>
      <c r="F26">
        <v>590</v>
      </c>
      <c r="G26">
        <v>355</v>
      </c>
      <c r="H26">
        <v>229</v>
      </c>
      <c r="I26">
        <v>921</v>
      </c>
      <c r="J26" s="1">
        <v>1116</v>
      </c>
      <c r="K26" s="1">
        <v>4104</v>
      </c>
      <c r="L26" s="1">
        <v>6190</v>
      </c>
      <c r="M26" s="1">
        <v>5138</v>
      </c>
      <c r="N26" s="1">
        <v>4199</v>
      </c>
      <c r="O26" s="1">
        <v>4127</v>
      </c>
      <c r="P26" s="1">
        <v>4530</v>
      </c>
      <c r="Q26" s="1">
        <v>5277</v>
      </c>
      <c r="R26" s="1">
        <v>6149</v>
      </c>
      <c r="S26" s="1">
        <v>6544</v>
      </c>
      <c r="T26" s="1">
        <v>7402</v>
      </c>
      <c r="U26" s="1">
        <v>8935</v>
      </c>
      <c r="V26" s="1">
        <v>10256</v>
      </c>
      <c r="W26" s="1">
        <v>10738</v>
      </c>
      <c r="X26" s="1">
        <v>9633</v>
      </c>
      <c r="Y26" s="1">
        <v>13578</v>
      </c>
      <c r="Z26">
        <v>38</v>
      </c>
    </row>
    <row r="27" spans="1:26">
      <c r="A27">
        <f t="shared" si="0"/>
        <v>2003</v>
      </c>
      <c r="B27" t="s">
        <v>1</v>
      </c>
      <c r="C27" s="1">
        <v>73826</v>
      </c>
      <c r="D27" s="1">
        <v>5848</v>
      </c>
      <c r="E27">
        <v>825</v>
      </c>
      <c r="F27">
        <v>308</v>
      </c>
      <c r="G27">
        <v>179</v>
      </c>
      <c r="H27">
        <v>121</v>
      </c>
      <c r="I27">
        <v>543</v>
      </c>
      <c r="J27">
        <v>693</v>
      </c>
      <c r="K27" s="1">
        <v>3402</v>
      </c>
      <c r="L27" s="1">
        <v>5314</v>
      </c>
      <c r="M27" s="1">
        <v>4242</v>
      </c>
      <c r="N27" s="1">
        <v>3242</v>
      </c>
      <c r="O27" s="1">
        <v>2983</v>
      </c>
      <c r="P27" s="1">
        <v>3038</v>
      </c>
      <c r="Q27" s="1">
        <v>3400</v>
      </c>
      <c r="R27" s="1">
        <v>3804</v>
      </c>
      <c r="S27" s="1">
        <v>4070</v>
      </c>
      <c r="T27" s="1">
        <v>4574</v>
      </c>
      <c r="U27" s="1">
        <v>5273</v>
      </c>
      <c r="V27" s="1">
        <v>5827</v>
      </c>
      <c r="W27" s="1">
        <v>5741</v>
      </c>
      <c r="X27" s="1">
        <v>4801</v>
      </c>
      <c r="Y27" s="1">
        <v>5564</v>
      </c>
      <c r="Z27">
        <v>34</v>
      </c>
    </row>
    <row r="28" spans="1:26">
      <c r="A28">
        <f t="shared" si="0"/>
        <v>2003</v>
      </c>
      <c r="B28" t="s">
        <v>2</v>
      </c>
      <c r="C28" s="1">
        <v>48038</v>
      </c>
      <c r="D28" s="1">
        <v>4428</v>
      </c>
      <c r="E28">
        <v>714</v>
      </c>
      <c r="F28">
        <v>282</v>
      </c>
      <c r="G28">
        <v>176</v>
      </c>
      <c r="H28">
        <v>108</v>
      </c>
      <c r="I28">
        <v>378</v>
      </c>
      <c r="J28">
        <v>423</v>
      </c>
      <c r="K28">
        <v>702</v>
      </c>
      <c r="L28">
        <v>876</v>
      </c>
      <c r="M28">
        <v>896</v>
      </c>
      <c r="N28">
        <v>957</v>
      </c>
      <c r="O28" s="1">
        <v>1144</v>
      </c>
      <c r="P28" s="1">
        <v>1492</v>
      </c>
      <c r="Q28" s="1">
        <v>1877</v>
      </c>
      <c r="R28" s="1">
        <v>2345</v>
      </c>
      <c r="S28" s="1">
        <v>2474</v>
      </c>
      <c r="T28" s="1">
        <v>2828</v>
      </c>
      <c r="U28" s="1">
        <v>3662</v>
      </c>
      <c r="V28" s="1">
        <v>4429</v>
      </c>
      <c r="W28" s="1">
        <v>4997</v>
      </c>
      <c r="X28" s="1">
        <v>4832</v>
      </c>
      <c r="Y28" s="1">
        <v>8014</v>
      </c>
      <c r="Z28">
        <v>4</v>
      </c>
    </row>
    <row r="29" spans="1:26">
      <c r="A29">
        <f t="shared" si="0"/>
        <v>2002</v>
      </c>
      <c r="B29" t="s">
        <v>0</v>
      </c>
      <c r="C29" s="1">
        <v>110293</v>
      </c>
      <c r="D29" s="1">
        <v>8949</v>
      </c>
      <c r="E29" s="1">
        <v>1144</v>
      </c>
      <c r="F29">
        <v>438</v>
      </c>
      <c r="G29">
        <v>282</v>
      </c>
      <c r="H29">
        <v>250</v>
      </c>
      <c r="I29">
        <v>877</v>
      </c>
      <c r="J29" s="1">
        <v>1104</v>
      </c>
      <c r="K29" s="1">
        <v>3769</v>
      </c>
      <c r="L29" s="1">
        <v>5579</v>
      </c>
      <c r="M29" s="1">
        <v>4523</v>
      </c>
      <c r="N29" s="1">
        <v>3776</v>
      </c>
      <c r="O29" s="1">
        <v>3706</v>
      </c>
      <c r="P29" s="1">
        <v>4305</v>
      </c>
      <c r="Q29" s="1">
        <v>5143</v>
      </c>
      <c r="R29" s="1">
        <v>5851</v>
      </c>
      <c r="S29" s="1">
        <v>6112</v>
      </c>
      <c r="T29" s="1">
        <v>6800</v>
      </c>
      <c r="U29" s="1">
        <v>8271</v>
      </c>
      <c r="V29" s="1">
        <v>9524</v>
      </c>
      <c r="W29" s="1">
        <v>9622</v>
      </c>
      <c r="X29" s="1">
        <v>8450</v>
      </c>
      <c r="Y29" s="1">
        <v>11723</v>
      </c>
      <c r="Z29">
        <v>95</v>
      </c>
    </row>
    <row r="30" spans="1:26">
      <c r="A30">
        <f t="shared" si="0"/>
        <v>2002</v>
      </c>
      <c r="B30" t="s">
        <v>1</v>
      </c>
      <c r="C30" s="1">
        <v>65573</v>
      </c>
      <c r="D30" s="1">
        <v>4976</v>
      </c>
      <c r="E30">
        <v>599</v>
      </c>
      <c r="F30">
        <v>251</v>
      </c>
      <c r="G30">
        <v>143</v>
      </c>
      <c r="H30">
        <v>139</v>
      </c>
      <c r="I30">
        <v>509</v>
      </c>
      <c r="J30">
        <v>682</v>
      </c>
      <c r="K30" s="1">
        <v>3007</v>
      </c>
      <c r="L30" s="1">
        <v>4658</v>
      </c>
      <c r="M30" s="1">
        <v>3573</v>
      </c>
      <c r="N30" s="1">
        <v>2802</v>
      </c>
      <c r="O30" s="1">
        <v>2526</v>
      </c>
      <c r="P30" s="1">
        <v>2786</v>
      </c>
      <c r="Q30" s="1">
        <v>3222</v>
      </c>
      <c r="R30" s="1">
        <v>3651</v>
      </c>
      <c r="S30" s="1">
        <v>3761</v>
      </c>
      <c r="T30" s="1">
        <v>4062</v>
      </c>
      <c r="U30" s="1">
        <v>4725</v>
      </c>
      <c r="V30" s="1">
        <v>5389</v>
      </c>
      <c r="W30" s="1">
        <v>5047</v>
      </c>
      <c r="X30" s="1">
        <v>4149</v>
      </c>
      <c r="Y30" s="1">
        <v>4833</v>
      </c>
      <c r="Z30">
        <v>83</v>
      </c>
    </row>
    <row r="31" spans="1:26">
      <c r="A31">
        <f t="shared" si="0"/>
        <v>2002</v>
      </c>
      <c r="B31" t="s">
        <v>2</v>
      </c>
      <c r="C31" s="1">
        <v>44720</v>
      </c>
      <c r="D31" s="1">
        <v>3973</v>
      </c>
      <c r="E31">
        <v>545</v>
      </c>
      <c r="F31">
        <v>187</v>
      </c>
      <c r="G31">
        <v>139</v>
      </c>
      <c r="H31">
        <v>111</v>
      </c>
      <c r="I31">
        <v>368</v>
      </c>
      <c r="J31">
        <v>422</v>
      </c>
      <c r="K31">
        <v>762</v>
      </c>
      <c r="L31">
        <v>921</v>
      </c>
      <c r="M31">
        <v>950</v>
      </c>
      <c r="N31">
        <v>974</v>
      </c>
      <c r="O31" s="1">
        <v>1180</v>
      </c>
      <c r="P31" s="1">
        <v>1519</v>
      </c>
      <c r="Q31" s="1">
        <v>1921</v>
      </c>
      <c r="R31" s="1">
        <v>2200</v>
      </c>
      <c r="S31" s="1">
        <v>2351</v>
      </c>
      <c r="T31" s="1">
        <v>2738</v>
      </c>
      <c r="U31" s="1">
        <v>3546</v>
      </c>
      <c r="V31" s="1">
        <v>4135</v>
      </c>
      <c r="W31" s="1">
        <v>4575</v>
      </c>
      <c r="X31" s="1">
        <v>4301</v>
      </c>
      <c r="Y31" s="1">
        <v>6890</v>
      </c>
      <c r="Z31">
        <v>12</v>
      </c>
    </row>
    <row r="32" spans="1:26">
      <c r="A32">
        <f t="shared" si="0"/>
        <v>2001</v>
      </c>
      <c r="B32" t="s">
        <v>0</v>
      </c>
      <c r="C32" s="1">
        <v>110672</v>
      </c>
      <c r="D32" s="1">
        <v>9353</v>
      </c>
      <c r="E32" s="1">
        <v>1243</v>
      </c>
      <c r="F32">
        <v>533</v>
      </c>
      <c r="G32">
        <v>312</v>
      </c>
      <c r="H32">
        <v>250</v>
      </c>
      <c r="I32">
        <v>974</v>
      </c>
      <c r="J32" s="1">
        <v>1057</v>
      </c>
      <c r="K32" s="1">
        <v>3350</v>
      </c>
      <c r="L32" s="1">
        <v>4860</v>
      </c>
      <c r="M32" s="1">
        <v>4234</v>
      </c>
      <c r="N32" s="1">
        <v>3727</v>
      </c>
      <c r="O32" s="1">
        <v>3897</v>
      </c>
      <c r="P32" s="1">
        <v>4378</v>
      </c>
      <c r="Q32" s="1">
        <v>5150</v>
      </c>
      <c r="R32" s="1">
        <v>5653</v>
      </c>
      <c r="S32" s="1">
        <v>5756</v>
      </c>
      <c r="T32" s="1">
        <v>7076</v>
      </c>
      <c r="U32" s="1">
        <v>8353</v>
      </c>
      <c r="V32" s="1">
        <v>9957</v>
      </c>
      <c r="W32" s="1">
        <v>9623</v>
      </c>
      <c r="X32" s="1">
        <v>8875</v>
      </c>
      <c r="Y32" s="1">
        <v>11982</v>
      </c>
      <c r="Z32">
        <v>79</v>
      </c>
    </row>
    <row r="33" spans="1:26">
      <c r="A33">
        <f t="shared" si="0"/>
        <v>2001</v>
      </c>
      <c r="B33" t="s">
        <v>1</v>
      </c>
      <c r="C33" s="1">
        <v>66616</v>
      </c>
      <c r="D33" s="1">
        <v>5375</v>
      </c>
      <c r="E33">
        <v>662</v>
      </c>
      <c r="F33">
        <v>298</v>
      </c>
      <c r="G33">
        <v>185</v>
      </c>
      <c r="H33">
        <v>138</v>
      </c>
      <c r="I33">
        <v>536</v>
      </c>
      <c r="J33">
        <v>635</v>
      </c>
      <c r="K33" s="1">
        <v>2699</v>
      </c>
      <c r="L33" s="1">
        <v>4132</v>
      </c>
      <c r="M33" s="1">
        <v>3438</v>
      </c>
      <c r="N33" s="1">
        <v>2829</v>
      </c>
      <c r="O33" s="1">
        <v>2794</v>
      </c>
      <c r="P33" s="1">
        <v>2911</v>
      </c>
      <c r="Q33" s="1">
        <v>3371</v>
      </c>
      <c r="R33" s="1">
        <v>3624</v>
      </c>
      <c r="S33" s="1">
        <v>3652</v>
      </c>
      <c r="T33" s="1">
        <v>4280</v>
      </c>
      <c r="U33" s="1">
        <v>4962</v>
      </c>
      <c r="V33" s="1">
        <v>5649</v>
      </c>
      <c r="W33" s="1">
        <v>5092</v>
      </c>
      <c r="X33" s="1">
        <v>4340</v>
      </c>
      <c r="Y33" s="1">
        <v>4938</v>
      </c>
      <c r="Z33">
        <v>76</v>
      </c>
    </row>
    <row r="34" spans="1:26">
      <c r="A34">
        <f t="shared" si="0"/>
        <v>2001</v>
      </c>
      <c r="B34" t="s">
        <v>2</v>
      </c>
      <c r="C34" s="1">
        <v>44056</v>
      </c>
      <c r="D34" s="1">
        <v>3978</v>
      </c>
      <c r="E34">
        <v>581</v>
      </c>
      <c r="F34">
        <v>235</v>
      </c>
      <c r="G34">
        <v>127</v>
      </c>
      <c r="H34">
        <v>112</v>
      </c>
      <c r="I34">
        <v>438</v>
      </c>
      <c r="J34">
        <v>422</v>
      </c>
      <c r="K34">
        <v>651</v>
      </c>
      <c r="L34">
        <v>728</v>
      </c>
      <c r="M34">
        <v>796</v>
      </c>
      <c r="N34">
        <v>898</v>
      </c>
      <c r="O34" s="1">
        <v>1103</v>
      </c>
      <c r="P34" s="1">
        <v>1467</v>
      </c>
      <c r="Q34" s="1">
        <v>1779</v>
      </c>
      <c r="R34" s="1">
        <v>2029</v>
      </c>
      <c r="S34" s="1">
        <v>2104</v>
      </c>
      <c r="T34" s="1">
        <v>2796</v>
      </c>
      <c r="U34" s="1">
        <v>3391</v>
      </c>
      <c r="V34" s="1">
        <v>4308</v>
      </c>
      <c r="W34" s="1">
        <v>4531</v>
      </c>
      <c r="X34" s="1">
        <v>4535</v>
      </c>
      <c r="Y34" s="1">
        <v>7044</v>
      </c>
      <c r="Z34">
        <v>3</v>
      </c>
    </row>
    <row r="35" spans="1:26">
      <c r="A35">
        <f t="shared" si="0"/>
        <v>2000</v>
      </c>
      <c r="B35" t="s">
        <v>0</v>
      </c>
      <c r="C35" s="1">
        <v>105948</v>
      </c>
      <c r="D35" s="1">
        <v>9649</v>
      </c>
      <c r="E35" s="1">
        <v>1207</v>
      </c>
      <c r="F35">
        <v>493</v>
      </c>
      <c r="G35">
        <v>318</v>
      </c>
      <c r="H35">
        <v>240</v>
      </c>
      <c r="I35">
        <v>986</v>
      </c>
      <c r="J35">
        <v>966</v>
      </c>
      <c r="K35" s="1">
        <v>3298</v>
      </c>
      <c r="L35" s="1">
        <v>4742</v>
      </c>
      <c r="M35" s="1">
        <v>4042</v>
      </c>
      <c r="N35" s="1">
        <v>3729</v>
      </c>
      <c r="O35" s="1">
        <v>3709</v>
      </c>
      <c r="P35" s="1">
        <v>4180</v>
      </c>
      <c r="Q35" s="1">
        <v>4734</v>
      </c>
      <c r="R35" s="1">
        <v>5249</v>
      </c>
      <c r="S35" s="1">
        <v>5475</v>
      </c>
      <c r="T35" s="1">
        <v>6883</v>
      </c>
      <c r="U35" s="1">
        <v>8052</v>
      </c>
      <c r="V35" s="1">
        <v>9583</v>
      </c>
      <c r="W35" s="1">
        <v>9068</v>
      </c>
      <c r="X35" s="1">
        <v>8380</v>
      </c>
      <c r="Y35" s="1">
        <v>10848</v>
      </c>
      <c r="Z35">
        <v>117</v>
      </c>
    </row>
    <row r="36" spans="1:26">
      <c r="A36">
        <f t="shared" si="0"/>
        <v>2000</v>
      </c>
      <c r="B36" t="s">
        <v>1</v>
      </c>
      <c r="C36" s="1">
        <v>64101</v>
      </c>
      <c r="D36" s="1">
        <v>5622</v>
      </c>
      <c r="E36">
        <v>639</v>
      </c>
      <c r="F36">
        <v>273</v>
      </c>
      <c r="G36">
        <v>174</v>
      </c>
      <c r="H36">
        <v>138</v>
      </c>
      <c r="I36">
        <v>588</v>
      </c>
      <c r="J36">
        <v>603</v>
      </c>
      <c r="K36" s="1">
        <v>2643</v>
      </c>
      <c r="L36" s="1">
        <v>4041</v>
      </c>
      <c r="M36" s="1">
        <v>3300</v>
      </c>
      <c r="N36" s="1">
        <v>2865</v>
      </c>
      <c r="O36" s="1">
        <v>2626</v>
      </c>
      <c r="P36" s="1">
        <v>2806</v>
      </c>
      <c r="Q36" s="1">
        <v>3047</v>
      </c>
      <c r="R36" s="1">
        <v>3301</v>
      </c>
      <c r="S36" s="1">
        <v>3432</v>
      </c>
      <c r="T36" s="1">
        <v>4090</v>
      </c>
      <c r="U36" s="1">
        <v>4735</v>
      </c>
      <c r="V36" s="1">
        <v>5542</v>
      </c>
      <c r="W36" s="1">
        <v>4863</v>
      </c>
      <c r="X36" s="1">
        <v>4120</v>
      </c>
      <c r="Y36" s="1">
        <v>4555</v>
      </c>
      <c r="Z36">
        <v>98</v>
      </c>
    </row>
    <row r="37" spans="1:26">
      <c r="A37">
        <f t="shared" si="0"/>
        <v>2000</v>
      </c>
      <c r="B37" t="s">
        <v>2</v>
      </c>
      <c r="C37" s="1">
        <v>41847</v>
      </c>
      <c r="D37" s="1">
        <v>4027</v>
      </c>
      <c r="E37">
        <v>568</v>
      </c>
      <c r="F37">
        <v>220</v>
      </c>
      <c r="G37">
        <v>144</v>
      </c>
      <c r="H37">
        <v>102</v>
      </c>
      <c r="I37">
        <v>398</v>
      </c>
      <c r="J37">
        <v>363</v>
      </c>
      <c r="K37">
        <v>655</v>
      </c>
      <c r="L37">
        <v>701</v>
      </c>
      <c r="M37">
        <v>742</v>
      </c>
      <c r="N37">
        <v>864</v>
      </c>
      <c r="O37" s="1">
        <v>1083</v>
      </c>
      <c r="P37" s="1">
        <v>1374</v>
      </c>
      <c r="Q37" s="1">
        <v>1687</v>
      </c>
      <c r="R37" s="1">
        <v>1948</v>
      </c>
      <c r="S37" s="1">
        <v>2043</v>
      </c>
      <c r="T37" s="1">
        <v>2793</v>
      </c>
      <c r="U37" s="1">
        <v>3317</v>
      </c>
      <c r="V37" s="1">
        <v>4041</v>
      </c>
      <c r="W37" s="1">
        <v>4205</v>
      </c>
      <c r="X37" s="1">
        <v>4260</v>
      </c>
      <c r="Y37" s="1">
        <v>6293</v>
      </c>
      <c r="Z37">
        <v>19</v>
      </c>
    </row>
    <row r="38" spans="1:26">
      <c r="A38">
        <f t="shared" si="0"/>
        <v>1999</v>
      </c>
      <c r="B38" t="s">
        <v>0</v>
      </c>
      <c r="C38">
        <v>104.625</v>
      </c>
      <c r="D38">
        <v>10.108000000000001</v>
      </c>
      <c r="E38">
        <v>1.2050000000000001</v>
      </c>
      <c r="F38">
        <v>527</v>
      </c>
      <c r="G38">
        <v>346</v>
      </c>
      <c r="H38">
        <v>275</v>
      </c>
      <c r="I38">
        <v>1.042</v>
      </c>
      <c r="J38">
        <v>1.0029999999999999</v>
      </c>
      <c r="K38">
        <v>2.8039999999999998</v>
      </c>
      <c r="L38">
        <v>3.875</v>
      </c>
      <c r="M38">
        <v>3.5750000000000002</v>
      </c>
      <c r="N38">
        <v>3.3650000000000002</v>
      </c>
      <c r="O38">
        <v>3.4849999999999999</v>
      </c>
      <c r="P38">
        <v>3.9580000000000002</v>
      </c>
      <c r="Q38">
        <v>4.6680000000000001</v>
      </c>
      <c r="R38">
        <v>4.93</v>
      </c>
      <c r="S38">
        <v>5.6020000000000003</v>
      </c>
      <c r="T38">
        <v>7.0549999999999997</v>
      </c>
      <c r="U38">
        <v>8.4269999999999996</v>
      </c>
      <c r="V38">
        <v>9.2870000000000008</v>
      </c>
      <c r="W38">
        <v>9.3480000000000008</v>
      </c>
      <c r="X38">
        <v>8.4580000000000002</v>
      </c>
      <c r="Y38">
        <v>11.148999999999999</v>
      </c>
      <c r="Z38">
        <v>133</v>
      </c>
    </row>
    <row r="39" spans="1:26">
      <c r="A39">
        <f t="shared" si="0"/>
        <v>1999</v>
      </c>
      <c r="B39" t="s">
        <v>1</v>
      </c>
      <c r="C39">
        <v>61.503</v>
      </c>
      <c r="D39">
        <v>5.835</v>
      </c>
      <c r="E39">
        <v>641</v>
      </c>
      <c r="F39">
        <v>298</v>
      </c>
      <c r="G39">
        <v>183</v>
      </c>
      <c r="H39">
        <v>156</v>
      </c>
      <c r="I39">
        <v>626</v>
      </c>
      <c r="J39">
        <v>616</v>
      </c>
      <c r="K39">
        <v>2.1619999999999999</v>
      </c>
      <c r="L39">
        <v>3.141</v>
      </c>
      <c r="M39">
        <v>2.83</v>
      </c>
      <c r="N39">
        <v>2.5019999999999998</v>
      </c>
      <c r="O39">
        <v>2.399</v>
      </c>
      <c r="P39">
        <v>2.5720000000000001</v>
      </c>
      <c r="Q39">
        <v>2.9409999999999998</v>
      </c>
      <c r="R39">
        <v>3.077</v>
      </c>
      <c r="S39">
        <v>3.415</v>
      </c>
      <c r="T39">
        <v>4.2699999999999996</v>
      </c>
      <c r="U39">
        <v>4.976</v>
      </c>
      <c r="V39">
        <v>5.1710000000000003</v>
      </c>
      <c r="W39">
        <v>4.9470000000000001</v>
      </c>
      <c r="X39">
        <v>4.1070000000000002</v>
      </c>
      <c r="Y39">
        <v>4.532</v>
      </c>
      <c r="Z39">
        <v>106</v>
      </c>
    </row>
    <row r="40" spans="1:26">
      <c r="A40">
        <f t="shared" si="0"/>
        <v>1999</v>
      </c>
      <c r="B40" t="s">
        <v>2</v>
      </c>
      <c r="C40">
        <v>43.122</v>
      </c>
      <c r="D40">
        <v>4.2729999999999997</v>
      </c>
      <c r="E40">
        <v>564</v>
      </c>
      <c r="F40">
        <v>229</v>
      </c>
      <c r="G40">
        <v>163</v>
      </c>
      <c r="H40">
        <v>119</v>
      </c>
      <c r="I40">
        <v>416</v>
      </c>
      <c r="J40">
        <v>387</v>
      </c>
      <c r="K40">
        <v>642</v>
      </c>
      <c r="L40">
        <v>734</v>
      </c>
      <c r="M40">
        <v>745</v>
      </c>
      <c r="N40">
        <v>863</v>
      </c>
      <c r="O40">
        <v>1.0860000000000001</v>
      </c>
      <c r="P40">
        <v>1.3859999999999999</v>
      </c>
      <c r="Q40">
        <v>1.7270000000000001</v>
      </c>
      <c r="R40">
        <v>1.853</v>
      </c>
      <c r="S40">
        <v>2.1869999999999998</v>
      </c>
      <c r="T40">
        <v>2.7850000000000001</v>
      </c>
      <c r="U40">
        <v>3.4510000000000001</v>
      </c>
      <c r="V40">
        <v>4.1159999999999997</v>
      </c>
      <c r="W40">
        <v>4.4009999999999998</v>
      </c>
      <c r="X40">
        <v>4.351</v>
      </c>
      <c r="Y40">
        <v>6.617</v>
      </c>
      <c r="Z40">
        <v>27</v>
      </c>
    </row>
    <row r="41" spans="1:26">
      <c r="A41">
        <f t="shared" si="0"/>
        <v>1998</v>
      </c>
      <c r="B41" t="s">
        <v>0</v>
      </c>
      <c r="C41" s="1">
        <v>100963</v>
      </c>
      <c r="D41" s="1">
        <v>10721</v>
      </c>
      <c r="E41" s="1">
        <v>1373</v>
      </c>
      <c r="F41">
        <v>560</v>
      </c>
      <c r="G41">
        <v>361</v>
      </c>
      <c r="H41">
        <v>272</v>
      </c>
      <c r="I41">
        <v>981</v>
      </c>
      <c r="J41" s="1">
        <v>1045</v>
      </c>
      <c r="K41" s="1">
        <v>2466</v>
      </c>
      <c r="L41" s="1">
        <v>3388</v>
      </c>
      <c r="M41" s="1">
        <v>3130</v>
      </c>
      <c r="N41" s="1">
        <v>3069</v>
      </c>
      <c r="O41" s="1">
        <v>3373</v>
      </c>
      <c r="P41" s="1">
        <v>3845</v>
      </c>
      <c r="Q41" s="1">
        <v>4441</v>
      </c>
      <c r="R41" s="1">
        <v>4702</v>
      </c>
      <c r="S41" s="1">
        <v>5505</v>
      </c>
      <c r="T41" s="1">
        <v>6686</v>
      </c>
      <c r="U41" s="1">
        <v>8314</v>
      </c>
      <c r="V41" s="1">
        <v>9066</v>
      </c>
      <c r="W41" s="1">
        <v>8912</v>
      </c>
      <c r="X41" s="1">
        <v>7874</v>
      </c>
      <c r="Y41" s="1">
        <v>10635</v>
      </c>
      <c r="Z41">
        <v>244</v>
      </c>
    </row>
    <row r="42" spans="1:26">
      <c r="A42">
        <f t="shared" si="0"/>
        <v>1998</v>
      </c>
      <c r="B42" t="s">
        <v>1</v>
      </c>
      <c r="C42" s="1">
        <v>59449</v>
      </c>
      <c r="D42" s="1">
        <v>6144</v>
      </c>
      <c r="E42">
        <v>765</v>
      </c>
      <c r="F42">
        <v>305</v>
      </c>
      <c r="G42">
        <v>199</v>
      </c>
      <c r="H42">
        <v>164</v>
      </c>
      <c r="I42">
        <v>575</v>
      </c>
      <c r="J42">
        <v>638</v>
      </c>
      <c r="K42" s="1">
        <v>1875</v>
      </c>
      <c r="L42" s="1">
        <v>2721</v>
      </c>
      <c r="M42" s="1">
        <v>2380</v>
      </c>
      <c r="N42" s="1">
        <v>2253</v>
      </c>
      <c r="O42" s="1">
        <v>2270</v>
      </c>
      <c r="P42" s="1">
        <v>2533</v>
      </c>
      <c r="Q42" s="1">
        <v>2792</v>
      </c>
      <c r="R42" s="1">
        <v>2932</v>
      </c>
      <c r="S42" s="1">
        <v>3435</v>
      </c>
      <c r="T42" s="1">
        <v>4075</v>
      </c>
      <c r="U42" s="1">
        <v>4839</v>
      </c>
      <c r="V42" s="1">
        <v>5168</v>
      </c>
      <c r="W42" s="1">
        <v>4741</v>
      </c>
      <c r="X42" s="1">
        <v>3900</v>
      </c>
      <c r="Y42" s="1">
        <v>4557</v>
      </c>
      <c r="Z42">
        <v>188</v>
      </c>
    </row>
    <row r="43" spans="1:26">
      <c r="A43">
        <f t="shared" si="0"/>
        <v>1998</v>
      </c>
      <c r="B43" t="s">
        <v>2</v>
      </c>
      <c r="C43" s="1">
        <v>41514</v>
      </c>
      <c r="D43" s="1">
        <v>4577</v>
      </c>
      <c r="E43">
        <v>608</v>
      </c>
      <c r="F43">
        <v>255</v>
      </c>
      <c r="G43">
        <v>162</v>
      </c>
      <c r="H43">
        <v>108</v>
      </c>
      <c r="I43">
        <v>406</v>
      </c>
      <c r="J43">
        <v>407</v>
      </c>
      <c r="K43">
        <v>591</v>
      </c>
      <c r="L43">
        <v>667</v>
      </c>
      <c r="M43">
        <v>750</v>
      </c>
      <c r="N43">
        <v>816</v>
      </c>
      <c r="O43" s="1">
        <v>1103</v>
      </c>
      <c r="P43" s="1">
        <v>1312</v>
      </c>
      <c r="Q43" s="1">
        <v>1649</v>
      </c>
      <c r="R43" s="1">
        <v>1770</v>
      </c>
      <c r="S43" s="1">
        <v>2070</v>
      </c>
      <c r="T43" s="1">
        <v>2611</v>
      </c>
      <c r="U43" s="1">
        <v>3475</v>
      </c>
      <c r="V43" s="1">
        <v>3898</v>
      </c>
      <c r="W43" s="1">
        <v>4171</v>
      </c>
      <c r="X43" s="1">
        <v>3974</v>
      </c>
      <c r="Y43" s="1">
        <v>6078</v>
      </c>
      <c r="Z43">
        <v>56</v>
      </c>
    </row>
    <row r="44" spans="1:26">
      <c r="A44">
        <f t="shared" si="0"/>
        <v>1997</v>
      </c>
      <c r="B44" t="s">
        <v>0</v>
      </c>
      <c r="C44" s="1">
        <v>98011</v>
      </c>
      <c r="D44" s="1">
        <v>11069</v>
      </c>
      <c r="E44" s="1">
        <v>1222</v>
      </c>
      <c r="F44">
        <v>549</v>
      </c>
      <c r="G44">
        <v>345</v>
      </c>
      <c r="H44">
        <v>275</v>
      </c>
      <c r="I44" s="1">
        <v>1013</v>
      </c>
      <c r="J44" s="1">
        <v>1052</v>
      </c>
      <c r="K44" s="1">
        <v>2503</v>
      </c>
      <c r="L44" s="1">
        <v>3170</v>
      </c>
      <c r="M44" s="1">
        <v>3022</v>
      </c>
      <c r="N44" s="1">
        <v>2943</v>
      </c>
      <c r="O44" s="1">
        <v>3277</v>
      </c>
      <c r="P44" s="1">
        <v>3734</v>
      </c>
      <c r="Q44" s="1">
        <v>3998</v>
      </c>
      <c r="R44" s="1">
        <v>4440</v>
      </c>
      <c r="S44" s="1">
        <v>5193</v>
      </c>
      <c r="T44" s="1">
        <v>6543</v>
      </c>
      <c r="U44" s="1">
        <v>7962</v>
      </c>
      <c r="V44" s="1">
        <v>8697</v>
      </c>
      <c r="W44" s="1">
        <v>8752</v>
      </c>
      <c r="X44" s="1">
        <v>7745</v>
      </c>
      <c r="Y44" s="1">
        <v>10356</v>
      </c>
      <c r="Z44">
        <v>151</v>
      </c>
    </row>
    <row r="45" spans="1:26">
      <c r="A45">
        <f t="shared" si="0"/>
        <v>1997</v>
      </c>
      <c r="B45" t="s">
        <v>1</v>
      </c>
      <c r="C45" s="1">
        <v>56598</v>
      </c>
      <c r="D45" s="1">
        <v>6324</v>
      </c>
      <c r="E45">
        <v>640</v>
      </c>
      <c r="F45">
        <v>293</v>
      </c>
      <c r="G45">
        <v>187</v>
      </c>
      <c r="H45">
        <v>145</v>
      </c>
      <c r="I45">
        <v>614</v>
      </c>
      <c r="J45">
        <v>647</v>
      </c>
      <c r="K45" s="1">
        <v>1884</v>
      </c>
      <c r="L45" s="1">
        <v>2476</v>
      </c>
      <c r="M45" s="1">
        <v>2274</v>
      </c>
      <c r="N45" s="1">
        <v>2090</v>
      </c>
      <c r="O45" s="1">
        <v>2130</v>
      </c>
      <c r="P45" s="1">
        <v>2302</v>
      </c>
      <c r="Q45" s="1">
        <v>2448</v>
      </c>
      <c r="R45" s="1">
        <v>2721</v>
      </c>
      <c r="S45" s="1">
        <v>3147</v>
      </c>
      <c r="T45" s="1">
        <v>3864</v>
      </c>
      <c r="U45" s="1">
        <v>4643</v>
      </c>
      <c r="V45" s="1">
        <v>4978</v>
      </c>
      <c r="W45" s="1">
        <v>4778</v>
      </c>
      <c r="X45" s="1">
        <v>3710</v>
      </c>
      <c r="Y45" s="1">
        <v>4186</v>
      </c>
      <c r="Z45">
        <v>117</v>
      </c>
    </row>
    <row r="46" spans="1:26">
      <c r="A46">
        <f t="shared" si="0"/>
        <v>1997</v>
      </c>
      <c r="B46" t="s">
        <v>2</v>
      </c>
      <c r="C46" s="1">
        <v>41413</v>
      </c>
      <c r="D46" s="1">
        <v>4745</v>
      </c>
      <c r="E46">
        <v>582</v>
      </c>
      <c r="F46">
        <v>256</v>
      </c>
      <c r="G46">
        <v>158</v>
      </c>
      <c r="H46">
        <v>130</v>
      </c>
      <c r="I46">
        <v>399</v>
      </c>
      <c r="J46">
        <v>405</v>
      </c>
      <c r="K46">
        <v>619</v>
      </c>
      <c r="L46">
        <v>694</v>
      </c>
      <c r="M46">
        <v>748</v>
      </c>
      <c r="N46">
        <v>853</v>
      </c>
      <c r="O46" s="1">
        <v>1147</v>
      </c>
      <c r="P46" s="1">
        <v>1432</v>
      </c>
      <c r="Q46" s="1">
        <v>1550</v>
      </c>
      <c r="R46" s="1">
        <v>1719</v>
      </c>
      <c r="S46" s="1">
        <v>2046</v>
      </c>
      <c r="T46" s="1">
        <v>2679</v>
      </c>
      <c r="U46" s="1">
        <v>3319</v>
      </c>
      <c r="V46" s="1">
        <v>3719</v>
      </c>
      <c r="W46" s="1">
        <v>3974</v>
      </c>
      <c r="X46" s="1">
        <v>4035</v>
      </c>
      <c r="Y46" s="1">
        <v>6170</v>
      </c>
      <c r="Z46">
        <v>34</v>
      </c>
    </row>
    <row r="47" spans="1:26">
      <c r="A47">
        <f t="shared" si="0"/>
        <v>1996</v>
      </c>
      <c r="B47" t="s">
        <v>0</v>
      </c>
      <c r="C47" s="1">
        <v>100045</v>
      </c>
      <c r="D47" s="1">
        <v>11913</v>
      </c>
      <c r="E47" s="1">
        <v>1569</v>
      </c>
      <c r="F47">
        <v>638</v>
      </c>
      <c r="G47">
        <v>382</v>
      </c>
      <c r="H47">
        <v>307</v>
      </c>
      <c r="I47" s="1">
        <v>1058</v>
      </c>
      <c r="J47" s="1">
        <v>1068</v>
      </c>
      <c r="K47" s="1">
        <v>2804</v>
      </c>
      <c r="L47" s="1">
        <v>3342</v>
      </c>
      <c r="M47" s="1">
        <v>3233</v>
      </c>
      <c r="N47" s="1">
        <v>3089</v>
      </c>
      <c r="O47" s="1">
        <v>3223</v>
      </c>
      <c r="P47" s="1">
        <v>3537</v>
      </c>
      <c r="Q47" s="1">
        <v>3922</v>
      </c>
      <c r="R47" s="1">
        <v>4369</v>
      </c>
      <c r="S47" s="1">
        <v>5309</v>
      </c>
      <c r="T47" s="1">
        <v>6503</v>
      </c>
      <c r="U47" s="1">
        <v>8193</v>
      </c>
      <c r="V47" s="1">
        <v>8470</v>
      </c>
      <c r="W47" s="1">
        <v>8711</v>
      </c>
      <c r="X47" s="1">
        <v>8024</v>
      </c>
      <c r="Y47" s="1">
        <v>10304</v>
      </c>
      <c r="Z47">
        <v>77</v>
      </c>
    </row>
    <row r="48" spans="1:26">
      <c r="A48">
        <f t="shared" si="0"/>
        <v>1996</v>
      </c>
      <c r="B48" t="s">
        <v>1</v>
      </c>
      <c r="C48" s="1">
        <v>58207</v>
      </c>
      <c r="D48" s="1">
        <v>6830</v>
      </c>
      <c r="E48">
        <v>829</v>
      </c>
      <c r="F48">
        <v>359</v>
      </c>
      <c r="G48">
        <v>220</v>
      </c>
      <c r="H48">
        <v>178</v>
      </c>
      <c r="I48">
        <v>632</v>
      </c>
      <c r="J48">
        <v>654</v>
      </c>
      <c r="K48" s="1">
        <v>2130</v>
      </c>
      <c r="L48" s="1">
        <v>2666</v>
      </c>
      <c r="M48" s="1">
        <v>2466</v>
      </c>
      <c r="N48" s="1">
        <v>2170</v>
      </c>
      <c r="O48" s="1">
        <v>2125</v>
      </c>
      <c r="P48" s="1">
        <v>2242</v>
      </c>
      <c r="Q48" s="1">
        <v>2438</v>
      </c>
      <c r="R48" s="1">
        <v>2668</v>
      </c>
      <c r="S48" s="1">
        <v>3199</v>
      </c>
      <c r="T48" s="1">
        <v>3910</v>
      </c>
      <c r="U48" s="1">
        <v>4794</v>
      </c>
      <c r="V48" s="1">
        <v>4850</v>
      </c>
      <c r="W48" s="1">
        <v>4580</v>
      </c>
      <c r="X48" s="1">
        <v>3880</v>
      </c>
      <c r="Y48" s="1">
        <v>4342</v>
      </c>
      <c r="Z48">
        <v>45</v>
      </c>
    </row>
    <row r="49" spans="1:26">
      <c r="A49">
        <f t="shared" si="0"/>
        <v>1996</v>
      </c>
      <c r="B49" t="s">
        <v>2</v>
      </c>
      <c r="C49" s="1">
        <v>41838</v>
      </c>
      <c r="D49" s="1">
        <v>5083</v>
      </c>
      <c r="E49">
        <v>740</v>
      </c>
      <c r="F49">
        <v>279</v>
      </c>
      <c r="G49">
        <v>162</v>
      </c>
      <c r="H49">
        <v>129</v>
      </c>
      <c r="I49">
        <v>426</v>
      </c>
      <c r="J49">
        <v>414</v>
      </c>
      <c r="K49">
        <v>674</v>
      </c>
      <c r="L49">
        <v>676</v>
      </c>
      <c r="M49">
        <v>767</v>
      </c>
      <c r="N49">
        <v>919</v>
      </c>
      <c r="O49" s="1">
        <v>1098</v>
      </c>
      <c r="P49" s="1">
        <v>1295</v>
      </c>
      <c r="Q49" s="1">
        <v>1484</v>
      </c>
      <c r="R49" s="1">
        <v>1701</v>
      </c>
      <c r="S49" s="1">
        <v>2110</v>
      </c>
      <c r="T49" s="1">
        <v>2593</v>
      </c>
      <c r="U49" s="1">
        <v>3399</v>
      </c>
      <c r="V49" s="1">
        <v>3620</v>
      </c>
      <c r="W49" s="1">
        <v>4131</v>
      </c>
      <c r="X49" s="1">
        <v>4144</v>
      </c>
      <c r="Y49" s="1">
        <v>5962</v>
      </c>
      <c r="Z49">
        <v>32</v>
      </c>
    </row>
    <row r="50" spans="1:26">
      <c r="A50">
        <f t="shared" si="0"/>
        <v>1995</v>
      </c>
      <c r="B50" t="s">
        <v>0</v>
      </c>
      <c r="C50">
        <v>98136</v>
      </c>
      <c r="D50">
        <v>12352</v>
      </c>
      <c r="E50">
        <v>1337</v>
      </c>
      <c r="F50">
        <v>525</v>
      </c>
      <c r="G50">
        <v>347</v>
      </c>
      <c r="H50">
        <v>238</v>
      </c>
      <c r="I50">
        <v>989</v>
      </c>
      <c r="J50">
        <v>1086</v>
      </c>
      <c r="K50">
        <v>2784</v>
      </c>
      <c r="L50">
        <v>3459</v>
      </c>
      <c r="M50">
        <v>3134</v>
      </c>
      <c r="N50">
        <v>3136</v>
      </c>
      <c r="O50">
        <v>3228</v>
      </c>
      <c r="P50">
        <v>3514</v>
      </c>
      <c r="Q50">
        <v>3727</v>
      </c>
      <c r="R50">
        <v>4195</v>
      </c>
      <c r="S50">
        <v>5226</v>
      </c>
      <c r="T50">
        <v>6541</v>
      </c>
      <c r="U50">
        <v>7751</v>
      </c>
      <c r="V50">
        <v>8247</v>
      </c>
      <c r="W50">
        <v>8163</v>
      </c>
      <c r="X50">
        <v>7954</v>
      </c>
      <c r="Y50">
        <v>9940</v>
      </c>
      <c r="Z50">
        <v>263</v>
      </c>
    </row>
    <row r="51" spans="1:26">
      <c r="A51">
        <f t="shared" si="0"/>
        <v>1995</v>
      </c>
      <c r="B51" t="s">
        <v>1</v>
      </c>
      <c r="C51">
        <v>57140</v>
      </c>
      <c r="D51">
        <v>7061</v>
      </c>
      <c r="E51">
        <v>700</v>
      </c>
      <c r="F51">
        <v>276</v>
      </c>
      <c r="G51">
        <v>190</v>
      </c>
      <c r="H51">
        <v>140</v>
      </c>
      <c r="I51">
        <v>570</v>
      </c>
      <c r="J51">
        <v>670</v>
      </c>
      <c r="K51">
        <v>2137</v>
      </c>
      <c r="L51">
        <v>2788</v>
      </c>
      <c r="M51">
        <v>2426</v>
      </c>
      <c r="N51">
        <v>2300</v>
      </c>
      <c r="O51">
        <v>2193</v>
      </c>
      <c r="P51">
        <v>2226</v>
      </c>
      <c r="Q51">
        <v>2251</v>
      </c>
      <c r="R51">
        <v>2631</v>
      </c>
      <c r="S51">
        <v>3106</v>
      </c>
      <c r="T51">
        <v>3960</v>
      </c>
      <c r="U51">
        <v>4445</v>
      </c>
      <c r="V51">
        <v>4574</v>
      </c>
      <c r="W51">
        <v>4350</v>
      </c>
      <c r="X51">
        <v>3869</v>
      </c>
      <c r="Y51">
        <v>4084</v>
      </c>
      <c r="Z51">
        <v>193</v>
      </c>
    </row>
    <row r="52" spans="1:26">
      <c r="A52">
        <f t="shared" si="0"/>
        <v>1995</v>
      </c>
      <c r="B52" t="s">
        <v>2</v>
      </c>
      <c r="C52">
        <v>40996</v>
      </c>
      <c r="D52">
        <v>5291</v>
      </c>
      <c r="E52">
        <v>637</v>
      </c>
      <c r="F52">
        <v>249</v>
      </c>
      <c r="G52">
        <v>157</v>
      </c>
      <c r="H52">
        <v>98</v>
      </c>
      <c r="I52">
        <v>419</v>
      </c>
      <c r="J52">
        <v>416</v>
      </c>
      <c r="K52">
        <v>647</v>
      </c>
      <c r="L52">
        <v>671</v>
      </c>
      <c r="M52">
        <v>708</v>
      </c>
      <c r="N52">
        <v>836</v>
      </c>
      <c r="O52">
        <v>1035</v>
      </c>
      <c r="P52">
        <v>1288</v>
      </c>
      <c r="Q52">
        <v>1476</v>
      </c>
      <c r="R52">
        <v>1564</v>
      </c>
      <c r="S52">
        <v>2120</v>
      </c>
      <c r="T52">
        <v>2581</v>
      </c>
      <c r="U52">
        <v>3306</v>
      </c>
      <c r="V52">
        <v>3673</v>
      </c>
      <c r="W52">
        <v>3813</v>
      </c>
      <c r="X52">
        <v>4085</v>
      </c>
      <c r="Y52">
        <v>5856</v>
      </c>
      <c r="Z52">
        <v>70</v>
      </c>
    </row>
  </sheetData>
  <autoFilter ref="A1:Z52">
    <filterColumn colId="1"/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8"/>
  <sheetViews>
    <sheetView topLeftCell="A7" workbookViewId="0">
      <selection activeCell="D47" sqref="D47"/>
    </sheetView>
  </sheetViews>
  <sheetFormatPr baseColWidth="10" defaultRowHeight="15"/>
  <cols>
    <col min="1" max="1" width="5" bestFit="1" customWidth="1"/>
    <col min="2" max="2" width="2.140625" bestFit="1" customWidth="1"/>
    <col min="3" max="3" width="8" bestFit="1" customWidth="1"/>
    <col min="4" max="4" width="7" bestFit="1" customWidth="1"/>
    <col min="5" max="5" width="6" bestFit="1" customWidth="1"/>
    <col min="6" max="6" width="7.7109375" customWidth="1"/>
    <col min="7" max="7" width="6.85546875" customWidth="1"/>
    <col min="8" max="8" width="7.5703125" customWidth="1"/>
    <col min="9" max="9" width="8" customWidth="1"/>
    <col min="10" max="21" width="6.85546875" bestFit="1" customWidth="1"/>
    <col min="22" max="22" width="8.140625" customWidth="1"/>
    <col min="23" max="24" width="6.85546875" bestFit="1" customWidth="1"/>
    <col min="25" max="25" width="7" bestFit="1" customWidth="1"/>
    <col min="26" max="26" width="4" bestFit="1" customWidth="1"/>
  </cols>
  <sheetData>
    <row r="1" spans="1:26" s="36" customFormat="1">
      <c r="A1" s="36" t="s">
        <v>21</v>
      </c>
      <c r="B1" s="36" t="s">
        <v>22</v>
      </c>
      <c r="C1" s="36" t="s">
        <v>20</v>
      </c>
      <c r="D1" s="36">
        <v>-1</v>
      </c>
      <c r="E1" s="36">
        <v>1</v>
      </c>
      <c r="F1" s="36">
        <v>2</v>
      </c>
      <c r="G1" s="36">
        <v>3</v>
      </c>
      <c r="H1" s="36">
        <v>4</v>
      </c>
      <c r="I1" s="37" t="s">
        <v>3</v>
      </c>
      <c r="J1" s="36" t="s">
        <v>4</v>
      </c>
      <c r="K1" s="36" t="s">
        <v>5</v>
      </c>
      <c r="L1" s="36" t="s">
        <v>6</v>
      </c>
      <c r="M1" s="36" t="s">
        <v>7</v>
      </c>
      <c r="N1" s="36" t="s">
        <v>8</v>
      </c>
      <c r="O1" s="36" t="s">
        <v>9</v>
      </c>
      <c r="P1" s="36" t="s">
        <v>10</v>
      </c>
      <c r="Q1" s="36" t="s">
        <v>11</v>
      </c>
      <c r="R1" s="36" t="s">
        <v>12</v>
      </c>
      <c r="S1" s="36" t="s">
        <v>13</v>
      </c>
      <c r="T1" s="36" t="s">
        <v>14</v>
      </c>
      <c r="U1" s="36" t="s">
        <v>15</v>
      </c>
      <c r="V1" s="36" t="s">
        <v>16</v>
      </c>
      <c r="W1" s="36" t="s">
        <v>17</v>
      </c>
      <c r="X1" s="36" t="s">
        <v>18</v>
      </c>
      <c r="Y1" s="36" t="s">
        <v>19</v>
      </c>
      <c r="Z1" s="36" t="s">
        <v>23</v>
      </c>
    </row>
    <row r="2" spans="1:26">
      <c r="A2">
        <v>2011</v>
      </c>
      <c r="B2" t="s">
        <v>0</v>
      </c>
      <c r="C2" s="1">
        <v>143020</v>
      </c>
      <c r="D2" s="1">
        <v>8900</v>
      </c>
      <c r="E2">
        <v>607</v>
      </c>
      <c r="F2">
        <v>356</v>
      </c>
      <c r="G2">
        <v>244</v>
      </c>
      <c r="H2">
        <v>188</v>
      </c>
      <c r="I2">
        <v>687</v>
      </c>
      <c r="J2">
        <v>969</v>
      </c>
      <c r="K2" s="1">
        <v>4526</v>
      </c>
      <c r="L2" s="1">
        <v>6425</v>
      </c>
      <c r="M2" s="1">
        <v>5627</v>
      </c>
      <c r="N2" s="1">
        <v>4867</v>
      </c>
      <c r="O2" s="1">
        <v>4482</v>
      </c>
      <c r="P2" s="1">
        <v>4705</v>
      </c>
      <c r="Q2" s="1">
        <v>5771</v>
      </c>
      <c r="R2" s="1">
        <v>7612</v>
      </c>
      <c r="S2" s="1">
        <v>9215</v>
      </c>
      <c r="T2" s="1">
        <v>10405</v>
      </c>
      <c r="U2" s="1">
        <v>10481</v>
      </c>
      <c r="V2" s="1">
        <v>11607</v>
      </c>
      <c r="W2" s="1">
        <v>12602</v>
      </c>
      <c r="X2" s="1">
        <v>13334</v>
      </c>
      <c r="Y2" s="1">
        <v>19336</v>
      </c>
      <c r="Z2">
        <v>74</v>
      </c>
    </row>
    <row r="3" spans="1:26">
      <c r="A3">
        <v>2010</v>
      </c>
      <c r="B3" t="s">
        <v>0</v>
      </c>
      <c r="C3" s="1">
        <v>138504</v>
      </c>
      <c r="D3" s="1">
        <v>8965</v>
      </c>
      <c r="E3">
        <v>640</v>
      </c>
      <c r="F3">
        <v>365</v>
      </c>
      <c r="G3">
        <v>233</v>
      </c>
      <c r="H3">
        <v>215</v>
      </c>
      <c r="I3">
        <v>784</v>
      </c>
      <c r="J3">
        <v>939</v>
      </c>
      <c r="K3" s="1">
        <v>4584</v>
      </c>
      <c r="L3" s="1">
        <v>6388</v>
      </c>
      <c r="M3" s="1">
        <v>5735</v>
      </c>
      <c r="N3" s="1">
        <v>4897</v>
      </c>
      <c r="O3" s="1">
        <v>4295</v>
      </c>
      <c r="P3" s="1">
        <v>4582</v>
      </c>
      <c r="Q3" s="1">
        <v>5757</v>
      </c>
      <c r="R3" s="1">
        <v>7287</v>
      </c>
      <c r="S3" s="1">
        <v>8799</v>
      </c>
      <c r="T3" s="1">
        <v>9656</v>
      </c>
      <c r="U3" s="1">
        <v>9872</v>
      </c>
      <c r="V3" s="1">
        <v>11445</v>
      </c>
      <c r="W3" s="1">
        <v>12236</v>
      </c>
      <c r="X3" s="1">
        <v>12775</v>
      </c>
      <c r="Y3" s="1">
        <v>18019</v>
      </c>
      <c r="Z3">
        <v>36</v>
      </c>
    </row>
    <row r="4" spans="1:26">
      <c r="A4">
        <v>2009</v>
      </c>
      <c r="B4" t="s">
        <v>0</v>
      </c>
      <c r="C4" s="1">
        <v>134731</v>
      </c>
      <c r="D4" s="1">
        <v>8577</v>
      </c>
      <c r="E4">
        <v>654</v>
      </c>
      <c r="F4">
        <v>360</v>
      </c>
      <c r="G4">
        <v>246</v>
      </c>
      <c r="H4">
        <v>204</v>
      </c>
      <c r="I4">
        <v>766</v>
      </c>
      <c r="J4">
        <v>966</v>
      </c>
      <c r="K4" s="1">
        <v>4813</v>
      </c>
      <c r="L4" s="1">
        <v>6958</v>
      </c>
      <c r="M4" s="1">
        <v>6119</v>
      </c>
      <c r="N4" s="1">
        <v>5049</v>
      </c>
      <c r="O4" s="1">
        <v>4377</v>
      </c>
      <c r="P4" s="1">
        <v>4899</v>
      </c>
      <c r="Q4" s="1">
        <v>5937</v>
      </c>
      <c r="R4" s="1">
        <v>7266</v>
      </c>
      <c r="S4" s="1">
        <v>8663</v>
      </c>
      <c r="T4" s="1">
        <v>9084</v>
      </c>
      <c r="U4" s="1">
        <v>9477</v>
      </c>
      <c r="V4" s="1">
        <v>10717</v>
      </c>
      <c r="W4" s="1">
        <v>11884</v>
      </c>
      <c r="X4" s="1">
        <v>11527</v>
      </c>
      <c r="Y4" s="1">
        <v>16100</v>
      </c>
      <c r="Z4">
        <v>88</v>
      </c>
    </row>
    <row r="5" spans="1:26">
      <c r="A5">
        <v>2008</v>
      </c>
      <c r="B5" t="s">
        <v>0</v>
      </c>
      <c r="C5" s="1">
        <v>133651</v>
      </c>
      <c r="D5" s="1">
        <v>8307</v>
      </c>
      <c r="E5">
        <v>662</v>
      </c>
      <c r="F5">
        <v>329</v>
      </c>
      <c r="G5">
        <v>254</v>
      </c>
      <c r="H5">
        <v>168</v>
      </c>
      <c r="I5">
        <v>733</v>
      </c>
      <c r="J5" s="1">
        <v>1060</v>
      </c>
      <c r="K5" s="1">
        <v>4840</v>
      </c>
      <c r="L5" s="1">
        <v>7108</v>
      </c>
      <c r="M5" s="1">
        <v>6077</v>
      </c>
      <c r="N5" s="1">
        <v>4933</v>
      </c>
      <c r="O5" s="1">
        <v>4403</v>
      </c>
      <c r="P5" s="1">
        <v>4813</v>
      </c>
      <c r="Q5" s="1">
        <v>5847</v>
      </c>
      <c r="R5" s="1">
        <v>7046</v>
      </c>
      <c r="S5" s="1">
        <v>8392</v>
      </c>
      <c r="T5" s="1">
        <v>8603</v>
      </c>
      <c r="U5" s="1">
        <v>9514</v>
      </c>
      <c r="V5" s="1">
        <v>10668</v>
      </c>
      <c r="W5" s="1">
        <v>12014</v>
      </c>
      <c r="X5" s="1">
        <v>11380</v>
      </c>
      <c r="Y5" s="1">
        <v>16292</v>
      </c>
      <c r="Z5">
        <v>208</v>
      </c>
    </row>
    <row r="6" spans="1:26">
      <c r="A6">
        <v>2007</v>
      </c>
      <c r="B6" t="s">
        <v>0</v>
      </c>
      <c r="C6" s="1">
        <v>127463</v>
      </c>
      <c r="D6" s="1">
        <v>8323</v>
      </c>
      <c r="E6">
        <v>800</v>
      </c>
      <c r="F6">
        <v>371</v>
      </c>
      <c r="G6">
        <v>252</v>
      </c>
      <c r="H6">
        <v>203</v>
      </c>
      <c r="I6">
        <v>828</v>
      </c>
      <c r="J6" s="1">
        <v>1058</v>
      </c>
      <c r="K6" s="1">
        <v>4355</v>
      </c>
      <c r="L6" s="1">
        <v>6472</v>
      </c>
      <c r="M6" s="1">
        <v>5905</v>
      </c>
      <c r="N6" s="1">
        <v>4683</v>
      </c>
      <c r="O6" s="1">
        <v>4345</v>
      </c>
      <c r="P6" s="1">
        <v>4682</v>
      </c>
      <c r="Q6" s="1">
        <v>5754</v>
      </c>
      <c r="R6" s="1">
        <v>6824</v>
      </c>
      <c r="S6" s="1">
        <v>7738</v>
      </c>
      <c r="T6" s="1">
        <v>8154</v>
      </c>
      <c r="U6" s="1">
        <v>9148</v>
      </c>
      <c r="V6" s="1">
        <v>10436</v>
      </c>
      <c r="W6" s="1">
        <v>11455</v>
      </c>
      <c r="X6" s="1">
        <v>10501</v>
      </c>
      <c r="Y6" s="1">
        <v>15010</v>
      </c>
      <c r="Z6">
        <v>166</v>
      </c>
    </row>
    <row r="7" spans="1:26">
      <c r="A7">
        <v>2006</v>
      </c>
      <c r="B7" t="s">
        <v>0</v>
      </c>
      <c r="C7" s="1">
        <v>121586</v>
      </c>
      <c r="D7" s="1">
        <v>8371</v>
      </c>
      <c r="E7">
        <v>821</v>
      </c>
      <c r="F7">
        <v>379</v>
      </c>
      <c r="G7">
        <v>237</v>
      </c>
      <c r="H7">
        <v>213</v>
      </c>
      <c r="I7">
        <v>842</v>
      </c>
      <c r="J7" s="1">
        <v>1068</v>
      </c>
      <c r="K7" s="1">
        <v>3965</v>
      </c>
      <c r="L7" s="1">
        <v>5820</v>
      </c>
      <c r="M7" s="1">
        <v>5358</v>
      </c>
      <c r="N7" s="1">
        <v>4189</v>
      </c>
      <c r="O7" s="1">
        <v>3941</v>
      </c>
      <c r="P7" s="1">
        <v>4648</v>
      </c>
      <c r="Q7" s="1">
        <v>5613</v>
      </c>
      <c r="R7" s="1">
        <v>6698</v>
      </c>
      <c r="S7" s="1">
        <v>7427</v>
      </c>
      <c r="T7" s="1">
        <v>7618</v>
      </c>
      <c r="U7" s="1">
        <v>8781</v>
      </c>
      <c r="V7" s="1">
        <v>10030</v>
      </c>
      <c r="W7" s="1">
        <v>11054</v>
      </c>
      <c r="X7" s="1">
        <v>10155</v>
      </c>
      <c r="Y7" s="1">
        <v>14322</v>
      </c>
      <c r="Z7">
        <v>36</v>
      </c>
    </row>
    <row r="8" spans="1:26">
      <c r="A8">
        <v>2005</v>
      </c>
      <c r="B8" t="s">
        <v>0</v>
      </c>
      <c r="C8" s="1">
        <v>117831</v>
      </c>
      <c r="D8" s="1">
        <v>9093</v>
      </c>
      <c r="E8">
        <v>878</v>
      </c>
      <c r="F8">
        <v>379</v>
      </c>
      <c r="G8">
        <v>230</v>
      </c>
      <c r="H8">
        <v>208</v>
      </c>
      <c r="I8">
        <v>834</v>
      </c>
      <c r="J8">
        <v>979</v>
      </c>
      <c r="K8" s="1">
        <v>3572</v>
      </c>
      <c r="L8" s="1">
        <v>5205</v>
      </c>
      <c r="M8" s="1">
        <v>4694</v>
      </c>
      <c r="N8" s="1">
        <v>3890</v>
      </c>
      <c r="O8" s="1">
        <v>3814</v>
      </c>
      <c r="P8" s="1">
        <v>4440</v>
      </c>
      <c r="Q8" s="1">
        <v>5275</v>
      </c>
      <c r="R8" s="1">
        <v>6385</v>
      </c>
      <c r="S8" s="1">
        <v>7032</v>
      </c>
      <c r="T8" s="1">
        <v>7527</v>
      </c>
      <c r="U8" s="1">
        <v>8707</v>
      </c>
      <c r="V8" s="1">
        <v>9739</v>
      </c>
      <c r="W8" s="1">
        <v>11133</v>
      </c>
      <c r="X8" s="1">
        <v>9778</v>
      </c>
      <c r="Y8" s="1">
        <v>13934</v>
      </c>
      <c r="Z8">
        <v>105</v>
      </c>
    </row>
    <row r="9" spans="1:26">
      <c r="A9">
        <v>2004</v>
      </c>
      <c r="B9" t="s">
        <v>0</v>
      </c>
      <c r="C9" s="1">
        <v>117227</v>
      </c>
      <c r="D9" s="1">
        <v>9272</v>
      </c>
      <c r="E9" s="1">
        <v>1054</v>
      </c>
      <c r="F9">
        <v>475</v>
      </c>
      <c r="G9">
        <v>307</v>
      </c>
      <c r="H9">
        <v>249</v>
      </c>
      <c r="I9">
        <v>942</v>
      </c>
      <c r="J9" s="1">
        <v>1066</v>
      </c>
      <c r="K9" s="1">
        <v>3748</v>
      </c>
      <c r="L9" s="1">
        <v>5469</v>
      </c>
      <c r="M9" s="1">
        <v>4754</v>
      </c>
      <c r="N9" s="1">
        <v>4011</v>
      </c>
      <c r="O9" s="1">
        <v>3862</v>
      </c>
      <c r="P9" s="1">
        <v>4315</v>
      </c>
      <c r="Q9" s="1">
        <v>5231</v>
      </c>
      <c r="R9" s="1">
        <v>6165</v>
      </c>
      <c r="S9" s="1">
        <v>6646</v>
      </c>
      <c r="T9" s="1">
        <v>7230</v>
      </c>
      <c r="U9" s="1">
        <v>8610</v>
      </c>
      <c r="V9" s="1">
        <v>9914</v>
      </c>
      <c r="W9" s="1">
        <v>10815</v>
      </c>
      <c r="X9" s="1">
        <v>9635</v>
      </c>
      <c r="Y9" s="1">
        <v>13376</v>
      </c>
      <c r="Z9">
        <v>81</v>
      </c>
    </row>
    <row r="10" spans="1:26">
      <c r="A10">
        <v>2003</v>
      </c>
      <c r="B10" t="s">
        <v>0</v>
      </c>
      <c r="C10" s="1">
        <v>121864</v>
      </c>
      <c r="D10" s="1">
        <v>10276</v>
      </c>
      <c r="E10" s="1">
        <v>1539</v>
      </c>
      <c r="F10">
        <v>590</v>
      </c>
      <c r="G10">
        <v>355</v>
      </c>
      <c r="H10">
        <v>229</v>
      </c>
      <c r="I10">
        <v>921</v>
      </c>
      <c r="J10" s="1">
        <v>1116</v>
      </c>
      <c r="K10" s="1">
        <v>4104</v>
      </c>
      <c r="L10" s="1">
        <v>6190</v>
      </c>
      <c r="M10" s="1">
        <v>5138</v>
      </c>
      <c r="N10" s="1">
        <v>4199</v>
      </c>
      <c r="O10" s="1">
        <v>4127</v>
      </c>
      <c r="P10" s="1">
        <v>4530</v>
      </c>
      <c r="Q10" s="1">
        <v>5277</v>
      </c>
      <c r="R10" s="1">
        <v>6149</v>
      </c>
      <c r="S10" s="1">
        <v>6544</v>
      </c>
      <c r="T10" s="1">
        <v>7402</v>
      </c>
      <c r="U10" s="1">
        <v>8935</v>
      </c>
      <c r="V10" s="1">
        <v>10256</v>
      </c>
      <c r="W10" s="1">
        <v>10738</v>
      </c>
      <c r="X10" s="1">
        <v>9633</v>
      </c>
      <c r="Y10" s="1">
        <v>13578</v>
      </c>
      <c r="Z10">
        <v>38</v>
      </c>
    </row>
    <row r="11" spans="1:26">
      <c r="A11">
        <v>2002</v>
      </c>
      <c r="B11" t="s">
        <v>0</v>
      </c>
      <c r="C11" s="1">
        <v>110293</v>
      </c>
      <c r="D11" s="1">
        <v>8949</v>
      </c>
      <c r="E11" s="1">
        <v>1144</v>
      </c>
      <c r="F11">
        <v>438</v>
      </c>
      <c r="G11">
        <v>282</v>
      </c>
      <c r="H11">
        <v>250</v>
      </c>
      <c r="I11">
        <v>877</v>
      </c>
      <c r="J11" s="1">
        <v>1104</v>
      </c>
      <c r="K11" s="1">
        <v>3769</v>
      </c>
      <c r="L11" s="1">
        <v>5579</v>
      </c>
      <c r="M11" s="1">
        <v>4523</v>
      </c>
      <c r="N11" s="1">
        <v>3776</v>
      </c>
      <c r="O11" s="1">
        <v>3706</v>
      </c>
      <c r="P11" s="1">
        <v>4305</v>
      </c>
      <c r="Q11" s="1">
        <v>5143</v>
      </c>
      <c r="R11" s="1">
        <v>5851</v>
      </c>
      <c r="S11" s="1">
        <v>6112</v>
      </c>
      <c r="T11" s="1">
        <v>6800</v>
      </c>
      <c r="U11" s="1">
        <v>8271</v>
      </c>
      <c r="V11" s="1">
        <v>9524</v>
      </c>
      <c r="W11" s="1">
        <v>9622</v>
      </c>
      <c r="X11" s="1">
        <v>8450</v>
      </c>
      <c r="Y11" s="1">
        <v>11723</v>
      </c>
      <c r="Z11">
        <v>95</v>
      </c>
    </row>
    <row r="12" spans="1:26">
      <c r="A12">
        <v>2001</v>
      </c>
      <c r="B12" t="s">
        <v>0</v>
      </c>
      <c r="C12" s="1">
        <v>110672</v>
      </c>
      <c r="D12" s="1">
        <v>9353</v>
      </c>
      <c r="E12" s="1">
        <v>1243</v>
      </c>
      <c r="F12">
        <v>533</v>
      </c>
      <c r="G12">
        <v>312</v>
      </c>
      <c r="H12">
        <v>250</v>
      </c>
      <c r="I12">
        <v>974</v>
      </c>
      <c r="J12" s="1">
        <v>1057</v>
      </c>
      <c r="K12" s="1">
        <v>3350</v>
      </c>
      <c r="L12" s="1">
        <v>4860</v>
      </c>
      <c r="M12" s="1">
        <v>4234</v>
      </c>
      <c r="N12" s="1">
        <v>3727</v>
      </c>
      <c r="O12" s="1">
        <v>3897</v>
      </c>
      <c r="P12" s="1">
        <v>4378</v>
      </c>
      <c r="Q12" s="1">
        <v>5150</v>
      </c>
      <c r="R12" s="1">
        <v>5653</v>
      </c>
      <c r="S12" s="1">
        <v>5756</v>
      </c>
      <c r="T12" s="1">
        <v>7076</v>
      </c>
      <c r="U12" s="1">
        <v>8353</v>
      </c>
      <c r="V12" s="1">
        <v>9957</v>
      </c>
      <c r="W12" s="1">
        <v>9623</v>
      </c>
      <c r="X12" s="1">
        <v>8875</v>
      </c>
      <c r="Y12" s="1">
        <v>11982</v>
      </c>
      <c r="Z12">
        <v>79</v>
      </c>
    </row>
    <row r="13" spans="1:26">
      <c r="A13">
        <v>2000</v>
      </c>
      <c r="B13" t="s">
        <v>0</v>
      </c>
      <c r="C13" s="1">
        <v>105948</v>
      </c>
      <c r="D13" s="1">
        <v>9649</v>
      </c>
      <c r="E13" s="1">
        <v>1207</v>
      </c>
      <c r="F13">
        <v>493</v>
      </c>
      <c r="G13">
        <v>318</v>
      </c>
      <c r="H13">
        <v>240</v>
      </c>
      <c r="I13">
        <v>986</v>
      </c>
      <c r="J13">
        <v>966</v>
      </c>
      <c r="K13" s="1">
        <v>3298</v>
      </c>
      <c r="L13" s="1">
        <v>4742</v>
      </c>
      <c r="M13" s="1">
        <v>4042</v>
      </c>
      <c r="N13" s="1">
        <v>3729</v>
      </c>
      <c r="O13" s="1">
        <v>3709</v>
      </c>
      <c r="P13" s="1">
        <v>4180</v>
      </c>
      <c r="Q13" s="1">
        <v>4734</v>
      </c>
      <c r="R13" s="1">
        <v>5249</v>
      </c>
      <c r="S13" s="1">
        <v>5475</v>
      </c>
      <c r="T13" s="1">
        <v>6883</v>
      </c>
      <c r="U13" s="1">
        <v>8052</v>
      </c>
      <c r="V13" s="1">
        <v>9583</v>
      </c>
      <c r="W13" s="1">
        <v>9068</v>
      </c>
      <c r="X13" s="1">
        <v>8380</v>
      </c>
      <c r="Y13" s="1">
        <v>10848</v>
      </c>
      <c r="Z13">
        <v>117</v>
      </c>
    </row>
    <row r="14" spans="1:26">
      <c r="A14">
        <v>1999</v>
      </c>
      <c r="B14" t="s">
        <v>0</v>
      </c>
      <c r="C14">
        <v>104.625</v>
      </c>
      <c r="D14">
        <v>10.108000000000001</v>
      </c>
      <c r="E14">
        <v>1.2050000000000001</v>
      </c>
      <c r="F14">
        <v>527</v>
      </c>
      <c r="G14">
        <v>346</v>
      </c>
      <c r="H14">
        <v>275</v>
      </c>
      <c r="I14" s="1">
        <v>1042</v>
      </c>
      <c r="J14" s="1">
        <v>1003</v>
      </c>
      <c r="K14" s="1">
        <v>2804</v>
      </c>
      <c r="L14" s="1">
        <v>3875</v>
      </c>
      <c r="M14" s="1">
        <v>3575</v>
      </c>
      <c r="N14" s="1">
        <v>3365</v>
      </c>
      <c r="O14" s="1">
        <v>3485</v>
      </c>
      <c r="P14" s="1">
        <v>3958</v>
      </c>
      <c r="Q14" s="1">
        <v>4668</v>
      </c>
      <c r="R14" s="1">
        <v>4930</v>
      </c>
      <c r="S14" s="1">
        <v>5602</v>
      </c>
      <c r="T14" s="1">
        <v>7055</v>
      </c>
      <c r="U14" s="1">
        <v>8427</v>
      </c>
      <c r="V14" s="1">
        <v>9287</v>
      </c>
      <c r="W14" s="1">
        <v>9348</v>
      </c>
      <c r="X14" s="1">
        <v>8458</v>
      </c>
      <c r="Y14" s="1">
        <v>11149</v>
      </c>
      <c r="Z14">
        <v>133</v>
      </c>
    </row>
    <row r="15" spans="1:26">
      <c r="A15">
        <v>1998</v>
      </c>
      <c r="B15" t="s">
        <v>0</v>
      </c>
      <c r="C15" s="1">
        <v>100963</v>
      </c>
      <c r="D15" s="1">
        <v>10721</v>
      </c>
      <c r="E15" s="1">
        <v>1373</v>
      </c>
      <c r="F15">
        <v>560</v>
      </c>
      <c r="G15">
        <v>361</v>
      </c>
      <c r="H15">
        <v>272</v>
      </c>
      <c r="I15">
        <v>981</v>
      </c>
      <c r="J15" s="1">
        <v>1045</v>
      </c>
      <c r="K15" s="1">
        <v>2466</v>
      </c>
      <c r="L15" s="1">
        <v>3388</v>
      </c>
      <c r="M15" s="1">
        <v>3130</v>
      </c>
      <c r="N15" s="1">
        <v>3069</v>
      </c>
      <c r="O15" s="1">
        <v>3373</v>
      </c>
      <c r="P15" s="1">
        <v>3845</v>
      </c>
      <c r="Q15" s="1">
        <v>4441</v>
      </c>
      <c r="R15" s="1">
        <v>4702</v>
      </c>
      <c r="S15" s="1">
        <v>5505</v>
      </c>
      <c r="T15" s="1">
        <v>6686</v>
      </c>
      <c r="U15" s="1">
        <v>8314</v>
      </c>
      <c r="V15" s="1">
        <v>9066</v>
      </c>
      <c r="W15" s="1">
        <v>8912</v>
      </c>
      <c r="X15" s="1">
        <v>7874</v>
      </c>
      <c r="Y15" s="1">
        <v>10635</v>
      </c>
      <c r="Z15">
        <v>244</v>
      </c>
    </row>
    <row r="16" spans="1:26">
      <c r="A16">
        <v>1997</v>
      </c>
      <c r="B16" t="s">
        <v>0</v>
      </c>
      <c r="C16" s="1">
        <v>98011</v>
      </c>
      <c r="D16" s="1">
        <v>11069</v>
      </c>
      <c r="E16" s="1">
        <v>1222</v>
      </c>
      <c r="F16">
        <v>549</v>
      </c>
      <c r="G16">
        <v>345</v>
      </c>
      <c r="H16">
        <v>275</v>
      </c>
      <c r="I16" s="1">
        <v>1013</v>
      </c>
      <c r="J16" s="1">
        <v>1052</v>
      </c>
      <c r="K16" s="1">
        <v>2503</v>
      </c>
      <c r="L16" s="1">
        <v>3170</v>
      </c>
      <c r="M16" s="1">
        <v>3022</v>
      </c>
      <c r="N16" s="1">
        <v>2943</v>
      </c>
      <c r="O16" s="1">
        <v>3277</v>
      </c>
      <c r="P16" s="1">
        <v>3734</v>
      </c>
      <c r="Q16" s="1">
        <v>3998</v>
      </c>
      <c r="R16" s="1">
        <v>4440</v>
      </c>
      <c r="S16" s="1">
        <v>5193</v>
      </c>
      <c r="T16" s="1">
        <v>6543</v>
      </c>
      <c r="U16" s="1">
        <v>7962</v>
      </c>
      <c r="V16" s="1">
        <v>8697</v>
      </c>
      <c r="W16" s="1">
        <v>8752</v>
      </c>
      <c r="X16" s="1">
        <v>7745</v>
      </c>
      <c r="Y16" s="1">
        <v>10356</v>
      </c>
      <c r="Z16">
        <v>151</v>
      </c>
    </row>
    <row r="17" spans="1:26">
      <c r="A17">
        <v>1996</v>
      </c>
      <c r="B17" t="s">
        <v>0</v>
      </c>
      <c r="C17" s="1">
        <v>100045</v>
      </c>
      <c r="D17" s="1">
        <v>11913</v>
      </c>
      <c r="E17" s="1">
        <v>1569</v>
      </c>
      <c r="F17">
        <v>638</v>
      </c>
      <c r="G17">
        <v>382</v>
      </c>
      <c r="H17">
        <v>307</v>
      </c>
      <c r="I17" s="1">
        <v>1058</v>
      </c>
      <c r="J17" s="1">
        <v>1068</v>
      </c>
      <c r="K17" s="1">
        <v>2804</v>
      </c>
      <c r="L17" s="1">
        <v>3342</v>
      </c>
      <c r="M17" s="1">
        <v>3233</v>
      </c>
      <c r="N17" s="1">
        <v>3089</v>
      </c>
      <c r="O17" s="1">
        <v>3223</v>
      </c>
      <c r="P17" s="1">
        <v>3537</v>
      </c>
      <c r="Q17" s="1">
        <v>3922</v>
      </c>
      <c r="R17" s="1">
        <v>4369</v>
      </c>
      <c r="S17" s="1">
        <v>5309</v>
      </c>
      <c r="T17" s="1">
        <v>6503</v>
      </c>
      <c r="U17" s="1">
        <v>8193</v>
      </c>
      <c r="V17" s="1">
        <v>8470</v>
      </c>
      <c r="W17" s="1">
        <v>8711</v>
      </c>
      <c r="X17" s="1">
        <v>8024</v>
      </c>
      <c r="Y17" s="1">
        <v>10304</v>
      </c>
      <c r="Z17">
        <v>77</v>
      </c>
    </row>
    <row r="18" spans="1:26">
      <c r="A18">
        <v>1995</v>
      </c>
      <c r="B18" t="s">
        <v>0</v>
      </c>
      <c r="C18">
        <v>98136</v>
      </c>
      <c r="D18">
        <v>12352</v>
      </c>
      <c r="E18">
        <v>1337</v>
      </c>
      <c r="F18">
        <v>525</v>
      </c>
      <c r="G18">
        <v>347</v>
      </c>
      <c r="H18">
        <v>238</v>
      </c>
      <c r="I18">
        <v>989</v>
      </c>
      <c r="J18">
        <v>1086</v>
      </c>
      <c r="K18">
        <v>2784</v>
      </c>
      <c r="L18">
        <v>3459</v>
      </c>
      <c r="M18">
        <v>3134</v>
      </c>
      <c r="N18">
        <v>3136</v>
      </c>
      <c r="O18">
        <v>3228</v>
      </c>
      <c r="P18">
        <v>3514</v>
      </c>
      <c r="Q18">
        <v>3727</v>
      </c>
      <c r="R18">
        <v>4195</v>
      </c>
      <c r="S18">
        <v>5226</v>
      </c>
      <c r="T18">
        <v>6541</v>
      </c>
      <c r="U18">
        <v>7751</v>
      </c>
      <c r="V18">
        <v>8247</v>
      </c>
      <c r="W18">
        <v>8163</v>
      </c>
      <c r="X18">
        <v>7954</v>
      </c>
      <c r="Y18">
        <v>9940</v>
      </c>
      <c r="Z18">
        <v>263</v>
      </c>
    </row>
    <row r="21" spans="1:26">
      <c r="A21" s="3" t="s">
        <v>21</v>
      </c>
      <c r="B21" s="3" t="s">
        <v>22</v>
      </c>
      <c r="C21" t="s">
        <v>103</v>
      </c>
      <c r="D21" s="8" t="str">
        <f>+I1</f>
        <v>5 a 9</v>
      </c>
      <c r="E21" s="8" t="str">
        <f t="shared" ref="E21:U21" si="0">+J1</f>
        <v>10 a 14</v>
      </c>
      <c r="F21" s="8" t="str">
        <f t="shared" si="0"/>
        <v>15 a 19</v>
      </c>
      <c r="G21" s="8" t="str">
        <f t="shared" si="0"/>
        <v>20 a 24</v>
      </c>
      <c r="H21" s="8" t="str">
        <f t="shared" si="0"/>
        <v>25 a 29</v>
      </c>
      <c r="I21" s="8" t="str">
        <f t="shared" si="0"/>
        <v>30 a 34</v>
      </c>
      <c r="J21" s="8" t="str">
        <f t="shared" si="0"/>
        <v>35 a 39</v>
      </c>
      <c r="K21" s="8" t="str">
        <f t="shared" si="0"/>
        <v>40 a 44</v>
      </c>
      <c r="L21" s="8" t="str">
        <f t="shared" si="0"/>
        <v>45 a 49</v>
      </c>
      <c r="M21" s="8" t="str">
        <f t="shared" si="0"/>
        <v>50 a 54</v>
      </c>
      <c r="N21" s="8" t="str">
        <f t="shared" si="0"/>
        <v>55 a 59</v>
      </c>
      <c r="O21" s="8" t="str">
        <f t="shared" si="0"/>
        <v>60 a 64</v>
      </c>
      <c r="P21" s="8" t="str">
        <f t="shared" si="0"/>
        <v>65 a 69</v>
      </c>
      <c r="Q21" s="8" t="str">
        <f t="shared" si="0"/>
        <v>70 a 74</v>
      </c>
      <c r="R21" s="8" t="str">
        <f t="shared" si="0"/>
        <v>75 a 79</v>
      </c>
      <c r="S21" s="8" t="str">
        <f t="shared" si="0"/>
        <v>80 a 84</v>
      </c>
      <c r="T21" s="8" t="str">
        <f t="shared" si="0"/>
        <v>85 y +</v>
      </c>
      <c r="U21" s="8" t="str">
        <f t="shared" si="0"/>
        <v>O</v>
      </c>
      <c r="V21" s="3" t="s">
        <v>20</v>
      </c>
    </row>
    <row r="22" spans="1:26">
      <c r="A22">
        <v>2011</v>
      </c>
      <c r="B22" t="s">
        <v>0</v>
      </c>
      <c r="C22" s="1">
        <f>+SUM(D2:H2)</f>
        <v>10295</v>
      </c>
      <c r="D22" s="1">
        <f>+I2</f>
        <v>687</v>
      </c>
      <c r="E22" s="1">
        <f t="shared" ref="E22:V36" si="1">+J2</f>
        <v>969</v>
      </c>
      <c r="F22" s="1">
        <f t="shared" si="1"/>
        <v>4526</v>
      </c>
      <c r="G22" s="1">
        <f t="shared" si="1"/>
        <v>6425</v>
      </c>
      <c r="H22" s="1">
        <f t="shared" si="1"/>
        <v>5627</v>
      </c>
      <c r="I22" s="1">
        <f t="shared" si="1"/>
        <v>4867</v>
      </c>
      <c r="J22" s="1">
        <f t="shared" si="1"/>
        <v>4482</v>
      </c>
      <c r="K22" s="1">
        <f t="shared" si="1"/>
        <v>4705</v>
      </c>
      <c r="L22" s="1">
        <f t="shared" si="1"/>
        <v>5771</v>
      </c>
      <c r="M22" s="1">
        <f t="shared" si="1"/>
        <v>7612</v>
      </c>
      <c r="N22" s="1">
        <f t="shared" si="1"/>
        <v>9215</v>
      </c>
      <c r="O22" s="1">
        <f t="shared" si="1"/>
        <v>10405</v>
      </c>
      <c r="P22" s="1">
        <f t="shared" si="1"/>
        <v>10481</v>
      </c>
      <c r="Q22" s="1">
        <f t="shared" si="1"/>
        <v>11607</v>
      </c>
      <c r="R22" s="1">
        <f t="shared" si="1"/>
        <v>12602</v>
      </c>
      <c r="S22" s="1">
        <f t="shared" si="1"/>
        <v>13334</v>
      </c>
      <c r="T22" s="1">
        <f t="shared" si="1"/>
        <v>19336</v>
      </c>
      <c r="U22" s="1">
        <f t="shared" si="1"/>
        <v>74</v>
      </c>
      <c r="V22" s="1">
        <v>143020</v>
      </c>
    </row>
    <row r="23" spans="1:26">
      <c r="A23">
        <v>2010</v>
      </c>
      <c r="B23" t="s">
        <v>0</v>
      </c>
      <c r="C23" s="1">
        <f t="shared" ref="C23:C38" si="2">+SUM(D3:H3)</f>
        <v>10418</v>
      </c>
      <c r="D23" s="1">
        <f t="shared" ref="D23:D38" si="3">+I3</f>
        <v>784</v>
      </c>
      <c r="E23" s="1">
        <f t="shared" si="1"/>
        <v>939</v>
      </c>
      <c r="F23" s="1">
        <f t="shared" si="1"/>
        <v>4584</v>
      </c>
      <c r="G23" s="1">
        <f t="shared" si="1"/>
        <v>6388</v>
      </c>
      <c r="H23" s="1">
        <f t="shared" si="1"/>
        <v>5735</v>
      </c>
      <c r="I23" s="1">
        <f t="shared" si="1"/>
        <v>4897</v>
      </c>
      <c r="J23" s="1">
        <f t="shared" si="1"/>
        <v>4295</v>
      </c>
      <c r="K23" s="1">
        <f t="shared" si="1"/>
        <v>4582</v>
      </c>
      <c r="L23" s="1">
        <f t="shared" si="1"/>
        <v>5757</v>
      </c>
      <c r="M23" s="1">
        <f t="shared" si="1"/>
        <v>7287</v>
      </c>
      <c r="N23" s="1">
        <f t="shared" si="1"/>
        <v>8799</v>
      </c>
      <c r="O23" s="1">
        <f t="shared" si="1"/>
        <v>9656</v>
      </c>
      <c r="P23" s="1">
        <f t="shared" si="1"/>
        <v>9872</v>
      </c>
      <c r="Q23" s="1">
        <f t="shared" si="1"/>
        <v>11445</v>
      </c>
      <c r="R23" s="1">
        <f t="shared" si="1"/>
        <v>12236</v>
      </c>
      <c r="S23" s="1">
        <f t="shared" si="1"/>
        <v>12775</v>
      </c>
      <c r="T23" s="1">
        <f t="shared" si="1"/>
        <v>18019</v>
      </c>
      <c r="U23" s="1">
        <f t="shared" si="1"/>
        <v>36</v>
      </c>
      <c r="V23" s="1">
        <v>138504</v>
      </c>
    </row>
    <row r="24" spans="1:26">
      <c r="A24">
        <v>2009</v>
      </c>
      <c r="B24" t="s">
        <v>0</v>
      </c>
      <c r="C24" s="1">
        <f t="shared" si="2"/>
        <v>10041</v>
      </c>
      <c r="D24" s="1">
        <f t="shared" si="3"/>
        <v>766</v>
      </c>
      <c r="E24" s="1">
        <f t="shared" si="1"/>
        <v>966</v>
      </c>
      <c r="F24" s="1">
        <f t="shared" si="1"/>
        <v>4813</v>
      </c>
      <c r="G24" s="1">
        <f t="shared" si="1"/>
        <v>6958</v>
      </c>
      <c r="H24" s="1">
        <f t="shared" si="1"/>
        <v>6119</v>
      </c>
      <c r="I24" s="1">
        <f t="shared" si="1"/>
        <v>5049</v>
      </c>
      <c r="J24" s="1">
        <f t="shared" si="1"/>
        <v>4377</v>
      </c>
      <c r="K24" s="1">
        <f t="shared" si="1"/>
        <v>4899</v>
      </c>
      <c r="L24" s="1">
        <f t="shared" si="1"/>
        <v>5937</v>
      </c>
      <c r="M24" s="1">
        <f t="shared" si="1"/>
        <v>7266</v>
      </c>
      <c r="N24" s="1">
        <f t="shared" si="1"/>
        <v>8663</v>
      </c>
      <c r="O24" s="1">
        <f t="shared" si="1"/>
        <v>9084</v>
      </c>
      <c r="P24" s="1">
        <f t="shared" si="1"/>
        <v>9477</v>
      </c>
      <c r="Q24" s="1">
        <f t="shared" si="1"/>
        <v>10717</v>
      </c>
      <c r="R24" s="1">
        <f t="shared" si="1"/>
        <v>11884</v>
      </c>
      <c r="S24" s="1">
        <f t="shared" si="1"/>
        <v>11527</v>
      </c>
      <c r="T24" s="1">
        <f t="shared" si="1"/>
        <v>16100</v>
      </c>
      <c r="U24" s="1">
        <f t="shared" si="1"/>
        <v>88</v>
      </c>
      <c r="V24" s="1">
        <v>134731</v>
      </c>
    </row>
    <row r="25" spans="1:26">
      <c r="A25">
        <v>2008</v>
      </c>
      <c r="B25" t="s">
        <v>0</v>
      </c>
      <c r="C25" s="1">
        <f t="shared" si="2"/>
        <v>9720</v>
      </c>
      <c r="D25" s="1">
        <f t="shared" si="3"/>
        <v>733</v>
      </c>
      <c r="E25" s="1">
        <f t="shared" si="1"/>
        <v>1060</v>
      </c>
      <c r="F25" s="1">
        <f t="shared" si="1"/>
        <v>4840</v>
      </c>
      <c r="G25" s="1">
        <f t="shared" si="1"/>
        <v>7108</v>
      </c>
      <c r="H25" s="1">
        <f t="shared" si="1"/>
        <v>6077</v>
      </c>
      <c r="I25" s="1">
        <f t="shared" si="1"/>
        <v>4933</v>
      </c>
      <c r="J25" s="1">
        <f t="shared" si="1"/>
        <v>4403</v>
      </c>
      <c r="K25" s="1">
        <f t="shared" si="1"/>
        <v>4813</v>
      </c>
      <c r="L25" s="1">
        <f t="shared" si="1"/>
        <v>5847</v>
      </c>
      <c r="M25" s="1">
        <f t="shared" si="1"/>
        <v>7046</v>
      </c>
      <c r="N25" s="1">
        <f t="shared" si="1"/>
        <v>8392</v>
      </c>
      <c r="O25" s="1">
        <f t="shared" si="1"/>
        <v>8603</v>
      </c>
      <c r="P25" s="1">
        <f t="shared" si="1"/>
        <v>9514</v>
      </c>
      <c r="Q25" s="1">
        <f t="shared" si="1"/>
        <v>10668</v>
      </c>
      <c r="R25" s="1">
        <f t="shared" si="1"/>
        <v>12014</v>
      </c>
      <c r="S25" s="1">
        <f t="shared" si="1"/>
        <v>11380</v>
      </c>
      <c r="T25" s="1">
        <f t="shared" si="1"/>
        <v>16292</v>
      </c>
      <c r="U25" s="1">
        <f t="shared" si="1"/>
        <v>208</v>
      </c>
      <c r="V25" s="1">
        <v>133651</v>
      </c>
    </row>
    <row r="26" spans="1:26">
      <c r="A26">
        <v>2007</v>
      </c>
      <c r="B26" t="s">
        <v>0</v>
      </c>
      <c r="C26" s="1">
        <f t="shared" si="2"/>
        <v>9949</v>
      </c>
      <c r="D26" s="1">
        <f t="shared" si="3"/>
        <v>828</v>
      </c>
      <c r="E26" s="1">
        <f t="shared" si="1"/>
        <v>1058</v>
      </c>
      <c r="F26" s="1">
        <f t="shared" si="1"/>
        <v>4355</v>
      </c>
      <c r="G26" s="1">
        <f t="shared" si="1"/>
        <v>6472</v>
      </c>
      <c r="H26" s="1">
        <f t="shared" si="1"/>
        <v>5905</v>
      </c>
      <c r="I26" s="1">
        <f t="shared" si="1"/>
        <v>4683</v>
      </c>
      <c r="J26" s="1">
        <f t="shared" si="1"/>
        <v>4345</v>
      </c>
      <c r="K26" s="1">
        <f t="shared" si="1"/>
        <v>4682</v>
      </c>
      <c r="L26" s="1">
        <f t="shared" si="1"/>
        <v>5754</v>
      </c>
      <c r="M26" s="1">
        <f t="shared" si="1"/>
        <v>6824</v>
      </c>
      <c r="N26" s="1">
        <f t="shared" si="1"/>
        <v>7738</v>
      </c>
      <c r="O26" s="1">
        <f t="shared" si="1"/>
        <v>8154</v>
      </c>
      <c r="P26" s="1">
        <f t="shared" si="1"/>
        <v>9148</v>
      </c>
      <c r="Q26" s="1">
        <f t="shared" si="1"/>
        <v>10436</v>
      </c>
      <c r="R26" s="1">
        <f t="shared" si="1"/>
        <v>11455</v>
      </c>
      <c r="S26" s="1">
        <f t="shared" si="1"/>
        <v>10501</v>
      </c>
      <c r="T26" s="1">
        <f t="shared" si="1"/>
        <v>15010</v>
      </c>
      <c r="U26" s="1">
        <f t="shared" si="1"/>
        <v>166</v>
      </c>
      <c r="V26" s="1">
        <v>127463</v>
      </c>
    </row>
    <row r="27" spans="1:26">
      <c r="A27">
        <v>2006</v>
      </c>
      <c r="B27" t="s">
        <v>0</v>
      </c>
      <c r="C27" s="1">
        <f t="shared" si="2"/>
        <v>10021</v>
      </c>
      <c r="D27" s="1">
        <f t="shared" si="3"/>
        <v>842</v>
      </c>
      <c r="E27" s="1">
        <f t="shared" si="1"/>
        <v>1068</v>
      </c>
      <c r="F27" s="1">
        <f t="shared" si="1"/>
        <v>3965</v>
      </c>
      <c r="G27" s="1">
        <f t="shared" si="1"/>
        <v>5820</v>
      </c>
      <c r="H27" s="1">
        <f t="shared" si="1"/>
        <v>5358</v>
      </c>
      <c r="I27" s="1">
        <f t="shared" si="1"/>
        <v>4189</v>
      </c>
      <c r="J27" s="1">
        <f t="shared" si="1"/>
        <v>3941</v>
      </c>
      <c r="K27" s="1">
        <f t="shared" si="1"/>
        <v>4648</v>
      </c>
      <c r="L27" s="1">
        <f t="shared" si="1"/>
        <v>5613</v>
      </c>
      <c r="M27" s="1">
        <f t="shared" si="1"/>
        <v>6698</v>
      </c>
      <c r="N27" s="1">
        <f t="shared" si="1"/>
        <v>7427</v>
      </c>
      <c r="O27" s="1">
        <f t="shared" si="1"/>
        <v>7618</v>
      </c>
      <c r="P27" s="1">
        <f t="shared" si="1"/>
        <v>8781</v>
      </c>
      <c r="Q27" s="1">
        <f t="shared" si="1"/>
        <v>10030</v>
      </c>
      <c r="R27" s="1">
        <f t="shared" si="1"/>
        <v>11054</v>
      </c>
      <c r="S27" s="1">
        <f t="shared" si="1"/>
        <v>10155</v>
      </c>
      <c r="T27" s="1">
        <f t="shared" si="1"/>
        <v>14322</v>
      </c>
      <c r="U27" s="1">
        <f t="shared" si="1"/>
        <v>36</v>
      </c>
      <c r="V27" s="1">
        <v>121586</v>
      </c>
    </row>
    <row r="28" spans="1:26">
      <c r="A28">
        <v>2005</v>
      </c>
      <c r="B28" t="s">
        <v>0</v>
      </c>
      <c r="C28" s="1">
        <f t="shared" si="2"/>
        <v>10788</v>
      </c>
      <c r="D28" s="1">
        <f t="shared" si="3"/>
        <v>834</v>
      </c>
      <c r="E28" s="1">
        <f t="shared" si="1"/>
        <v>979</v>
      </c>
      <c r="F28" s="1">
        <f t="shared" si="1"/>
        <v>3572</v>
      </c>
      <c r="G28" s="1">
        <f t="shared" si="1"/>
        <v>5205</v>
      </c>
      <c r="H28" s="1">
        <f t="shared" si="1"/>
        <v>4694</v>
      </c>
      <c r="I28" s="1">
        <f t="shared" si="1"/>
        <v>3890</v>
      </c>
      <c r="J28" s="1">
        <f t="shared" si="1"/>
        <v>3814</v>
      </c>
      <c r="K28" s="1">
        <f t="shared" si="1"/>
        <v>4440</v>
      </c>
      <c r="L28" s="1">
        <f t="shared" si="1"/>
        <v>5275</v>
      </c>
      <c r="M28" s="1">
        <f t="shared" si="1"/>
        <v>6385</v>
      </c>
      <c r="N28" s="1">
        <f t="shared" si="1"/>
        <v>7032</v>
      </c>
      <c r="O28" s="1">
        <f t="shared" si="1"/>
        <v>7527</v>
      </c>
      <c r="P28" s="1">
        <f t="shared" si="1"/>
        <v>8707</v>
      </c>
      <c r="Q28" s="1">
        <f t="shared" si="1"/>
        <v>9739</v>
      </c>
      <c r="R28" s="1">
        <f t="shared" si="1"/>
        <v>11133</v>
      </c>
      <c r="S28" s="1">
        <f t="shared" si="1"/>
        <v>9778</v>
      </c>
      <c r="T28" s="1">
        <f t="shared" si="1"/>
        <v>13934</v>
      </c>
      <c r="U28" s="1">
        <f t="shared" si="1"/>
        <v>105</v>
      </c>
      <c r="V28" s="1">
        <v>117831</v>
      </c>
    </row>
    <row r="29" spans="1:26">
      <c r="A29">
        <v>2004</v>
      </c>
      <c r="B29" t="s">
        <v>0</v>
      </c>
      <c r="C29" s="1">
        <f t="shared" si="2"/>
        <v>11357</v>
      </c>
      <c r="D29" s="1">
        <f t="shared" si="3"/>
        <v>942</v>
      </c>
      <c r="E29" s="1">
        <f t="shared" si="1"/>
        <v>1066</v>
      </c>
      <c r="F29" s="1">
        <f t="shared" si="1"/>
        <v>3748</v>
      </c>
      <c r="G29" s="1">
        <f t="shared" si="1"/>
        <v>5469</v>
      </c>
      <c r="H29" s="1">
        <f t="shared" si="1"/>
        <v>4754</v>
      </c>
      <c r="I29" s="1">
        <f t="shared" si="1"/>
        <v>4011</v>
      </c>
      <c r="J29" s="1">
        <f t="shared" si="1"/>
        <v>3862</v>
      </c>
      <c r="K29" s="1">
        <f t="shared" si="1"/>
        <v>4315</v>
      </c>
      <c r="L29" s="1">
        <f t="shared" si="1"/>
        <v>5231</v>
      </c>
      <c r="M29" s="1">
        <f t="shared" si="1"/>
        <v>6165</v>
      </c>
      <c r="N29" s="1">
        <f t="shared" si="1"/>
        <v>6646</v>
      </c>
      <c r="O29" s="1">
        <f t="shared" si="1"/>
        <v>7230</v>
      </c>
      <c r="P29" s="1">
        <f t="shared" si="1"/>
        <v>8610</v>
      </c>
      <c r="Q29" s="1">
        <f t="shared" si="1"/>
        <v>9914</v>
      </c>
      <c r="R29" s="1">
        <f t="shared" si="1"/>
        <v>10815</v>
      </c>
      <c r="S29" s="1">
        <f t="shared" si="1"/>
        <v>9635</v>
      </c>
      <c r="T29" s="1">
        <f t="shared" si="1"/>
        <v>13376</v>
      </c>
      <c r="U29" s="1">
        <f t="shared" si="1"/>
        <v>81</v>
      </c>
      <c r="V29" s="1">
        <v>117227</v>
      </c>
    </row>
    <row r="30" spans="1:26">
      <c r="A30">
        <v>2003</v>
      </c>
      <c r="B30" t="s">
        <v>0</v>
      </c>
      <c r="C30" s="1">
        <f t="shared" si="2"/>
        <v>12989</v>
      </c>
      <c r="D30" s="1">
        <f t="shared" si="3"/>
        <v>921</v>
      </c>
      <c r="E30" s="1">
        <f t="shared" si="1"/>
        <v>1116</v>
      </c>
      <c r="F30" s="1">
        <f t="shared" si="1"/>
        <v>4104</v>
      </c>
      <c r="G30" s="1">
        <f t="shared" si="1"/>
        <v>6190</v>
      </c>
      <c r="H30" s="1">
        <f t="shared" si="1"/>
        <v>5138</v>
      </c>
      <c r="I30" s="1">
        <f t="shared" si="1"/>
        <v>4199</v>
      </c>
      <c r="J30" s="1">
        <f t="shared" si="1"/>
        <v>4127</v>
      </c>
      <c r="K30" s="1">
        <f t="shared" si="1"/>
        <v>4530</v>
      </c>
      <c r="L30" s="1">
        <f t="shared" si="1"/>
        <v>5277</v>
      </c>
      <c r="M30" s="1">
        <f t="shared" si="1"/>
        <v>6149</v>
      </c>
      <c r="N30" s="1">
        <f t="shared" si="1"/>
        <v>6544</v>
      </c>
      <c r="O30" s="1">
        <f t="shared" si="1"/>
        <v>7402</v>
      </c>
      <c r="P30" s="1">
        <f t="shared" si="1"/>
        <v>8935</v>
      </c>
      <c r="Q30" s="1">
        <f t="shared" si="1"/>
        <v>10256</v>
      </c>
      <c r="R30" s="1">
        <f t="shared" si="1"/>
        <v>10738</v>
      </c>
      <c r="S30" s="1">
        <f t="shared" si="1"/>
        <v>9633</v>
      </c>
      <c r="T30" s="1">
        <f t="shared" si="1"/>
        <v>13578</v>
      </c>
      <c r="U30" s="1">
        <f t="shared" si="1"/>
        <v>38</v>
      </c>
      <c r="V30" s="1">
        <v>121864</v>
      </c>
    </row>
    <row r="31" spans="1:26">
      <c r="A31">
        <v>2002</v>
      </c>
      <c r="B31" t="s">
        <v>0</v>
      </c>
      <c r="C31" s="1">
        <f t="shared" si="2"/>
        <v>11063</v>
      </c>
      <c r="D31" s="1">
        <f t="shared" si="3"/>
        <v>877</v>
      </c>
      <c r="E31" s="1">
        <f t="shared" si="1"/>
        <v>1104</v>
      </c>
      <c r="F31" s="1">
        <f t="shared" si="1"/>
        <v>3769</v>
      </c>
      <c r="G31" s="1">
        <f t="shared" si="1"/>
        <v>5579</v>
      </c>
      <c r="H31" s="1">
        <f t="shared" si="1"/>
        <v>4523</v>
      </c>
      <c r="I31" s="1">
        <f t="shared" si="1"/>
        <v>3776</v>
      </c>
      <c r="J31" s="1">
        <f t="shared" si="1"/>
        <v>3706</v>
      </c>
      <c r="K31" s="1">
        <f t="shared" si="1"/>
        <v>4305</v>
      </c>
      <c r="L31" s="1">
        <f t="shared" si="1"/>
        <v>5143</v>
      </c>
      <c r="M31" s="1">
        <f t="shared" si="1"/>
        <v>5851</v>
      </c>
      <c r="N31" s="1">
        <f t="shared" si="1"/>
        <v>6112</v>
      </c>
      <c r="O31" s="1">
        <f t="shared" si="1"/>
        <v>6800</v>
      </c>
      <c r="P31" s="1">
        <f t="shared" si="1"/>
        <v>8271</v>
      </c>
      <c r="Q31" s="1">
        <f t="shared" si="1"/>
        <v>9524</v>
      </c>
      <c r="R31" s="1">
        <f t="shared" si="1"/>
        <v>9622</v>
      </c>
      <c r="S31" s="1">
        <f t="shared" si="1"/>
        <v>8450</v>
      </c>
      <c r="T31" s="1">
        <f t="shared" si="1"/>
        <v>11723</v>
      </c>
      <c r="U31" s="1">
        <f t="shared" si="1"/>
        <v>95</v>
      </c>
      <c r="V31" s="1">
        <v>110293</v>
      </c>
    </row>
    <row r="32" spans="1:26">
      <c r="A32">
        <v>2001</v>
      </c>
      <c r="B32" t="s">
        <v>0</v>
      </c>
      <c r="C32" s="1">
        <f t="shared" si="2"/>
        <v>11691</v>
      </c>
      <c r="D32" s="1">
        <f t="shared" si="3"/>
        <v>974</v>
      </c>
      <c r="E32" s="1">
        <f t="shared" si="1"/>
        <v>1057</v>
      </c>
      <c r="F32" s="1">
        <f t="shared" si="1"/>
        <v>3350</v>
      </c>
      <c r="G32" s="1">
        <f t="shared" si="1"/>
        <v>4860</v>
      </c>
      <c r="H32" s="1">
        <f t="shared" si="1"/>
        <v>4234</v>
      </c>
      <c r="I32" s="1">
        <f t="shared" si="1"/>
        <v>3727</v>
      </c>
      <c r="J32" s="1">
        <f t="shared" si="1"/>
        <v>3897</v>
      </c>
      <c r="K32" s="1">
        <f t="shared" si="1"/>
        <v>4378</v>
      </c>
      <c r="L32" s="1">
        <f t="shared" si="1"/>
        <v>5150</v>
      </c>
      <c r="M32" s="1">
        <f t="shared" si="1"/>
        <v>5653</v>
      </c>
      <c r="N32" s="1">
        <f t="shared" si="1"/>
        <v>5756</v>
      </c>
      <c r="O32" s="1">
        <f t="shared" si="1"/>
        <v>7076</v>
      </c>
      <c r="P32" s="1">
        <f t="shared" si="1"/>
        <v>8353</v>
      </c>
      <c r="Q32" s="1">
        <f t="shared" si="1"/>
        <v>9957</v>
      </c>
      <c r="R32" s="1">
        <f t="shared" si="1"/>
        <v>9623</v>
      </c>
      <c r="S32" s="1">
        <f t="shared" si="1"/>
        <v>8875</v>
      </c>
      <c r="T32" s="1">
        <f t="shared" si="1"/>
        <v>11982</v>
      </c>
      <c r="U32" s="1">
        <f t="shared" si="1"/>
        <v>79</v>
      </c>
      <c r="V32" s="1">
        <v>110672</v>
      </c>
    </row>
    <row r="33" spans="1:22">
      <c r="A33">
        <v>2000</v>
      </c>
      <c r="B33" t="s">
        <v>0</v>
      </c>
      <c r="C33" s="1">
        <f t="shared" si="2"/>
        <v>11907</v>
      </c>
      <c r="D33" s="1">
        <f t="shared" si="3"/>
        <v>986</v>
      </c>
      <c r="E33" s="1">
        <f t="shared" si="1"/>
        <v>966</v>
      </c>
      <c r="F33" s="1">
        <f t="shared" si="1"/>
        <v>3298</v>
      </c>
      <c r="G33" s="1">
        <f t="shared" si="1"/>
        <v>4742</v>
      </c>
      <c r="H33" s="1">
        <f t="shared" si="1"/>
        <v>4042</v>
      </c>
      <c r="I33" s="1">
        <f t="shared" si="1"/>
        <v>3729</v>
      </c>
      <c r="J33" s="1">
        <f t="shared" si="1"/>
        <v>3709</v>
      </c>
      <c r="K33" s="1">
        <f t="shared" si="1"/>
        <v>4180</v>
      </c>
      <c r="L33" s="1">
        <f t="shared" si="1"/>
        <v>4734</v>
      </c>
      <c r="M33" s="1">
        <f t="shared" si="1"/>
        <v>5249</v>
      </c>
      <c r="N33" s="1">
        <f t="shared" si="1"/>
        <v>5475</v>
      </c>
      <c r="O33" s="1">
        <f t="shared" si="1"/>
        <v>6883</v>
      </c>
      <c r="P33" s="1">
        <f t="shared" si="1"/>
        <v>8052</v>
      </c>
      <c r="Q33" s="1">
        <f t="shared" si="1"/>
        <v>9583</v>
      </c>
      <c r="R33" s="1">
        <f t="shared" si="1"/>
        <v>9068</v>
      </c>
      <c r="S33" s="1">
        <f t="shared" si="1"/>
        <v>8380</v>
      </c>
      <c r="T33" s="1">
        <f t="shared" si="1"/>
        <v>10848</v>
      </c>
      <c r="U33" s="1">
        <f t="shared" si="1"/>
        <v>117</v>
      </c>
      <c r="V33" s="1">
        <v>105948</v>
      </c>
    </row>
    <row r="34" spans="1:22">
      <c r="A34">
        <v>1999</v>
      </c>
      <c r="B34" t="s">
        <v>0</v>
      </c>
      <c r="C34" s="1">
        <f t="shared" si="2"/>
        <v>1159.3130000000001</v>
      </c>
      <c r="D34" s="1">
        <f t="shared" si="3"/>
        <v>1042</v>
      </c>
      <c r="E34" s="1">
        <f t="shared" si="1"/>
        <v>1003</v>
      </c>
      <c r="F34" s="1">
        <f t="shared" si="1"/>
        <v>2804</v>
      </c>
      <c r="G34" s="1">
        <f t="shared" si="1"/>
        <v>3875</v>
      </c>
      <c r="H34" s="1">
        <f t="shared" si="1"/>
        <v>3575</v>
      </c>
      <c r="I34" s="1">
        <f t="shared" si="1"/>
        <v>3365</v>
      </c>
      <c r="J34" s="1">
        <f t="shared" si="1"/>
        <v>3485</v>
      </c>
      <c r="K34" s="1">
        <f t="shared" si="1"/>
        <v>3958</v>
      </c>
      <c r="L34" s="1">
        <f t="shared" si="1"/>
        <v>4668</v>
      </c>
      <c r="M34" s="1">
        <f t="shared" si="1"/>
        <v>4930</v>
      </c>
      <c r="N34" s="1">
        <f t="shared" si="1"/>
        <v>5602</v>
      </c>
      <c r="O34" s="1">
        <f t="shared" si="1"/>
        <v>7055</v>
      </c>
      <c r="P34" s="1">
        <f t="shared" si="1"/>
        <v>8427</v>
      </c>
      <c r="Q34" s="1">
        <f t="shared" si="1"/>
        <v>9287</v>
      </c>
      <c r="R34" s="1">
        <f t="shared" si="1"/>
        <v>9348</v>
      </c>
      <c r="S34" s="1">
        <f t="shared" si="1"/>
        <v>8458</v>
      </c>
      <c r="T34" s="1">
        <f t="shared" si="1"/>
        <v>11149</v>
      </c>
      <c r="U34" s="1">
        <f t="shared" si="1"/>
        <v>133</v>
      </c>
      <c r="V34" s="1">
        <v>104.625</v>
      </c>
    </row>
    <row r="35" spans="1:22">
      <c r="A35">
        <v>1998</v>
      </c>
      <c r="B35" t="s">
        <v>0</v>
      </c>
      <c r="C35" s="1">
        <f t="shared" si="2"/>
        <v>13287</v>
      </c>
      <c r="D35" s="1">
        <f t="shared" si="3"/>
        <v>981</v>
      </c>
      <c r="E35" s="1">
        <f t="shared" si="1"/>
        <v>1045</v>
      </c>
      <c r="F35" s="1">
        <f t="shared" si="1"/>
        <v>2466</v>
      </c>
      <c r="G35" s="1">
        <f t="shared" si="1"/>
        <v>3388</v>
      </c>
      <c r="H35" s="1">
        <f t="shared" si="1"/>
        <v>3130</v>
      </c>
      <c r="I35" s="1">
        <f t="shared" si="1"/>
        <v>3069</v>
      </c>
      <c r="J35" s="1">
        <f t="shared" si="1"/>
        <v>3373</v>
      </c>
      <c r="K35" s="1">
        <f t="shared" si="1"/>
        <v>3845</v>
      </c>
      <c r="L35" s="1">
        <f t="shared" si="1"/>
        <v>4441</v>
      </c>
      <c r="M35" s="1">
        <f t="shared" si="1"/>
        <v>4702</v>
      </c>
      <c r="N35" s="1">
        <f t="shared" si="1"/>
        <v>5505</v>
      </c>
      <c r="O35" s="1">
        <f t="shared" si="1"/>
        <v>6686</v>
      </c>
      <c r="P35" s="1">
        <f t="shared" si="1"/>
        <v>8314</v>
      </c>
      <c r="Q35" s="1">
        <f t="shared" si="1"/>
        <v>9066</v>
      </c>
      <c r="R35" s="1">
        <f t="shared" si="1"/>
        <v>8912</v>
      </c>
      <c r="S35" s="1">
        <f t="shared" si="1"/>
        <v>7874</v>
      </c>
      <c r="T35" s="1">
        <f t="shared" si="1"/>
        <v>10635</v>
      </c>
      <c r="U35" s="1">
        <f t="shared" si="1"/>
        <v>244</v>
      </c>
      <c r="V35" s="1">
        <v>100963</v>
      </c>
    </row>
    <row r="36" spans="1:22">
      <c r="A36">
        <v>1997</v>
      </c>
      <c r="B36" t="s">
        <v>0</v>
      </c>
      <c r="C36" s="1">
        <f t="shared" si="2"/>
        <v>13460</v>
      </c>
      <c r="D36" s="1">
        <f t="shared" si="3"/>
        <v>1013</v>
      </c>
      <c r="E36" s="1">
        <f t="shared" si="1"/>
        <v>1052</v>
      </c>
      <c r="F36" s="1">
        <f t="shared" si="1"/>
        <v>2503</v>
      </c>
      <c r="G36" s="1">
        <f t="shared" si="1"/>
        <v>3170</v>
      </c>
      <c r="H36" s="1">
        <f t="shared" ref="H36:H38" si="4">+M16</f>
        <v>3022</v>
      </c>
      <c r="I36" s="1">
        <f t="shared" ref="I36:I38" si="5">+N16</f>
        <v>2943</v>
      </c>
      <c r="J36" s="1">
        <f t="shared" ref="J36:J38" si="6">+O16</f>
        <v>3277</v>
      </c>
      <c r="K36" s="1">
        <f t="shared" ref="K36:K38" si="7">+P16</f>
        <v>3734</v>
      </c>
      <c r="L36" s="1">
        <f t="shared" ref="L36:L38" si="8">+Q16</f>
        <v>3998</v>
      </c>
      <c r="M36" s="1">
        <f t="shared" ref="M36:M38" si="9">+R16</f>
        <v>4440</v>
      </c>
      <c r="N36" s="1">
        <f t="shared" ref="N36:N38" si="10">+S16</f>
        <v>5193</v>
      </c>
      <c r="O36" s="1">
        <f t="shared" ref="O36:O38" si="11">+T16</f>
        <v>6543</v>
      </c>
      <c r="P36" s="1">
        <f t="shared" ref="P36:P38" si="12">+U16</f>
        <v>7962</v>
      </c>
      <c r="Q36" s="1">
        <f t="shared" ref="Q36:Q38" si="13">+V16</f>
        <v>8697</v>
      </c>
      <c r="R36" s="1">
        <f t="shared" ref="R36:R38" si="14">+W16</f>
        <v>8752</v>
      </c>
      <c r="S36" s="1">
        <f t="shared" ref="S36:S38" si="15">+X16</f>
        <v>7745</v>
      </c>
      <c r="T36" s="1">
        <f t="shared" ref="T36:T38" si="16">+Y16</f>
        <v>10356</v>
      </c>
      <c r="U36" s="1">
        <f t="shared" ref="U36:U38" si="17">+Z16</f>
        <v>151</v>
      </c>
      <c r="V36" s="1">
        <v>98011</v>
      </c>
    </row>
    <row r="37" spans="1:22">
      <c r="A37">
        <v>1996</v>
      </c>
      <c r="B37" t="s">
        <v>0</v>
      </c>
      <c r="C37" s="1">
        <f t="shared" si="2"/>
        <v>14809</v>
      </c>
      <c r="D37" s="1">
        <f t="shared" si="3"/>
        <v>1058</v>
      </c>
      <c r="E37" s="1">
        <f t="shared" ref="E37:E38" si="18">+J17</f>
        <v>1068</v>
      </c>
      <c r="F37" s="1">
        <f t="shared" ref="F37:F38" si="19">+K17</f>
        <v>2804</v>
      </c>
      <c r="G37" s="1">
        <f t="shared" ref="G37:G38" si="20">+L17</f>
        <v>3342</v>
      </c>
      <c r="H37" s="1">
        <f t="shared" si="4"/>
        <v>3233</v>
      </c>
      <c r="I37" s="1">
        <f t="shared" si="5"/>
        <v>3089</v>
      </c>
      <c r="J37" s="1">
        <f t="shared" si="6"/>
        <v>3223</v>
      </c>
      <c r="K37" s="1">
        <f t="shared" si="7"/>
        <v>3537</v>
      </c>
      <c r="L37" s="1">
        <f t="shared" si="8"/>
        <v>3922</v>
      </c>
      <c r="M37" s="1">
        <f t="shared" si="9"/>
        <v>4369</v>
      </c>
      <c r="N37" s="1">
        <f t="shared" si="10"/>
        <v>5309</v>
      </c>
      <c r="O37" s="1">
        <f t="shared" si="11"/>
        <v>6503</v>
      </c>
      <c r="P37" s="1">
        <f t="shared" si="12"/>
        <v>8193</v>
      </c>
      <c r="Q37" s="1">
        <f t="shared" si="13"/>
        <v>8470</v>
      </c>
      <c r="R37" s="1">
        <f t="shared" si="14"/>
        <v>8711</v>
      </c>
      <c r="S37" s="1">
        <f t="shared" si="15"/>
        <v>8024</v>
      </c>
      <c r="T37" s="1">
        <f t="shared" si="16"/>
        <v>10304</v>
      </c>
      <c r="U37" s="1">
        <f t="shared" si="17"/>
        <v>77</v>
      </c>
      <c r="V37" s="1">
        <v>100045</v>
      </c>
    </row>
    <row r="38" spans="1:22">
      <c r="A38">
        <v>1995</v>
      </c>
      <c r="B38" t="s">
        <v>0</v>
      </c>
      <c r="C38" s="1">
        <f t="shared" si="2"/>
        <v>14799</v>
      </c>
      <c r="D38" s="1">
        <f t="shared" si="3"/>
        <v>989</v>
      </c>
      <c r="E38" s="1">
        <f t="shared" si="18"/>
        <v>1086</v>
      </c>
      <c r="F38" s="1">
        <f t="shared" si="19"/>
        <v>2784</v>
      </c>
      <c r="G38" s="1">
        <f t="shared" si="20"/>
        <v>3459</v>
      </c>
      <c r="H38" s="1">
        <f t="shared" si="4"/>
        <v>3134</v>
      </c>
      <c r="I38" s="1">
        <f t="shared" si="5"/>
        <v>3136</v>
      </c>
      <c r="J38" s="1">
        <f t="shared" si="6"/>
        <v>3228</v>
      </c>
      <c r="K38" s="1">
        <f t="shared" si="7"/>
        <v>3514</v>
      </c>
      <c r="L38" s="1">
        <f t="shared" si="8"/>
        <v>3727</v>
      </c>
      <c r="M38" s="1">
        <f t="shared" si="9"/>
        <v>4195</v>
      </c>
      <c r="N38" s="1">
        <f t="shared" si="10"/>
        <v>5226</v>
      </c>
      <c r="O38" s="1">
        <f t="shared" si="11"/>
        <v>6541</v>
      </c>
      <c r="P38" s="1">
        <f t="shared" si="12"/>
        <v>7751</v>
      </c>
      <c r="Q38" s="1">
        <f t="shared" si="13"/>
        <v>8247</v>
      </c>
      <c r="R38" s="1">
        <f t="shared" si="14"/>
        <v>8163</v>
      </c>
      <c r="S38" s="1">
        <f t="shared" si="15"/>
        <v>7954</v>
      </c>
      <c r="T38" s="1">
        <f t="shared" si="16"/>
        <v>9940</v>
      </c>
      <c r="U38" s="1">
        <f t="shared" si="17"/>
        <v>263</v>
      </c>
      <c r="V38" s="1">
        <v>98136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W210"/>
  <sheetViews>
    <sheetView topLeftCell="V181" workbookViewId="0">
      <selection activeCell="AH194" sqref="AH194:AH210"/>
    </sheetView>
  </sheetViews>
  <sheetFormatPr baseColWidth="10" defaultRowHeight="15"/>
  <cols>
    <col min="2" max="2" width="30.42578125" customWidth="1"/>
    <col min="3" max="4" width="10.140625" bestFit="1" customWidth="1"/>
    <col min="5" max="5" width="10.140625" customWidth="1"/>
    <col min="6" max="6" width="10.140625" bestFit="1" customWidth="1"/>
    <col min="7" max="7" width="6.5703125" bestFit="1" customWidth="1"/>
    <col min="11" max="11" width="8.5703125" style="2" bestFit="1" customWidth="1"/>
    <col min="12" max="12" width="10.140625" bestFit="1" customWidth="1"/>
    <col min="13" max="13" width="18.5703125" bestFit="1" customWidth="1"/>
    <col min="14" max="14" width="12.7109375" bestFit="1" customWidth="1"/>
    <col min="15" max="15" width="11.85546875" bestFit="1" customWidth="1"/>
    <col min="19" max="19" width="11.42578125" customWidth="1"/>
    <col min="20" max="20" width="13.28515625" style="2" customWidth="1"/>
    <col min="21" max="21" width="11" style="2" bestFit="1" customWidth="1"/>
    <col min="22" max="22" width="17.85546875" style="2" customWidth="1"/>
    <col min="23" max="24" width="11" style="2" bestFit="1" customWidth="1"/>
    <col min="25" max="33" width="10" style="2" bestFit="1" customWidth="1"/>
    <col min="34" max="34" width="17.28515625" style="2" customWidth="1"/>
    <col min="35" max="37" width="8.42578125" style="2" bestFit="1" customWidth="1"/>
    <col min="38" max="38" width="9.28515625" style="2" bestFit="1" customWidth="1"/>
    <col min="39" max="39" width="7.85546875" style="2" bestFit="1" customWidth="1"/>
    <col min="40" max="41" width="9.28515625" style="2" bestFit="1" customWidth="1"/>
    <col min="42" max="42" width="12" style="2" bestFit="1" customWidth="1"/>
    <col min="43" max="43" width="13.42578125" style="2" bestFit="1" customWidth="1"/>
    <col min="46" max="46" width="11.85546875" bestFit="1" customWidth="1"/>
  </cols>
  <sheetData>
    <row r="1" spans="2:49">
      <c r="K1" s="15" t="s">
        <v>21</v>
      </c>
      <c r="L1" s="15" t="s">
        <v>20</v>
      </c>
      <c r="M1" s="15" t="s">
        <v>73</v>
      </c>
      <c r="N1" s="15" t="s">
        <v>35</v>
      </c>
      <c r="O1" s="15" t="s">
        <v>37</v>
      </c>
      <c r="S1" s="66" t="s">
        <v>107</v>
      </c>
      <c r="T1" s="68" t="s">
        <v>106</v>
      </c>
    </row>
    <row r="2" spans="2:49">
      <c r="B2" s="64" t="s">
        <v>33</v>
      </c>
      <c r="C2" s="64"/>
      <c r="D2" s="64"/>
      <c r="E2" s="64"/>
      <c r="F2" s="64"/>
      <c r="G2" s="64"/>
      <c r="K2" s="2">
        <v>1926</v>
      </c>
      <c r="L2" s="6">
        <v>2890720</v>
      </c>
      <c r="M2" s="5" t="s">
        <v>20</v>
      </c>
      <c r="N2" s="6">
        <v>1414590</v>
      </c>
      <c r="O2" s="6">
        <v>1476130</v>
      </c>
      <c r="Q2" s="3"/>
      <c r="S2" s="66" t="s">
        <v>104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45</v>
      </c>
      <c r="Z2" s="2" t="s">
        <v>46</v>
      </c>
      <c r="AA2" s="2" t="s">
        <v>47</v>
      </c>
      <c r="AB2" s="2" t="s">
        <v>48</v>
      </c>
      <c r="AC2" s="2" t="s">
        <v>49</v>
      </c>
      <c r="AD2" s="2" t="s">
        <v>50</v>
      </c>
      <c r="AE2" s="2" t="s">
        <v>51</v>
      </c>
      <c r="AF2" s="2" t="s">
        <v>52</v>
      </c>
      <c r="AG2" s="2" t="s">
        <v>53</v>
      </c>
      <c r="AH2" s="2" t="s">
        <v>54</v>
      </c>
      <c r="AI2" s="2" t="s">
        <v>55</v>
      </c>
      <c r="AJ2" s="2" t="s">
        <v>56</v>
      </c>
      <c r="AK2" s="2" t="s">
        <v>75</v>
      </c>
      <c r="AL2" s="2" t="s">
        <v>57</v>
      </c>
      <c r="AM2" s="2" t="s">
        <v>74</v>
      </c>
      <c r="AN2" s="2" t="s">
        <v>72</v>
      </c>
      <c r="AO2" s="2" t="s">
        <v>76</v>
      </c>
      <c r="AP2" s="2" t="s">
        <v>20</v>
      </c>
      <c r="AQ2" s="2" t="s">
        <v>105</v>
      </c>
    </row>
    <row r="3" spans="2:49">
      <c r="B3" s="14"/>
      <c r="C3" s="14"/>
      <c r="D3" s="14"/>
      <c r="E3" s="14"/>
      <c r="F3" s="14"/>
      <c r="G3" s="14"/>
      <c r="K3" s="2">
        <v>1926</v>
      </c>
      <c r="L3" s="9">
        <v>383236</v>
      </c>
      <c r="M3" s="8" t="s">
        <v>40</v>
      </c>
      <c r="N3" s="9">
        <v>192264</v>
      </c>
      <c r="O3" s="9">
        <v>190972</v>
      </c>
      <c r="Q3" s="3"/>
      <c r="S3" s="67">
        <v>1926</v>
      </c>
      <c r="T3" s="2">
        <v>383236</v>
      </c>
      <c r="U3" s="2">
        <v>338372</v>
      </c>
      <c r="V3" s="2">
        <v>326781</v>
      </c>
      <c r="W3" s="2">
        <v>309247</v>
      </c>
      <c r="X3" s="2">
        <v>273599</v>
      </c>
      <c r="Y3" s="2">
        <v>252367</v>
      </c>
      <c r="Z3" s="2">
        <v>216612</v>
      </c>
      <c r="AA3" s="2">
        <v>167592</v>
      </c>
      <c r="AB3" s="2">
        <v>150735</v>
      </c>
      <c r="AC3" s="2">
        <v>106915</v>
      </c>
      <c r="AD3" s="2">
        <v>98705</v>
      </c>
      <c r="AE3" s="2">
        <v>46357</v>
      </c>
      <c r="AF3" s="2">
        <v>47801</v>
      </c>
      <c r="AG3" s="2">
        <v>24676</v>
      </c>
      <c r="AH3" s="2">
        <v>20515</v>
      </c>
      <c r="AI3" s="2">
        <v>11516</v>
      </c>
      <c r="AJ3" s="2">
        <v>9880</v>
      </c>
      <c r="AL3" s="2">
        <v>105814</v>
      </c>
      <c r="AP3" s="2">
        <v>2890720</v>
      </c>
      <c r="AQ3" s="2">
        <v>5781440</v>
      </c>
      <c r="AS3" s="73">
        <f>+SUM(AK3:AO3)</f>
        <v>105814</v>
      </c>
      <c r="AT3" s="73">
        <f>+AJ3</f>
        <v>9880</v>
      </c>
      <c r="AU3" s="74"/>
      <c r="AW3" s="73"/>
    </row>
    <row r="4" spans="2:49">
      <c r="B4" s="15" t="s">
        <v>34</v>
      </c>
      <c r="C4" s="16" t="s">
        <v>20</v>
      </c>
      <c r="D4" s="16" t="s">
        <v>35</v>
      </c>
      <c r="E4" s="16" t="s">
        <v>36</v>
      </c>
      <c r="F4" s="16" t="s">
        <v>37</v>
      </c>
      <c r="G4" s="17" t="s">
        <v>36</v>
      </c>
      <c r="K4" s="2">
        <v>1926</v>
      </c>
      <c r="L4" s="9">
        <v>338372</v>
      </c>
      <c r="M4" s="8" t="s">
        <v>41</v>
      </c>
      <c r="N4" s="9">
        <v>172610</v>
      </c>
      <c r="O4" s="9">
        <v>165762</v>
      </c>
      <c r="Q4" s="3"/>
      <c r="S4" s="67">
        <v>1936</v>
      </c>
      <c r="T4" s="2">
        <v>473628</v>
      </c>
      <c r="U4" s="2">
        <v>471508</v>
      </c>
      <c r="V4" s="2">
        <v>412115</v>
      </c>
      <c r="W4" s="2">
        <v>349040</v>
      </c>
      <c r="X4" s="2">
        <v>333070</v>
      </c>
      <c r="Y4" s="2">
        <v>285065</v>
      </c>
      <c r="Z4" s="2">
        <v>217779</v>
      </c>
      <c r="AA4" s="2">
        <v>200191</v>
      </c>
      <c r="AB4" s="2">
        <v>168589</v>
      </c>
      <c r="AC4" s="2">
        <v>125202</v>
      </c>
      <c r="AD4" s="2">
        <v>111159</v>
      </c>
      <c r="AE4" s="2">
        <v>65039</v>
      </c>
      <c r="AF4" s="2">
        <v>66708</v>
      </c>
      <c r="AG4" s="2">
        <v>29652</v>
      </c>
      <c r="AH4" s="2">
        <v>23248</v>
      </c>
      <c r="AI4" s="2">
        <v>10926</v>
      </c>
      <c r="AJ4" s="2">
        <v>10202</v>
      </c>
      <c r="AL4" s="2">
        <v>11226</v>
      </c>
      <c r="AP4" s="2">
        <v>3364347</v>
      </c>
      <c r="AQ4" s="2">
        <v>6728694</v>
      </c>
      <c r="AS4" s="73">
        <f t="shared" ref="AS4:AS12" si="0">+SUM(AK4:AO4)</f>
        <v>11226</v>
      </c>
      <c r="AT4" s="73">
        <f t="shared" ref="AT4:AT12" si="1">+AJ4</f>
        <v>10202</v>
      </c>
      <c r="AU4" s="74">
        <f t="shared" ref="AU4:AU12" si="2">+AS4/(AS4+AT4)</f>
        <v>0.52389397050588016</v>
      </c>
    </row>
    <row r="5" spans="2:49">
      <c r="B5" s="12"/>
      <c r="C5" s="18"/>
      <c r="D5" s="12"/>
      <c r="E5" s="12"/>
      <c r="F5" s="12"/>
      <c r="G5" s="12"/>
      <c r="K5" s="2">
        <v>1926</v>
      </c>
      <c r="L5" s="9">
        <v>326781</v>
      </c>
      <c r="M5" s="8" t="s">
        <v>42</v>
      </c>
      <c r="N5" s="9">
        <v>168508</v>
      </c>
      <c r="O5" s="9">
        <v>158273</v>
      </c>
      <c r="Q5" s="3"/>
      <c r="S5" s="67">
        <v>1941</v>
      </c>
      <c r="T5" s="2">
        <v>577993</v>
      </c>
      <c r="U5" s="2">
        <v>522646</v>
      </c>
      <c r="V5" s="2">
        <v>473152</v>
      </c>
      <c r="W5" s="2">
        <v>402521</v>
      </c>
      <c r="X5" s="2">
        <v>373287</v>
      </c>
      <c r="Y5" s="2">
        <v>321653</v>
      </c>
      <c r="Z5" s="2">
        <v>251468</v>
      </c>
      <c r="AA5" s="2">
        <v>215279</v>
      </c>
      <c r="AB5" s="2">
        <v>190461</v>
      </c>
      <c r="AC5" s="2">
        <v>152074</v>
      </c>
      <c r="AD5" s="2">
        <v>118307</v>
      </c>
      <c r="AE5" s="2">
        <v>76601</v>
      </c>
      <c r="AF5" s="2">
        <v>72612</v>
      </c>
      <c r="AG5" s="2">
        <v>35252</v>
      </c>
      <c r="AH5" s="2">
        <v>26920</v>
      </c>
      <c r="AI5" s="2">
        <v>13459</v>
      </c>
      <c r="AJ5" s="2">
        <v>11503</v>
      </c>
      <c r="AL5" s="2">
        <v>15583</v>
      </c>
      <c r="AP5" s="2">
        <v>3850771</v>
      </c>
      <c r="AQ5" s="2">
        <v>7701542</v>
      </c>
      <c r="AS5" s="73">
        <f t="shared" si="0"/>
        <v>15583</v>
      </c>
      <c r="AT5" s="73">
        <f t="shared" si="1"/>
        <v>11503</v>
      </c>
      <c r="AU5" s="74">
        <f t="shared" si="2"/>
        <v>0.57531566122720224</v>
      </c>
    </row>
    <row r="6" spans="2:49">
      <c r="B6" s="5" t="s">
        <v>20</v>
      </c>
      <c r="C6" s="6">
        <v>2362985</v>
      </c>
      <c r="D6" s="6">
        <v>1134259</v>
      </c>
      <c r="E6" s="7">
        <v>100</v>
      </c>
      <c r="F6" s="6">
        <v>1228726</v>
      </c>
      <c r="G6" s="7">
        <v>100</v>
      </c>
      <c r="K6" s="2">
        <v>1926</v>
      </c>
      <c r="L6" s="9">
        <v>309247</v>
      </c>
      <c r="M6" s="8" t="s">
        <v>43</v>
      </c>
      <c r="N6" s="9">
        <v>148420</v>
      </c>
      <c r="O6" s="9">
        <v>160827</v>
      </c>
      <c r="Q6" s="3"/>
      <c r="R6" s="8"/>
      <c r="S6" s="67">
        <v>1950</v>
      </c>
      <c r="T6" s="2">
        <v>847748</v>
      </c>
      <c r="U6" s="2">
        <v>687318</v>
      </c>
      <c r="V6" s="2">
        <v>574722</v>
      </c>
      <c r="W6" s="2">
        <v>496566</v>
      </c>
      <c r="X6" s="2">
        <v>473748</v>
      </c>
      <c r="Y6" s="2">
        <v>400614</v>
      </c>
      <c r="Z6" s="2">
        <v>327613</v>
      </c>
      <c r="AA6" s="2">
        <v>301543</v>
      </c>
      <c r="AB6" s="2">
        <v>239608</v>
      </c>
      <c r="AC6" s="2">
        <v>184768</v>
      </c>
      <c r="AD6" s="2">
        <v>164736</v>
      </c>
      <c r="AE6" s="2">
        <v>101879</v>
      </c>
      <c r="AF6" s="2">
        <v>92466</v>
      </c>
      <c r="AG6" s="2">
        <v>47919</v>
      </c>
      <c r="AH6" s="2">
        <v>38280</v>
      </c>
      <c r="AI6" s="2">
        <v>18798</v>
      </c>
      <c r="AJ6" s="2">
        <v>16560</v>
      </c>
      <c r="AL6" s="2">
        <v>11873</v>
      </c>
      <c r="AN6" s="2">
        <v>8079</v>
      </c>
      <c r="AP6" s="2">
        <v>5034838</v>
      </c>
      <c r="AQ6" s="2">
        <v>10069676</v>
      </c>
      <c r="AS6" s="73">
        <f t="shared" si="0"/>
        <v>19952</v>
      </c>
      <c r="AT6" s="73">
        <f t="shared" si="1"/>
        <v>16560</v>
      </c>
      <c r="AU6" s="74">
        <f t="shared" si="2"/>
        <v>0.54645048203330415</v>
      </c>
    </row>
    <row r="7" spans="2:49">
      <c r="B7" s="5"/>
      <c r="C7" s="6"/>
      <c r="D7" s="6"/>
      <c r="E7" s="6"/>
      <c r="F7" s="6"/>
      <c r="G7" s="6"/>
      <c r="K7" s="2">
        <v>1926</v>
      </c>
      <c r="L7" s="9">
        <v>273599</v>
      </c>
      <c r="M7" s="8" t="s">
        <v>44</v>
      </c>
      <c r="N7" s="9">
        <v>130616</v>
      </c>
      <c r="O7" s="9">
        <v>142983</v>
      </c>
      <c r="Q7" s="4"/>
      <c r="R7" s="8"/>
      <c r="S7" s="67">
        <v>1961</v>
      </c>
      <c r="T7" s="2">
        <v>1374096</v>
      </c>
      <c r="U7" s="2">
        <v>1163320</v>
      </c>
      <c r="V7" s="2">
        <v>901881</v>
      </c>
      <c r="W7" s="2">
        <v>679636</v>
      </c>
      <c r="X7" s="2">
        <v>618411</v>
      </c>
      <c r="Y7" s="2">
        <v>550882</v>
      </c>
      <c r="Z7" s="2">
        <v>502697</v>
      </c>
      <c r="AA7" s="2">
        <v>405172</v>
      </c>
      <c r="AB7" s="2">
        <v>331587</v>
      </c>
      <c r="AC7" s="2">
        <v>280801</v>
      </c>
      <c r="AD7" s="2">
        <v>218773</v>
      </c>
      <c r="AE7" s="2">
        <v>167309</v>
      </c>
      <c r="AF7" s="2">
        <v>131714</v>
      </c>
      <c r="AG7" s="2">
        <v>77722</v>
      </c>
      <c r="AH7" s="2">
        <v>51015</v>
      </c>
      <c r="AI7" s="2">
        <v>30949</v>
      </c>
      <c r="AJ7" s="2">
        <v>20732</v>
      </c>
      <c r="AL7" s="2">
        <v>17302</v>
      </c>
      <c r="AP7" s="2">
        <v>7523999</v>
      </c>
      <c r="AQ7" s="2">
        <v>15047998</v>
      </c>
      <c r="AS7" s="73">
        <f t="shared" si="0"/>
        <v>17302</v>
      </c>
      <c r="AT7" s="73">
        <f t="shared" si="1"/>
        <v>20732</v>
      </c>
      <c r="AU7" s="74">
        <f t="shared" si="2"/>
        <v>0.45490876584108952</v>
      </c>
    </row>
    <row r="8" spans="2:49">
      <c r="B8" s="8" t="s">
        <v>24</v>
      </c>
      <c r="C8" s="9">
        <v>471337</v>
      </c>
      <c r="D8" s="9">
        <v>240168</v>
      </c>
      <c r="E8" s="10">
        <v>21.173999941812234</v>
      </c>
      <c r="F8" s="9">
        <v>231169</v>
      </c>
      <c r="G8" s="10">
        <v>18.813714367564451</v>
      </c>
      <c r="K8" s="2">
        <v>1926</v>
      </c>
      <c r="L8" s="9">
        <v>252367</v>
      </c>
      <c r="M8" s="8" t="s">
        <v>45</v>
      </c>
      <c r="N8" s="9">
        <v>119159</v>
      </c>
      <c r="O8" s="9">
        <v>133208</v>
      </c>
      <c r="Q8" s="3"/>
      <c r="R8" s="8"/>
      <c r="S8" s="67">
        <v>1971</v>
      </c>
      <c r="T8" s="2">
        <v>1734538</v>
      </c>
      <c r="U8" s="2">
        <v>1655032</v>
      </c>
      <c r="V8" s="2">
        <v>1455861</v>
      </c>
      <c r="W8" s="2">
        <v>1227697</v>
      </c>
      <c r="X8" s="2">
        <v>954413</v>
      </c>
      <c r="Y8" s="2">
        <v>693185</v>
      </c>
      <c r="Z8" s="2">
        <v>582976</v>
      </c>
      <c r="AA8" s="2">
        <v>537496</v>
      </c>
      <c r="AB8" s="2">
        <v>468590</v>
      </c>
      <c r="AC8" s="2">
        <v>371042</v>
      </c>
      <c r="AD8" s="2">
        <v>303520</v>
      </c>
      <c r="AE8" s="2">
        <v>231769</v>
      </c>
      <c r="AF8" s="2">
        <v>189970</v>
      </c>
      <c r="AG8" s="2">
        <v>119823</v>
      </c>
      <c r="AH8" s="2">
        <v>88397</v>
      </c>
      <c r="AI8" s="2">
        <v>45799</v>
      </c>
      <c r="AJ8" s="2">
        <v>31850</v>
      </c>
      <c r="AL8" s="2">
        <v>29564</v>
      </c>
      <c r="AP8" s="2">
        <v>10721522</v>
      </c>
      <c r="AQ8" s="2">
        <v>21443044</v>
      </c>
      <c r="AS8" s="73">
        <f t="shared" si="0"/>
        <v>29564</v>
      </c>
      <c r="AT8" s="73">
        <f t="shared" si="1"/>
        <v>31850</v>
      </c>
      <c r="AU8" s="74">
        <f t="shared" si="2"/>
        <v>0.4813886084606116</v>
      </c>
    </row>
    <row r="9" spans="2:49">
      <c r="B9" s="11" t="s">
        <v>25</v>
      </c>
      <c r="C9" s="9">
        <v>471997</v>
      </c>
      <c r="D9" s="9">
        <v>245209</v>
      </c>
      <c r="E9" s="10">
        <v>21.618431063804653</v>
      </c>
      <c r="F9" s="9">
        <v>226788</v>
      </c>
      <c r="G9" s="10">
        <v>18.457166203042828</v>
      </c>
      <c r="K9" s="2">
        <v>1926</v>
      </c>
      <c r="L9" s="9">
        <v>216612</v>
      </c>
      <c r="M9" s="8" t="s">
        <v>46</v>
      </c>
      <c r="N9" s="9">
        <v>102748</v>
      </c>
      <c r="O9" s="9">
        <v>113864</v>
      </c>
      <c r="Q9" s="3"/>
      <c r="R9" s="8"/>
      <c r="S9" s="67">
        <v>1981</v>
      </c>
      <c r="T9" s="2">
        <v>2098639</v>
      </c>
      <c r="U9" s="2">
        <v>1906047</v>
      </c>
      <c r="V9" s="2">
        <v>1792583</v>
      </c>
      <c r="W9" s="2">
        <v>1646343</v>
      </c>
      <c r="X9" s="2">
        <v>1449072</v>
      </c>
      <c r="Y9" s="2">
        <v>1236929</v>
      </c>
      <c r="Z9" s="2">
        <v>986766</v>
      </c>
      <c r="AA9" s="2">
        <v>727764</v>
      </c>
      <c r="AB9" s="2">
        <v>601705</v>
      </c>
      <c r="AC9" s="2">
        <v>512503</v>
      </c>
      <c r="AD9" s="2">
        <v>445765</v>
      </c>
      <c r="AE9" s="2">
        <v>340139</v>
      </c>
      <c r="AF9" s="2">
        <v>260896</v>
      </c>
      <c r="AG9" s="2">
        <v>194759</v>
      </c>
      <c r="AH9" s="2">
        <v>138384</v>
      </c>
      <c r="AI9" s="2">
        <v>85354</v>
      </c>
      <c r="AJ9" s="2">
        <v>93087</v>
      </c>
      <c r="AP9" s="2">
        <v>14516735</v>
      </c>
      <c r="AQ9" s="2">
        <v>29033470</v>
      </c>
      <c r="AS9" s="73">
        <f t="shared" si="0"/>
        <v>0</v>
      </c>
      <c r="AT9" s="73">
        <f t="shared" si="1"/>
        <v>93087</v>
      </c>
      <c r="AU9" s="74"/>
      <c r="AV9" s="75">
        <f>+AVERAGE(AU4:AU12)</f>
        <v>0.48734949597668631</v>
      </c>
    </row>
    <row r="10" spans="2:49">
      <c r="B10" s="11" t="s">
        <v>26</v>
      </c>
      <c r="C10" s="9">
        <v>353205</v>
      </c>
      <c r="D10" s="9">
        <v>160321</v>
      </c>
      <c r="E10" s="10">
        <v>14.134426087868821</v>
      </c>
      <c r="F10" s="9">
        <v>192884</v>
      </c>
      <c r="G10" s="10">
        <v>15.697885452086144</v>
      </c>
      <c r="K10" s="2">
        <v>1926</v>
      </c>
      <c r="L10" s="9">
        <v>167592</v>
      </c>
      <c r="M10" s="8" t="s">
        <v>47</v>
      </c>
      <c r="N10" s="9">
        <v>80202</v>
      </c>
      <c r="O10" s="9">
        <v>87390</v>
      </c>
      <c r="Q10" s="3"/>
      <c r="R10" s="8"/>
      <c r="S10" s="67">
        <v>1990</v>
      </c>
      <c r="T10" s="2">
        <v>2343059</v>
      </c>
      <c r="U10" s="2">
        <v>2253798</v>
      </c>
      <c r="V10" s="2">
        <v>2146994</v>
      </c>
      <c r="W10" s="2">
        <v>1922514</v>
      </c>
      <c r="X10" s="2">
        <v>1725187</v>
      </c>
      <c r="Y10" s="2">
        <v>1569542</v>
      </c>
      <c r="Z10" s="2">
        <v>1366694</v>
      </c>
      <c r="AA10" s="2">
        <v>1163580</v>
      </c>
      <c r="AB10" s="2">
        <v>887884</v>
      </c>
      <c r="AC10" s="2">
        <v>644217</v>
      </c>
      <c r="AD10" s="2">
        <v>544860</v>
      </c>
      <c r="AE10" s="2">
        <v>435339</v>
      </c>
      <c r="AF10" s="2">
        <v>375538</v>
      </c>
      <c r="AG10" s="2">
        <v>258785</v>
      </c>
      <c r="AH10" s="2">
        <v>191662</v>
      </c>
      <c r="AI10" s="2">
        <v>130782</v>
      </c>
      <c r="AJ10" s="2">
        <v>87978</v>
      </c>
      <c r="AL10" s="2">
        <v>56852</v>
      </c>
      <c r="AP10" s="2">
        <v>18105265</v>
      </c>
      <c r="AQ10" s="2">
        <v>36210530</v>
      </c>
      <c r="AS10" s="73">
        <f t="shared" si="0"/>
        <v>56852</v>
      </c>
      <c r="AT10" s="73">
        <f t="shared" si="1"/>
        <v>87978</v>
      </c>
      <c r="AU10" s="74">
        <f t="shared" si="2"/>
        <v>0.39254298142650002</v>
      </c>
    </row>
    <row r="11" spans="2:49">
      <c r="B11" s="11" t="s">
        <v>27</v>
      </c>
      <c r="C11" s="9">
        <v>324527</v>
      </c>
      <c r="D11" s="9">
        <v>147448</v>
      </c>
      <c r="E11" s="10">
        <v>12.999500114171456</v>
      </c>
      <c r="F11" s="9">
        <v>177079</v>
      </c>
      <c r="G11" s="10">
        <v>14.411593797152497</v>
      </c>
      <c r="K11" s="2">
        <v>1926</v>
      </c>
      <c r="L11" s="9">
        <v>150735</v>
      </c>
      <c r="M11" s="8" t="s">
        <v>48</v>
      </c>
      <c r="N11" s="9">
        <v>71605</v>
      </c>
      <c r="O11" s="9">
        <v>79130</v>
      </c>
      <c r="Q11" s="3"/>
      <c r="R11" s="8"/>
      <c r="S11" s="67">
        <v>2001</v>
      </c>
      <c r="T11" s="2">
        <v>2501894</v>
      </c>
      <c r="U11" s="2">
        <v>2680308</v>
      </c>
      <c r="V11" s="2">
        <v>2535766</v>
      </c>
      <c r="W11" s="2">
        <v>2319853</v>
      </c>
      <c r="X11" s="2">
        <v>2185621</v>
      </c>
      <c r="Y11" s="2">
        <v>1888838</v>
      </c>
      <c r="Z11" s="2">
        <v>1762621</v>
      </c>
      <c r="AA11" s="2">
        <v>1593742</v>
      </c>
      <c r="AB11" s="2">
        <v>1428506</v>
      </c>
      <c r="AC11" s="2">
        <v>1159743</v>
      </c>
      <c r="AD11" s="2">
        <v>925449</v>
      </c>
      <c r="AE11" s="2">
        <v>619029</v>
      </c>
      <c r="AF11" s="2">
        <v>503568</v>
      </c>
      <c r="AG11" s="2">
        <v>383306</v>
      </c>
      <c r="AH11" s="2">
        <v>304303</v>
      </c>
      <c r="AI11" s="2">
        <v>206737</v>
      </c>
      <c r="AJ11" s="2">
        <v>124442</v>
      </c>
      <c r="AL11" s="2">
        <v>108827</v>
      </c>
      <c r="AP11" s="2">
        <v>23232553</v>
      </c>
      <c r="AQ11" s="2">
        <v>46465106</v>
      </c>
      <c r="AS11" s="73">
        <f t="shared" si="0"/>
        <v>108827</v>
      </c>
      <c r="AT11" s="73">
        <f t="shared" si="1"/>
        <v>124442</v>
      </c>
      <c r="AU11" s="74">
        <f t="shared" si="2"/>
        <v>0.46653005757301658</v>
      </c>
    </row>
    <row r="12" spans="2:49">
      <c r="B12" s="11" t="s">
        <v>28</v>
      </c>
      <c r="C12" s="9">
        <v>231140</v>
      </c>
      <c r="D12" s="9">
        <v>104087</v>
      </c>
      <c r="E12" s="10">
        <v>9.1766518934387999</v>
      </c>
      <c r="F12" s="9">
        <v>127053</v>
      </c>
      <c r="G12" s="10">
        <v>10.340222311564986</v>
      </c>
      <c r="K12" s="2">
        <v>1926</v>
      </c>
      <c r="L12" s="9">
        <v>106915</v>
      </c>
      <c r="M12" s="8" t="s">
        <v>49</v>
      </c>
      <c r="N12" s="9">
        <v>54991</v>
      </c>
      <c r="O12" s="9">
        <v>51924</v>
      </c>
      <c r="Q12" s="3"/>
      <c r="R12" s="8"/>
      <c r="S12" s="67">
        <v>2011</v>
      </c>
      <c r="T12" s="2">
        <v>2437631</v>
      </c>
      <c r="U12" s="2">
        <v>2402364</v>
      </c>
      <c r="V12" s="2">
        <v>2516779</v>
      </c>
      <c r="W12" s="2">
        <v>2641320</v>
      </c>
      <c r="X12" s="2">
        <v>2560649</v>
      </c>
      <c r="Y12" s="2">
        <v>2344332</v>
      </c>
      <c r="Z12" s="2">
        <v>2219741</v>
      </c>
      <c r="AA12" s="2">
        <v>1905253</v>
      </c>
      <c r="AB12" s="2">
        <v>1755490</v>
      </c>
      <c r="AC12" s="2">
        <v>1528781</v>
      </c>
      <c r="AD12" s="2">
        <v>1337934</v>
      </c>
      <c r="AE12" s="2">
        <v>1108799</v>
      </c>
      <c r="AF12" s="2">
        <v>848358</v>
      </c>
      <c r="AG12" s="2">
        <v>568688</v>
      </c>
      <c r="AH12" s="2">
        <v>410455</v>
      </c>
      <c r="AI12" s="2">
        <v>292992</v>
      </c>
      <c r="AJ12" s="2">
        <v>188895</v>
      </c>
      <c r="AK12" s="2">
        <v>104141</v>
      </c>
      <c r="AM12" s="2">
        <v>40370</v>
      </c>
      <c r="AO12" s="2">
        <v>14958</v>
      </c>
      <c r="AP12" s="2">
        <v>27227930</v>
      </c>
      <c r="AQ12" s="2">
        <v>54455860</v>
      </c>
      <c r="AS12" s="73">
        <f t="shared" si="0"/>
        <v>159469</v>
      </c>
      <c r="AT12" s="73">
        <f t="shared" si="1"/>
        <v>188895</v>
      </c>
      <c r="AU12" s="74">
        <f t="shared" si="2"/>
        <v>0.45776544074588649</v>
      </c>
    </row>
    <row r="13" spans="2:49">
      <c r="B13" s="11" t="s">
        <v>29</v>
      </c>
      <c r="C13" s="9">
        <v>186753</v>
      </c>
      <c r="D13" s="9">
        <v>83003</v>
      </c>
      <c r="E13" s="10">
        <v>7.3178171828480094</v>
      </c>
      <c r="F13" s="9">
        <v>103750</v>
      </c>
      <c r="G13" s="10">
        <v>8.4437051059389958</v>
      </c>
      <c r="K13" s="2">
        <v>1926</v>
      </c>
      <c r="L13" s="9">
        <v>98705</v>
      </c>
      <c r="M13" s="8" t="s">
        <v>50</v>
      </c>
      <c r="N13" s="9">
        <v>47993</v>
      </c>
      <c r="O13" s="9">
        <v>50712</v>
      </c>
      <c r="Q13" s="3"/>
      <c r="R13" s="8"/>
      <c r="S13" s="67" t="s">
        <v>105</v>
      </c>
      <c r="T13" s="2">
        <v>14772462</v>
      </c>
      <c r="U13" s="2">
        <v>14080713</v>
      </c>
      <c r="V13" s="2">
        <v>13136634</v>
      </c>
      <c r="W13" s="2">
        <v>11994737</v>
      </c>
      <c r="X13" s="2">
        <v>10947057</v>
      </c>
      <c r="Y13" s="2">
        <v>9543407</v>
      </c>
      <c r="Z13" s="2">
        <v>8434967</v>
      </c>
      <c r="AA13" s="2">
        <v>7217612</v>
      </c>
      <c r="AB13" s="2">
        <v>6223155</v>
      </c>
      <c r="AC13" s="2">
        <v>5066046</v>
      </c>
      <c r="AD13" s="2">
        <v>4269208</v>
      </c>
      <c r="AE13" s="2">
        <v>3192260</v>
      </c>
      <c r="AF13" s="2">
        <v>2589631</v>
      </c>
      <c r="AG13" s="2">
        <v>1740582</v>
      </c>
      <c r="AH13" s="2">
        <v>1293179</v>
      </c>
      <c r="AI13" s="2">
        <v>847312</v>
      </c>
      <c r="AJ13" s="2">
        <v>595129</v>
      </c>
      <c r="AK13" s="2">
        <v>104141</v>
      </c>
      <c r="AL13" s="2">
        <v>357041</v>
      </c>
      <c r="AM13" s="2">
        <v>40370</v>
      </c>
      <c r="AN13" s="2">
        <v>8079</v>
      </c>
      <c r="AO13" s="2">
        <v>14958</v>
      </c>
      <c r="AP13" s="2">
        <v>116468680</v>
      </c>
      <c r="AQ13" s="2">
        <v>232937360</v>
      </c>
    </row>
    <row r="14" spans="2:49">
      <c r="B14" s="11" t="s">
        <v>30</v>
      </c>
      <c r="C14" s="9">
        <v>60874</v>
      </c>
      <c r="D14" s="9">
        <v>29468</v>
      </c>
      <c r="E14" s="10">
        <v>2.5979956958684038</v>
      </c>
      <c r="F14" s="9">
        <v>31406</v>
      </c>
      <c r="G14" s="10">
        <v>2.555980747538507</v>
      </c>
      <c r="K14" s="2">
        <v>1926</v>
      </c>
      <c r="L14" s="9">
        <v>46357</v>
      </c>
      <c r="M14" s="8" t="s">
        <v>51</v>
      </c>
      <c r="N14" s="9">
        <v>23661</v>
      </c>
      <c r="O14" s="9">
        <v>22696</v>
      </c>
      <c r="Q14" s="3"/>
      <c r="R14" s="8"/>
      <c r="V14" s="72">
        <v>-993.61170000000004</v>
      </c>
      <c r="AE14"/>
      <c r="AH14" s="2">
        <v>-3169.9065000000001</v>
      </c>
    </row>
    <row r="15" spans="2:49">
      <c r="B15" s="11" t="s">
        <v>31</v>
      </c>
      <c r="C15" s="9">
        <v>262822</v>
      </c>
      <c r="D15" s="9">
        <v>124373</v>
      </c>
      <c r="E15" s="10">
        <v>10.965132302234322</v>
      </c>
      <c r="F15" s="9">
        <v>138449</v>
      </c>
      <c r="G15" s="10">
        <v>11.267687018912271</v>
      </c>
      <c r="K15" s="2">
        <v>1926</v>
      </c>
      <c r="L15" s="9">
        <v>47801</v>
      </c>
      <c r="M15" s="8" t="s">
        <v>52</v>
      </c>
      <c r="N15" s="9">
        <v>21794</v>
      </c>
      <c r="O15" s="9">
        <v>26007</v>
      </c>
      <c r="Q15" s="3"/>
      <c r="R15" s="8"/>
      <c r="V15" s="71">
        <v>3979943.7935000001</v>
      </c>
      <c r="AE15"/>
      <c r="AH15" s="71">
        <v>12689870.449999999</v>
      </c>
    </row>
    <row r="16" spans="2:49">
      <c r="B16" s="12" t="s">
        <v>32</v>
      </c>
      <c r="C16" s="9">
        <v>330</v>
      </c>
      <c r="D16" s="13">
        <v>182</v>
      </c>
      <c r="E16" s="10">
        <v>1.6045717953306962E-2</v>
      </c>
      <c r="F16" s="13">
        <v>148</v>
      </c>
      <c r="G16" s="10">
        <v>1.2044996199315389E-2</v>
      </c>
      <c r="K16" s="2">
        <v>1926</v>
      </c>
      <c r="L16" s="9">
        <v>24676</v>
      </c>
      <c r="M16" s="8" t="s">
        <v>53</v>
      </c>
      <c r="N16" s="9">
        <v>11530</v>
      </c>
      <c r="O16" s="9">
        <v>13146</v>
      </c>
      <c r="Q16" s="3"/>
      <c r="R16" s="8"/>
      <c r="V16" s="71">
        <v>-3982943443.1950002</v>
      </c>
      <c r="AE16"/>
      <c r="AH16" s="71">
        <v>-12697441696.440001</v>
      </c>
    </row>
    <row r="17" spans="2:34">
      <c r="B17" s="19"/>
      <c r="C17" s="20"/>
      <c r="D17" s="20"/>
      <c r="E17" s="21"/>
      <c r="F17" s="20"/>
      <c r="G17" s="22"/>
      <c r="K17" s="2">
        <v>1926</v>
      </c>
      <c r="L17" s="9">
        <v>20515</v>
      </c>
      <c r="M17" s="8" t="s">
        <v>54</v>
      </c>
      <c r="N17" s="9">
        <v>8712</v>
      </c>
      <c r="O17" s="9">
        <v>11803</v>
      </c>
      <c r="Q17" s="3"/>
      <c r="R17" s="8"/>
      <c r="S17" s="69" t="s">
        <v>104</v>
      </c>
      <c r="T17" s="70" t="s">
        <v>40</v>
      </c>
      <c r="V17" s="2" t="s">
        <v>108</v>
      </c>
      <c r="AE17" s="69" t="s">
        <v>104</v>
      </c>
      <c r="AF17" s="70" t="s">
        <v>41</v>
      </c>
      <c r="AH17" s="2" t="s">
        <v>108</v>
      </c>
    </row>
    <row r="18" spans="2:34">
      <c r="B18" s="23" t="s">
        <v>38</v>
      </c>
      <c r="K18" s="2">
        <v>1926</v>
      </c>
      <c r="L18" s="9">
        <v>11516</v>
      </c>
      <c r="M18" s="8" t="s">
        <v>55</v>
      </c>
      <c r="N18" s="9">
        <v>5228</v>
      </c>
      <c r="O18" s="9">
        <v>6288</v>
      </c>
      <c r="Q18" s="3"/>
      <c r="R18" s="8"/>
      <c r="S18" s="67">
        <v>1990</v>
      </c>
      <c r="T18" s="2">
        <v>2343059</v>
      </c>
      <c r="U18" s="2">
        <v>1995</v>
      </c>
      <c r="V18" s="2">
        <f>+U18^2*$V$14+U18*$V$15+$V$16</f>
        <v>2445018.5450000763</v>
      </c>
      <c r="AE18" s="67">
        <v>1990</v>
      </c>
      <c r="AF18" s="2">
        <v>2253798</v>
      </c>
      <c r="AG18" s="2">
        <v>1995</v>
      </c>
      <c r="AH18" s="2">
        <f>+AG18^2*$AH$14+AG18*$AH$15+$AH$16</f>
        <v>2542733.6474990845</v>
      </c>
    </row>
    <row r="19" spans="2:34">
      <c r="B19" t="s">
        <v>39</v>
      </c>
      <c r="K19" s="2">
        <v>1926</v>
      </c>
      <c r="L19" s="9">
        <v>9880</v>
      </c>
      <c r="M19" s="8" t="s">
        <v>56</v>
      </c>
      <c r="N19" s="9">
        <v>3869</v>
      </c>
      <c r="O19" s="9">
        <v>6011</v>
      </c>
      <c r="Q19" s="3"/>
      <c r="R19" s="8"/>
      <c r="S19" s="67">
        <v>2001</v>
      </c>
      <c r="T19" s="2">
        <v>2501894</v>
      </c>
      <c r="U19" s="2">
        <v>1996</v>
      </c>
      <c r="V19" s="2">
        <f t="shared" ref="V19:V34" si="3">+U19^2*$V$14+U19*$V$15+$V$16</f>
        <v>2459458.0437998772</v>
      </c>
      <c r="AE19" s="67">
        <v>2001</v>
      </c>
      <c r="AF19" s="2">
        <v>2680308</v>
      </c>
      <c r="AG19" s="2">
        <v>1996</v>
      </c>
      <c r="AH19" s="2">
        <f t="shared" ref="AH19:AH34" si="4">+AG19^2*$AH$14+AG19*$AH$15+$AH$16</f>
        <v>2581507.2559967041</v>
      </c>
    </row>
    <row r="20" spans="2:34">
      <c r="K20" s="2">
        <v>1926</v>
      </c>
      <c r="L20" s="9">
        <v>105814</v>
      </c>
      <c r="M20" s="12" t="s">
        <v>57</v>
      </c>
      <c r="N20" s="13">
        <v>50680</v>
      </c>
      <c r="O20" s="13">
        <v>55134</v>
      </c>
      <c r="Q20" s="3"/>
      <c r="R20" s="8"/>
      <c r="S20" s="67">
        <v>2011</v>
      </c>
      <c r="T20" s="2">
        <v>2437631</v>
      </c>
      <c r="U20" s="2">
        <v>1997</v>
      </c>
      <c r="V20" s="2">
        <f t="shared" si="3"/>
        <v>2471910.3192000389</v>
      </c>
      <c r="AE20" s="67">
        <v>2011</v>
      </c>
      <c r="AF20" s="2">
        <v>2402364</v>
      </c>
      <c r="AG20" s="2">
        <v>1997</v>
      </c>
      <c r="AH20" s="2">
        <f t="shared" si="4"/>
        <v>2613941.0514965057</v>
      </c>
    </row>
    <row r="21" spans="2:34">
      <c r="K21" s="2">
        <v>1936</v>
      </c>
      <c r="L21" s="6">
        <v>3364347</v>
      </c>
      <c r="M21" s="5" t="s">
        <v>20</v>
      </c>
      <c r="N21" s="6">
        <v>1652130</v>
      </c>
      <c r="O21" s="6">
        <v>1712217</v>
      </c>
      <c r="Q21" s="3"/>
      <c r="R21" s="8"/>
      <c r="U21" s="2">
        <v>1998</v>
      </c>
      <c r="V21" s="2">
        <f t="shared" si="3"/>
        <v>2482375.3711996078</v>
      </c>
      <c r="AE21"/>
      <c r="AG21" s="2">
        <v>1998</v>
      </c>
      <c r="AH21" s="2">
        <f t="shared" si="4"/>
        <v>2640035.0339984894</v>
      </c>
    </row>
    <row r="22" spans="2:34">
      <c r="K22" s="2">
        <v>1936</v>
      </c>
      <c r="L22" s="9">
        <v>473628</v>
      </c>
      <c r="M22" s="8" t="s">
        <v>40</v>
      </c>
      <c r="N22" s="9">
        <v>240120</v>
      </c>
      <c r="O22" s="9">
        <v>233508</v>
      </c>
      <c r="Q22" s="3"/>
      <c r="R22" s="8"/>
      <c r="U22" s="2">
        <v>1999</v>
      </c>
      <c r="V22" s="2">
        <f t="shared" si="3"/>
        <v>2490853.1997995377</v>
      </c>
      <c r="AE22"/>
      <c r="AG22" s="2">
        <v>1999</v>
      </c>
      <c r="AH22" s="2">
        <f t="shared" si="4"/>
        <v>2659789.2034988403</v>
      </c>
    </row>
    <row r="23" spans="2:34">
      <c r="K23" s="2">
        <v>1936</v>
      </c>
      <c r="L23" s="9">
        <v>471508</v>
      </c>
      <c r="M23" s="8" t="s">
        <v>41</v>
      </c>
      <c r="N23" s="9">
        <v>241375</v>
      </c>
      <c r="O23" s="9">
        <v>230133</v>
      </c>
      <c r="Q23" s="3"/>
      <c r="R23" s="12"/>
      <c r="U23" s="2">
        <v>2000</v>
      </c>
      <c r="V23" s="2">
        <f t="shared" si="3"/>
        <v>2497343.8049998283</v>
      </c>
      <c r="AE23"/>
      <c r="AG23" s="2">
        <v>2000</v>
      </c>
      <c r="AH23" s="2">
        <f t="shared" si="4"/>
        <v>2673203.5599994659</v>
      </c>
    </row>
    <row r="24" spans="2:34">
      <c r="K24" s="2">
        <v>1936</v>
      </c>
      <c r="L24" s="9">
        <v>412115</v>
      </c>
      <c r="M24" s="8" t="s">
        <v>42</v>
      </c>
      <c r="N24" s="9">
        <v>214908</v>
      </c>
      <c r="O24" s="9">
        <v>197207</v>
      </c>
      <c r="Q24" s="3"/>
      <c r="U24" s="2">
        <v>2001</v>
      </c>
      <c r="V24" s="2">
        <f t="shared" si="3"/>
        <v>2501847.1867995262</v>
      </c>
      <c r="AE24"/>
      <c r="AG24" s="2">
        <v>2001</v>
      </c>
      <c r="AH24" s="2">
        <f t="shared" si="4"/>
        <v>2680278.1034965515</v>
      </c>
    </row>
    <row r="25" spans="2:34">
      <c r="K25" s="2">
        <v>1936</v>
      </c>
      <c r="L25" s="9">
        <v>349040</v>
      </c>
      <c r="M25" s="8" t="s">
        <v>43</v>
      </c>
      <c r="N25" s="9">
        <v>164434</v>
      </c>
      <c r="O25" s="9">
        <v>184606</v>
      </c>
      <c r="U25" s="2">
        <v>2002</v>
      </c>
      <c r="V25" s="2">
        <f t="shared" si="3"/>
        <v>2504363.345199585</v>
      </c>
      <c r="AE25"/>
      <c r="AG25" s="2">
        <v>2002</v>
      </c>
      <c r="AH25" s="2">
        <f t="shared" si="4"/>
        <v>2681012.8339977264</v>
      </c>
    </row>
    <row r="26" spans="2:34">
      <c r="K26" s="2">
        <v>1936</v>
      </c>
      <c r="L26" s="9">
        <v>333070</v>
      </c>
      <c r="M26" s="8" t="s">
        <v>44</v>
      </c>
      <c r="N26" s="9">
        <v>158839</v>
      </c>
      <c r="O26" s="9">
        <v>174231</v>
      </c>
      <c r="U26" s="2">
        <v>2003</v>
      </c>
      <c r="V26" s="2">
        <f t="shared" si="3"/>
        <v>2504892.2801995277</v>
      </c>
      <c r="AE26"/>
      <c r="AG26" s="2">
        <v>2003</v>
      </c>
      <c r="AH26" s="2">
        <f t="shared" si="4"/>
        <v>2675407.7514972687</v>
      </c>
    </row>
    <row r="27" spans="2:34">
      <c r="K27" s="2">
        <v>1936</v>
      </c>
      <c r="L27" s="9">
        <v>285065</v>
      </c>
      <c r="M27" s="8" t="s">
        <v>45</v>
      </c>
      <c r="N27" s="9">
        <v>135653</v>
      </c>
      <c r="O27" s="9">
        <v>149412</v>
      </c>
      <c r="U27" s="2">
        <v>2004</v>
      </c>
      <c r="V27" s="2">
        <f t="shared" si="3"/>
        <v>2503433.9918003082</v>
      </c>
      <c r="AE27"/>
      <c r="AG27" s="2">
        <v>2004</v>
      </c>
      <c r="AH27" s="2">
        <f t="shared" si="4"/>
        <v>2663462.8559989929</v>
      </c>
    </row>
    <row r="28" spans="2:34">
      <c r="K28" s="2">
        <v>1936</v>
      </c>
      <c r="L28" s="9">
        <v>217779</v>
      </c>
      <c r="M28" s="8" t="s">
        <v>46</v>
      </c>
      <c r="N28" s="9">
        <v>104115</v>
      </c>
      <c r="O28" s="9">
        <v>113664</v>
      </c>
      <c r="U28" s="2">
        <v>2005</v>
      </c>
      <c r="V28" s="2">
        <f t="shared" si="3"/>
        <v>2499988.4800004959</v>
      </c>
      <c r="AE28"/>
      <c r="AG28" s="2">
        <v>2005</v>
      </c>
      <c r="AH28" s="2">
        <f t="shared" si="4"/>
        <v>2645178.1474990845</v>
      </c>
    </row>
    <row r="29" spans="2:34">
      <c r="K29" s="2">
        <v>1936</v>
      </c>
      <c r="L29" s="9">
        <v>200191</v>
      </c>
      <c r="M29" s="8" t="s">
        <v>47</v>
      </c>
      <c r="N29" s="9">
        <v>98195</v>
      </c>
      <c r="O29" s="9">
        <v>101996</v>
      </c>
      <c r="U29" s="2">
        <v>2006</v>
      </c>
      <c r="V29" s="2">
        <f t="shared" si="3"/>
        <v>2494555.7448000908</v>
      </c>
      <c r="AE29"/>
      <c r="AG29" s="2">
        <v>2006</v>
      </c>
      <c r="AH29" s="2">
        <f t="shared" si="4"/>
        <v>2620553.625995636</v>
      </c>
    </row>
    <row r="30" spans="2:34">
      <c r="K30" s="2">
        <v>1936</v>
      </c>
      <c r="L30" s="9">
        <v>168589</v>
      </c>
      <c r="M30" s="8" t="s">
        <v>48</v>
      </c>
      <c r="N30" s="9">
        <v>80264</v>
      </c>
      <c r="O30" s="9">
        <v>88325</v>
      </c>
      <c r="U30" s="2">
        <v>2007</v>
      </c>
      <c r="V30" s="2">
        <f t="shared" si="3"/>
        <v>2487135.7862000465</v>
      </c>
      <c r="AE30"/>
      <c r="AG30" s="2">
        <v>2007</v>
      </c>
      <c r="AH30" s="2">
        <f t="shared" si="4"/>
        <v>2589589.2914962769</v>
      </c>
    </row>
    <row r="31" spans="2:34">
      <c r="K31" s="2">
        <v>1936</v>
      </c>
      <c r="L31" s="9">
        <v>125202</v>
      </c>
      <c r="M31" s="8" t="s">
        <v>49</v>
      </c>
      <c r="N31" s="9">
        <v>65393</v>
      </c>
      <c r="O31" s="9">
        <v>59809</v>
      </c>
      <c r="U31" s="2">
        <v>2008</v>
      </c>
      <c r="V31" s="2">
        <f t="shared" si="3"/>
        <v>2477728.6042003632</v>
      </c>
      <c r="AE31"/>
      <c r="AG31" s="2">
        <v>2008</v>
      </c>
      <c r="AH31" s="2">
        <f t="shared" si="4"/>
        <v>2552285.1439971924</v>
      </c>
    </row>
    <row r="32" spans="2:34">
      <c r="K32" s="2">
        <v>1936</v>
      </c>
      <c r="L32" s="9">
        <v>111159</v>
      </c>
      <c r="M32" s="8" t="s">
        <v>50</v>
      </c>
      <c r="N32" s="9">
        <v>52251</v>
      </c>
      <c r="O32" s="9">
        <v>58908</v>
      </c>
      <c r="U32" s="2">
        <v>2009</v>
      </c>
      <c r="V32" s="2">
        <f t="shared" si="3"/>
        <v>2466334.198800087</v>
      </c>
      <c r="AE32"/>
      <c r="AG32" s="2">
        <v>2009</v>
      </c>
      <c r="AH32" s="2">
        <f t="shared" si="4"/>
        <v>2508641.1834983826</v>
      </c>
    </row>
    <row r="33" spans="11:34">
      <c r="L33" s="9"/>
      <c r="M33" s="8"/>
      <c r="N33" s="9"/>
      <c r="O33" s="9"/>
      <c r="U33" s="2">
        <v>2010</v>
      </c>
      <c r="V33" s="2">
        <f t="shared" si="3"/>
        <v>2452952.5700001717</v>
      </c>
      <c r="AE33"/>
      <c r="AG33" s="2">
        <v>2010</v>
      </c>
      <c r="AH33" s="2">
        <f t="shared" si="4"/>
        <v>2458657.4099998474</v>
      </c>
    </row>
    <row r="34" spans="11:34">
      <c r="L34" s="9"/>
      <c r="M34" s="8"/>
      <c r="N34" s="9"/>
      <c r="O34" s="9"/>
      <c r="U34" s="2">
        <v>2011</v>
      </c>
      <c r="V34" s="2">
        <f t="shared" si="3"/>
        <v>2437583.7178001404</v>
      </c>
      <c r="AE34"/>
      <c r="AG34" s="2">
        <v>2011</v>
      </c>
      <c r="AH34" s="2">
        <f t="shared" si="4"/>
        <v>2402333.8234958649</v>
      </c>
    </row>
    <row r="35" spans="11:34">
      <c r="L35" s="9"/>
      <c r="M35" s="8"/>
      <c r="N35" s="9"/>
      <c r="O35" s="9"/>
    </row>
    <row r="36" spans="11:34">
      <c r="K36" s="2">
        <v>1936</v>
      </c>
      <c r="L36" s="9">
        <v>65039</v>
      </c>
      <c r="M36" s="8" t="s">
        <v>51</v>
      </c>
      <c r="N36" s="9">
        <v>32890</v>
      </c>
      <c r="O36" s="9">
        <v>32149</v>
      </c>
      <c r="V36" s="72">
        <v>-1773.41</v>
      </c>
      <c r="AE36"/>
      <c r="AH36" s="2">
        <v>-207.3732</v>
      </c>
    </row>
    <row r="37" spans="11:34">
      <c r="K37" s="2">
        <v>1936</v>
      </c>
      <c r="L37" s="9">
        <v>66708</v>
      </c>
      <c r="M37" s="8" t="s">
        <v>52</v>
      </c>
      <c r="N37" s="9">
        <v>28734</v>
      </c>
      <c r="O37" s="9">
        <v>37974</v>
      </c>
      <c r="V37" s="71">
        <v>7113022.0462999996</v>
      </c>
      <c r="AE37"/>
      <c r="AH37" s="71">
        <v>869483.91859999998</v>
      </c>
    </row>
    <row r="38" spans="11:34">
      <c r="K38" s="2">
        <v>1936</v>
      </c>
      <c r="L38" s="9">
        <v>29652</v>
      </c>
      <c r="M38" s="8" t="s">
        <v>53</v>
      </c>
      <c r="N38" s="9">
        <v>13591</v>
      </c>
      <c r="O38" s="9">
        <v>16061</v>
      </c>
      <c r="V38" s="71">
        <v>-7129886108.6106005</v>
      </c>
      <c r="AE38"/>
      <c r="AH38" s="71">
        <v>-907329359.44169998</v>
      </c>
    </row>
    <row r="39" spans="11:34">
      <c r="K39" s="2">
        <v>1936</v>
      </c>
      <c r="L39" s="9">
        <v>23248</v>
      </c>
      <c r="M39" s="8" t="s">
        <v>54</v>
      </c>
      <c r="N39" s="9">
        <v>9200</v>
      </c>
      <c r="O39" s="9">
        <v>14048</v>
      </c>
      <c r="S39" s="69" t="s">
        <v>104</v>
      </c>
      <c r="T39" s="70" t="s">
        <v>42</v>
      </c>
      <c r="V39" s="2" t="s">
        <v>108</v>
      </c>
      <c r="AE39" s="69" t="s">
        <v>104</v>
      </c>
      <c r="AF39" s="70" t="s">
        <v>44</v>
      </c>
      <c r="AH39" s="2" t="s">
        <v>108</v>
      </c>
    </row>
    <row r="40" spans="11:34">
      <c r="K40" s="2">
        <v>1936</v>
      </c>
      <c r="L40" s="9">
        <v>10926</v>
      </c>
      <c r="M40" s="8" t="s">
        <v>55</v>
      </c>
      <c r="N40" s="9">
        <v>4498</v>
      </c>
      <c r="O40" s="9">
        <v>6428</v>
      </c>
      <c r="S40" s="67">
        <v>1990</v>
      </c>
      <c r="T40" s="2">
        <v>2146994</v>
      </c>
      <c r="U40" s="2">
        <v>1995</v>
      </c>
      <c r="V40" s="2">
        <f>+U40^2*$V$36+U40*$V$37+$V$38</f>
        <v>2376738.5078992844</v>
      </c>
      <c r="AE40" s="67">
        <v>1990</v>
      </c>
      <c r="AF40" s="2">
        <v>1725187</v>
      </c>
      <c r="AG40" s="2">
        <v>1995</v>
      </c>
      <c r="AH40" s="2">
        <f>+AG40^2*$AH$36+AG40*$AH$37+$AH$38</f>
        <v>1940537.8352998495</v>
      </c>
    </row>
    <row r="41" spans="11:34">
      <c r="K41" s="2">
        <v>1936</v>
      </c>
      <c r="L41" s="9">
        <v>10202</v>
      </c>
      <c r="M41" s="8" t="s">
        <v>56</v>
      </c>
      <c r="N41" s="9">
        <v>3407</v>
      </c>
      <c r="O41" s="9">
        <v>6795</v>
      </c>
      <c r="S41" s="67">
        <v>2001</v>
      </c>
      <c r="T41" s="2">
        <v>2535766</v>
      </c>
      <c r="U41" s="2">
        <v>1996</v>
      </c>
      <c r="V41" s="2">
        <f t="shared" ref="V41:V56" si="5">+U41^2*$V$36+U41*$V$37+$V$38</f>
        <v>2412081.2441978455</v>
      </c>
      <c r="AE41" s="67">
        <v>2001</v>
      </c>
      <c r="AF41" s="2">
        <v>2185621</v>
      </c>
      <c r="AG41" s="2">
        <v>1996</v>
      </c>
      <c r="AH41" s="2">
        <f t="shared" ref="AH41:AH56" si="6">+AG41^2*$AH$36+AG41*$AH$37+$AH$38</f>
        <v>1982395.3127000332</v>
      </c>
    </row>
    <row r="42" spans="11:34">
      <c r="K42" s="2">
        <v>1936</v>
      </c>
      <c r="L42" s="9">
        <v>11226</v>
      </c>
      <c r="M42" s="12" t="s">
        <v>57</v>
      </c>
      <c r="N42" s="13">
        <v>4263</v>
      </c>
      <c r="O42" s="13">
        <v>6963</v>
      </c>
      <c r="S42" s="67">
        <v>2011</v>
      </c>
      <c r="T42" s="2">
        <v>2516779</v>
      </c>
      <c r="U42" s="2">
        <v>1997</v>
      </c>
      <c r="V42" s="2">
        <f t="shared" si="5"/>
        <v>2443877.1604986191</v>
      </c>
      <c r="AE42" s="67">
        <v>2011</v>
      </c>
      <c r="AF42" s="2">
        <v>2560649</v>
      </c>
      <c r="AG42" s="2">
        <v>1997</v>
      </c>
      <c r="AH42" s="2">
        <f t="shared" si="6"/>
        <v>2023838.043700099</v>
      </c>
    </row>
    <row r="43" spans="11:34">
      <c r="K43" s="2">
        <v>1941</v>
      </c>
      <c r="L43" s="6">
        <v>3850771</v>
      </c>
      <c r="M43" s="5" t="s">
        <v>20</v>
      </c>
      <c r="N43" s="6">
        <v>1908545</v>
      </c>
      <c r="O43" s="6">
        <v>1942226</v>
      </c>
      <c r="U43" s="2">
        <v>1998</v>
      </c>
      <c r="V43" s="2">
        <f t="shared" si="5"/>
        <v>2472126.2567977905</v>
      </c>
      <c r="AE43"/>
      <c r="AG43" s="2">
        <v>1998</v>
      </c>
      <c r="AH43" s="2">
        <f t="shared" si="6"/>
        <v>2064866.0282999277</v>
      </c>
    </row>
    <row r="44" spans="11:34">
      <c r="K44" s="2">
        <v>1941</v>
      </c>
      <c r="L44" s="9">
        <v>577993</v>
      </c>
      <c r="M44" s="8" t="s">
        <v>40</v>
      </c>
      <c r="N44" s="9">
        <v>292473</v>
      </c>
      <c r="O44" s="9">
        <v>285520</v>
      </c>
      <c r="U44" s="2">
        <v>1999</v>
      </c>
      <c r="V44" s="2">
        <f t="shared" si="5"/>
        <v>2496828.5330982208</v>
      </c>
      <c r="AE44"/>
      <c r="AG44" s="2">
        <v>1999</v>
      </c>
      <c r="AH44" s="2">
        <f t="shared" si="6"/>
        <v>2105479.2664999962</v>
      </c>
    </row>
    <row r="45" spans="11:34">
      <c r="K45" s="2">
        <v>1941</v>
      </c>
      <c r="L45" s="9">
        <v>522646</v>
      </c>
      <c r="M45" s="8" t="s">
        <v>41</v>
      </c>
      <c r="N45" s="9">
        <v>266753</v>
      </c>
      <c r="O45" s="9">
        <v>255893</v>
      </c>
      <c r="U45" s="2">
        <v>2000</v>
      </c>
      <c r="V45" s="2">
        <f t="shared" si="5"/>
        <v>2517983.9893980026</v>
      </c>
      <c r="AE45"/>
      <c r="AG45" s="2">
        <v>2000</v>
      </c>
      <c r="AH45" s="2">
        <f t="shared" si="6"/>
        <v>2145677.758300066</v>
      </c>
    </row>
    <row r="46" spans="11:34">
      <c r="K46" s="2">
        <v>1941</v>
      </c>
      <c r="L46" s="9">
        <v>473152</v>
      </c>
      <c r="M46" s="8" t="s">
        <v>42</v>
      </c>
      <c r="N46" s="9">
        <v>246333</v>
      </c>
      <c r="O46" s="9">
        <v>226819</v>
      </c>
      <c r="U46" s="2">
        <v>2001</v>
      </c>
      <c r="V46" s="2">
        <f t="shared" si="5"/>
        <v>2535592.6256980896</v>
      </c>
      <c r="AE46"/>
      <c r="AG46" s="2">
        <v>2001</v>
      </c>
      <c r="AH46" s="2">
        <f t="shared" si="6"/>
        <v>2185461.5036998987</v>
      </c>
    </row>
    <row r="47" spans="11:34">
      <c r="K47" s="2">
        <v>1941</v>
      </c>
      <c r="L47" s="9">
        <v>402521</v>
      </c>
      <c r="M47" s="8" t="s">
        <v>43</v>
      </c>
      <c r="N47" s="9">
        <v>190892</v>
      </c>
      <c r="O47" s="9">
        <v>211629</v>
      </c>
      <c r="U47" s="2">
        <v>2002</v>
      </c>
      <c r="V47" s="2">
        <f t="shared" si="5"/>
        <v>2549654.4419975281</v>
      </c>
      <c r="AE47"/>
      <c r="AG47" s="2">
        <v>2002</v>
      </c>
      <c r="AH47" s="2">
        <f t="shared" si="6"/>
        <v>2224830.5026999712</v>
      </c>
    </row>
    <row r="48" spans="11:34">
      <c r="K48" s="2">
        <v>1941</v>
      </c>
      <c r="L48" s="9">
        <v>373287</v>
      </c>
      <c r="M48" s="8" t="s">
        <v>44</v>
      </c>
      <c r="N48" s="9">
        <v>182714</v>
      </c>
      <c r="O48" s="9">
        <v>190573</v>
      </c>
      <c r="U48" s="2">
        <v>2003</v>
      </c>
      <c r="V48" s="2">
        <f t="shared" si="5"/>
        <v>2560169.4382982254</v>
      </c>
      <c r="AE48"/>
      <c r="AG48" s="2">
        <v>2003</v>
      </c>
      <c r="AH48" s="2">
        <f t="shared" si="6"/>
        <v>2263784.755300045</v>
      </c>
    </row>
    <row r="49" spans="11:34">
      <c r="K49" s="2">
        <v>1941</v>
      </c>
      <c r="L49" s="9">
        <v>321653</v>
      </c>
      <c r="M49" s="8" t="s">
        <v>45</v>
      </c>
      <c r="N49" s="9">
        <v>154307</v>
      </c>
      <c r="O49" s="9">
        <v>167346</v>
      </c>
      <c r="U49" s="2">
        <v>2004</v>
      </c>
      <c r="V49" s="2">
        <f t="shared" si="5"/>
        <v>2567137.6145973206</v>
      </c>
      <c r="AE49"/>
      <c r="AG49" s="2">
        <v>2004</v>
      </c>
      <c r="AH49" s="2">
        <f t="shared" si="6"/>
        <v>2302324.2614998817</v>
      </c>
    </row>
    <row r="50" spans="11:34">
      <c r="K50" s="2">
        <v>1941</v>
      </c>
      <c r="L50" s="9">
        <v>251468</v>
      </c>
      <c r="M50" s="8" t="s">
        <v>46</v>
      </c>
      <c r="N50" s="9">
        <v>124440</v>
      </c>
      <c r="O50" s="9">
        <v>127028</v>
      </c>
      <c r="U50" s="2">
        <v>2005</v>
      </c>
      <c r="V50" s="2">
        <f t="shared" si="5"/>
        <v>2570558.9708986282</v>
      </c>
      <c r="AE50"/>
      <c r="AG50" s="2">
        <v>2005</v>
      </c>
      <c r="AH50" s="2">
        <f t="shared" si="6"/>
        <v>2340449.0212999582</v>
      </c>
    </row>
    <row r="51" spans="11:34">
      <c r="K51" s="2">
        <v>1941</v>
      </c>
      <c r="L51" s="9">
        <v>215279</v>
      </c>
      <c r="M51" s="8" t="s">
        <v>47</v>
      </c>
      <c r="N51" s="9">
        <v>106042</v>
      </c>
      <c r="O51" s="9">
        <v>109237</v>
      </c>
      <c r="U51" s="2">
        <v>2006</v>
      </c>
      <c r="V51" s="2">
        <f t="shared" si="5"/>
        <v>2570433.5071992874</v>
      </c>
      <c r="AE51"/>
      <c r="AG51" s="2">
        <v>2006</v>
      </c>
      <c r="AH51" s="2">
        <f t="shared" si="6"/>
        <v>2378159.034700036</v>
      </c>
    </row>
    <row r="52" spans="11:34">
      <c r="K52" s="2">
        <v>1941</v>
      </c>
      <c r="L52" s="9">
        <v>190461</v>
      </c>
      <c r="M52" s="8" t="s">
        <v>48</v>
      </c>
      <c r="N52" s="9">
        <v>93873</v>
      </c>
      <c r="O52" s="9">
        <v>96588</v>
      </c>
      <c r="U52" s="2">
        <v>2007</v>
      </c>
      <c r="V52" s="2">
        <f t="shared" si="5"/>
        <v>2566761.2234983444</v>
      </c>
      <c r="AE52"/>
      <c r="AG52" s="2">
        <v>2007</v>
      </c>
      <c r="AH52" s="2">
        <f t="shared" si="6"/>
        <v>2415454.301699996</v>
      </c>
    </row>
    <row r="53" spans="11:34">
      <c r="K53" s="2">
        <v>1941</v>
      </c>
      <c r="L53" s="9">
        <v>152074</v>
      </c>
      <c r="M53" s="8" t="s">
        <v>49</v>
      </c>
      <c r="N53" s="9">
        <v>79815</v>
      </c>
      <c r="O53" s="9">
        <v>72259</v>
      </c>
      <c r="U53" s="2">
        <v>2008</v>
      </c>
      <c r="V53" s="2">
        <f t="shared" si="5"/>
        <v>2559542.1197986603</v>
      </c>
      <c r="AE53"/>
      <c r="AG53" s="2">
        <v>2008</v>
      </c>
      <c r="AH53" s="2">
        <f t="shared" si="6"/>
        <v>2452334.8223000765</v>
      </c>
    </row>
    <row r="54" spans="11:34">
      <c r="K54" s="2">
        <v>1941</v>
      </c>
      <c r="L54" s="9">
        <v>118307</v>
      </c>
      <c r="M54" s="8" t="s">
        <v>50</v>
      </c>
      <c r="N54" s="9">
        <v>57600</v>
      </c>
      <c r="O54" s="9">
        <v>60707</v>
      </c>
      <c r="U54" s="2">
        <v>2009</v>
      </c>
      <c r="V54" s="2">
        <f t="shared" si="5"/>
        <v>2548776.1960983276</v>
      </c>
      <c r="AE54"/>
      <c r="AG54" s="2">
        <v>2009</v>
      </c>
      <c r="AH54" s="2">
        <f t="shared" si="6"/>
        <v>2488800.5964999199</v>
      </c>
    </row>
    <row r="55" spans="11:34">
      <c r="K55" s="2">
        <v>1941</v>
      </c>
      <c r="L55" s="9">
        <v>76601</v>
      </c>
      <c r="M55" s="8" t="s">
        <v>51</v>
      </c>
      <c r="N55" s="9">
        <v>38303</v>
      </c>
      <c r="O55" s="9">
        <v>38298</v>
      </c>
      <c r="U55" s="2">
        <v>2010</v>
      </c>
      <c r="V55" s="2">
        <f t="shared" si="5"/>
        <v>2534463.4523992538</v>
      </c>
      <c r="AE55"/>
      <c r="AG55" s="2">
        <v>2010</v>
      </c>
      <c r="AH55" s="2">
        <f t="shared" si="6"/>
        <v>2524851.6243000031</v>
      </c>
    </row>
    <row r="56" spans="11:34">
      <c r="K56" s="2">
        <v>1941</v>
      </c>
      <c r="L56" s="9">
        <v>72612</v>
      </c>
      <c r="M56" s="8" t="s">
        <v>52</v>
      </c>
      <c r="N56" s="9">
        <v>31757</v>
      </c>
      <c r="O56" s="9">
        <v>40855</v>
      </c>
      <c r="U56" s="2">
        <v>2011</v>
      </c>
      <c r="V56" s="2">
        <f t="shared" si="5"/>
        <v>2516603.8886976242</v>
      </c>
      <c r="AE56"/>
      <c r="AG56" s="2">
        <v>2011</v>
      </c>
      <c r="AH56" s="2">
        <f t="shared" si="6"/>
        <v>2560487.9057000875</v>
      </c>
    </row>
    <row r="57" spans="11:34">
      <c r="K57" s="2">
        <v>1941</v>
      </c>
      <c r="L57" s="9">
        <v>35252</v>
      </c>
      <c r="M57" s="8" t="s">
        <v>53</v>
      </c>
      <c r="N57" s="9">
        <v>16089</v>
      </c>
      <c r="O57" s="9">
        <v>19163</v>
      </c>
    </row>
    <row r="58" spans="11:34">
      <c r="K58" s="2">
        <v>1941</v>
      </c>
      <c r="L58" s="9">
        <v>26920</v>
      </c>
      <c r="M58" s="8" t="s">
        <v>54</v>
      </c>
      <c r="N58" s="9">
        <v>10478</v>
      </c>
      <c r="O58" s="9">
        <v>16442</v>
      </c>
      <c r="V58">
        <v>786.78530000000001</v>
      </c>
      <c r="AE58"/>
      <c r="AH58" s="2">
        <v>462.79219999999998</v>
      </c>
    </row>
    <row r="59" spans="11:34">
      <c r="K59" s="2">
        <v>1941</v>
      </c>
      <c r="L59" s="9">
        <v>13459</v>
      </c>
      <c r="M59" s="8" t="s">
        <v>55</v>
      </c>
      <c r="N59" s="9">
        <v>5521</v>
      </c>
      <c r="O59" s="9">
        <v>7938</v>
      </c>
      <c r="V59" s="71">
        <v>-3111033.1488999999</v>
      </c>
      <c r="AE59"/>
      <c r="AH59" s="71">
        <v>-1811010.3377</v>
      </c>
    </row>
    <row r="60" spans="11:34">
      <c r="K60" s="2">
        <v>1941</v>
      </c>
      <c r="L60" s="9">
        <v>11503</v>
      </c>
      <c r="M60" s="8" t="s">
        <v>56</v>
      </c>
      <c r="N60" s="9">
        <v>4079</v>
      </c>
      <c r="O60" s="9">
        <v>7424</v>
      </c>
      <c r="V60" s="71">
        <v>3076777115.5323</v>
      </c>
      <c r="AE60"/>
      <c r="AH60" s="71">
        <v>1772573843.8699999</v>
      </c>
    </row>
    <row r="61" spans="11:34">
      <c r="K61" s="2">
        <v>1941</v>
      </c>
      <c r="L61" s="9">
        <v>15583</v>
      </c>
      <c r="M61" s="12" t="s">
        <v>57</v>
      </c>
      <c r="N61" s="13">
        <v>7076</v>
      </c>
      <c r="O61" s="13">
        <v>8507</v>
      </c>
      <c r="S61" s="69" t="s">
        <v>104</v>
      </c>
      <c r="T61" s="70" t="s">
        <v>45</v>
      </c>
      <c r="V61" s="2" t="s">
        <v>108</v>
      </c>
      <c r="AE61" s="69" t="s">
        <v>104</v>
      </c>
      <c r="AF61" s="70" t="s">
        <v>46</v>
      </c>
      <c r="AH61" s="2" t="s">
        <v>108</v>
      </c>
    </row>
    <row r="62" spans="11:34">
      <c r="K62" s="2">
        <v>1950</v>
      </c>
      <c r="L62" s="6">
        <v>5034838</v>
      </c>
      <c r="M62" s="24" t="s">
        <v>20</v>
      </c>
      <c r="N62" s="6">
        <v>2552491</v>
      </c>
      <c r="O62" s="6">
        <v>2482347</v>
      </c>
      <c r="S62" s="67">
        <v>1990</v>
      </c>
      <c r="T62" s="2">
        <v>1569542</v>
      </c>
      <c r="U62" s="2">
        <v>1995</v>
      </c>
      <c r="V62" s="2">
        <f>+U62^2*$V$58+U62*$V$59+$V$60</f>
        <v>1691147.1093001366</v>
      </c>
      <c r="AE62" s="67">
        <v>1990</v>
      </c>
      <c r="AF62" s="2">
        <v>1366694</v>
      </c>
      <c r="AG62" s="2">
        <v>1995</v>
      </c>
      <c r="AH62" s="2">
        <f>+AG62^2*$AH$58+AG62*$AH$59+$AH$60</f>
        <v>1532745.9634995461</v>
      </c>
    </row>
    <row r="63" spans="11:34">
      <c r="K63" s="2">
        <v>1950</v>
      </c>
      <c r="L63" s="25">
        <v>847748</v>
      </c>
      <c r="M63" s="8" t="s">
        <v>40</v>
      </c>
      <c r="N63" s="26">
        <v>432681</v>
      </c>
      <c r="O63" s="26">
        <v>415067</v>
      </c>
      <c r="S63" s="67">
        <v>2001</v>
      </c>
      <c r="T63" s="2">
        <v>1888838</v>
      </c>
      <c r="U63" s="2">
        <v>1996</v>
      </c>
      <c r="V63" s="2">
        <f t="shared" ref="V63:V78" si="7">+U63^2*$V$58+U63*$V$59+$V$60</f>
        <v>1720174.0927000046</v>
      </c>
      <c r="AE63" s="67">
        <v>2001</v>
      </c>
      <c r="AF63" s="2">
        <v>1762621</v>
      </c>
      <c r="AG63" s="2">
        <v>1996</v>
      </c>
      <c r="AH63" s="2">
        <f t="shared" ref="AH63:AH78" si="8">+AG63^2*$AH$58+AG63*$AH$59+$AH$60</f>
        <v>1568739.2959997654</v>
      </c>
    </row>
    <row r="64" spans="11:34">
      <c r="K64" s="2">
        <v>1950</v>
      </c>
      <c r="L64" s="25">
        <v>687318</v>
      </c>
      <c r="M64" s="8" t="s">
        <v>41</v>
      </c>
      <c r="N64" s="26">
        <v>352758</v>
      </c>
      <c r="O64" s="26">
        <v>334560</v>
      </c>
      <c r="S64" s="67">
        <v>2011</v>
      </c>
      <c r="T64" s="2">
        <v>2344332</v>
      </c>
      <c r="U64" s="2">
        <v>1997</v>
      </c>
      <c r="V64" s="2">
        <f t="shared" si="7"/>
        <v>1750774.6466999054</v>
      </c>
      <c r="AE64" s="67">
        <v>2011</v>
      </c>
      <c r="AF64" s="2">
        <v>2219741</v>
      </c>
      <c r="AG64" s="2">
        <v>1997</v>
      </c>
      <c r="AH64" s="2">
        <f t="shared" si="8"/>
        <v>1605658.2128999233</v>
      </c>
    </row>
    <row r="65" spans="11:34">
      <c r="K65" s="2">
        <v>1950</v>
      </c>
      <c r="L65" s="25">
        <v>574722</v>
      </c>
      <c r="M65" s="8" t="s">
        <v>42</v>
      </c>
      <c r="N65" s="26">
        <v>298518</v>
      </c>
      <c r="O65" s="26">
        <v>276204</v>
      </c>
      <c r="U65" s="2">
        <v>1998</v>
      </c>
      <c r="V65" s="2">
        <f t="shared" si="7"/>
        <v>1782948.771299839</v>
      </c>
      <c r="AE65"/>
      <c r="AG65" s="2">
        <v>1998</v>
      </c>
      <c r="AH65" s="2">
        <f t="shared" si="8"/>
        <v>1643502.7142000198</v>
      </c>
    </row>
    <row r="66" spans="11:34">
      <c r="K66" s="2">
        <v>1950</v>
      </c>
      <c r="L66" s="25">
        <v>496566</v>
      </c>
      <c r="M66" s="8" t="s">
        <v>43</v>
      </c>
      <c r="N66" s="26">
        <v>244191</v>
      </c>
      <c r="O66" s="26">
        <v>252375</v>
      </c>
      <c r="U66" s="2">
        <v>1999</v>
      </c>
      <c r="V66" s="2">
        <f t="shared" si="7"/>
        <v>1816696.4664998055</v>
      </c>
      <c r="AE66"/>
      <c r="AG66" s="2">
        <v>1999</v>
      </c>
      <c r="AH66" s="2">
        <f t="shared" si="8"/>
        <v>1682272.7998995781</v>
      </c>
    </row>
    <row r="67" spans="11:34">
      <c r="K67" s="2">
        <v>1950</v>
      </c>
      <c r="L67" s="25">
        <v>473748</v>
      </c>
      <c r="M67" s="8" t="s">
        <v>44</v>
      </c>
      <c r="N67" s="26">
        <v>236133</v>
      </c>
      <c r="O67" s="26">
        <v>237615</v>
      </c>
      <c r="U67" s="2">
        <v>2000</v>
      </c>
      <c r="V67" s="2">
        <f t="shared" si="7"/>
        <v>1852017.7322998047</v>
      </c>
      <c r="AE67"/>
      <c r="AG67" s="2">
        <v>2000</v>
      </c>
      <c r="AH67" s="2">
        <f t="shared" si="8"/>
        <v>1721968.4699997902</v>
      </c>
    </row>
    <row r="68" spans="11:34">
      <c r="K68" s="2">
        <v>1950</v>
      </c>
      <c r="L68" s="25">
        <v>400614</v>
      </c>
      <c r="M68" s="8" t="s">
        <v>45</v>
      </c>
      <c r="N68" s="26">
        <v>202418</v>
      </c>
      <c r="O68" s="26">
        <v>198196</v>
      </c>
      <c r="U68" s="2">
        <v>2001</v>
      </c>
      <c r="V68" s="2">
        <f t="shared" si="7"/>
        <v>1888912.5686998367</v>
      </c>
      <c r="AE68"/>
      <c r="AG68" s="2">
        <v>2001</v>
      </c>
      <c r="AH68" s="2">
        <f t="shared" si="8"/>
        <v>1762589.7244997025</v>
      </c>
    </row>
    <row r="69" spans="11:34">
      <c r="K69" s="2">
        <v>1950</v>
      </c>
      <c r="L69" s="25">
        <v>327613</v>
      </c>
      <c r="M69" s="8" t="s">
        <v>46</v>
      </c>
      <c r="N69" s="26">
        <v>170176</v>
      </c>
      <c r="O69" s="26">
        <v>157437</v>
      </c>
      <c r="U69" s="2">
        <v>2002</v>
      </c>
      <c r="V69" s="2">
        <f t="shared" si="7"/>
        <v>1927380.9756999016</v>
      </c>
      <c r="AE69"/>
      <c r="AG69" s="2">
        <v>2002</v>
      </c>
      <c r="AH69" s="2">
        <f t="shared" si="8"/>
        <v>1804136.5634000301</v>
      </c>
    </row>
    <row r="70" spans="11:34">
      <c r="K70" s="2">
        <v>1950</v>
      </c>
      <c r="L70" s="25">
        <v>301543</v>
      </c>
      <c r="M70" s="8" t="s">
        <v>47</v>
      </c>
      <c r="N70" s="26">
        <v>156330</v>
      </c>
      <c r="O70" s="26">
        <v>145213</v>
      </c>
      <c r="U70" s="2">
        <v>2003</v>
      </c>
      <c r="V70" s="2">
        <f t="shared" si="7"/>
        <v>1967422.9532995224</v>
      </c>
      <c r="AE70"/>
      <c r="AG70" s="2">
        <v>2003</v>
      </c>
      <c r="AH70" s="2">
        <f t="shared" si="8"/>
        <v>1846608.9866995811</v>
      </c>
    </row>
    <row r="71" spans="11:34">
      <c r="K71" s="2">
        <v>1950</v>
      </c>
      <c r="L71" s="25">
        <v>239608</v>
      </c>
      <c r="M71" s="8" t="s">
        <v>48</v>
      </c>
      <c r="N71" s="26">
        <v>124964</v>
      </c>
      <c r="O71" s="26">
        <v>114644</v>
      </c>
      <c r="U71" s="2">
        <v>2004</v>
      </c>
      <c r="V71" s="2">
        <f t="shared" si="7"/>
        <v>2009038.5015006065</v>
      </c>
      <c r="AE71"/>
      <c r="AG71" s="2">
        <v>2004</v>
      </c>
      <c r="AH71" s="2">
        <f t="shared" si="8"/>
        <v>1890006.994399786</v>
      </c>
    </row>
    <row r="72" spans="11:34">
      <c r="K72" s="2">
        <v>1950</v>
      </c>
      <c r="L72" s="25">
        <v>184768</v>
      </c>
      <c r="M72" s="8" t="s">
        <v>49</v>
      </c>
      <c r="N72" s="26">
        <v>97832</v>
      </c>
      <c r="O72" s="26">
        <v>86936</v>
      </c>
      <c r="U72" s="2">
        <v>2005</v>
      </c>
      <c r="V72" s="2">
        <f t="shared" si="7"/>
        <v>2052227.6203007698</v>
      </c>
      <c r="AE72"/>
      <c r="AG72" s="2">
        <v>2005</v>
      </c>
      <c r="AH72" s="2">
        <f t="shared" si="8"/>
        <v>1934330.586499691</v>
      </c>
    </row>
    <row r="73" spans="11:34">
      <c r="K73" s="2">
        <v>1950</v>
      </c>
      <c r="L73" s="25">
        <v>164736</v>
      </c>
      <c r="M73" s="8" t="s">
        <v>50</v>
      </c>
      <c r="N73" s="26">
        <v>82619</v>
      </c>
      <c r="O73" s="26">
        <v>82117</v>
      </c>
      <c r="U73" s="2">
        <v>2006</v>
      </c>
      <c r="V73" s="2">
        <f t="shared" si="7"/>
        <v>2096990.309700489</v>
      </c>
      <c r="AE73"/>
      <c r="AG73" s="2">
        <v>2006</v>
      </c>
      <c r="AH73" s="2">
        <f t="shared" si="8"/>
        <v>1979579.762999773</v>
      </c>
    </row>
    <row r="74" spans="11:34">
      <c r="K74" s="2">
        <v>1950</v>
      </c>
      <c r="L74" s="25">
        <v>101879</v>
      </c>
      <c r="M74" s="8" t="s">
        <v>51</v>
      </c>
      <c r="N74" s="26">
        <v>52359</v>
      </c>
      <c r="O74" s="26">
        <v>49520</v>
      </c>
      <c r="U74" s="2">
        <v>2007</v>
      </c>
      <c r="V74" s="2">
        <f t="shared" si="7"/>
        <v>2143326.5697007179</v>
      </c>
      <c r="AE74"/>
      <c r="AG74" s="2">
        <v>2007</v>
      </c>
      <c r="AH74" s="2">
        <f t="shared" si="8"/>
        <v>2025754.5238995552</v>
      </c>
    </row>
    <row r="75" spans="11:34">
      <c r="K75" s="2">
        <v>1950</v>
      </c>
      <c r="L75" s="25">
        <v>92466</v>
      </c>
      <c r="M75" s="8" t="s">
        <v>52</v>
      </c>
      <c r="N75" s="26">
        <v>41518</v>
      </c>
      <c r="O75" s="26">
        <v>50948</v>
      </c>
      <c r="U75" s="2">
        <v>2008</v>
      </c>
      <c r="V75" s="2">
        <f t="shared" si="7"/>
        <v>2191236.4003005028</v>
      </c>
      <c r="AE75"/>
      <c r="AG75" s="2">
        <v>2008</v>
      </c>
      <c r="AH75" s="2">
        <f t="shared" si="8"/>
        <v>2072854.8691997528</v>
      </c>
    </row>
    <row r="76" spans="11:34">
      <c r="K76" s="2">
        <v>1950</v>
      </c>
      <c r="L76" s="25">
        <v>47919</v>
      </c>
      <c r="M76" s="8" t="s">
        <v>53</v>
      </c>
      <c r="N76" s="26">
        <v>22025</v>
      </c>
      <c r="O76" s="26">
        <v>25894</v>
      </c>
      <c r="U76" s="2">
        <v>2009</v>
      </c>
      <c r="V76" s="2">
        <f t="shared" si="7"/>
        <v>2240719.8015003204</v>
      </c>
      <c r="AE76"/>
      <c r="AG76" s="2">
        <v>2009</v>
      </c>
      <c r="AH76" s="2">
        <f t="shared" si="8"/>
        <v>2120880.7988996506</v>
      </c>
    </row>
    <row r="77" spans="11:34">
      <c r="K77" s="2">
        <v>1950</v>
      </c>
      <c r="L77" s="25">
        <v>38280</v>
      </c>
      <c r="M77" s="8" t="s">
        <v>54</v>
      </c>
      <c r="N77" s="26">
        <v>15491</v>
      </c>
      <c r="O77" s="26">
        <v>22789</v>
      </c>
      <c r="U77" s="2">
        <v>2010</v>
      </c>
      <c r="V77" s="2">
        <f t="shared" si="7"/>
        <v>2291776.7733006477</v>
      </c>
      <c r="AE77"/>
      <c r="AG77" s="2">
        <v>2010</v>
      </c>
      <c r="AH77" s="2">
        <f t="shared" si="8"/>
        <v>2169832.3129999638</v>
      </c>
    </row>
    <row r="78" spans="11:34">
      <c r="K78" s="2">
        <v>1950</v>
      </c>
      <c r="L78" s="25">
        <v>18798</v>
      </c>
      <c r="M78" s="8" t="s">
        <v>55</v>
      </c>
      <c r="N78" s="26">
        <v>7802</v>
      </c>
      <c r="O78" s="26">
        <v>10996</v>
      </c>
      <c r="U78" s="2">
        <v>2011</v>
      </c>
      <c r="V78" s="2">
        <f t="shared" si="7"/>
        <v>2344407.315700531</v>
      </c>
      <c r="AE78"/>
      <c r="AG78" s="2">
        <v>2011</v>
      </c>
      <c r="AH78" s="2">
        <f t="shared" si="8"/>
        <v>2219709.4114999771</v>
      </c>
    </row>
    <row r="79" spans="11:34">
      <c r="K79" s="2">
        <v>1950</v>
      </c>
      <c r="L79" s="25">
        <v>16560</v>
      </c>
      <c r="M79" s="8" t="s">
        <v>56</v>
      </c>
      <c r="N79" s="26">
        <v>5873</v>
      </c>
      <c r="O79" s="26">
        <v>10687</v>
      </c>
    </row>
    <row r="80" spans="11:34">
      <c r="K80" s="2">
        <v>1950</v>
      </c>
      <c r="L80" s="25">
        <v>11873</v>
      </c>
      <c r="M80" s="12" t="s">
        <v>57</v>
      </c>
      <c r="N80" s="26">
        <v>4125</v>
      </c>
      <c r="O80" s="26">
        <v>7748</v>
      </c>
      <c r="V80">
        <v>-378.78739999999999</v>
      </c>
      <c r="AE80"/>
      <c r="AH80" s="2">
        <v>-783.28830000000005</v>
      </c>
    </row>
    <row r="81" spans="11:34">
      <c r="K81" s="2">
        <v>1950</v>
      </c>
      <c r="L81" s="25">
        <v>8079</v>
      </c>
      <c r="M81" s="27" t="s">
        <v>72</v>
      </c>
      <c r="N81" s="28">
        <v>4678</v>
      </c>
      <c r="O81" s="28">
        <v>3401</v>
      </c>
      <c r="V81" s="71">
        <v>1550846.3329</v>
      </c>
      <c r="AE81"/>
      <c r="AH81" s="71">
        <v>3175251.1065000002</v>
      </c>
    </row>
    <row r="82" spans="11:34">
      <c r="K82" s="2">
        <v>1961</v>
      </c>
      <c r="L82" s="29">
        <v>7523999</v>
      </c>
      <c r="M82" s="24" t="s">
        <v>20</v>
      </c>
      <c r="N82" s="29">
        <v>3821722</v>
      </c>
      <c r="O82" s="29">
        <v>3702277</v>
      </c>
      <c r="V82" s="71">
        <v>-1584984458.0130999</v>
      </c>
      <c r="AE82"/>
      <c r="AH82" s="71">
        <v>-3215961774.8053002</v>
      </c>
    </row>
    <row r="83" spans="11:34">
      <c r="K83" s="2">
        <v>1961</v>
      </c>
      <c r="L83" s="30">
        <v>1374096</v>
      </c>
      <c r="M83" s="8" t="s">
        <v>40</v>
      </c>
      <c r="N83" s="30">
        <v>698316</v>
      </c>
      <c r="O83" s="30">
        <v>675780</v>
      </c>
      <c r="S83" s="69" t="s">
        <v>104</v>
      </c>
      <c r="T83" s="70" t="s">
        <v>47</v>
      </c>
      <c r="V83" s="2" t="s">
        <v>108</v>
      </c>
      <c r="AE83" s="69" t="s">
        <v>104</v>
      </c>
      <c r="AF83" s="70" t="s">
        <v>48</v>
      </c>
      <c r="AH83" s="2" t="s">
        <v>108</v>
      </c>
    </row>
    <row r="84" spans="11:34">
      <c r="K84" s="2">
        <v>1961</v>
      </c>
      <c r="L84" s="30">
        <v>1163320</v>
      </c>
      <c r="M84" s="8" t="s">
        <v>41</v>
      </c>
      <c r="N84" s="30">
        <v>591273</v>
      </c>
      <c r="O84" s="30">
        <v>572047</v>
      </c>
      <c r="S84" s="67">
        <v>1990</v>
      </c>
      <c r="T84" s="2">
        <v>1163580</v>
      </c>
      <c r="U84" s="2">
        <v>1995</v>
      </c>
      <c r="V84" s="2">
        <f>+U84^2*$V$80+U84*$V$81+$V$82</f>
        <v>1370654.4374001026</v>
      </c>
      <c r="AE84" s="67">
        <v>1990</v>
      </c>
      <c r="AF84" s="2">
        <v>887884</v>
      </c>
      <c r="AG84" s="2">
        <v>1995</v>
      </c>
      <c r="AH84" s="2">
        <f>+AG84^2*$AH$80+AG84*$AH$81+$AH$82</f>
        <v>1157166.45470047</v>
      </c>
    </row>
    <row r="85" spans="11:34">
      <c r="K85" s="2">
        <v>1961</v>
      </c>
      <c r="L85" s="30">
        <v>901881</v>
      </c>
      <c r="M85" s="8" t="s">
        <v>42</v>
      </c>
      <c r="N85" s="30">
        <v>458372</v>
      </c>
      <c r="O85" s="30">
        <v>443509</v>
      </c>
      <c r="S85" s="67">
        <v>2001</v>
      </c>
      <c r="T85" s="2">
        <v>1593742</v>
      </c>
      <c r="U85" s="2">
        <v>1996</v>
      </c>
      <c r="V85" s="2">
        <f t="shared" ref="V85:V100" si="9">+U85^2*$V$80+U85*$V$81+$V$82</f>
        <v>1409760.2569000721</v>
      </c>
      <c r="AE85" s="67">
        <v>2001</v>
      </c>
      <c r="AF85" s="2">
        <v>1428506</v>
      </c>
      <c r="AG85" s="2">
        <v>1996</v>
      </c>
      <c r="AH85" s="2">
        <f t="shared" ref="AH85:AH100" si="10">+AG85^2*$AH$80+AG85*$AH$81+$AH$82</f>
        <v>1206313.9558997154</v>
      </c>
    </row>
    <row r="86" spans="11:34">
      <c r="K86" s="2">
        <v>1961</v>
      </c>
      <c r="L86" s="30">
        <v>679636</v>
      </c>
      <c r="M86" s="8" t="s">
        <v>43</v>
      </c>
      <c r="N86" s="30">
        <v>340465</v>
      </c>
      <c r="O86" s="30">
        <v>339171</v>
      </c>
      <c r="S86" s="67">
        <v>2011</v>
      </c>
      <c r="T86" s="2">
        <v>1905253</v>
      </c>
      <c r="U86" s="2">
        <v>1997</v>
      </c>
      <c r="V86" s="2">
        <f t="shared" si="9"/>
        <v>1448108.5016002655</v>
      </c>
      <c r="AE86" s="67">
        <v>2011</v>
      </c>
      <c r="AF86" s="2">
        <v>1755490</v>
      </c>
      <c r="AG86" s="2">
        <v>1997</v>
      </c>
      <c r="AH86" s="2">
        <f t="shared" si="10"/>
        <v>1253894.8804993629</v>
      </c>
    </row>
    <row r="87" spans="11:34">
      <c r="K87" s="2">
        <v>1961</v>
      </c>
      <c r="L87" s="30">
        <v>618411</v>
      </c>
      <c r="M87" s="8" t="s">
        <v>44</v>
      </c>
      <c r="N87" s="30">
        <v>311678</v>
      </c>
      <c r="O87" s="30">
        <v>306733</v>
      </c>
      <c r="U87" s="2">
        <v>1998</v>
      </c>
      <c r="V87" s="2">
        <f t="shared" si="9"/>
        <v>1485699.171500206</v>
      </c>
      <c r="AE87"/>
      <c r="AG87" s="2">
        <v>1998</v>
      </c>
      <c r="AH87" s="2">
        <f t="shared" si="10"/>
        <v>1299909.2285003662</v>
      </c>
    </row>
    <row r="88" spans="11:34">
      <c r="K88" s="2">
        <v>1961</v>
      </c>
      <c r="L88" s="30">
        <v>550882</v>
      </c>
      <c r="M88" s="8" t="s">
        <v>45</v>
      </c>
      <c r="N88" s="30">
        <v>283008</v>
      </c>
      <c r="O88" s="30">
        <v>267874</v>
      </c>
      <c r="U88" s="2">
        <v>1999</v>
      </c>
      <c r="V88" s="2">
        <f t="shared" si="9"/>
        <v>1522532.2666003704</v>
      </c>
      <c r="AE88"/>
      <c r="AG88" s="2">
        <v>1999</v>
      </c>
      <c r="AH88" s="2">
        <f t="shared" si="10"/>
        <v>1344356.9998998642</v>
      </c>
    </row>
    <row r="89" spans="11:34">
      <c r="K89" s="2">
        <v>1961</v>
      </c>
      <c r="L89" s="30">
        <v>502697</v>
      </c>
      <c r="M89" s="8" t="s">
        <v>46</v>
      </c>
      <c r="N89" s="30">
        <v>264861</v>
      </c>
      <c r="O89" s="30">
        <v>237836</v>
      </c>
      <c r="U89" s="2">
        <v>2000</v>
      </c>
      <c r="V89" s="2">
        <f t="shared" si="9"/>
        <v>1558607.7869002819</v>
      </c>
      <c r="AE89"/>
      <c r="AG89" s="2">
        <v>2000</v>
      </c>
      <c r="AH89" s="2">
        <f t="shared" si="10"/>
        <v>1387238.1946997643</v>
      </c>
    </row>
    <row r="90" spans="11:34">
      <c r="K90" s="2">
        <v>1961</v>
      </c>
      <c r="L90" s="30">
        <v>405172</v>
      </c>
      <c r="M90" s="8" t="s">
        <v>47</v>
      </c>
      <c r="N90" s="30">
        <v>210638</v>
      </c>
      <c r="O90" s="30">
        <v>194534</v>
      </c>
      <c r="U90" s="2">
        <v>2001</v>
      </c>
      <c r="V90" s="2">
        <f t="shared" si="9"/>
        <v>1593925.7324004173</v>
      </c>
      <c r="AE90"/>
      <c r="AG90" s="2">
        <v>2001</v>
      </c>
      <c r="AH90" s="2">
        <f t="shared" si="10"/>
        <v>1428552.8129000664</v>
      </c>
    </row>
    <row r="91" spans="11:34">
      <c r="K91" s="2">
        <v>1961</v>
      </c>
      <c r="L91" s="30">
        <v>331587</v>
      </c>
      <c r="M91" s="8" t="s">
        <v>48</v>
      </c>
      <c r="N91" s="30">
        <v>174323</v>
      </c>
      <c r="O91" s="30">
        <v>157264</v>
      </c>
      <c r="U91" s="2">
        <v>2002</v>
      </c>
      <c r="V91" s="2">
        <f t="shared" si="9"/>
        <v>1628486.1031002998</v>
      </c>
      <c r="AE91"/>
      <c r="AG91" s="2">
        <v>2002</v>
      </c>
      <c r="AH91" s="2">
        <f t="shared" si="10"/>
        <v>1468300.8544998169</v>
      </c>
    </row>
    <row r="92" spans="11:34">
      <c r="K92" s="2">
        <v>1961</v>
      </c>
      <c r="L92" s="30">
        <v>280801</v>
      </c>
      <c r="M92" s="8" t="s">
        <v>49</v>
      </c>
      <c r="N92" s="30">
        <v>146041</v>
      </c>
      <c r="O92" s="30">
        <v>134760</v>
      </c>
      <c r="U92" s="2">
        <v>2003</v>
      </c>
      <c r="V92" s="2">
        <f t="shared" si="9"/>
        <v>1662288.8989999294</v>
      </c>
      <c r="AE92"/>
      <c r="AG92" s="2">
        <v>2003</v>
      </c>
      <c r="AH92" s="2">
        <f t="shared" si="10"/>
        <v>1506482.3195004463</v>
      </c>
    </row>
    <row r="93" spans="11:34">
      <c r="K93" s="2">
        <v>1961</v>
      </c>
      <c r="L93" s="30">
        <v>218773</v>
      </c>
      <c r="M93" s="8" t="s">
        <v>50</v>
      </c>
      <c r="N93" s="30">
        <v>112531</v>
      </c>
      <c r="O93" s="30">
        <v>106242</v>
      </c>
      <c r="U93" s="2">
        <v>2004</v>
      </c>
      <c r="V93" s="2">
        <f t="shared" si="9"/>
        <v>1695334.1201000214</v>
      </c>
      <c r="AE93"/>
      <c r="AG93" s="2">
        <v>2004</v>
      </c>
      <c r="AH93" s="2">
        <f t="shared" si="10"/>
        <v>1543097.2079000473</v>
      </c>
    </row>
    <row r="94" spans="11:34">
      <c r="K94" s="2">
        <v>1961</v>
      </c>
      <c r="L94" s="30">
        <v>167309</v>
      </c>
      <c r="M94" s="8" t="s">
        <v>51</v>
      </c>
      <c r="N94" s="30">
        <v>84211</v>
      </c>
      <c r="O94" s="30">
        <v>83098</v>
      </c>
      <c r="U94" s="2">
        <v>2005</v>
      </c>
      <c r="V94" s="2">
        <f t="shared" si="9"/>
        <v>1727621.7664000988</v>
      </c>
      <c r="AE94"/>
      <c r="AG94" s="2">
        <v>2005</v>
      </c>
      <c r="AH94" s="2">
        <f t="shared" si="10"/>
        <v>1578145.5197000504</v>
      </c>
    </row>
    <row r="95" spans="11:34">
      <c r="K95" s="2">
        <v>1961</v>
      </c>
      <c r="L95" s="30">
        <v>131714</v>
      </c>
      <c r="M95" s="8" t="s">
        <v>52</v>
      </c>
      <c r="N95" s="30">
        <v>62356</v>
      </c>
      <c r="O95" s="30">
        <v>69358</v>
      </c>
      <c r="U95" s="2">
        <v>2006</v>
      </c>
      <c r="V95" s="2">
        <f t="shared" si="9"/>
        <v>1759151.8379001617</v>
      </c>
      <c r="AE95"/>
      <c r="AG95" s="2">
        <v>2006</v>
      </c>
      <c r="AH95" s="2">
        <f t="shared" si="10"/>
        <v>1611627.2549004555</v>
      </c>
    </row>
    <row r="96" spans="11:34">
      <c r="K96" s="2">
        <v>1961</v>
      </c>
      <c r="L96" s="30">
        <v>77722</v>
      </c>
      <c r="M96" s="8" t="s">
        <v>53</v>
      </c>
      <c r="N96" s="30">
        <v>36152</v>
      </c>
      <c r="O96" s="30">
        <v>41570</v>
      </c>
      <c r="U96" s="2">
        <v>2007</v>
      </c>
      <c r="V96" s="2">
        <f t="shared" si="9"/>
        <v>1789924.3346002102</v>
      </c>
      <c r="AE96"/>
      <c r="AG96" s="2">
        <v>2007</v>
      </c>
      <c r="AH96" s="2">
        <f t="shared" si="10"/>
        <v>1643542.413500309</v>
      </c>
    </row>
    <row r="97" spans="11:34">
      <c r="K97" s="2">
        <v>1961</v>
      </c>
      <c r="L97" s="30">
        <v>51015</v>
      </c>
      <c r="M97" s="8" t="s">
        <v>54</v>
      </c>
      <c r="N97" s="30">
        <v>21657</v>
      </c>
      <c r="O97" s="30">
        <v>29358</v>
      </c>
      <c r="U97" s="2">
        <v>2008</v>
      </c>
      <c r="V97" s="2">
        <f t="shared" si="9"/>
        <v>1819939.2565002441</v>
      </c>
      <c r="AE97"/>
      <c r="AG97" s="2">
        <v>2008</v>
      </c>
      <c r="AH97" s="2">
        <f t="shared" si="10"/>
        <v>1673890.9954996109</v>
      </c>
    </row>
    <row r="98" spans="11:34">
      <c r="K98" s="2">
        <v>1961</v>
      </c>
      <c r="L98" s="30">
        <v>30949</v>
      </c>
      <c r="M98" s="8" t="s">
        <v>55</v>
      </c>
      <c r="N98" s="30">
        <v>12601</v>
      </c>
      <c r="O98" s="30">
        <v>18348</v>
      </c>
      <c r="U98" s="2">
        <v>2009</v>
      </c>
      <c r="V98" s="2">
        <f t="shared" si="9"/>
        <v>1849196.6036002636</v>
      </c>
      <c r="AE98"/>
      <c r="AG98" s="2">
        <v>2009</v>
      </c>
      <c r="AH98" s="2">
        <f t="shared" si="10"/>
        <v>1702673.0009002686</v>
      </c>
    </row>
    <row r="99" spans="11:34">
      <c r="K99" s="2">
        <v>1961</v>
      </c>
      <c r="L99" s="30">
        <v>20732</v>
      </c>
      <c r="M99" s="8" t="s">
        <v>56</v>
      </c>
      <c r="N99" s="30">
        <v>7431</v>
      </c>
      <c r="O99" s="30">
        <v>13301</v>
      </c>
      <c r="U99" s="2">
        <v>2010</v>
      </c>
      <c r="V99" s="2">
        <f t="shared" si="9"/>
        <v>1877696.3759002686</v>
      </c>
      <c r="AE99"/>
      <c r="AG99" s="2">
        <v>2010</v>
      </c>
      <c r="AH99" s="2">
        <f t="shared" si="10"/>
        <v>1729888.4296998978</v>
      </c>
    </row>
    <row r="100" spans="11:34">
      <c r="K100" s="2">
        <v>1961</v>
      </c>
      <c r="L100" s="30">
        <v>17302</v>
      </c>
      <c r="M100" s="12" t="s">
        <v>57</v>
      </c>
      <c r="N100" s="30">
        <v>5808</v>
      </c>
      <c r="O100" s="30">
        <v>11494</v>
      </c>
      <c r="U100" s="2">
        <v>2011</v>
      </c>
      <c r="V100" s="2">
        <f t="shared" si="9"/>
        <v>1905438.573400259</v>
      </c>
      <c r="AE100"/>
      <c r="AG100" s="2">
        <v>2011</v>
      </c>
      <c r="AH100" s="2">
        <f t="shared" si="10"/>
        <v>1755537.281899929</v>
      </c>
    </row>
    <row r="101" spans="11:34">
      <c r="K101" s="2">
        <v>1971</v>
      </c>
      <c r="L101" s="6">
        <v>10721522</v>
      </c>
      <c r="M101" s="24" t="s">
        <v>20</v>
      </c>
      <c r="N101" s="6">
        <v>5357157</v>
      </c>
      <c r="O101" s="6">
        <v>5364365</v>
      </c>
    </row>
    <row r="102" spans="11:34">
      <c r="K102" s="2">
        <v>1971</v>
      </c>
      <c r="L102" s="9">
        <v>1734538</v>
      </c>
      <c r="M102" s="8" t="s">
        <v>40</v>
      </c>
      <c r="N102" s="9">
        <v>878007</v>
      </c>
      <c r="O102" s="9">
        <v>856531</v>
      </c>
      <c r="V102">
        <v>-474.39049999999997</v>
      </c>
      <c r="AE102"/>
      <c r="AH102">
        <v>316.6429</v>
      </c>
    </row>
    <row r="103" spans="11:34">
      <c r="K103" s="2">
        <v>1971</v>
      </c>
      <c r="L103" s="9">
        <v>1655032</v>
      </c>
      <c r="M103" s="8" t="s">
        <v>41</v>
      </c>
      <c r="N103" s="9">
        <v>851071</v>
      </c>
      <c r="O103" s="9">
        <v>803961</v>
      </c>
      <c r="V103" s="71">
        <v>1940158.3905</v>
      </c>
      <c r="AE103"/>
      <c r="AH103" s="71">
        <v>-1229122.6429000001</v>
      </c>
    </row>
    <row r="104" spans="11:34">
      <c r="K104" s="2">
        <v>1971</v>
      </c>
      <c r="L104" s="9">
        <v>1455861</v>
      </c>
      <c r="M104" s="8" t="s">
        <v>42</v>
      </c>
      <c r="N104" s="9">
        <v>728788</v>
      </c>
      <c r="O104" s="9">
        <v>727073</v>
      </c>
      <c r="V104" s="71">
        <v>-1981637255.2858</v>
      </c>
      <c r="AE104"/>
      <c r="AH104" s="71">
        <v>1192561540.7142</v>
      </c>
    </row>
    <row r="105" spans="11:34">
      <c r="K105" s="2">
        <v>1971</v>
      </c>
      <c r="L105" s="9">
        <v>1227697</v>
      </c>
      <c r="M105" s="8" t="s">
        <v>43</v>
      </c>
      <c r="N105" s="9">
        <v>601038</v>
      </c>
      <c r="O105" s="9">
        <v>626659</v>
      </c>
      <c r="S105" s="69" t="s">
        <v>104</v>
      </c>
      <c r="T105" s="70" t="s">
        <v>49</v>
      </c>
      <c r="V105" s="2" t="s">
        <v>108</v>
      </c>
      <c r="AE105" s="69" t="s">
        <v>104</v>
      </c>
      <c r="AF105" s="70" t="s">
        <v>50</v>
      </c>
      <c r="AH105" s="2" t="s">
        <v>108</v>
      </c>
    </row>
    <row r="106" spans="11:34">
      <c r="K106" s="2">
        <v>1971</v>
      </c>
      <c r="L106" s="9">
        <v>954413</v>
      </c>
      <c r="M106" s="8" t="s">
        <v>44</v>
      </c>
      <c r="N106" s="9">
        <v>464191</v>
      </c>
      <c r="O106" s="9">
        <v>490222</v>
      </c>
      <c r="S106" s="67">
        <v>1990</v>
      </c>
      <c r="T106" s="2">
        <v>644217</v>
      </c>
      <c r="U106" s="2">
        <v>1995</v>
      </c>
      <c r="V106" s="2">
        <f>+U106^2*$V$102+U106*$V$103+$V$104</f>
        <v>892683.99920034409</v>
      </c>
      <c r="AE106" s="67">
        <v>1990</v>
      </c>
      <c r="AF106" s="2">
        <v>544860</v>
      </c>
      <c r="AG106" s="2">
        <v>1995</v>
      </c>
      <c r="AH106" s="2">
        <f>+AG106^2*$AH$102+AG106*$AH$103+$AH$104</f>
        <v>708526.20119976997</v>
      </c>
    </row>
    <row r="107" spans="11:34">
      <c r="K107" s="2">
        <v>1971</v>
      </c>
      <c r="L107" s="9">
        <v>693185</v>
      </c>
      <c r="M107" s="8" t="s">
        <v>45</v>
      </c>
      <c r="N107" s="9">
        <v>336538</v>
      </c>
      <c r="O107" s="9">
        <v>356647</v>
      </c>
      <c r="S107" s="67">
        <v>2001</v>
      </c>
      <c r="T107" s="2">
        <v>1159743</v>
      </c>
      <c r="U107" s="2">
        <v>1996</v>
      </c>
      <c r="V107" s="2">
        <f t="shared" ref="V107:V122" si="11">+U107^2*$V$102+U107*$V$103+$V$104</f>
        <v>939549.90419983864</v>
      </c>
      <c r="AE107" s="67">
        <v>2001</v>
      </c>
      <c r="AF107" s="2">
        <v>925449</v>
      </c>
      <c r="AG107" s="2">
        <v>1996</v>
      </c>
      <c r="AH107" s="2">
        <f t="shared" ref="AH107:AH122" si="12">+AG107^2*$AH$102+AG107*$AH$103+$AH$104</f>
        <v>743125.37219977379</v>
      </c>
    </row>
    <row r="108" spans="11:34">
      <c r="K108" s="2">
        <v>1971</v>
      </c>
      <c r="L108" s="9">
        <v>582976</v>
      </c>
      <c r="M108" s="8" t="s">
        <v>46</v>
      </c>
      <c r="N108" s="9">
        <v>290210</v>
      </c>
      <c r="O108" s="9">
        <v>292766</v>
      </c>
      <c r="S108" s="67">
        <v>2011</v>
      </c>
      <c r="T108" s="2">
        <v>1528781</v>
      </c>
      <c r="U108" s="2">
        <v>1997</v>
      </c>
      <c r="V108" s="2">
        <f t="shared" si="11"/>
        <v>985467.02819991112</v>
      </c>
      <c r="AE108" s="67">
        <v>2011</v>
      </c>
      <c r="AF108" s="2">
        <v>1337934</v>
      </c>
      <c r="AG108" s="2">
        <v>1997</v>
      </c>
      <c r="AH108" s="2">
        <f t="shared" si="12"/>
        <v>778357.82899975777</v>
      </c>
    </row>
    <row r="109" spans="11:34">
      <c r="K109" s="2">
        <v>1971</v>
      </c>
      <c r="L109" s="9">
        <v>537496</v>
      </c>
      <c r="M109" s="8" t="s">
        <v>47</v>
      </c>
      <c r="N109" s="9">
        <v>269941</v>
      </c>
      <c r="O109" s="9">
        <v>267555</v>
      </c>
      <c r="U109" s="2">
        <v>1998</v>
      </c>
      <c r="V109" s="2">
        <f t="shared" si="11"/>
        <v>1030435.3712000847</v>
      </c>
      <c r="AE109"/>
      <c r="AG109" s="2">
        <v>1998</v>
      </c>
      <c r="AH109" s="2">
        <f t="shared" si="12"/>
        <v>814223.57159972191</v>
      </c>
    </row>
    <row r="110" spans="11:34">
      <c r="K110" s="2">
        <v>1971</v>
      </c>
      <c r="L110" s="9">
        <v>468590</v>
      </c>
      <c r="M110" s="8" t="s">
        <v>48</v>
      </c>
      <c r="N110" s="9">
        <v>242951</v>
      </c>
      <c r="O110" s="9">
        <v>225639</v>
      </c>
      <c r="U110" s="2">
        <v>1999</v>
      </c>
      <c r="V110" s="2">
        <f t="shared" si="11"/>
        <v>1074454.9332001209</v>
      </c>
      <c r="AE110"/>
      <c r="AG110" s="2">
        <v>1999</v>
      </c>
      <c r="AH110" s="2">
        <f t="shared" si="12"/>
        <v>850722.59999990463</v>
      </c>
    </row>
    <row r="111" spans="11:34">
      <c r="K111" s="2">
        <v>1971</v>
      </c>
      <c r="L111" s="9">
        <v>371042</v>
      </c>
      <c r="M111" s="8" t="s">
        <v>49</v>
      </c>
      <c r="N111" s="9">
        <v>191292</v>
      </c>
      <c r="O111" s="9">
        <v>179750</v>
      </c>
      <c r="U111" s="2">
        <v>2000</v>
      </c>
      <c r="V111" s="2">
        <f t="shared" si="11"/>
        <v>1117525.7142000198</v>
      </c>
      <c r="AE111"/>
      <c r="AG111" s="2">
        <v>2000</v>
      </c>
      <c r="AH111" s="2">
        <f t="shared" si="12"/>
        <v>887854.9141998291</v>
      </c>
    </row>
    <row r="112" spans="11:34">
      <c r="K112" s="2">
        <v>1971</v>
      </c>
      <c r="L112" s="9">
        <v>303520</v>
      </c>
      <c r="M112" s="8" t="s">
        <v>50</v>
      </c>
      <c r="N112" s="9">
        <v>153806</v>
      </c>
      <c r="O112" s="9">
        <v>149714</v>
      </c>
      <c r="U112" s="2">
        <v>2001</v>
      </c>
      <c r="V112" s="2">
        <f t="shared" si="11"/>
        <v>1159647.7142002583</v>
      </c>
      <c r="AE112"/>
      <c r="AG112" s="2">
        <v>2001</v>
      </c>
      <c r="AH112" s="2">
        <f t="shared" si="12"/>
        <v>925620.51419973373</v>
      </c>
    </row>
    <row r="113" spans="11:34">
      <c r="K113" s="2">
        <v>1971</v>
      </c>
      <c r="L113" s="9">
        <v>231769</v>
      </c>
      <c r="M113" s="8" t="s">
        <v>51</v>
      </c>
      <c r="N113" s="9">
        <v>115284</v>
      </c>
      <c r="O113" s="9">
        <v>116485</v>
      </c>
      <c r="U113" s="2">
        <v>2002</v>
      </c>
      <c r="V113" s="2">
        <f t="shared" si="11"/>
        <v>1200820.9332003593</v>
      </c>
      <c r="AE113"/>
      <c r="AG113" s="2">
        <v>2002</v>
      </c>
      <c r="AH113" s="2">
        <f t="shared" si="12"/>
        <v>964019.39999985695</v>
      </c>
    </row>
    <row r="114" spans="11:34">
      <c r="K114" s="2">
        <v>1971</v>
      </c>
      <c r="L114" s="9">
        <v>189970</v>
      </c>
      <c r="M114" s="8" t="s">
        <v>52</v>
      </c>
      <c r="N114" s="9">
        <v>93197</v>
      </c>
      <c r="O114" s="9">
        <v>96773</v>
      </c>
      <c r="U114" s="2">
        <v>2003</v>
      </c>
      <c r="V114" s="2">
        <f t="shared" si="11"/>
        <v>1241045.3711998463</v>
      </c>
      <c r="AE114"/>
      <c r="AG114" s="2">
        <v>2003</v>
      </c>
      <c r="AH114" s="2">
        <f t="shared" si="12"/>
        <v>1003051.5715999603</v>
      </c>
    </row>
    <row r="115" spans="11:34">
      <c r="K115" s="2">
        <v>1971</v>
      </c>
      <c r="L115" s="9">
        <v>119823</v>
      </c>
      <c r="M115" s="8" t="s">
        <v>53</v>
      </c>
      <c r="N115" s="9">
        <v>57256</v>
      </c>
      <c r="O115" s="9">
        <v>62567</v>
      </c>
      <c r="U115" s="2">
        <v>2004</v>
      </c>
      <c r="V115" s="2">
        <f t="shared" si="11"/>
        <v>1280321.0281999111</v>
      </c>
      <c r="AE115"/>
      <c r="AG115" s="2">
        <v>2004</v>
      </c>
      <c r="AH115" s="2">
        <f t="shared" si="12"/>
        <v>1042717.0289998055</v>
      </c>
    </row>
    <row r="116" spans="11:34">
      <c r="K116" s="2">
        <v>1971</v>
      </c>
      <c r="L116" s="9">
        <v>88397</v>
      </c>
      <c r="M116" s="8" t="s">
        <v>54</v>
      </c>
      <c r="N116" s="9">
        <v>40723</v>
      </c>
      <c r="O116" s="9">
        <v>47674</v>
      </c>
      <c r="U116" s="2">
        <v>2005</v>
      </c>
      <c r="V116" s="2">
        <f t="shared" si="11"/>
        <v>1318647.9042000771</v>
      </c>
      <c r="AE116"/>
      <c r="AG116" s="2">
        <v>2005</v>
      </c>
      <c r="AH116" s="2">
        <f t="shared" si="12"/>
        <v>1083015.7721998692</v>
      </c>
    </row>
    <row r="117" spans="11:34">
      <c r="K117" s="2">
        <v>1971</v>
      </c>
      <c r="L117" s="9">
        <v>45799</v>
      </c>
      <c r="M117" s="8" t="s">
        <v>55</v>
      </c>
      <c r="N117" s="9">
        <v>19900</v>
      </c>
      <c r="O117" s="9">
        <v>25899</v>
      </c>
      <c r="U117" s="2">
        <v>2006</v>
      </c>
      <c r="V117" s="2">
        <f t="shared" si="11"/>
        <v>1356025.9992001057</v>
      </c>
      <c r="AE117"/>
      <c r="AG117" s="2">
        <v>2006</v>
      </c>
      <c r="AH117" s="2">
        <f t="shared" si="12"/>
        <v>1123947.801199913</v>
      </c>
    </row>
    <row r="118" spans="11:34">
      <c r="K118" s="2">
        <v>1971</v>
      </c>
      <c r="L118" s="9">
        <v>31850</v>
      </c>
      <c r="M118" s="8" t="s">
        <v>56</v>
      </c>
      <c r="N118" s="9">
        <v>12470</v>
      </c>
      <c r="O118" s="9">
        <v>19380</v>
      </c>
      <c r="U118" s="2">
        <v>2007</v>
      </c>
      <c r="V118" s="2">
        <f t="shared" si="11"/>
        <v>1392455.3132002354</v>
      </c>
      <c r="AE118"/>
      <c r="AG118" s="2">
        <v>2007</v>
      </c>
      <c r="AH118" s="2">
        <f t="shared" si="12"/>
        <v>1165513.1159999371</v>
      </c>
    </row>
    <row r="119" spans="11:34">
      <c r="K119" s="2">
        <v>1971</v>
      </c>
      <c r="L119" s="9">
        <v>29564</v>
      </c>
      <c r="M119" s="12" t="s">
        <v>57</v>
      </c>
      <c r="N119" s="9">
        <v>10494</v>
      </c>
      <c r="O119" s="9">
        <v>19070</v>
      </c>
      <c r="U119" s="2">
        <v>2008</v>
      </c>
      <c r="V119" s="2">
        <f t="shared" si="11"/>
        <v>1427935.8462002277</v>
      </c>
      <c r="AE119"/>
      <c r="AG119" s="2">
        <v>2008</v>
      </c>
      <c r="AH119" s="2">
        <f t="shared" si="12"/>
        <v>1207711.7165999413</v>
      </c>
    </row>
    <row r="120" spans="11:34">
      <c r="K120" s="2">
        <v>1981</v>
      </c>
      <c r="L120" s="6">
        <v>14516735</v>
      </c>
      <c r="M120" s="24" t="s">
        <v>20</v>
      </c>
      <c r="N120" s="6">
        <v>7259812</v>
      </c>
      <c r="O120" s="6">
        <v>7256923</v>
      </c>
      <c r="U120" s="2">
        <v>2009</v>
      </c>
      <c r="V120" s="2">
        <f t="shared" si="11"/>
        <v>1462467.5982003212</v>
      </c>
      <c r="AE120"/>
      <c r="AG120" s="2">
        <v>2009</v>
      </c>
      <c r="AH120" s="2">
        <f t="shared" si="12"/>
        <v>1250543.6029999256</v>
      </c>
    </row>
    <row r="121" spans="11:34">
      <c r="K121" s="2">
        <v>1981</v>
      </c>
      <c r="L121" s="25">
        <v>2098639</v>
      </c>
      <c r="M121" s="8" t="s">
        <v>40</v>
      </c>
      <c r="N121" s="31">
        <v>1066796</v>
      </c>
      <c r="O121" s="31">
        <v>1031843</v>
      </c>
      <c r="U121" s="2">
        <v>2010</v>
      </c>
      <c r="V121" s="2">
        <f t="shared" si="11"/>
        <v>1496050.5691998005</v>
      </c>
      <c r="AE121"/>
      <c r="AG121" s="2">
        <v>2010</v>
      </c>
      <c r="AH121" s="2">
        <f t="shared" si="12"/>
        <v>1294008.7751998901</v>
      </c>
    </row>
    <row r="122" spans="11:34">
      <c r="K122" s="2">
        <v>1981</v>
      </c>
      <c r="L122" s="25">
        <v>1906047</v>
      </c>
      <c r="M122" s="8" t="s">
        <v>41</v>
      </c>
      <c r="N122" s="31">
        <v>966393</v>
      </c>
      <c r="O122" s="31">
        <v>939654</v>
      </c>
      <c r="U122" s="2">
        <v>2011</v>
      </c>
      <c r="V122" s="2">
        <f t="shared" si="11"/>
        <v>1528684.7591998577</v>
      </c>
      <c r="AE122"/>
      <c r="AG122" s="2">
        <v>2011</v>
      </c>
      <c r="AH122" s="2">
        <f t="shared" si="12"/>
        <v>1338107.2331998348</v>
      </c>
    </row>
    <row r="123" spans="11:34">
      <c r="K123" s="2">
        <v>1981</v>
      </c>
      <c r="L123" s="25">
        <v>1792583</v>
      </c>
      <c r="M123" s="8" t="s">
        <v>42</v>
      </c>
      <c r="N123" s="31">
        <v>903908</v>
      </c>
      <c r="O123" s="31">
        <v>888675</v>
      </c>
    </row>
    <row r="124" spans="11:34">
      <c r="K124" s="2">
        <v>1981</v>
      </c>
      <c r="L124" s="25">
        <v>1646343</v>
      </c>
      <c r="M124" s="8" t="s">
        <v>43</v>
      </c>
      <c r="N124" s="31">
        <v>822575</v>
      </c>
      <c r="O124" s="31">
        <v>823768</v>
      </c>
      <c r="V124" s="71">
        <v>1537.0433</v>
      </c>
      <c r="AE124"/>
      <c r="AH124" s="71">
        <v>1087.6147000000001</v>
      </c>
    </row>
    <row r="125" spans="11:34">
      <c r="K125" s="2">
        <v>1981</v>
      </c>
      <c r="L125" s="25">
        <v>1449072</v>
      </c>
      <c r="M125" s="8" t="s">
        <v>44</v>
      </c>
      <c r="N125" s="31">
        <v>716784</v>
      </c>
      <c r="O125" s="31">
        <v>732288</v>
      </c>
      <c r="V125" s="71">
        <v>-6117640.6797000002</v>
      </c>
      <c r="AE125"/>
      <c r="AH125" s="71">
        <v>-4329031.2511</v>
      </c>
    </row>
    <row r="126" spans="11:34">
      <c r="K126" s="2">
        <v>1981</v>
      </c>
      <c r="L126" s="25">
        <v>1236929</v>
      </c>
      <c r="M126" s="8" t="s">
        <v>45</v>
      </c>
      <c r="N126" s="31">
        <v>610993</v>
      </c>
      <c r="O126" s="31">
        <v>625936</v>
      </c>
      <c r="V126" s="71">
        <v>6087695158.6103001</v>
      </c>
      <c r="AE126"/>
      <c r="AH126" s="71">
        <v>4308084680.4674997</v>
      </c>
    </row>
    <row r="127" spans="11:34">
      <c r="K127" s="2">
        <v>1981</v>
      </c>
      <c r="L127" s="25">
        <v>986766</v>
      </c>
      <c r="M127" s="8" t="s">
        <v>46</v>
      </c>
      <c r="N127" s="31">
        <v>492405</v>
      </c>
      <c r="O127" s="31">
        <v>494361</v>
      </c>
      <c r="S127" s="69" t="s">
        <v>104</v>
      </c>
      <c r="T127" s="70" t="s">
        <v>51</v>
      </c>
      <c r="V127" s="2" t="s">
        <v>108</v>
      </c>
      <c r="AE127" s="69" t="s">
        <v>104</v>
      </c>
      <c r="AF127" s="70" t="s">
        <v>52</v>
      </c>
      <c r="AH127" s="2" t="s">
        <v>108</v>
      </c>
    </row>
    <row r="128" spans="11:34">
      <c r="K128" s="2">
        <v>1981</v>
      </c>
      <c r="L128" s="25">
        <v>727764</v>
      </c>
      <c r="M128" s="8" t="s">
        <v>47</v>
      </c>
      <c r="N128" s="31">
        <v>363267</v>
      </c>
      <c r="O128" s="31">
        <v>364497</v>
      </c>
      <c r="S128" s="67">
        <v>1990</v>
      </c>
      <c r="T128" s="2">
        <v>435339</v>
      </c>
      <c r="U128" s="2">
        <v>1995</v>
      </c>
      <c r="V128" s="2">
        <f>+U128^2*$V$124+U128*$V$125+$V$126</f>
        <v>472762.69129943848</v>
      </c>
      <c r="AE128" s="67">
        <v>1990</v>
      </c>
      <c r="AF128" s="2">
        <v>375538</v>
      </c>
      <c r="AG128" s="2">
        <v>1995</v>
      </c>
      <c r="AH128" s="2">
        <f>+AG128^2*$AH$124+AG128*$AH$125+$AH$126</f>
        <v>401030.89050006866</v>
      </c>
    </row>
    <row r="129" spans="11:34">
      <c r="K129" s="2">
        <v>1981</v>
      </c>
      <c r="L129" s="25">
        <v>601705</v>
      </c>
      <c r="M129" s="8" t="s">
        <v>48</v>
      </c>
      <c r="N129" s="31">
        <v>303292</v>
      </c>
      <c r="O129" s="31">
        <v>298413</v>
      </c>
      <c r="S129" s="67">
        <v>2001</v>
      </c>
      <c r="T129" s="2">
        <v>619029</v>
      </c>
      <c r="U129" s="2">
        <v>1996</v>
      </c>
      <c r="V129" s="2">
        <f t="shared" ref="V129:V144" si="13">+U129^2*$V$124+U129*$V$125+$V$126</f>
        <v>489461.82190036774</v>
      </c>
      <c r="AE129" s="67">
        <v>2001</v>
      </c>
      <c r="AF129" s="2">
        <v>503568</v>
      </c>
      <c r="AG129" s="2">
        <v>1996</v>
      </c>
      <c r="AH129" s="2">
        <f t="shared" ref="AH129:AH144" si="14">+AG129^2*$AH$124+AG129*$AH$125+$AH$126</f>
        <v>412669.90709972382</v>
      </c>
    </row>
    <row r="130" spans="11:34">
      <c r="K130" s="2">
        <v>1981</v>
      </c>
      <c r="L130" s="25">
        <v>512503</v>
      </c>
      <c r="M130" s="8" t="s">
        <v>49</v>
      </c>
      <c r="N130" s="31">
        <v>258065</v>
      </c>
      <c r="O130" s="31">
        <v>254438</v>
      </c>
      <c r="S130" s="67">
        <v>2011</v>
      </c>
      <c r="T130" s="2">
        <v>1108799</v>
      </c>
      <c r="U130" s="2">
        <v>1997</v>
      </c>
      <c r="V130" s="2">
        <f t="shared" si="13"/>
        <v>509235.0390996933</v>
      </c>
      <c r="AE130" s="67">
        <v>2011</v>
      </c>
      <c r="AF130" s="2">
        <v>848358</v>
      </c>
      <c r="AG130" s="2">
        <v>1997</v>
      </c>
      <c r="AH130" s="2">
        <f t="shared" si="14"/>
        <v>426484.15310096741</v>
      </c>
    </row>
    <row r="131" spans="11:34">
      <c r="K131" s="2">
        <v>1981</v>
      </c>
      <c r="L131" s="25">
        <v>445765</v>
      </c>
      <c r="M131" s="8" t="s">
        <v>50</v>
      </c>
      <c r="N131" s="31">
        <v>225406</v>
      </c>
      <c r="O131" s="31">
        <v>220359</v>
      </c>
      <c r="U131" s="2">
        <v>1998</v>
      </c>
      <c r="V131" s="2">
        <f t="shared" si="13"/>
        <v>532082.34290027618</v>
      </c>
      <c r="AE131"/>
      <c r="AG131" s="2">
        <v>1998</v>
      </c>
      <c r="AH131" s="2">
        <f t="shared" si="14"/>
        <v>442473.62849998474</v>
      </c>
    </row>
    <row r="132" spans="11:34">
      <c r="K132" s="2">
        <v>1981</v>
      </c>
      <c r="L132" s="25">
        <v>340139</v>
      </c>
      <c r="M132" s="8" t="s">
        <v>51</v>
      </c>
      <c r="N132" s="31">
        <v>170190</v>
      </c>
      <c r="O132" s="31">
        <v>169949</v>
      </c>
      <c r="U132" s="2">
        <v>1999</v>
      </c>
      <c r="V132" s="2">
        <f t="shared" si="13"/>
        <v>558003.73329925537</v>
      </c>
      <c r="AE132"/>
      <c r="AG132" s="2">
        <v>1999</v>
      </c>
      <c r="AH132" s="2">
        <f t="shared" si="14"/>
        <v>460638.33329963684</v>
      </c>
    </row>
    <row r="133" spans="11:34">
      <c r="K133" s="2">
        <v>1981</v>
      </c>
      <c r="L133" s="25">
        <v>260896</v>
      </c>
      <c r="M133" s="8" t="s">
        <v>52</v>
      </c>
      <c r="N133" s="31">
        <v>127759</v>
      </c>
      <c r="O133" s="31">
        <v>133137</v>
      </c>
      <c r="U133" s="2">
        <v>2000</v>
      </c>
      <c r="V133" s="2">
        <f t="shared" si="13"/>
        <v>586999.21030044556</v>
      </c>
      <c r="AE133"/>
      <c r="AG133" s="2">
        <v>2000</v>
      </c>
      <c r="AH133" s="2">
        <f t="shared" si="14"/>
        <v>480978.26749897003</v>
      </c>
    </row>
    <row r="134" spans="11:34">
      <c r="K134" s="2">
        <v>1981</v>
      </c>
      <c r="L134" s="25">
        <v>194759</v>
      </c>
      <c r="M134" s="8" t="s">
        <v>53</v>
      </c>
      <c r="N134" s="31">
        <v>92020</v>
      </c>
      <c r="O134" s="31">
        <v>102739</v>
      </c>
      <c r="U134" s="2">
        <v>2001</v>
      </c>
      <c r="V134" s="2">
        <f t="shared" si="13"/>
        <v>619068.77390003204</v>
      </c>
      <c r="AE134"/>
      <c r="AG134" s="2">
        <v>2001</v>
      </c>
      <c r="AH134" s="2">
        <f t="shared" si="14"/>
        <v>503493.43110084534</v>
      </c>
    </row>
    <row r="135" spans="11:34">
      <c r="K135" s="2">
        <v>1981</v>
      </c>
      <c r="L135" s="25">
        <v>138384</v>
      </c>
      <c r="M135" s="8" t="s">
        <v>54</v>
      </c>
      <c r="N135" s="31">
        <v>63663</v>
      </c>
      <c r="O135" s="31">
        <v>74721</v>
      </c>
      <c r="U135" s="2">
        <v>2002</v>
      </c>
      <c r="V135" s="2">
        <f t="shared" si="13"/>
        <v>654212.42409896851</v>
      </c>
      <c r="AE135"/>
      <c r="AG135" s="2">
        <v>2002</v>
      </c>
      <c r="AH135" s="2">
        <f t="shared" si="14"/>
        <v>528183.82410049438</v>
      </c>
    </row>
    <row r="136" spans="11:34">
      <c r="K136" s="2">
        <v>1981</v>
      </c>
      <c r="L136" s="25">
        <v>85354</v>
      </c>
      <c r="M136" s="8" t="s">
        <v>55</v>
      </c>
      <c r="N136" s="31">
        <v>38076</v>
      </c>
      <c r="O136" s="31">
        <v>47278</v>
      </c>
      <c r="U136" s="2">
        <v>2003</v>
      </c>
      <c r="V136" s="2">
        <f t="shared" si="13"/>
        <v>692430.16090011597</v>
      </c>
      <c r="AE136"/>
      <c r="AG136" s="2">
        <v>2003</v>
      </c>
      <c r="AH136" s="2">
        <f t="shared" si="14"/>
        <v>555049.44649982452</v>
      </c>
    </row>
    <row r="137" spans="11:34">
      <c r="K137" s="2">
        <v>1981</v>
      </c>
      <c r="L137" s="25">
        <v>93087</v>
      </c>
      <c r="M137" s="8" t="s">
        <v>56</v>
      </c>
      <c r="N137" s="25">
        <v>38220</v>
      </c>
      <c r="O137" s="25">
        <v>54867</v>
      </c>
      <c r="U137" s="2">
        <v>2004</v>
      </c>
      <c r="V137" s="2">
        <f t="shared" si="13"/>
        <v>733721.98429870605</v>
      </c>
      <c r="AE137"/>
      <c r="AG137" s="2">
        <v>2004</v>
      </c>
      <c r="AH137" s="2">
        <f t="shared" si="14"/>
        <v>584090.2983007431</v>
      </c>
    </row>
    <row r="138" spans="11:34">
      <c r="K138" s="2">
        <v>1990</v>
      </c>
      <c r="L138" s="6">
        <v>18105265</v>
      </c>
      <c r="M138" s="5" t="s">
        <v>20</v>
      </c>
      <c r="N138" s="6">
        <v>9019757</v>
      </c>
      <c r="O138" s="6">
        <v>9085508</v>
      </c>
      <c r="U138" s="2">
        <v>2005</v>
      </c>
      <c r="V138" s="2">
        <f t="shared" si="13"/>
        <v>778087.89430046082</v>
      </c>
      <c r="AE138"/>
      <c r="AG138" s="2">
        <v>2005</v>
      </c>
      <c r="AH138" s="2">
        <f t="shared" si="14"/>
        <v>615306.3795003891</v>
      </c>
    </row>
    <row r="139" spans="11:34">
      <c r="K139" s="2">
        <v>1990</v>
      </c>
      <c r="L139" s="9">
        <v>2343059</v>
      </c>
      <c r="M139" s="8" t="s">
        <v>40</v>
      </c>
      <c r="N139" s="9">
        <v>1194896</v>
      </c>
      <c r="O139" s="9">
        <v>1148163</v>
      </c>
      <c r="U139" s="2">
        <v>2006</v>
      </c>
      <c r="V139" s="2">
        <f t="shared" si="13"/>
        <v>825527.8908996582</v>
      </c>
      <c r="AE139"/>
      <c r="AG139" s="2">
        <v>2006</v>
      </c>
      <c r="AH139" s="2">
        <f t="shared" si="14"/>
        <v>648697.69009971619</v>
      </c>
    </row>
    <row r="140" spans="11:34">
      <c r="K140" s="2">
        <v>1990</v>
      </c>
      <c r="L140" s="9">
        <v>2253798</v>
      </c>
      <c r="M140" s="8" t="s">
        <v>41</v>
      </c>
      <c r="N140" s="9">
        <v>1146087</v>
      </c>
      <c r="O140" s="9">
        <v>1107711</v>
      </c>
      <c r="U140" s="2">
        <v>2007</v>
      </c>
      <c r="V140" s="2">
        <f t="shared" si="13"/>
        <v>876041.97410011292</v>
      </c>
      <c r="AE140"/>
      <c r="AG140" s="2">
        <v>2007</v>
      </c>
      <c r="AH140" s="2">
        <f t="shared" si="14"/>
        <v>684264.23009967804</v>
      </c>
    </row>
    <row r="141" spans="11:34">
      <c r="K141" s="2">
        <v>1990</v>
      </c>
      <c r="L141" s="9">
        <v>2146994</v>
      </c>
      <c r="M141" s="8" t="s">
        <v>42</v>
      </c>
      <c r="N141" s="9">
        <v>1087702</v>
      </c>
      <c r="O141" s="9">
        <v>1059292</v>
      </c>
      <c r="U141" s="2">
        <v>2008</v>
      </c>
      <c r="V141" s="2">
        <f t="shared" si="13"/>
        <v>929630.1438999176</v>
      </c>
      <c r="AE141"/>
      <c r="AG141" s="2">
        <v>2008</v>
      </c>
      <c r="AH141" s="2">
        <f t="shared" si="14"/>
        <v>722005.99950027466</v>
      </c>
    </row>
    <row r="142" spans="11:34">
      <c r="K142" s="2">
        <v>1990</v>
      </c>
      <c r="L142" s="9">
        <v>1922514</v>
      </c>
      <c r="M142" s="8" t="s">
        <v>43</v>
      </c>
      <c r="N142" s="9">
        <v>968497</v>
      </c>
      <c r="O142" s="9">
        <v>954017</v>
      </c>
      <c r="U142" s="2">
        <v>2009</v>
      </c>
      <c r="V142" s="2">
        <f t="shared" si="13"/>
        <v>986292.40030097961</v>
      </c>
      <c r="AE142"/>
      <c r="AG142" s="2">
        <v>2009</v>
      </c>
      <c r="AH142" s="2">
        <f t="shared" si="14"/>
        <v>761922.99830055237</v>
      </c>
    </row>
    <row r="143" spans="11:34">
      <c r="K143" s="2">
        <v>1990</v>
      </c>
      <c r="L143" s="9">
        <v>1725187</v>
      </c>
      <c r="M143" s="8" t="s">
        <v>44</v>
      </c>
      <c r="N143" s="9">
        <v>858225</v>
      </c>
      <c r="O143" s="9">
        <v>866962</v>
      </c>
      <c r="U143" s="2">
        <v>2010</v>
      </c>
      <c r="V143" s="2">
        <f t="shared" si="13"/>
        <v>1046028.7432994843</v>
      </c>
      <c r="AE143"/>
      <c r="AG143" s="2">
        <v>2010</v>
      </c>
      <c r="AH143" s="2">
        <f t="shared" si="14"/>
        <v>804015.2264995575</v>
      </c>
    </row>
    <row r="144" spans="11:34">
      <c r="K144" s="2">
        <v>1990</v>
      </c>
      <c r="L144" s="9">
        <v>1569542</v>
      </c>
      <c r="M144" s="8" t="s">
        <v>45</v>
      </c>
      <c r="N144" s="9">
        <v>772081</v>
      </c>
      <c r="O144" s="9">
        <v>797461</v>
      </c>
      <c r="U144" s="2">
        <v>2011</v>
      </c>
      <c r="V144" s="2">
        <f t="shared" si="13"/>
        <v>1108839.1728992462</v>
      </c>
      <c r="AE144"/>
      <c r="AG144" s="2">
        <v>2011</v>
      </c>
      <c r="AH144" s="2">
        <f t="shared" si="14"/>
        <v>848282.68410110474</v>
      </c>
    </row>
    <row r="145" spans="11:34">
      <c r="K145" s="2">
        <v>1990</v>
      </c>
      <c r="L145" s="9">
        <v>1366694</v>
      </c>
      <c r="M145" s="8" t="s">
        <v>46</v>
      </c>
      <c r="N145" s="9">
        <v>671020</v>
      </c>
      <c r="O145" s="9">
        <v>695674</v>
      </c>
    </row>
    <row r="146" spans="11:34">
      <c r="K146" s="2">
        <v>1990</v>
      </c>
      <c r="L146" s="9">
        <v>1163580</v>
      </c>
      <c r="M146" s="8" t="s">
        <v>47</v>
      </c>
      <c r="N146" s="9">
        <v>570519</v>
      </c>
      <c r="O146" s="9">
        <v>593061</v>
      </c>
      <c r="V146" s="71">
        <v>343.71949999999998</v>
      </c>
      <c r="AE146"/>
      <c r="AH146" s="71">
        <v>17.862300000000001</v>
      </c>
    </row>
    <row r="147" spans="11:34">
      <c r="K147" s="2">
        <v>1990</v>
      </c>
      <c r="L147" s="9">
        <v>887884</v>
      </c>
      <c r="M147" s="8" t="s">
        <v>48</v>
      </c>
      <c r="N147" s="9">
        <v>437768</v>
      </c>
      <c r="O147" s="9">
        <v>450116</v>
      </c>
      <c r="V147" s="71">
        <v>-1360464.3558</v>
      </c>
      <c r="AE147"/>
      <c r="AH147" s="71">
        <v>-61048.498699999996</v>
      </c>
    </row>
    <row r="148" spans="11:34">
      <c r="K148" s="2">
        <v>1990</v>
      </c>
      <c r="L148" s="9">
        <v>644217</v>
      </c>
      <c r="M148" s="8" t="s">
        <v>49</v>
      </c>
      <c r="N148" s="9">
        <v>318990</v>
      </c>
      <c r="O148" s="9">
        <v>325227</v>
      </c>
      <c r="V148" s="71">
        <v>1346419338.3247001</v>
      </c>
      <c r="AE148"/>
      <c r="AH148" s="71">
        <v>50941531.038900003</v>
      </c>
    </row>
    <row r="149" spans="11:34">
      <c r="K149" s="2">
        <v>1990</v>
      </c>
      <c r="L149" s="9">
        <v>544860</v>
      </c>
      <c r="M149" s="8" t="s">
        <v>50</v>
      </c>
      <c r="N149" s="9">
        <v>268059</v>
      </c>
      <c r="O149" s="9">
        <v>276801</v>
      </c>
      <c r="S149" s="69" t="s">
        <v>104</v>
      </c>
      <c r="T149" s="70" t="s">
        <v>53</v>
      </c>
      <c r="V149" s="2" t="s">
        <v>108</v>
      </c>
      <c r="AE149" s="69" t="s">
        <v>104</v>
      </c>
      <c r="AF149" s="70" t="s">
        <v>54</v>
      </c>
      <c r="AH149" s="2" t="s">
        <v>108</v>
      </c>
    </row>
    <row r="150" spans="11:34">
      <c r="K150" s="2">
        <v>1990</v>
      </c>
      <c r="L150" s="9">
        <v>435339</v>
      </c>
      <c r="M150" s="8" t="s">
        <v>51</v>
      </c>
      <c r="N150" s="9">
        <v>213658</v>
      </c>
      <c r="O150" s="9">
        <v>221681</v>
      </c>
      <c r="S150" s="67">
        <v>1990</v>
      </c>
      <c r="T150" s="2">
        <v>258785</v>
      </c>
      <c r="U150" s="2">
        <v>1995</v>
      </c>
      <c r="V150" s="2">
        <f>+U150^2*$V$146+U150*$V$147+$V$148</f>
        <v>305151.49119997025</v>
      </c>
      <c r="AE150" s="67">
        <v>1990</v>
      </c>
      <c r="AF150" s="2">
        <v>191662</v>
      </c>
      <c r="AG150" s="2">
        <v>1995</v>
      </c>
      <c r="AH150" s="2">
        <f>+AG150^2*$AH$146+AG150*$AH$147+$AH$148</f>
        <v>242176.68990001082</v>
      </c>
    </row>
    <row r="151" spans="11:34">
      <c r="K151" s="2">
        <v>1990</v>
      </c>
      <c r="L151" s="9">
        <v>375538</v>
      </c>
      <c r="M151" s="8" t="s">
        <v>52</v>
      </c>
      <c r="N151" s="9">
        <v>182223</v>
      </c>
      <c r="O151" s="9">
        <v>193315</v>
      </c>
      <c r="S151" s="67">
        <v>2001</v>
      </c>
      <c r="T151" s="2">
        <v>383306</v>
      </c>
      <c r="U151" s="2">
        <v>1996</v>
      </c>
      <c r="V151" s="2">
        <f t="shared" ref="V151:V166" si="15">+U151^2*$V$146+U151*$V$147+$V$148</f>
        <v>316471.65989971161</v>
      </c>
      <c r="AE151" s="67">
        <v>2001</v>
      </c>
      <c r="AF151" s="2">
        <v>304303</v>
      </c>
      <c r="AG151" s="2">
        <v>1996</v>
      </c>
      <c r="AH151" s="2">
        <f t="shared" ref="AH151:AH166" si="16">+AG151^2*$AH$146+AG151*$AH$147+$AH$148</f>
        <v>252416.6305000186</v>
      </c>
    </row>
    <row r="152" spans="11:34">
      <c r="K152" s="2">
        <v>1990</v>
      </c>
      <c r="L152" s="9">
        <v>258785</v>
      </c>
      <c r="M152" s="8" t="s">
        <v>53</v>
      </c>
      <c r="N152" s="9">
        <v>122834</v>
      </c>
      <c r="O152" s="9">
        <v>135951</v>
      </c>
      <c r="S152" s="67">
        <v>2011</v>
      </c>
      <c r="T152" s="2">
        <v>568688</v>
      </c>
      <c r="U152" s="2">
        <v>1997</v>
      </c>
      <c r="V152" s="2">
        <f t="shared" si="15"/>
        <v>328479.26760005951</v>
      </c>
      <c r="AE152" s="67">
        <v>2011</v>
      </c>
      <c r="AF152" s="2">
        <v>410455</v>
      </c>
      <c r="AG152" s="2">
        <v>1997</v>
      </c>
      <c r="AH152" s="2">
        <f t="shared" si="16"/>
        <v>262692.29570001364</v>
      </c>
    </row>
    <row r="153" spans="11:34">
      <c r="K153" s="2">
        <v>1990</v>
      </c>
      <c r="L153" s="9">
        <v>191662</v>
      </c>
      <c r="M153" s="8" t="s">
        <v>54</v>
      </c>
      <c r="N153" s="9">
        <v>88974</v>
      </c>
      <c r="O153" s="9">
        <v>102688</v>
      </c>
      <c r="U153" s="2">
        <v>1998</v>
      </c>
      <c r="V153" s="2">
        <f t="shared" si="15"/>
        <v>341174.31430006027</v>
      </c>
      <c r="AE153"/>
      <c r="AG153" s="2">
        <v>1998</v>
      </c>
      <c r="AH153" s="2">
        <f t="shared" si="16"/>
        <v>273003.68550001085</v>
      </c>
    </row>
    <row r="154" spans="11:34">
      <c r="K154" s="2">
        <v>1990</v>
      </c>
      <c r="L154" s="9">
        <v>130782</v>
      </c>
      <c r="M154" s="8" t="s">
        <v>55</v>
      </c>
      <c r="N154" s="9">
        <v>57796</v>
      </c>
      <c r="O154" s="9">
        <v>72986</v>
      </c>
      <c r="U154" s="2">
        <v>1999</v>
      </c>
      <c r="V154" s="2">
        <f t="shared" si="15"/>
        <v>354556.7999997139</v>
      </c>
      <c r="AE154"/>
      <c r="AG154" s="2">
        <v>1999</v>
      </c>
      <c r="AH154" s="2">
        <f t="shared" si="16"/>
        <v>283350.79990001023</v>
      </c>
    </row>
    <row r="155" spans="11:34">
      <c r="K155" s="2">
        <v>1990</v>
      </c>
      <c r="L155" s="9">
        <v>87978</v>
      </c>
      <c r="M155" s="8" t="s">
        <v>56</v>
      </c>
      <c r="N155" s="9">
        <v>37974</v>
      </c>
      <c r="O155" s="9">
        <v>50004</v>
      </c>
      <c r="U155" s="2">
        <v>2000</v>
      </c>
      <c r="V155" s="2">
        <f t="shared" si="15"/>
        <v>368626.72470021248</v>
      </c>
      <c r="AE155"/>
      <c r="AG155" s="2">
        <v>2000</v>
      </c>
      <c r="AH155" s="2">
        <f t="shared" si="16"/>
        <v>293733.63890001178</v>
      </c>
    </row>
    <row r="156" spans="11:34">
      <c r="K156" s="2">
        <v>1990</v>
      </c>
      <c r="L156" s="9">
        <v>56852</v>
      </c>
      <c r="M156" s="12" t="s">
        <v>57</v>
      </c>
      <c r="N156" s="13">
        <v>22454</v>
      </c>
      <c r="O156" s="13">
        <v>34398</v>
      </c>
      <c r="U156" s="2">
        <v>2001</v>
      </c>
      <c r="V156" s="2">
        <f t="shared" si="15"/>
        <v>383384.08839988708</v>
      </c>
      <c r="AE156"/>
      <c r="AG156" s="2">
        <v>2001</v>
      </c>
      <c r="AH156" s="2">
        <f t="shared" si="16"/>
        <v>304152.2025000155</v>
      </c>
    </row>
    <row r="157" spans="11:34">
      <c r="K157" s="2">
        <v>2001</v>
      </c>
      <c r="L157" s="6">
        <v>23232553</v>
      </c>
      <c r="M157" s="5" t="s">
        <v>20</v>
      </c>
      <c r="N157" s="6">
        <v>11495270</v>
      </c>
      <c r="O157" s="6">
        <v>11737283</v>
      </c>
      <c r="U157" s="2">
        <v>2002</v>
      </c>
      <c r="V157" s="2">
        <f t="shared" si="15"/>
        <v>398828.89109992981</v>
      </c>
      <c r="AE157"/>
      <c r="AG157" s="2">
        <v>2002</v>
      </c>
      <c r="AH157" s="2">
        <f t="shared" si="16"/>
        <v>314606.49070002139</v>
      </c>
    </row>
    <row r="158" spans="11:34">
      <c r="K158" s="2">
        <v>2001</v>
      </c>
      <c r="L158" s="9">
        <v>2501894</v>
      </c>
      <c r="M158" s="8" t="s">
        <v>40</v>
      </c>
      <c r="N158" s="9">
        <v>1282639</v>
      </c>
      <c r="O158" s="9">
        <v>1219255</v>
      </c>
      <c r="U158" s="2">
        <v>2003</v>
      </c>
      <c r="V158" s="2">
        <f t="shared" si="15"/>
        <v>414961.13280010223</v>
      </c>
      <c r="AE158"/>
      <c r="AG158" s="2">
        <v>2003</v>
      </c>
      <c r="AH158" s="2">
        <f t="shared" si="16"/>
        <v>325096.50350001454</v>
      </c>
    </row>
    <row r="159" spans="11:34">
      <c r="K159" s="2">
        <v>2001</v>
      </c>
      <c r="L159" s="9">
        <v>2680308</v>
      </c>
      <c r="M159" s="8" t="s">
        <v>41</v>
      </c>
      <c r="N159" s="9">
        <v>1367727</v>
      </c>
      <c r="O159" s="9">
        <v>1312581</v>
      </c>
      <c r="U159" s="2">
        <v>2004</v>
      </c>
      <c r="V159" s="2">
        <f t="shared" si="15"/>
        <v>431780.81349992752</v>
      </c>
      <c r="AE159"/>
      <c r="AG159" s="2">
        <v>2004</v>
      </c>
      <c r="AH159" s="2">
        <f t="shared" si="16"/>
        <v>335622.24090000987</v>
      </c>
    </row>
    <row r="160" spans="11:34">
      <c r="K160" s="2">
        <v>2001</v>
      </c>
      <c r="L160" s="9">
        <v>2535766</v>
      </c>
      <c r="M160" s="8" t="s">
        <v>42</v>
      </c>
      <c r="N160" s="9">
        <v>1281342</v>
      </c>
      <c r="O160" s="9">
        <v>1254424</v>
      </c>
      <c r="U160" s="2">
        <v>2005</v>
      </c>
      <c r="V160" s="2">
        <f t="shared" si="15"/>
        <v>449287.93319988251</v>
      </c>
      <c r="AE160"/>
      <c r="AG160" s="2">
        <v>2005</v>
      </c>
      <c r="AH160" s="2">
        <f t="shared" si="16"/>
        <v>346183.70290000737</v>
      </c>
    </row>
    <row r="161" spans="7:34">
      <c r="K161" s="2">
        <v>2001</v>
      </c>
      <c r="L161" s="9">
        <v>2319853</v>
      </c>
      <c r="M161" s="8" t="s">
        <v>43</v>
      </c>
      <c r="N161" s="9">
        <v>1164429</v>
      </c>
      <c r="O161" s="9">
        <v>1155424</v>
      </c>
      <c r="U161" s="2">
        <v>2006</v>
      </c>
      <c r="V161" s="2">
        <f t="shared" si="15"/>
        <v>467482.49190020561</v>
      </c>
      <c r="AE161"/>
      <c r="AG161" s="2">
        <v>2006</v>
      </c>
      <c r="AH161" s="2">
        <f t="shared" si="16"/>
        <v>356780.88950000703</v>
      </c>
    </row>
    <row r="162" spans="7:34">
      <c r="K162" s="2">
        <v>2001</v>
      </c>
      <c r="L162" s="9">
        <v>2185621</v>
      </c>
      <c r="M162" s="8" t="s">
        <v>44</v>
      </c>
      <c r="N162" s="9">
        <v>1080653</v>
      </c>
      <c r="O162" s="9">
        <v>1104968</v>
      </c>
      <c r="U162" s="2">
        <v>2007</v>
      </c>
      <c r="V162" s="2">
        <f t="shared" si="15"/>
        <v>486364.48959994316</v>
      </c>
      <c r="AE162"/>
      <c r="AG162" s="2">
        <v>2007</v>
      </c>
      <c r="AH162" s="2">
        <f t="shared" si="16"/>
        <v>367413.80070002377</v>
      </c>
    </row>
    <row r="163" spans="7:34">
      <c r="K163" s="2">
        <v>2001</v>
      </c>
      <c r="L163" s="9">
        <v>1888838</v>
      </c>
      <c r="M163" s="8" t="s">
        <v>45</v>
      </c>
      <c r="N163" s="9">
        <v>924446</v>
      </c>
      <c r="O163" s="9">
        <v>964392</v>
      </c>
      <c r="U163" s="2">
        <v>2008</v>
      </c>
      <c r="V163" s="2">
        <f t="shared" si="15"/>
        <v>505933.92629981041</v>
      </c>
      <c r="AE163"/>
      <c r="AG163" s="2">
        <v>2008</v>
      </c>
      <c r="AH163" s="2">
        <f t="shared" si="16"/>
        <v>378082.43650001287</v>
      </c>
    </row>
    <row r="164" spans="7:34">
      <c r="K164" s="2">
        <v>2001</v>
      </c>
      <c r="L164" s="9">
        <v>1762621</v>
      </c>
      <c r="M164" s="8" t="s">
        <v>46</v>
      </c>
      <c r="N164" s="9">
        <v>863034</v>
      </c>
      <c r="O164" s="9">
        <v>899587</v>
      </c>
      <c r="U164" s="2">
        <v>2009</v>
      </c>
      <c r="V164" s="2">
        <f t="shared" si="15"/>
        <v>526190.80200028419</v>
      </c>
      <c r="AE164"/>
      <c r="AG164" s="2">
        <v>2009</v>
      </c>
      <c r="AH164" s="2">
        <f t="shared" si="16"/>
        <v>388786.79690001905</v>
      </c>
    </row>
    <row r="165" spans="7:34">
      <c r="K165" s="2">
        <v>2001</v>
      </c>
      <c r="L165" s="9">
        <v>1593742</v>
      </c>
      <c r="M165" s="8" t="s">
        <v>47</v>
      </c>
      <c r="N165" s="9">
        <v>772881</v>
      </c>
      <c r="O165" s="9">
        <v>820861</v>
      </c>
      <c r="U165" s="2">
        <v>2010</v>
      </c>
      <c r="V165" s="2">
        <f t="shared" si="15"/>
        <v>547135.11669993401</v>
      </c>
      <c r="AE165"/>
      <c r="AG165" s="2">
        <v>2010</v>
      </c>
      <c r="AH165" s="2">
        <f t="shared" si="16"/>
        <v>399526.88190001249</v>
      </c>
    </row>
    <row r="166" spans="7:34">
      <c r="K166" s="2">
        <v>2001</v>
      </c>
      <c r="L166" s="9">
        <v>1428506</v>
      </c>
      <c r="M166" s="8" t="s">
        <v>48</v>
      </c>
      <c r="N166" s="9">
        <v>695516</v>
      </c>
      <c r="O166" s="9">
        <v>732990</v>
      </c>
      <c r="U166" s="2">
        <v>2011</v>
      </c>
      <c r="V166" s="2">
        <f t="shared" si="15"/>
        <v>568766.87039995193</v>
      </c>
      <c r="AE166"/>
      <c r="AG166" s="2">
        <v>2011</v>
      </c>
      <c r="AH166" s="2">
        <f t="shared" si="16"/>
        <v>410302.69150002301</v>
      </c>
    </row>
    <row r="167" spans="7:34">
      <c r="K167" s="2">
        <v>2001</v>
      </c>
      <c r="L167" s="9">
        <v>1159743</v>
      </c>
      <c r="M167" s="8" t="s">
        <v>49</v>
      </c>
      <c r="N167" s="9">
        <v>564987</v>
      </c>
      <c r="O167" s="9">
        <v>594756</v>
      </c>
    </row>
    <row r="168" spans="7:34">
      <c r="K168" s="2">
        <v>2001</v>
      </c>
      <c r="L168" s="9">
        <v>925449</v>
      </c>
      <c r="M168" s="8" t="s">
        <v>50</v>
      </c>
      <c r="N168" s="9">
        <v>452112</v>
      </c>
      <c r="O168" s="9">
        <v>473337</v>
      </c>
      <c r="V168" s="71">
        <v>81.928600000000003</v>
      </c>
      <c r="AE168"/>
      <c r="AH168" s="71">
        <v>149.06620000000001</v>
      </c>
    </row>
    <row r="169" spans="7:34">
      <c r="K169" s="2">
        <v>2001</v>
      </c>
      <c r="L169" s="9">
        <v>619029</v>
      </c>
      <c r="M169" s="8" t="s">
        <v>51</v>
      </c>
      <c r="N169" s="9">
        <v>297806</v>
      </c>
      <c r="O169" s="9">
        <v>321223</v>
      </c>
      <c r="V169" s="71">
        <v>-320071.92859999998</v>
      </c>
      <c r="AE169"/>
      <c r="AH169" s="71">
        <v>-591608.42989999999</v>
      </c>
    </row>
    <row r="170" spans="7:34">
      <c r="K170" s="2">
        <v>2001</v>
      </c>
      <c r="L170" s="9">
        <v>503568</v>
      </c>
      <c r="M170" s="8" t="s">
        <v>52</v>
      </c>
      <c r="N170" s="9">
        <v>240296</v>
      </c>
      <c r="O170" s="9">
        <v>263272</v>
      </c>
      <c r="V170" s="71">
        <v>312628584.14279997</v>
      </c>
      <c r="AE170"/>
      <c r="AH170" s="71">
        <v>587071561.10389996</v>
      </c>
    </row>
    <row r="171" spans="7:34">
      <c r="K171" s="2">
        <v>2001</v>
      </c>
      <c r="L171" s="9">
        <v>383306</v>
      </c>
      <c r="M171" s="8" t="s">
        <v>53</v>
      </c>
      <c r="N171" s="9">
        <v>178264</v>
      </c>
      <c r="O171" s="9">
        <v>205042</v>
      </c>
      <c r="S171" s="69" t="s">
        <v>104</v>
      </c>
      <c r="T171" s="70" t="s">
        <v>55</v>
      </c>
      <c r="V171" s="2" t="s">
        <v>108</v>
      </c>
      <c r="AE171" s="69" t="s">
        <v>104</v>
      </c>
      <c r="AF171" s="70" t="s">
        <v>56</v>
      </c>
      <c r="AH171" s="2" t="s">
        <v>108</v>
      </c>
    </row>
    <row r="172" spans="7:34">
      <c r="K172" s="2">
        <v>2001</v>
      </c>
      <c r="L172" s="9">
        <v>304303</v>
      </c>
      <c r="M172" s="8" t="s">
        <v>54</v>
      </c>
      <c r="N172" s="9">
        <v>140060</v>
      </c>
      <c r="O172" s="9">
        <v>164243</v>
      </c>
      <c r="S172" s="67">
        <v>1990</v>
      </c>
      <c r="T172" s="2">
        <v>130782</v>
      </c>
      <c r="U172" s="2">
        <v>1995</v>
      </c>
      <c r="V172" s="2">
        <f>+U172^2*$V$168+U172*$V$169+$V$170</f>
        <v>162962.80080008507</v>
      </c>
      <c r="AE172" s="67">
        <v>1990</v>
      </c>
      <c r="AF172" s="2">
        <v>87978</v>
      </c>
      <c r="AG172" s="2">
        <v>1995</v>
      </c>
      <c r="AH172" s="2">
        <f>+AG172^2*$AH$168+AG172*$AH$169+$AH$170</f>
        <v>99946.108399987221</v>
      </c>
    </row>
    <row r="173" spans="7:34">
      <c r="K173" s="2">
        <v>2001</v>
      </c>
      <c r="L173" s="9">
        <v>206737</v>
      </c>
      <c r="M173" s="8" t="s">
        <v>55</v>
      </c>
      <c r="N173" s="9">
        <v>93302</v>
      </c>
      <c r="O173" s="9">
        <v>113435</v>
      </c>
      <c r="S173" s="67">
        <v>2001</v>
      </c>
      <c r="T173" s="2">
        <v>206737</v>
      </c>
      <c r="U173" s="2">
        <v>1996</v>
      </c>
      <c r="V173" s="2">
        <f t="shared" ref="V173:V188" si="17">+U173^2*$V$168+U173*$V$169+$V$170</f>
        <v>169867.91479998827</v>
      </c>
      <c r="AE173" s="67">
        <v>2001</v>
      </c>
      <c r="AF173" s="2">
        <v>124442</v>
      </c>
      <c r="AG173" s="2">
        <v>1996</v>
      </c>
      <c r="AH173" s="2">
        <f t="shared" ref="AH173:AH188" si="18">+AG173^2*$AH$168+AG173*$AH$169+$AH$170</f>
        <v>103260.88269996643</v>
      </c>
    </row>
    <row r="174" spans="7:34">
      <c r="K174" s="2">
        <v>2001</v>
      </c>
      <c r="L174" s="9">
        <v>124442</v>
      </c>
      <c r="M174" s="8" t="s">
        <v>56</v>
      </c>
      <c r="N174" s="9">
        <v>52605</v>
      </c>
      <c r="O174" s="9">
        <v>71837</v>
      </c>
      <c r="S174" s="67">
        <v>2011</v>
      </c>
      <c r="T174" s="2">
        <v>292992</v>
      </c>
      <c r="U174" s="2">
        <v>1997</v>
      </c>
      <c r="V174" s="2">
        <f t="shared" si="17"/>
        <v>176936.88600003719</v>
      </c>
      <c r="AE174" s="67">
        <v>2011</v>
      </c>
      <c r="AF174" s="2">
        <v>188895</v>
      </c>
      <c r="AG174" s="2">
        <v>1997</v>
      </c>
      <c r="AH174" s="2">
        <f t="shared" si="18"/>
        <v>106873.78940010071</v>
      </c>
    </row>
    <row r="175" spans="7:34">
      <c r="G175" s="32"/>
      <c r="H175" s="32"/>
      <c r="I175" s="32"/>
      <c r="K175" s="2">
        <v>2001</v>
      </c>
      <c r="L175" s="9">
        <v>108827</v>
      </c>
      <c r="M175" s="12" t="s">
        <v>57</v>
      </c>
      <c r="N175" s="13">
        <v>43171</v>
      </c>
      <c r="O175" s="13">
        <v>65656</v>
      </c>
      <c r="U175" s="2">
        <v>1998</v>
      </c>
      <c r="V175" s="2">
        <f t="shared" si="17"/>
        <v>184169.71439999342</v>
      </c>
      <c r="AE175"/>
      <c r="AG175" s="2">
        <v>1998</v>
      </c>
      <c r="AH175" s="2">
        <f t="shared" si="18"/>
        <v>110784.82849991322</v>
      </c>
    </row>
    <row r="176" spans="7:34">
      <c r="K176" s="2">
        <v>2011</v>
      </c>
      <c r="L176" s="6">
        <v>27227930</v>
      </c>
      <c r="M176" s="5" t="s">
        <v>20</v>
      </c>
      <c r="N176" s="6">
        <v>13549752</v>
      </c>
      <c r="O176" s="6">
        <v>13678178</v>
      </c>
      <c r="U176" s="2">
        <v>1999</v>
      </c>
      <c r="V176" s="2">
        <f t="shared" si="17"/>
        <v>191566.40000003576</v>
      </c>
      <c r="AE176"/>
      <c r="AG176" s="2">
        <v>1999</v>
      </c>
      <c r="AH176" s="2">
        <f t="shared" si="18"/>
        <v>114994</v>
      </c>
    </row>
    <row r="177" spans="11:34">
      <c r="K177" s="2">
        <v>2011</v>
      </c>
      <c r="L177" s="33">
        <v>2437631</v>
      </c>
      <c r="M177" s="8" t="s">
        <v>40</v>
      </c>
      <c r="N177" s="33">
        <v>1254208</v>
      </c>
      <c r="O177" s="33">
        <v>1183423</v>
      </c>
      <c r="U177" s="2">
        <v>2000</v>
      </c>
      <c r="V177" s="2">
        <f t="shared" si="17"/>
        <v>199126.94280004501</v>
      </c>
      <c r="AE177"/>
      <c r="AG177" s="2">
        <v>2000</v>
      </c>
      <c r="AH177" s="2">
        <f t="shared" si="18"/>
        <v>119501.30390000343</v>
      </c>
    </row>
    <row r="178" spans="11:34">
      <c r="K178" s="2">
        <v>2011</v>
      </c>
      <c r="L178" s="33">
        <v>2402364</v>
      </c>
      <c r="M178" s="8" t="s">
        <v>41</v>
      </c>
      <c r="N178" s="33">
        <v>1236217</v>
      </c>
      <c r="O178" s="33">
        <v>1166147</v>
      </c>
      <c r="U178" s="2">
        <v>2001</v>
      </c>
      <c r="V178" s="2">
        <f t="shared" si="17"/>
        <v>206851.34279996157</v>
      </c>
      <c r="AE178"/>
      <c r="AG178" s="2">
        <v>2001</v>
      </c>
      <c r="AH178" s="2">
        <f t="shared" si="18"/>
        <v>124306.74020016193</v>
      </c>
    </row>
    <row r="179" spans="11:34">
      <c r="K179" s="2">
        <v>2011</v>
      </c>
      <c r="L179" s="33">
        <v>2516779</v>
      </c>
      <c r="M179" s="8" t="s">
        <v>42</v>
      </c>
      <c r="N179" s="33">
        <v>1298191</v>
      </c>
      <c r="O179" s="33">
        <v>1218588</v>
      </c>
      <c r="U179" s="2">
        <v>2002</v>
      </c>
      <c r="V179" s="2">
        <f t="shared" si="17"/>
        <v>214739.60000002384</v>
      </c>
      <c r="AE179"/>
      <c r="AG179" s="2">
        <v>2002</v>
      </c>
      <c r="AH179" s="2">
        <f t="shared" si="18"/>
        <v>129410.30889999866</v>
      </c>
    </row>
    <row r="180" spans="11:34">
      <c r="K180" s="2">
        <v>2011</v>
      </c>
      <c r="L180" s="33">
        <v>2641320</v>
      </c>
      <c r="M180" s="8" t="s">
        <v>43</v>
      </c>
      <c r="N180" s="33">
        <v>1336159</v>
      </c>
      <c r="O180" s="33">
        <v>1305161</v>
      </c>
      <c r="U180" s="2">
        <v>2003</v>
      </c>
      <c r="V180" s="2">
        <f t="shared" si="17"/>
        <v>222791.71439993382</v>
      </c>
      <c r="AE180"/>
      <c r="AG180" s="2">
        <v>2003</v>
      </c>
      <c r="AH180" s="2">
        <f t="shared" si="18"/>
        <v>134812.00999999046</v>
      </c>
    </row>
    <row r="181" spans="11:34">
      <c r="K181" s="2">
        <v>2011</v>
      </c>
      <c r="L181" s="33">
        <v>2560649</v>
      </c>
      <c r="M181" s="8" t="s">
        <v>44</v>
      </c>
      <c r="N181" s="33">
        <v>1280125</v>
      </c>
      <c r="O181" s="33">
        <v>1280524</v>
      </c>
      <c r="U181" s="2">
        <v>2004</v>
      </c>
      <c r="V181" s="2">
        <f t="shared" si="17"/>
        <v>231007.68599998951</v>
      </c>
      <c r="AE181"/>
      <c r="AG181" s="2">
        <v>2004</v>
      </c>
      <c r="AH181" s="2">
        <f t="shared" si="18"/>
        <v>140511.84350013733</v>
      </c>
    </row>
    <row r="182" spans="11:34">
      <c r="K182" s="2">
        <v>2011</v>
      </c>
      <c r="L182" s="33">
        <v>2344332</v>
      </c>
      <c r="M182" s="8" t="s">
        <v>45</v>
      </c>
      <c r="N182" s="33">
        <v>1159400</v>
      </c>
      <c r="O182" s="33">
        <v>1184932</v>
      </c>
      <c r="U182" s="2">
        <v>2005</v>
      </c>
      <c r="V182" s="2">
        <f t="shared" si="17"/>
        <v>239387.51480007172</v>
      </c>
      <c r="AE182"/>
      <c r="AG182" s="2">
        <v>2005</v>
      </c>
      <c r="AH182" s="2">
        <f t="shared" si="18"/>
        <v>146509.80939996243</v>
      </c>
    </row>
    <row r="183" spans="11:34">
      <c r="K183" s="2">
        <v>2011</v>
      </c>
      <c r="L183" s="33">
        <v>2219741</v>
      </c>
      <c r="M183" s="8" t="s">
        <v>46</v>
      </c>
      <c r="N183" s="33">
        <v>1105617</v>
      </c>
      <c r="O183" s="33">
        <v>1114124</v>
      </c>
      <c r="U183" s="2">
        <v>2006</v>
      </c>
      <c r="V183" s="2">
        <f t="shared" si="17"/>
        <v>247931.20080000162</v>
      </c>
      <c r="AE183"/>
      <c r="AG183" s="2">
        <v>2006</v>
      </c>
      <c r="AH183" s="2">
        <f t="shared" si="18"/>
        <v>152805.90769994259</v>
      </c>
    </row>
    <row r="184" spans="11:34">
      <c r="K184" s="2">
        <v>2011</v>
      </c>
      <c r="L184" s="33">
        <v>1905253</v>
      </c>
      <c r="M184" s="8" t="s">
        <v>47</v>
      </c>
      <c r="N184" s="33">
        <v>942311</v>
      </c>
      <c r="O184" s="33">
        <v>962942</v>
      </c>
      <c r="U184" s="2">
        <v>2007</v>
      </c>
      <c r="V184" s="2">
        <f t="shared" si="17"/>
        <v>256638.74400001764</v>
      </c>
      <c r="AE184"/>
      <c r="AG184" s="2">
        <v>2007</v>
      </c>
      <c r="AH184" s="2">
        <f t="shared" si="18"/>
        <v>159400.13840007782</v>
      </c>
    </row>
    <row r="185" spans="11:34">
      <c r="K185" s="2">
        <v>2011</v>
      </c>
      <c r="L185" s="33">
        <v>1755490</v>
      </c>
      <c r="M185" s="8" t="s">
        <v>48</v>
      </c>
      <c r="N185" s="33">
        <v>873509</v>
      </c>
      <c r="O185" s="33">
        <v>881981</v>
      </c>
      <c r="U185" s="2">
        <v>2008</v>
      </c>
      <c r="V185" s="2">
        <f t="shared" si="17"/>
        <v>265510.14440006018</v>
      </c>
      <c r="AE185"/>
      <c r="AG185" s="2">
        <v>2008</v>
      </c>
      <c r="AH185" s="2">
        <f t="shared" si="18"/>
        <v>166292.5015001297</v>
      </c>
    </row>
    <row r="186" spans="11:34">
      <c r="K186" s="2">
        <v>2011</v>
      </c>
      <c r="L186" s="33">
        <v>1528781</v>
      </c>
      <c r="M186" s="8" t="s">
        <v>49</v>
      </c>
      <c r="N186" s="33">
        <v>747704</v>
      </c>
      <c r="O186" s="33">
        <v>781077</v>
      </c>
      <c r="U186" s="2">
        <v>2009</v>
      </c>
      <c r="V186" s="2">
        <f t="shared" si="17"/>
        <v>274545.40200001001</v>
      </c>
      <c r="AE186"/>
      <c r="AG186" s="2">
        <v>2009</v>
      </c>
      <c r="AH186" s="2">
        <f t="shared" si="18"/>
        <v>173482.99699997902</v>
      </c>
    </row>
    <row r="187" spans="11:34">
      <c r="K187" s="2">
        <v>2011</v>
      </c>
      <c r="L187" s="33">
        <v>1337934</v>
      </c>
      <c r="M187" s="8" t="s">
        <v>50</v>
      </c>
      <c r="N187" s="33">
        <v>651255</v>
      </c>
      <c r="O187" s="33">
        <v>686679</v>
      </c>
      <c r="U187" s="2">
        <v>2010</v>
      </c>
      <c r="V187" s="2">
        <f t="shared" si="17"/>
        <v>283744.51680004597</v>
      </c>
      <c r="AE187"/>
      <c r="AG187" s="2">
        <v>2010</v>
      </c>
      <c r="AH187" s="2">
        <f t="shared" si="18"/>
        <v>180971.62489998341</v>
      </c>
    </row>
    <row r="188" spans="11:34">
      <c r="K188" s="2">
        <v>2011</v>
      </c>
      <c r="L188" s="33">
        <v>1108799</v>
      </c>
      <c r="M188" s="8" t="s">
        <v>51</v>
      </c>
      <c r="N188" s="33">
        <v>530935</v>
      </c>
      <c r="O188" s="33">
        <v>577864</v>
      </c>
      <c r="U188" s="2">
        <v>2011</v>
      </c>
      <c r="V188" s="2">
        <f t="shared" si="17"/>
        <v>293107.48879998922</v>
      </c>
      <c r="AE188"/>
      <c r="AG188" s="2">
        <v>2011</v>
      </c>
      <c r="AH188" s="2">
        <f t="shared" si="18"/>
        <v>188758.38520014286</v>
      </c>
    </row>
    <row r="189" spans="11:34">
      <c r="K189" s="2">
        <v>2011</v>
      </c>
      <c r="L189" s="33">
        <v>848358</v>
      </c>
      <c r="M189" s="8" t="s">
        <v>52</v>
      </c>
      <c r="N189" s="1">
        <v>407656</v>
      </c>
      <c r="O189" s="33">
        <v>440702</v>
      </c>
    </row>
    <row r="190" spans="11:34">
      <c r="K190" s="2">
        <v>2011</v>
      </c>
      <c r="L190" s="1">
        <v>568688</v>
      </c>
      <c r="M190" s="8" t="s">
        <v>53</v>
      </c>
      <c r="N190" s="33">
        <v>267691</v>
      </c>
      <c r="O190" s="33">
        <v>300997</v>
      </c>
      <c r="V190" s="71">
        <v>-189.28700000000001</v>
      </c>
      <c r="AE190"/>
      <c r="AH190" s="71">
        <v>16.1524</v>
      </c>
    </row>
    <row r="191" spans="11:34">
      <c r="K191" s="2">
        <v>2011</v>
      </c>
      <c r="L191" s="33">
        <v>410455</v>
      </c>
      <c r="M191" s="8" t="s">
        <v>54</v>
      </c>
      <c r="N191" s="33">
        <v>189285</v>
      </c>
      <c r="O191" s="33">
        <v>221170</v>
      </c>
      <c r="V191" s="71">
        <v>791566.19609999994</v>
      </c>
      <c r="AE191"/>
      <c r="AH191" s="71">
        <v>-59739.152399999999</v>
      </c>
    </row>
    <row r="192" spans="11:34">
      <c r="K192" s="2">
        <v>2011</v>
      </c>
      <c r="L192" s="1">
        <v>292992</v>
      </c>
      <c r="M192" s="8" t="s">
        <v>55</v>
      </c>
      <c r="N192" s="1">
        <v>130126</v>
      </c>
      <c r="O192" s="33">
        <v>162866</v>
      </c>
      <c r="V192" s="71">
        <v>-823698716.1171</v>
      </c>
      <c r="AE192"/>
      <c r="AH192" s="71">
        <v>54972721.428599998</v>
      </c>
    </row>
    <row r="193" spans="11:34">
      <c r="K193" s="2">
        <v>2011</v>
      </c>
      <c r="L193" s="33">
        <v>188895</v>
      </c>
      <c r="M193" s="8" t="s">
        <v>56</v>
      </c>
      <c r="N193" s="1">
        <v>78996</v>
      </c>
      <c r="O193" s="33">
        <v>109899</v>
      </c>
      <c r="S193" s="69" t="s">
        <v>104</v>
      </c>
      <c r="T193" s="70" t="s">
        <v>43</v>
      </c>
      <c r="V193" s="2" t="s">
        <v>108</v>
      </c>
      <c r="AE193" s="69" t="s">
        <v>104</v>
      </c>
      <c r="AF193" s="70" t="s">
        <v>19</v>
      </c>
      <c r="AH193" s="2" t="s">
        <v>108</v>
      </c>
    </row>
    <row r="194" spans="11:34">
      <c r="K194" s="2">
        <v>2011</v>
      </c>
      <c r="L194" s="33">
        <v>104141</v>
      </c>
      <c r="M194" s="12" t="s">
        <v>75</v>
      </c>
      <c r="N194" s="1">
        <v>40560</v>
      </c>
      <c r="O194" s="1">
        <v>63581</v>
      </c>
      <c r="S194" s="67">
        <v>1990</v>
      </c>
      <c r="T194" s="2">
        <v>1922514</v>
      </c>
      <c r="U194" s="2">
        <v>1995</v>
      </c>
      <c r="V194" s="2">
        <f>+U194^2*$V$190+U194*$V$191+$V$192</f>
        <v>2108852.9273997545</v>
      </c>
      <c r="AE194" s="67">
        <v>1990</v>
      </c>
      <c r="AF194" s="2">
        <v>56852</v>
      </c>
      <c r="AG194" s="2">
        <v>1995</v>
      </c>
      <c r="AH194" s="2">
        <f>+AG194^2*$AH$190+AG194*$AH$191+$AH$192</f>
        <v>80068.200599998236</v>
      </c>
    </row>
    <row r="195" spans="11:34">
      <c r="K195" s="2">
        <v>2011</v>
      </c>
      <c r="L195" s="1">
        <v>40370</v>
      </c>
      <c r="M195" s="12" t="s">
        <v>74</v>
      </c>
      <c r="N195" s="1">
        <v>14875</v>
      </c>
      <c r="O195" s="1">
        <v>25495</v>
      </c>
      <c r="S195" s="67">
        <v>2001</v>
      </c>
      <c r="T195" s="2">
        <v>2319853</v>
      </c>
      <c r="U195" s="2">
        <v>1996</v>
      </c>
      <c r="V195" s="2">
        <f t="shared" ref="V195:V210" si="19">+U195^2*$V$190+U195*$V$191+$V$192</f>
        <v>2144974.706499815</v>
      </c>
      <c r="AE195" s="67">
        <v>2001</v>
      </c>
      <c r="AF195" s="2">
        <v>108827</v>
      </c>
      <c r="AG195" s="2">
        <v>1996</v>
      </c>
      <c r="AH195" s="2">
        <f t="shared" ref="AH195:AH210" si="20">+AG195^2*$AH$190+AG195*$AH$191+$AH$192</f>
        <v>84793.276599995792</v>
      </c>
    </row>
    <row r="196" spans="11:34">
      <c r="K196" s="2">
        <v>2011</v>
      </c>
      <c r="L196" s="1">
        <v>14958</v>
      </c>
      <c r="M196" s="12" t="s">
        <v>76</v>
      </c>
      <c r="N196" s="1">
        <v>4932</v>
      </c>
      <c r="O196" s="1">
        <v>10026</v>
      </c>
      <c r="S196" s="67">
        <v>2011</v>
      </c>
      <c r="T196" s="2">
        <v>2641320</v>
      </c>
      <c r="U196" s="2">
        <v>1997</v>
      </c>
      <c r="V196" s="2">
        <f t="shared" si="19"/>
        <v>2180717.9115997553</v>
      </c>
      <c r="AE196" s="67">
        <v>2011</v>
      </c>
      <c r="AF196" s="2">
        <v>159469</v>
      </c>
      <c r="AG196" s="2">
        <v>1997</v>
      </c>
      <c r="AH196" s="2">
        <f t="shared" si="20"/>
        <v>89550.657400004566</v>
      </c>
    </row>
    <row r="197" spans="11:34">
      <c r="U197" s="2">
        <v>1998</v>
      </c>
      <c r="V197" s="2">
        <f t="shared" si="19"/>
        <v>2216082.5426998138</v>
      </c>
      <c r="AE197"/>
      <c r="AG197" s="2">
        <v>1998</v>
      </c>
      <c r="AH197" s="2">
        <f t="shared" si="20"/>
        <v>94340.343000002205</v>
      </c>
    </row>
    <row r="198" spans="11:34">
      <c r="U198" s="2">
        <v>1999</v>
      </c>
      <c r="V198" s="2">
        <f t="shared" si="19"/>
        <v>2251068.5997997522</v>
      </c>
      <c r="AE198"/>
      <c r="AG198" s="2">
        <v>1999</v>
      </c>
      <c r="AH198" s="2">
        <f t="shared" si="20"/>
        <v>99162.333400003612</v>
      </c>
    </row>
    <row r="199" spans="11:34">
      <c r="U199" s="2">
        <v>2000</v>
      </c>
      <c r="V199" s="2">
        <f t="shared" si="19"/>
        <v>2285676.0828998089</v>
      </c>
      <c r="AE199"/>
      <c r="AG199" s="2">
        <v>2000</v>
      </c>
      <c r="AH199" s="2">
        <f t="shared" si="20"/>
        <v>104016.62860000134</v>
      </c>
    </row>
    <row r="200" spans="11:34">
      <c r="U200" s="2">
        <v>2001</v>
      </c>
      <c r="V200" s="2">
        <f t="shared" si="19"/>
        <v>2319904.9919997454</v>
      </c>
      <c r="AE200"/>
      <c r="AG200" s="2">
        <v>2001</v>
      </c>
      <c r="AH200" s="2">
        <f t="shared" si="20"/>
        <v>108903.22860000283</v>
      </c>
    </row>
    <row r="201" spans="11:34">
      <c r="U201" s="2">
        <v>2002</v>
      </c>
      <c r="V201" s="2">
        <f t="shared" si="19"/>
        <v>2353755.3270998001</v>
      </c>
      <c r="AE201"/>
      <c r="AG201" s="2">
        <v>2002</v>
      </c>
      <c r="AH201" s="2">
        <f t="shared" si="20"/>
        <v>113822.13340000063</v>
      </c>
    </row>
    <row r="202" spans="11:34">
      <c r="U202" s="2">
        <v>2003</v>
      </c>
      <c r="V202" s="2">
        <f t="shared" si="19"/>
        <v>2387227.0881997347</v>
      </c>
      <c r="AE202"/>
      <c r="AG202" s="2">
        <v>2003</v>
      </c>
      <c r="AH202" s="2">
        <f t="shared" si="20"/>
        <v>118773.34299999475</v>
      </c>
    </row>
    <row r="203" spans="11:34">
      <c r="U203" s="2">
        <v>2004</v>
      </c>
      <c r="V203" s="2">
        <f t="shared" si="19"/>
        <v>2420320.2752997875</v>
      </c>
      <c r="AE203"/>
      <c r="AG203" s="2">
        <v>2004</v>
      </c>
      <c r="AH203" s="2">
        <f t="shared" si="20"/>
        <v>123756.85739999264</v>
      </c>
    </row>
    <row r="204" spans="11:34">
      <c r="U204" s="2">
        <v>2005</v>
      </c>
      <c r="V204" s="2">
        <f t="shared" si="19"/>
        <v>2453034.8883997202</v>
      </c>
      <c r="AE204"/>
      <c r="AG204" s="2">
        <v>2005</v>
      </c>
      <c r="AH204" s="2">
        <f t="shared" si="20"/>
        <v>128772.6766000092</v>
      </c>
    </row>
    <row r="205" spans="11:34">
      <c r="U205" s="2">
        <v>2006</v>
      </c>
      <c r="V205" s="2">
        <f t="shared" si="19"/>
        <v>2485370.9274997711</v>
      </c>
      <c r="AE205"/>
      <c r="AG205" s="2">
        <v>2006</v>
      </c>
      <c r="AH205" s="2">
        <f t="shared" si="20"/>
        <v>133820.80060000718</v>
      </c>
    </row>
    <row r="206" spans="11:34">
      <c r="U206" s="2">
        <v>2007</v>
      </c>
      <c r="V206" s="2">
        <f t="shared" si="19"/>
        <v>2517328.3925997019</v>
      </c>
      <c r="AE206"/>
      <c r="AG206" s="2">
        <v>2007</v>
      </c>
      <c r="AH206" s="2">
        <f t="shared" si="20"/>
        <v>138901.22940000147</v>
      </c>
    </row>
    <row r="207" spans="11:34">
      <c r="U207" s="2">
        <v>2008</v>
      </c>
      <c r="V207" s="2">
        <f t="shared" si="19"/>
        <v>2548907.2836997509</v>
      </c>
      <c r="AE207"/>
      <c r="AG207" s="2">
        <v>2008</v>
      </c>
      <c r="AH207" s="2">
        <f t="shared" si="20"/>
        <v>144013.96299999952</v>
      </c>
    </row>
    <row r="208" spans="11:34">
      <c r="U208" s="2">
        <v>2009</v>
      </c>
      <c r="V208" s="2">
        <f t="shared" si="19"/>
        <v>2580107.600799799</v>
      </c>
      <c r="AE208"/>
      <c r="AG208" s="2">
        <v>2009</v>
      </c>
      <c r="AH208" s="2">
        <f t="shared" si="20"/>
        <v>149159.00140000135</v>
      </c>
    </row>
    <row r="209" spans="21:34">
      <c r="U209" s="2">
        <v>2010</v>
      </c>
      <c r="V209" s="2">
        <f t="shared" si="19"/>
        <v>2610929.3438997269</v>
      </c>
      <c r="AE209"/>
      <c r="AG209" s="2">
        <v>2010</v>
      </c>
      <c r="AH209" s="2">
        <f t="shared" si="20"/>
        <v>154336.34459999949</v>
      </c>
    </row>
    <row r="210" spans="21:34">
      <c r="U210" s="2">
        <v>2011</v>
      </c>
      <c r="V210" s="2">
        <f t="shared" si="19"/>
        <v>2641372.512999773</v>
      </c>
      <c r="AE210"/>
      <c r="AG210" s="2">
        <v>2011</v>
      </c>
      <c r="AH210" s="2">
        <f t="shared" si="20"/>
        <v>159545.99259999394</v>
      </c>
    </row>
  </sheetData>
  <autoFilter ref="K1:O196">
    <filterColumn colId="2"/>
    <sortState ref="K2:O212">
      <sortCondition ref="K1:K212"/>
    </sortState>
  </autoFilter>
  <mergeCells count="1">
    <mergeCell ref="B2:G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6"/>
  <sheetViews>
    <sheetView topLeftCell="A13" workbookViewId="0">
      <selection activeCell="V25" sqref="V25"/>
    </sheetView>
  </sheetViews>
  <sheetFormatPr baseColWidth="10" defaultColWidth="11.5703125" defaultRowHeight="15"/>
  <cols>
    <col min="1" max="1" width="6.42578125" bestFit="1" customWidth="1"/>
    <col min="2" max="20" width="10" bestFit="1" customWidth="1"/>
  </cols>
  <sheetData>
    <row r="1" spans="1:20">
      <c r="A1" s="3" t="s">
        <v>21</v>
      </c>
      <c r="B1" t="s">
        <v>103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23</v>
      </c>
    </row>
    <row r="2" spans="1:20">
      <c r="A2">
        <v>1995</v>
      </c>
      <c r="B2" s="1">
        <v>14799</v>
      </c>
      <c r="C2" s="1">
        <v>989</v>
      </c>
      <c r="D2" s="1">
        <v>1086</v>
      </c>
      <c r="E2" s="1">
        <v>2784</v>
      </c>
      <c r="F2" s="1">
        <v>3459</v>
      </c>
      <c r="G2" s="1">
        <v>3134</v>
      </c>
      <c r="H2" s="1">
        <v>3136</v>
      </c>
      <c r="I2" s="1">
        <v>3228</v>
      </c>
      <c r="J2" s="1">
        <v>3514</v>
      </c>
      <c r="K2" s="1">
        <v>3727</v>
      </c>
      <c r="L2" s="1">
        <v>4195</v>
      </c>
      <c r="M2" s="1">
        <v>5226</v>
      </c>
      <c r="N2" s="1">
        <v>6541</v>
      </c>
      <c r="O2" s="1">
        <v>7751</v>
      </c>
      <c r="P2" s="1">
        <v>8247</v>
      </c>
      <c r="Q2" s="1">
        <v>8163</v>
      </c>
      <c r="R2" s="1">
        <v>7954</v>
      </c>
      <c r="S2" s="1">
        <v>9940</v>
      </c>
      <c r="T2" s="1">
        <v>263</v>
      </c>
    </row>
    <row r="3" spans="1:20">
      <c r="A3">
        <v>1996</v>
      </c>
      <c r="B3" s="1">
        <v>14809</v>
      </c>
      <c r="C3" s="1">
        <v>1058</v>
      </c>
      <c r="D3" s="1">
        <v>1068</v>
      </c>
      <c r="E3" s="1">
        <v>2804</v>
      </c>
      <c r="F3" s="1">
        <v>3342</v>
      </c>
      <c r="G3" s="1">
        <v>3233</v>
      </c>
      <c r="H3" s="1">
        <v>3089</v>
      </c>
      <c r="I3" s="1">
        <v>3223</v>
      </c>
      <c r="J3" s="1">
        <v>3537</v>
      </c>
      <c r="K3" s="1">
        <v>3922</v>
      </c>
      <c r="L3" s="1">
        <v>4369</v>
      </c>
      <c r="M3" s="1">
        <v>5309</v>
      </c>
      <c r="N3" s="1">
        <v>6503</v>
      </c>
      <c r="O3" s="1">
        <v>8193</v>
      </c>
      <c r="P3" s="1">
        <v>8470</v>
      </c>
      <c r="Q3" s="1">
        <v>8711</v>
      </c>
      <c r="R3" s="1">
        <v>8024</v>
      </c>
      <c r="S3" s="1">
        <v>10304</v>
      </c>
      <c r="T3" s="1">
        <v>77</v>
      </c>
    </row>
    <row r="4" spans="1:20">
      <c r="A4">
        <v>1997</v>
      </c>
      <c r="B4" s="1">
        <v>13460</v>
      </c>
      <c r="C4" s="1">
        <v>1013</v>
      </c>
      <c r="D4" s="1">
        <v>1052</v>
      </c>
      <c r="E4" s="1">
        <v>2503</v>
      </c>
      <c r="F4" s="1">
        <v>3170</v>
      </c>
      <c r="G4" s="1">
        <v>3022</v>
      </c>
      <c r="H4" s="1">
        <v>2943</v>
      </c>
      <c r="I4" s="1">
        <v>3277</v>
      </c>
      <c r="J4" s="1">
        <v>3734</v>
      </c>
      <c r="K4" s="1">
        <v>3998</v>
      </c>
      <c r="L4" s="1">
        <v>4440</v>
      </c>
      <c r="M4" s="1">
        <v>5193</v>
      </c>
      <c r="N4" s="1">
        <v>6543</v>
      </c>
      <c r="O4" s="1">
        <v>7962</v>
      </c>
      <c r="P4" s="1">
        <v>8697</v>
      </c>
      <c r="Q4" s="1">
        <v>8752</v>
      </c>
      <c r="R4" s="1">
        <v>7745</v>
      </c>
      <c r="S4" s="1">
        <v>10356</v>
      </c>
      <c r="T4" s="1">
        <v>151</v>
      </c>
    </row>
    <row r="5" spans="1:20">
      <c r="A5">
        <v>1998</v>
      </c>
      <c r="B5" s="1">
        <v>13287</v>
      </c>
      <c r="C5" s="1">
        <v>981</v>
      </c>
      <c r="D5" s="1">
        <v>1045</v>
      </c>
      <c r="E5" s="1">
        <v>2466</v>
      </c>
      <c r="F5" s="1">
        <v>3388</v>
      </c>
      <c r="G5" s="1">
        <v>3130</v>
      </c>
      <c r="H5" s="1">
        <v>3069</v>
      </c>
      <c r="I5" s="1">
        <v>3373</v>
      </c>
      <c r="J5" s="1">
        <v>3845</v>
      </c>
      <c r="K5" s="1">
        <v>4441</v>
      </c>
      <c r="L5" s="1">
        <v>4702</v>
      </c>
      <c r="M5" s="1">
        <v>5505</v>
      </c>
      <c r="N5" s="1">
        <v>6686</v>
      </c>
      <c r="O5" s="1">
        <v>8314</v>
      </c>
      <c r="P5" s="1">
        <v>9066</v>
      </c>
      <c r="Q5" s="1">
        <v>8912</v>
      </c>
      <c r="R5" s="1">
        <v>7874</v>
      </c>
      <c r="S5" s="1">
        <v>10635</v>
      </c>
      <c r="T5" s="1">
        <v>244</v>
      </c>
    </row>
    <row r="6" spans="1:20">
      <c r="A6">
        <v>1999</v>
      </c>
      <c r="B6" s="1">
        <v>1159.3130000000001</v>
      </c>
      <c r="C6" s="1">
        <v>1042</v>
      </c>
      <c r="D6" s="1">
        <v>1003</v>
      </c>
      <c r="E6" s="1">
        <v>2804</v>
      </c>
      <c r="F6" s="1">
        <v>3875</v>
      </c>
      <c r="G6" s="1">
        <v>3575</v>
      </c>
      <c r="H6" s="1">
        <v>3365</v>
      </c>
      <c r="I6" s="1">
        <v>3485</v>
      </c>
      <c r="J6" s="1">
        <v>3958</v>
      </c>
      <c r="K6" s="1">
        <v>4668</v>
      </c>
      <c r="L6" s="1">
        <v>4930</v>
      </c>
      <c r="M6" s="1">
        <v>5602</v>
      </c>
      <c r="N6" s="1">
        <v>7055</v>
      </c>
      <c r="O6" s="1">
        <v>8427</v>
      </c>
      <c r="P6" s="1">
        <v>9287</v>
      </c>
      <c r="Q6" s="1">
        <v>9348</v>
      </c>
      <c r="R6" s="1">
        <v>8458</v>
      </c>
      <c r="S6" s="1">
        <v>11149</v>
      </c>
      <c r="T6" s="1">
        <v>133</v>
      </c>
    </row>
    <row r="7" spans="1:20">
      <c r="A7">
        <v>2000</v>
      </c>
      <c r="B7" s="1">
        <v>11907</v>
      </c>
      <c r="C7" s="1">
        <v>986</v>
      </c>
      <c r="D7" s="1">
        <v>966</v>
      </c>
      <c r="E7" s="1">
        <v>3298</v>
      </c>
      <c r="F7" s="1">
        <v>4742</v>
      </c>
      <c r="G7" s="1">
        <v>4042</v>
      </c>
      <c r="H7" s="1">
        <v>3729</v>
      </c>
      <c r="I7" s="1">
        <v>3709</v>
      </c>
      <c r="J7" s="1">
        <v>4180</v>
      </c>
      <c r="K7" s="1">
        <v>4734</v>
      </c>
      <c r="L7" s="1">
        <v>5249</v>
      </c>
      <c r="M7" s="1">
        <v>5475</v>
      </c>
      <c r="N7" s="1">
        <v>6883</v>
      </c>
      <c r="O7" s="1">
        <v>8052</v>
      </c>
      <c r="P7" s="1">
        <v>9583</v>
      </c>
      <c r="Q7" s="1">
        <v>9068</v>
      </c>
      <c r="R7" s="1">
        <v>8380</v>
      </c>
      <c r="S7" s="1">
        <v>10848</v>
      </c>
      <c r="T7" s="1">
        <v>117</v>
      </c>
    </row>
    <row r="8" spans="1:20">
      <c r="A8">
        <v>2001</v>
      </c>
      <c r="B8" s="1">
        <v>11691</v>
      </c>
      <c r="C8" s="1">
        <v>974</v>
      </c>
      <c r="D8" s="1">
        <v>1057</v>
      </c>
      <c r="E8" s="1">
        <v>3350</v>
      </c>
      <c r="F8" s="1">
        <v>4860</v>
      </c>
      <c r="G8" s="1">
        <v>4234</v>
      </c>
      <c r="H8" s="1">
        <v>3727</v>
      </c>
      <c r="I8" s="1">
        <v>3897</v>
      </c>
      <c r="J8" s="1">
        <v>4378</v>
      </c>
      <c r="K8" s="1">
        <v>5150</v>
      </c>
      <c r="L8" s="1">
        <v>5653</v>
      </c>
      <c r="M8" s="1">
        <v>5756</v>
      </c>
      <c r="N8" s="1">
        <v>7076</v>
      </c>
      <c r="O8" s="1">
        <v>8353</v>
      </c>
      <c r="P8" s="1">
        <v>9957</v>
      </c>
      <c r="Q8" s="1">
        <v>9623</v>
      </c>
      <c r="R8" s="1">
        <v>8875</v>
      </c>
      <c r="S8" s="1">
        <v>11982</v>
      </c>
      <c r="T8" s="1">
        <v>79</v>
      </c>
    </row>
    <row r="9" spans="1:20">
      <c r="A9">
        <v>2002</v>
      </c>
      <c r="B9" s="1">
        <v>11063</v>
      </c>
      <c r="C9" s="1">
        <v>877</v>
      </c>
      <c r="D9" s="1">
        <v>1104</v>
      </c>
      <c r="E9" s="1">
        <v>3769</v>
      </c>
      <c r="F9" s="1">
        <v>5579</v>
      </c>
      <c r="G9" s="1">
        <v>4523</v>
      </c>
      <c r="H9" s="1">
        <v>3776</v>
      </c>
      <c r="I9" s="1">
        <v>3706</v>
      </c>
      <c r="J9" s="1">
        <v>4305</v>
      </c>
      <c r="K9" s="1">
        <v>5143</v>
      </c>
      <c r="L9" s="1">
        <v>5851</v>
      </c>
      <c r="M9" s="1">
        <v>6112</v>
      </c>
      <c r="N9" s="1">
        <v>6800</v>
      </c>
      <c r="O9" s="1">
        <v>8271</v>
      </c>
      <c r="P9" s="1">
        <v>9524</v>
      </c>
      <c r="Q9" s="1">
        <v>9622</v>
      </c>
      <c r="R9" s="1">
        <v>8450</v>
      </c>
      <c r="S9" s="1">
        <v>11723</v>
      </c>
      <c r="T9" s="1">
        <v>95</v>
      </c>
    </row>
    <row r="10" spans="1:20">
      <c r="A10">
        <v>2003</v>
      </c>
      <c r="B10" s="1">
        <v>12989</v>
      </c>
      <c r="C10" s="1">
        <v>921</v>
      </c>
      <c r="D10" s="1">
        <v>1116</v>
      </c>
      <c r="E10" s="1">
        <v>4104</v>
      </c>
      <c r="F10" s="1">
        <v>6190</v>
      </c>
      <c r="G10" s="1">
        <v>5138</v>
      </c>
      <c r="H10" s="1">
        <v>4199</v>
      </c>
      <c r="I10" s="1">
        <v>4127</v>
      </c>
      <c r="J10" s="1">
        <v>4530</v>
      </c>
      <c r="K10" s="1">
        <v>5277</v>
      </c>
      <c r="L10" s="1">
        <v>6149</v>
      </c>
      <c r="M10" s="1">
        <v>6544</v>
      </c>
      <c r="N10" s="1">
        <v>7402</v>
      </c>
      <c r="O10" s="1">
        <v>8935</v>
      </c>
      <c r="P10" s="1">
        <v>10256</v>
      </c>
      <c r="Q10" s="1">
        <v>10738</v>
      </c>
      <c r="R10" s="1">
        <v>9633</v>
      </c>
      <c r="S10" s="1">
        <v>13578</v>
      </c>
      <c r="T10" s="1">
        <v>38</v>
      </c>
    </row>
    <row r="11" spans="1:20">
      <c r="A11">
        <v>2004</v>
      </c>
      <c r="B11" s="1">
        <v>11357</v>
      </c>
      <c r="C11" s="1">
        <v>942</v>
      </c>
      <c r="D11" s="1">
        <v>1066</v>
      </c>
      <c r="E11" s="1">
        <v>3748</v>
      </c>
      <c r="F11" s="1">
        <v>5469</v>
      </c>
      <c r="G11" s="1">
        <v>4754</v>
      </c>
      <c r="H11" s="1">
        <v>4011</v>
      </c>
      <c r="I11" s="1">
        <v>3862</v>
      </c>
      <c r="J11" s="1">
        <v>4315</v>
      </c>
      <c r="K11" s="1">
        <v>5231</v>
      </c>
      <c r="L11" s="1">
        <v>6165</v>
      </c>
      <c r="M11" s="1">
        <v>6646</v>
      </c>
      <c r="N11" s="1">
        <v>7230</v>
      </c>
      <c r="O11" s="1">
        <v>8610</v>
      </c>
      <c r="P11" s="1">
        <v>9914</v>
      </c>
      <c r="Q11" s="1">
        <v>10815</v>
      </c>
      <c r="R11" s="1">
        <v>9635</v>
      </c>
      <c r="S11" s="1">
        <v>13376</v>
      </c>
      <c r="T11" s="1">
        <v>81</v>
      </c>
    </row>
    <row r="12" spans="1:20">
      <c r="A12">
        <v>2005</v>
      </c>
      <c r="B12" s="1">
        <v>10788</v>
      </c>
      <c r="C12" s="1">
        <v>834</v>
      </c>
      <c r="D12" s="1">
        <v>979</v>
      </c>
      <c r="E12" s="1">
        <v>3572</v>
      </c>
      <c r="F12" s="1">
        <v>5205</v>
      </c>
      <c r="G12" s="1">
        <v>4694</v>
      </c>
      <c r="H12" s="1">
        <v>3890</v>
      </c>
      <c r="I12" s="1">
        <v>3814</v>
      </c>
      <c r="J12" s="1">
        <v>4440</v>
      </c>
      <c r="K12" s="1">
        <v>5275</v>
      </c>
      <c r="L12" s="1">
        <v>6385</v>
      </c>
      <c r="M12" s="1">
        <v>7032</v>
      </c>
      <c r="N12" s="1">
        <v>7527</v>
      </c>
      <c r="O12" s="1">
        <v>8707</v>
      </c>
      <c r="P12" s="1">
        <v>9739</v>
      </c>
      <c r="Q12" s="1">
        <v>11133</v>
      </c>
      <c r="R12" s="1">
        <v>9778</v>
      </c>
      <c r="S12" s="1">
        <v>13934</v>
      </c>
      <c r="T12" s="1">
        <v>105</v>
      </c>
    </row>
    <row r="13" spans="1:20">
      <c r="A13">
        <v>2006</v>
      </c>
      <c r="B13" s="1">
        <v>10021</v>
      </c>
      <c r="C13" s="1">
        <v>842</v>
      </c>
      <c r="D13" s="1">
        <v>1068</v>
      </c>
      <c r="E13" s="1">
        <v>3965</v>
      </c>
      <c r="F13" s="1">
        <v>5820</v>
      </c>
      <c r="G13" s="1">
        <v>5358</v>
      </c>
      <c r="H13" s="1">
        <v>4189</v>
      </c>
      <c r="I13" s="1">
        <v>3941</v>
      </c>
      <c r="J13" s="1">
        <v>4648</v>
      </c>
      <c r="K13" s="1">
        <v>5613</v>
      </c>
      <c r="L13" s="1">
        <v>6698</v>
      </c>
      <c r="M13" s="1">
        <v>7427</v>
      </c>
      <c r="N13" s="1">
        <v>7618</v>
      </c>
      <c r="O13" s="1">
        <v>8781</v>
      </c>
      <c r="P13" s="1">
        <v>10030</v>
      </c>
      <c r="Q13" s="1">
        <v>11054</v>
      </c>
      <c r="R13" s="1">
        <v>10155</v>
      </c>
      <c r="S13" s="1">
        <v>14322</v>
      </c>
      <c r="T13" s="1">
        <v>36</v>
      </c>
    </row>
    <row r="14" spans="1:20">
      <c r="A14">
        <v>2007</v>
      </c>
      <c r="B14" s="1">
        <v>9949</v>
      </c>
      <c r="C14" s="1">
        <v>828</v>
      </c>
      <c r="D14" s="1">
        <v>1058</v>
      </c>
      <c r="E14" s="1">
        <v>4355</v>
      </c>
      <c r="F14" s="1">
        <v>6472</v>
      </c>
      <c r="G14" s="1">
        <v>5905</v>
      </c>
      <c r="H14" s="1">
        <v>4683</v>
      </c>
      <c r="I14" s="1">
        <v>4345</v>
      </c>
      <c r="J14" s="1">
        <v>4682</v>
      </c>
      <c r="K14" s="1">
        <v>5754</v>
      </c>
      <c r="L14" s="1">
        <v>6824</v>
      </c>
      <c r="M14" s="1">
        <v>7738</v>
      </c>
      <c r="N14" s="1">
        <v>8154</v>
      </c>
      <c r="O14" s="1">
        <v>9148</v>
      </c>
      <c r="P14" s="1">
        <v>10436</v>
      </c>
      <c r="Q14" s="1">
        <v>11455</v>
      </c>
      <c r="R14" s="1">
        <v>10501</v>
      </c>
      <c r="S14" s="1">
        <v>15010</v>
      </c>
      <c r="T14" s="1">
        <v>166</v>
      </c>
    </row>
    <row r="15" spans="1:20">
      <c r="A15">
        <v>2008</v>
      </c>
      <c r="B15" s="1">
        <v>9720</v>
      </c>
      <c r="C15" s="1">
        <v>733</v>
      </c>
      <c r="D15" s="1">
        <v>1060</v>
      </c>
      <c r="E15" s="1">
        <v>4840</v>
      </c>
      <c r="F15" s="1">
        <v>7108</v>
      </c>
      <c r="G15" s="1">
        <v>6077</v>
      </c>
      <c r="H15" s="1">
        <v>4933</v>
      </c>
      <c r="I15" s="1">
        <v>4403</v>
      </c>
      <c r="J15" s="1">
        <v>4813</v>
      </c>
      <c r="K15" s="1">
        <v>5847</v>
      </c>
      <c r="L15" s="1">
        <v>7046</v>
      </c>
      <c r="M15" s="1">
        <v>8392</v>
      </c>
      <c r="N15" s="1">
        <v>8603</v>
      </c>
      <c r="O15" s="1">
        <v>9514</v>
      </c>
      <c r="P15" s="1">
        <v>10668</v>
      </c>
      <c r="Q15" s="1">
        <v>12014</v>
      </c>
      <c r="R15" s="1">
        <v>11380</v>
      </c>
      <c r="S15" s="1">
        <v>16292</v>
      </c>
      <c r="T15" s="1">
        <v>208</v>
      </c>
    </row>
    <row r="16" spans="1:20">
      <c r="A16">
        <v>2009</v>
      </c>
      <c r="B16" s="1">
        <v>10041</v>
      </c>
      <c r="C16" s="1">
        <v>766</v>
      </c>
      <c r="D16" s="1">
        <v>966</v>
      </c>
      <c r="E16" s="1">
        <v>4813</v>
      </c>
      <c r="F16" s="1">
        <v>6958</v>
      </c>
      <c r="G16" s="1">
        <v>6119</v>
      </c>
      <c r="H16" s="1">
        <v>5049</v>
      </c>
      <c r="I16" s="1">
        <v>4377</v>
      </c>
      <c r="J16" s="1">
        <v>4899</v>
      </c>
      <c r="K16" s="1">
        <v>5937</v>
      </c>
      <c r="L16" s="1">
        <v>7266</v>
      </c>
      <c r="M16" s="1">
        <v>8663</v>
      </c>
      <c r="N16" s="1">
        <v>9084</v>
      </c>
      <c r="O16" s="1">
        <v>9477</v>
      </c>
      <c r="P16" s="1">
        <v>10717</v>
      </c>
      <c r="Q16" s="1">
        <v>11884</v>
      </c>
      <c r="R16" s="1">
        <v>11527</v>
      </c>
      <c r="S16" s="1">
        <v>16100</v>
      </c>
      <c r="T16" s="1">
        <v>88</v>
      </c>
    </row>
    <row r="17" spans="1:20">
      <c r="A17">
        <v>2010</v>
      </c>
      <c r="B17" s="1">
        <v>10418</v>
      </c>
      <c r="C17" s="1">
        <v>784</v>
      </c>
      <c r="D17" s="1">
        <v>939</v>
      </c>
      <c r="E17" s="1">
        <v>4584</v>
      </c>
      <c r="F17" s="1">
        <v>6388</v>
      </c>
      <c r="G17" s="1">
        <v>5735</v>
      </c>
      <c r="H17" s="1">
        <v>4897</v>
      </c>
      <c r="I17" s="1">
        <v>4295</v>
      </c>
      <c r="J17" s="1">
        <v>4582</v>
      </c>
      <c r="K17" s="1">
        <v>5757</v>
      </c>
      <c r="L17" s="1">
        <v>7287</v>
      </c>
      <c r="M17" s="1">
        <v>8799</v>
      </c>
      <c r="N17" s="1">
        <v>9656</v>
      </c>
      <c r="O17" s="1">
        <v>9872</v>
      </c>
      <c r="P17" s="1">
        <v>11445</v>
      </c>
      <c r="Q17" s="1">
        <v>12236</v>
      </c>
      <c r="R17" s="1">
        <v>12775</v>
      </c>
      <c r="S17" s="1">
        <v>18019</v>
      </c>
      <c r="T17" s="1">
        <v>36</v>
      </c>
    </row>
    <row r="18" spans="1:20">
      <c r="A18">
        <v>2011</v>
      </c>
      <c r="B18" s="1">
        <v>10295</v>
      </c>
      <c r="C18" s="1">
        <v>687</v>
      </c>
      <c r="D18" s="1">
        <v>969</v>
      </c>
      <c r="E18" s="1">
        <v>4526</v>
      </c>
      <c r="F18" s="1">
        <v>6425</v>
      </c>
      <c r="G18" s="1">
        <v>5627</v>
      </c>
      <c r="H18" s="1">
        <v>4867</v>
      </c>
      <c r="I18" s="1">
        <v>4482</v>
      </c>
      <c r="J18" s="1">
        <v>4705</v>
      </c>
      <c r="K18" s="1">
        <v>5771</v>
      </c>
      <c r="L18" s="1">
        <v>7612</v>
      </c>
      <c r="M18" s="1">
        <v>9215</v>
      </c>
      <c r="N18" s="1">
        <v>10405</v>
      </c>
      <c r="O18" s="1">
        <v>10481</v>
      </c>
      <c r="P18" s="1">
        <v>11607</v>
      </c>
      <c r="Q18" s="1">
        <v>12602</v>
      </c>
      <c r="R18" s="1">
        <v>13334</v>
      </c>
      <c r="S18" s="1">
        <v>19336</v>
      </c>
      <c r="T18" s="1">
        <v>74</v>
      </c>
    </row>
    <row r="20" spans="1:20">
      <c r="A20" s="2">
        <v>1995</v>
      </c>
      <c r="B20" s="2">
        <v>2445018.5450000763</v>
      </c>
      <c r="C20" s="2">
        <v>2542733.6474990845</v>
      </c>
      <c r="D20" s="2">
        <v>2376738.5078992844</v>
      </c>
      <c r="E20" s="2">
        <v>2108852.9273997545</v>
      </c>
      <c r="F20" s="2">
        <v>1940537.8352998495</v>
      </c>
      <c r="G20" s="2">
        <v>1691147.1093001366</v>
      </c>
      <c r="H20" s="2">
        <v>1532745.9634995461</v>
      </c>
      <c r="I20" s="2">
        <v>1370654.4374001026</v>
      </c>
      <c r="J20" s="2">
        <v>1157166.45470047</v>
      </c>
      <c r="K20" s="2">
        <v>892683.99920034409</v>
      </c>
      <c r="L20" s="2">
        <v>708526.20119976997</v>
      </c>
      <c r="M20" s="2">
        <v>472762.69129943848</v>
      </c>
      <c r="N20" s="2">
        <v>401030.89050006866</v>
      </c>
      <c r="O20" s="2">
        <v>305151.49119997025</v>
      </c>
      <c r="P20" s="2">
        <v>242176.68990001082</v>
      </c>
      <c r="Q20" s="2">
        <v>162962.80080008507</v>
      </c>
      <c r="R20" s="2">
        <v>99946.108399987221</v>
      </c>
      <c r="S20" s="2">
        <v>80068.200599998236</v>
      </c>
      <c r="T20" s="2"/>
    </row>
    <row r="21" spans="1:20">
      <c r="A21" s="2">
        <v>1996</v>
      </c>
      <c r="B21" s="2">
        <v>2459458.0437998772</v>
      </c>
      <c r="C21" s="2">
        <v>2581507.2559967041</v>
      </c>
      <c r="D21" s="2">
        <v>2412081.2441978455</v>
      </c>
      <c r="E21" s="2">
        <v>2144974.706499815</v>
      </c>
      <c r="F21" s="2">
        <v>1982395.3127000332</v>
      </c>
      <c r="G21" s="2">
        <v>1720174.0927000046</v>
      </c>
      <c r="H21" s="2">
        <v>1568739.2959997654</v>
      </c>
      <c r="I21" s="2">
        <v>1409760.2569000721</v>
      </c>
      <c r="J21" s="2">
        <v>1206313.9558997154</v>
      </c>
      <c r="K21" s="2">
        <v>939549.90419983864</v>
      </c>
      <c r="L21" s="2">
        <v>743125.37219977379</v>
      </c>
      <c r="M21" s="2">
        <v>489461.82190036774</v>
      </c>
      <c r="N21" s="2">
        <v>412669.90709972382</v>
      </c>
      <c r="O21" s="2">
        <v>316471.65989971161</v>
      </c>
      <c r="P21" s="2">
        <v>252416.6305000186</v>
      </c>
      <c r="Q21" s="2">
        <v>169867.91479998827</v>
      </c>
      <c r="R21" s="2">
        <v>103260.88269996643</v>
      </c>
      <c r="S21" s="2">
        <v>84793.276599995792</v>
      </c>
      <c r="T21" s="2"/>
    </row>
    <row r="22" spans="1:20">
      <c r="A22" s="2">
        <v>1997</v>
      </c>
      <c r="B22" s="2">
        <v>2471910.3192000389</v>
      </c>
      <c r="C22" s="2">
        <v>2613941.0514965057</v>
      </c>
      <c r="D22" s="2">
        <v>2443877.1604986191</v>
      </c>
      <c r="E22" s="2">
        <v>2180717.9115997553</v>
      </c>
      <c r="F22" s="2">
        <v>2023838.043700099</v>
      </c>
      <c r="G22" s="2">
        <v>1750774.6466999054</v>
      </c>
      <c r="H22" s="2">
        <v>1605658.2128999233</v>
      </c>
      <c r="I22" s="2">
        <v>1448108.5016002655</v>
      </c>
      <c r="J22" s="2">
        <v>1253894.8804993629</v>
      </c>
      <c r="K22" s="2">
        <v>985467.02819991112</v>
      </c>
      <c r="L22" s="2">
        <v>778357.82899975777</v>
      </c>
      <c r="M22" s="2">
        <v>509235.0390996933</v>
      </c>
      <c r="N22" s="2">
        <v>426484.15310096741</v>
      </c>
      <c r="O22" s="2">
        <v>328479.26760005951</v>
      </c>
      <c r="P22" s="2">
        <v>262692.29570001364</v>
      </c>
      <c r="Q22" s="2">
        <v>176936.88600003719</v>
      </c>
      <c r="R22" s="2">
        <v>106873.78940010071</v>
      </c>
      <c r="S22" s="2">
        <v>89550.657400004566</v>
      </c>
      <c r="T22" s="2"/>
    </row>
    <row r="23" spans="1:20">
      <c r="A23" s="2">
        <v>1998</v>
      </c>
      <c r="B23" s="2">
        <v>2482375.3711996078</v>
      </c>
      <c r="C23" s="2">
        <v>2640035.0339984894</v>
      </c>
      <c r="D23" s="2">
        <v>2472126.2567977905</v>
      </c>
      <c r="E23" s="2">
        <v>2216082.5426998138</v>
      </c>
      <c r="F23" s="2">
        <v>2064866.0282999277</v>
      </c>
      <c r="G23" s="2">
        <v>1782948.771299839</v>
      </c>
      <c r="H23" s="2">
        <v>1643502.7142000198</v>
      </c>
      <c r="I23" s="2">
        <v>1485699.171500206</v>
      </c>
      <c r="J23" s="2">
        <v>1299909.2285003662</v>
      </c>
      <c r="K23" s="2">
        <v>1030435.3712000847</v>
      </c>
      <c r="L23" s="2">
        <v>814223.57159972191</v>
      </c>
      <c r="M23" s="2">
        <v>532082.34290027618</v>
      </c>
      <c r="N23" s="2">
        <v>442473.62849998474</v>
      </c>
      <c r="O23" s="2">
        <v>341174.31430006027</v>
      </c>
      <c r="P23" s="2">
        <v>273003.68550001085</v>
      </c>
      <c r="Q23" s="2">
        <v>184169.71439999342</v>
      </c>
      <c r="R23" s="2">
        <v>110784.82849991322</v>
      </c>
      <c r="S23" s="2">
        <v>94340.343000002205</v>
      </c>
      <c r="T23" s="2"/>
    </row>
    <row r="24" spans="1:20">
      <c r="A24" s="2">
        <v>1999</v>
      </c>
      <c r="B24" s="2">
        <v>2490853.1997995377</v>
      </c>
      <c r="C24" s="2">
        <v>2659789.2034988403</v>
      </c>
      <c r="D24" s="2">
        <v>2496828.5330982208</v>
      </c>
      <c r="E24" s="2">
        <v>2251068.5997997522</v>
      </c>
      <c r="F24" s="2">
        <v>2105479.2664999962</v>
      </c>
      <c r="G24" s="2">
        <v>1816696.4664998055</v>
      </c>
      <c r="H24" s="2">
        <v>1682272.7998995781</v>
      </c>
      <c r="I24" s="2">
        <v>1522532.2666003704</v>
      </c>
      <c r="J24" s="2">
        <v>1344356.9998998642</v>
      </c>
      <c r="K24" s="2">
        <v>1074454.9332001209</v>
      </c>
      <c r="L24" s="2">
        <v>850722.59999990463</v>
      </c>
      <c r="M24" s="2">
        <v>558003.73329925537</v>
      </c>
      <c r="N24" s="2">
        <v>460638.33329963684</v>
      </c>
      <c r="O24" s="2">
        <v>354556.7999997139</v>
      </c>
      <c r="P24" s="2">
        <v>283350.79990001023</v>
      </c>
      <c r="Q24" s="2">
        <v>191566.40000003576</v>
      </c>
      <c r="R24" s="2">
        <v>114994</v>
      </c>
      <c r="S24" s="2">
        <v>99162.333400003612</v>
      </c>
      <c r="T24" s="2"/>
    </row>
    <row r="25" spans="1:20">
      <c r="A25" s="2">
        <v>2000</v>
      </c>
      <c r="B25" s="2">
        <v>2497343.8049998283</v>
      </c>
      <c r="C25" s="2">
        <v>2673203.5599994659</v>
      </c>
      <c r="D25" s="2">
        <v>2517983.9893980026</v>
      </c>
      <c r="E25" s="2">
        <v>2285676.0828998089</v>
      </c>
      <c r="F25" s="2">
        <v>2145677.758300066</v>
      </c>
      <c r="G25" s="2">
        <v>1852017.7322998047</v>
      </c>
      <c r="H25" s="2">
        <v>1721968.4699997902</v>
      </c>
      <c r="I25" s="2">
        <v>1558607.7869002819</v>
      </c>
      <c r="J25" s="2">
        <v>1387238.1946997643</v>
      </c>
      <c r="K25" s="2">
        <v>1117525.7142000198</v>
      </c>
      <c r="L25" s="2">
        <v>887854.9141998291</v>
      </c>
      <c r="M25" s="2">
        <v>586999.21030044556</v>
      </c>
      <c r="N25" s="2">
        <v>480978.26749897003</v>
      </c>
      <c r="O25" s="2">
        <v>368626.72470021248</v>
      </c>
      <c r="P25" s="2">
        <v>293733.63890001178</v>
      </c>
      <c r="Q25" s="2">
        <v>199126.94280004501</v>
      </c>
      <c r="R25" s="2">
        <v>119501.30390000343</v>
      </c>
      <c r="S25" s="2">
        <v>104016.62860000134</v>
      </c>
      <c r="T25" s="2"/>
    </row>
    <row r="26" spans="1:20">
      <c r="A26" s="2">
        <v>2001</v>
      </c>
      <c r="B26" s="2">
        <v>2501847.1867995262</v>
      </c>
      <c r="C26" s="2">
        <v>2680278.1034965515</v>
      </c>
      <c r="D26" s="2">
        <v>2535592.6256980896</v>
      </c>
      <c r="E26" s="2">
        <v>2319904.9919997454</v>
      </c>
      <c r="F26" s="2">
        <v>2185461.5036998987</v>
      </c>
      <c r="G26" s="2">
        <v>1888912.5686998367</v>
      </c>
      <c r="H26" s="2">
        <v>1762589.7244997025</v>
      </c>
      <c r="I26" s="2">
        <v>1593925.7324004173</v>
      </c>
      <c r="J26" s="2">
        <v>1428552.8129000664</v>
      </c>
      <c r="K26" s="2">
        <v>1159647.7142002583</v>
      </c>
      <c r="L26" s="2">
        <v>925620.51419973373</v>
      </c>
      <c r="M26" s="2">
        <v>619068.77390003204</v>
      </c>
      <c r="N26" s="2">
        <v>503493.43110084534</v>
      </c>
      <c r="O26" s="2">
        <v>383384.08839988708</v>
      </c>
      <c r="P26" s="2">
        <v>304152.2025000155</v>
      </c>
      <c r="Q26" s="2">
        <v>206851.34279996157</v>
      </c>
      <c r="R26" s="2">
        <v>124306.74020016193</v>
      </c>
      <c r="S26" s="2">
        <v>108903.22860000283</v>
      </c>
      <c r="T26" s="2"/>
    </row>
    <row r="27" spans="1:20">
      <c r="A27" s="2">
        <v>2002</v>
      </c>
      <c r="B27" s="2">
        <v>2504363.345199585</v>
      </c>
      <c r="C27" s="2">
        <v>2681012.8339977264</v>
      </c>
      <c r="D27" s="2">
        <v>2549654.4419975281</v>
      </c>
      <c r="E27" s="2">
        <v>2353755.3270998001</v>
      </c>
      <c r="F27" s="2">
        <v>2224830.5026999712</v>
      </c>
      <c r="G27" s="2">
        <v>1927380.9756999016</v>
      </c>
      <c r="H27" s="2">
        <v>1804136.5634000301</v>
      </c>
      <c r="I27" s="2">
        <v>1628486.1031002998</v>
      </c>
      <c r="J27" s="2">
        <v>1468300.8544998169</v>
      </c>
      <c r="K27" s="2">
        <v>1200820.9332003593</v>
      </c>
      <c r="L27" s="2">
        <v>964019.39999985695</v>
      </c>
      <c r="M27" s="2">
        <v>654212.42409896851</v>
      </c>
      <c r="N27" s="2">
        <v>528183.82410049438</v>
      </c>
      <c r="O27" s="2">
        <v>398828.89109992981</v>
      </c>
      <c r="P27" s="2">
        <v>314606.49070002139</v>
      </c>
      <c r="Q27" s="2">
        <v>214739.60000002384</v>
      </c>
      <c r="R27" s="2">
        <v>129410.30889999866</v>
      </c>
      <c r="S27" s="2">
        <v>113822.13340000063</v>
      </c>
      <c r="T27" s="2"/>
    </row>
    <row r="28" spans="1:20">
      <c r="A28" s="2">
        <v>2003</v>
      </c>
      <c r="B28" s="2">
        <v>2504892.2801995277</v>
      </c>
      <c r="C28" s="2">
        <v>2675407.7514972687</v>
      </c>
      <c r="D28" s="2">
        <v>2560169.4382982254</v>
      </c>
      <c r="E28" s="2">
        <v>2387227.0881997347</v>
      </c>
      <c r="F28" s="2">
        <v>2263784.755300045</v>
      </c>
      <c r="G28" s="2">
        <v>1967422.9532995224</v>
      </c>
      <c r="H28" s="2">
        <v>1846608.9866995811</v>
      </c>
      <c r="I28" s="2">
        <v>1662288.8989999294</v>
      </c>
      <c r="J28" s="2">
        <v>1506482.3195004463</v>
      </c>
      <c r="K28" s="2">
        <v>1241045.3711998463</v>
      </c>
      <c r="L28" s="2">
        <v>1003051.5715999603</v>
      </c>
      <c r="M28" s="2">
        <v>692430.16090011597</v>
      </c>
      <c r="N28" s="2">
        <v>555049.44649982452</v>
      </c>
      <c r="O28" s="2">
        <v>414961.13280010223</v>
      </c>
      <c r="P28" s="2">
        <v>325096.50350001454</v>
      </c>
      <c r="Q28" s="2">
        <v>222791.71439993382</v>
      </c>
      <c r="R28" s="2">
        <v>134812.00999999046</v>
      </c>
      <c r="S28" s="2">
        <v>118773.34299999475</v>
      </c>
      <c r="T28" s="2"/>
    </row>
    <row r="29" spans="1:20">
      <c r="A29" s="2">
        <v>2004</v>
      </c>
      <c r="B29" s="2">
        <v>2503433.9918003082</v>
      </c>
      <c r="C29" s="2">
        <v>2663462.8559989929</v>
      </c>
      <c r="D29" s="2">
        <v>2567137.6145973206</v>
      </c>
      <c r="E29" s="2">
        <v>2420320.2752997875</v>
      </c>
      <c r="F29" s="2">
        <v>2302324.2614998817</v>
      </c>
      <c r="G29" s="2">
        <v>2009038.5015006065</v>
      </c>
      <c r="H29" s="2">
        <v>1890006.994399786</v>
      </c>
      <c r="I29" s="2">
        <v>1695334.1201000214</v>
      </c>
      <c r="J29" s="2">
        <v>1543097.2079000473</v>
      </c>
      <c r="K29" s="2">
        <v>1280321.0281999111</v>
      </c>
      <c r="L29" s="2">
        <v>1042717.0289998055</v>
      </c>
      <c r="M29" s="2">
        <v>733721.98429870605</v>
      </c>
      <c r="N29" s="2">
        <v>584090.2983007431</v>
      </c>
      <c r="O29" s="2">
        <v>431780.81349992752</v>
      </c>
      <c r="P29" s="2">
        <v>335622.24090000987</v>
      </c>
      <c r="Q29" s="2">
        <v>231007.68599998951</v>
      </c>
      <c r="R29" s="2">
        <v>140511.84350013733</v>
      </c>
      <c r="S29" s="2">
        <v>123756.85739999264</v>
      </c>
      <c r="T29" s="2"/>
    </row>
    <row r="30" spans="1:20">
      <c r="A30" s="2">
        <v>2005</v>
      </c>
      <c r="B30" s="2">
        <v>2499988.4800004959</v>
      </c>
      <c r="C30" s="2">
        <v>2645178.1474990845</v>
      </c>
      <c r="D30" s="2">
        <v>2570558.9708986282</v>
      </c>
      <c r="E30" s="2">
        <v>2453034.8883997202</v>
      </c>
      <c r="F30" s="2">
        <v>2340449.0212999582</v>
      </c>
      <c r="G30" s="2">
        <v>2052227.6203007698</v>
      </c>
      <c r="H30" s="2">
        <v>1934330.586499691</v>
      </c>
      <c r="I30" s="2">
        <v>1727621.7664000988</v>
      </c>
      <c r="J30" s="2">
        <v>1578145.5197000504</v>
      </c>
      <c r="K30" s="2">
        <v>1318647.9042000771</v>
      </c>
      <c r="L30" s="2">
        <v>1083015.7721998692</v>
      </c>
      <c r="M30" s="2">
        <v>778087.89430046082</v>
      </c>
      <c r="N30" s="2">
        <v>615306.3795003891</v>
      </c>
      <c r="O30" s="2">
        <v>449287.93319988251</v>
      </c>
      <c r="P30" s="2">
        <v>346183.70290000737</v>
      </c>
      <c r="Q30" s="2">
        <v>239387.51480007172</v>
      </c>
      <c r="R30" s="2">
        <v>146509.80939996243</v>
      </c>
      <c r="S30" s="2">
        <v>128772.6766000092</v>
      </c>
      <c r="T30" s="2"/>
    </row>
    <row r="31" spans="1:20">
      <c r="A31" s="2">
        <v>2006</v>
      </c>
      <c r="B31" s="2">
        <v>2494555.7448000908</v>
      </c>
      <c r="C31" s="2">
        <v>2620553.625995636</v>
      </c>
      <c r="D31" s="2">
        <v>2570433.5071992874</v>
      </c>
      <c r="E31" s="2">
        <v>2485370.9274997711</v>
      </c>
      <c r="F31" s="2">
        <v>2378159.034700036</v>
      </c>
      <c r="G31" s="2">
        <v>2096990.309700489</v>
      </c>
      <c r="H31" s="2">
        <v>1979579.762999773</v>
      </c>
      <c r="I31" s="2">
        <v>1759151.8379001617</v>
      </c>
      <c r="J31" s="2">
        <v>1611627.2549004555</v>
      </c>
      <c r="K31" s="2">
        <v>1356025.9992001057</v>
      </c>
      <c r="L31" s="2">
        <v>1123947.801199913</v>
      </c>
      <c r="M31" s="2">
        <v>825527.8908996582</v>
      </c>
      <c r="N31" s="2">
        <v>648697.69009971619</v>
      </c>
      <c r="O31" s="2">
        <v>467482.49190020561</v>
      </c>
      <c r="P31" s="2">
        <v>356780.88950000703</v>
      </c>
      <c r="Q31" s="2">
        <v>247931.20080000162</v>
      </c>
      <c r="R31" s="2">
        <v>152805.90769994259</v>
      </c>
      <c r="S31" s="2">
        <v>133820.80060000718</v>
      </c>
      <c r="T31" s="2"/>
    </row>
    <row r="32" spans="1:20">
      <c r="A32" s="2">
        <v>2007</v>
      </c>
      <c r="B32" s="2">
        <v>2487135.7862000465</v>
      </c>
      <c r="C32" s="2">
        <v>2589589.2914962769</v>
      </c>
      <c r="D32" s="2">
        <v>2566761.2234983444</v>
      </c>
      <c r="E32" s="2">
        <v>2517328.3925997019</v>
      </c>
      <c r="F32" s="2">
        <v>2415454.301699996</v>
      </c>
      <c r="G32" s="2">
        <v>2143326.5697007179</v>
      </c>
      <c r="H32" s="2">
        <v>2025754.5238995552</v>
      </c>
      <c r="I32" s="2">
        <v>1789924.3346002102</v>
      </c>
      <c r="J32" s="2">
        <v>1643542.413500309</v>
      </c>
      <c r="K32" s="2">
        <v>1392455.3132002354</v>
      </c>
      <c r="L32" s="2">
        <v>1165513.1159999371</v>
      </c>
      <c r="M32" s="2">
        <v>876041.97410011292</v>
      </c>
      <c r="N32" s="2">
        <v>684264.23009967804</v>
      </c>
      <c r="O32" s="2">
        <v>486364.48959994316</v>
      </c>
      <c r="P32" s="2">
        <v>367413.80070002377</v>
      </c>
      <c r="Q32" s="2">
        <v>256638.74400001764</v>
      </c>
      <c r="R32" s="2">
        <v>159400.13840007782</v>
      </c>
      <c r="S32" s="2">
        <v>138901.22940000147</v>
      </c>
      <c r="T32" s="2"/>
    </row>
    <row r="33" spans="1:20">
      <c r="A33" s="2">
        <v>2008</v>
      </c>
      <c r="B33" s="2">
        <v>2477728.6042003632</v>
      </c>
      <c r="C33" s="2">
        <v>2552285.1439971924</v>
      </c>
      <c r="D33" s="2">
        <v>2559542.1197986603</v>
      </c>
      <c r="E33" s="2">
        <v>2548907.2836997509</v>
      </c>
      <c r="F33" s="2">
        <v>2452334.8223000765</v>
      </c>
      <c r="G33" s="2">
        <v>2191236.4003005028</v>
      </c>
      <c r="H33" s="2">
        <v>2072854.8691997528</v>
      </c>
      <c r="I33" s="2">
        <v>1819939.2565002441</v>
      </c>
      <c r="J33" s="2">
        <v>1673890.9954996109</v>
      </c>
      <c r="K33" s="2">
        <v>1427935.8462002277</v>
      </c>
      <c r="L33" s="2">
        <v>1207711.7165999413</v>
      </c>
      <c r="M33" s="2">
        <v>929630.1438999176</v>
      </c>
      <c r="N33" s="2">
        <v>722005.99950027466</v>
      </c>
      <c r="O33" s="2">
        <v>505933.92629981041</v>
      </c>
      <c r="P33" s="2">
        <v>378082.43650001287</v>
      </c>
      <c r="Q33" s="2">
        <v>265510.14440006018</v>
      </c>
      <c r="R33" s="2">
        <v>166292.5015001297</v>
      </c>
      <c r="S33" s="2">
        <v>144013.96299999952</v>
      </c>
      <c r="T33" s="2"/>
    </row>
    <row r="34" spans="1:20">
      <c r="A34" s="2">
        <v>2009</v>
      </c>
      <c r="B34" s="2">
        <v>2466334.198800087</v>
      </c>
      <c r="C34" s="2">
        <v>2508641.1834983826</v>
      </c>
      <c r="D34" s="2">
        <v>2548776.1960983276</v>
      </c>
      <c r="E34" s="2">
        <v>2580107.600799799</v>
      </c>
      <c r="F34" s="2">
        <v>2488800.5964999199</v>
      </c>
      <c r="G34" s="2">
        <v>2240719.8015003204</v>
      </c>
      <c r="H34" s="2">
        <v>2120880.7988996506</v>
      </c>
      <c r="I34" s="2">
        <v>1849196.6036002636</v>
      </c>
      <c r="J34" s="2">
        <v>1702673.0009002686</v>
      </c>
      <c r="K34" s="2">
        <v>1462467.5982003212</v>
      </c>
      <c r="L34" s="2">
        <v>1250543.6029999256</v>
      </c>
      <c r="M34" s="2">
        <v>986292.40030097961</v>
      </c>
      <c r="N34" s="2">
        <v>761922.99830055237</v>
      </c>
      <c r="O34" s="2">
        <v>526190.80200028419</v>
      </c>
      <c r="P34" s="2">
        <v>388786.79690001905</v>
      </c>
      <c r="Q34" s="2">
        <v>274545.40200001001</v>
      </c>
      <c r="R34" s="2">
        <v>173482.99699997902</v>
      </c>
      <c r="S34" s="2">
        <v>149159.00140000135</v>
      </c>
      <c r="T34" s="2"/>
    </row>
    <row r="35" spans="1:20">
      <c r="A35" s="2">
        <v>2010</v>
      </c>
      <c r="B35" s="2">
        <v>2452952.5700001717</v>
      </c>
      <c r="C35" s="2">
        <v>2458657.4099998474</v>
      </c>
      <c r="D35" s="2">
        <v>2534463.4523992538</v>
      </c>
      <c r="E35" s="2">
        <v>2610929.3438997269</v>
      </c>
      <c r="F35" s="2">
        <v>2524851.6243000031</v>
      </c>
      <c r="G35" s="2">
        <v>2291776.7733006477</v>
      </c>
      <c r="H35" s="2">
        <v>2169832.3129999638</v>
      </c>
      <c r="I35" s="2">
        <v>1877696.3759002686</v>
      </c>
      <c r="J35" s="2">
        <v>1729888.4296998978</v>
      </c>
      <c r="K35" s="2">
        <v>1496050.5691998005</v>
      </c>
      <c r="L35" s="2">
        <v>1294008.7751998901</v>
      </c>
      <c r="M35" s="2">
        <v>1046028.7432994843</v>
      </c>
      <c r="N35" s="2">
        <v>804015.2264995575</v>
      </c>
      <c r="O35" s="2">
        <v>547135.11669993401</v>
      </c>
      <c r="P35" s="2">
        <v>399526.88190001249</v>
      </c>
      <c r="Q35" s="2">
        <v>283744.51680004597</v>
      </c>
      <c r="R35" s="2">
        <v>180971.62489998341</v>
      </c>
      <c r="S35" s="2">
        <v>154336.34459999949</v>
      </c>
      <c r="T35" s="2"/>
    </row>
    <row r="36" spans="1:20">
      <c r="A36" s="2">
        <v>2011</v>
      </c>
      <c r="B36" s="2">
        <v>2437583.7178001404</v>
      </c>
      <c r="C36" s="2">
        <v>2402333.8234958649</v>
      </c>
      <c r="D36" s="2">
        <v>2516603.8886976242</v>
      </c>
      <c r="E36" s="2">
        <v>2641372.512999773</v>
      </c>
      <c r="F36" s="2">
        <v>2560487.9057000875</v>
      </c>
      <c r="G36" s="2">
        <v>2344407.315700531</v>
      </c>
      <c r="H36" s="2">
        <v>2219709.4114999771</v>
      </c>
      <c r="I36" s="2">
        <v>1905438.573400259</v>
      </c>
      <c r="J36" s="2">
        <v>1755537.281899929</v>
      </c>
      <c r="K36" s="2">
        <v>1528684.7591998577</v>
      </c>
      <c r="L36" s="2">
        <v>1338107.2331998348</v>
      </c>
      <c r="M36" s="2">
        <v>1108839.1728992462</v>
      </c>
      <c r="N36" s="2">
        <v>848282.68410110474</v>
      </c>
      <c r="O36" s="2">
        <v>568766.87039995193</v>
      </c>
      <c r="P36" s="2">
        <v>410302.69150002301</v>
      </c>
      <c r="Q36" s="2">
        <v>293107.48879998922</v>
      </c>
      <c r="R36" s="2">
        <v>188758.38520014286</v>
      </c>
      <c r="S36" s="2">
        <v>159545.99259999394</v>
      </c>
      <c r="T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Venezuela Suma</vt:lpstr>
      <vt:lpstr>Mortalidad</vt:lpstr>
      <vt:lpstr>Mortalidad1</vt:lpstr>
      <vt:lpstr>Población</vt:lpstr>
      <vt:lpstr>Hoja2</vt:lpstr>
      <vt:lpstr>'Venezuela Suma'!Área_de_impresión</vt:lpstr>
      <vt:lpstr>'Venezuela Suma'!Títulos_a_imprimir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angelc</dc:creator>
  <cp:lastModifiedBy>angelc</cp:lastModifiedBy>
  <dcterms:created xsi:type="dcterms:W3CDTF">2014-03-21T13:00:30Z</dcterms:created>
  <dcterms:modified xsi:type="dcterms:W3CDTF">2014-03-24T19:16:48Z</dcterms:modified>
</cp:coreProperties>
</file>